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trlProps/ctrlProp2.xml" ContentType="application/vnd.ms-excel.controlproperties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trlProps/ctrlProp3.xml" ContentType="application/vnd.ms-excel.controlproperties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trlProps/ctrlProp4.xml" ContentType="application/vnd.ms-excel.controlproperties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trlProps/ctrlProp5.xml" ContentType="application/vnd.ms-excel.controlproperti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trlProps/ctrlProp6.xml" ContentType="application/vnd.ms-excel.controlproperties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trlProps/ctrlProp7.xml" ContentType="application/vnd.ms-excel.controlproperties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trlProps/ctrlProp8.xml" ContentType="application/vnd.ms-excel.controlproperties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trlProps/ctrlProp9.xml" ContentType="application/vnd.ms-excel.controlproperties+xml"/>
  <Override PartName="/xl/charts/chart8.xml" ContentType="application/vnd.openxmlformats-officedocument.drawingml.chart+xml"/>
  <Override PartName="/xl/drawings/drawing10.xml" ContentType="application/vnd.openxmlformats-officedocument.drawing+xml"/>
  <Override PartName="/xl/ctrlProps/ctrlProp10.xml" ContentType="application/vnd.ms-excel.controlproperties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ctrlProps/ctrlProp11.xml" ContentType="application/vnd.ms-excel.controlproperties+xml"/>
  <Override PartName="/xl/charts/chart10.xml" ContentType="application/vnd.openxmlformats-officedocument.drawingml.chart+xml"/>
  <Override PartName="/xl/drawings/drawing12.xml" ContentType="application/vnd.openxmlformats-officedocument.drawing+xml"/>
  <Override PartName="/xl/ctrlProps/ctrlProp12.xml" ContentType="application/vnd.ms-excel.controlproperties+xml"/>
  <Override PartName="/xl/charts/chart11.xml" ContentType="application/vnd.openxmlformats-officedocument.drawingml.chart+xml"/>
  <Override PartName="/xl/drawings/drawing13.xml" ContentType="application/vnd.openxmlformats-officedocument.drawing+xml"/>
  <Override PartName="/xl/ctrlProps/ctrlProp13.xml" ContentType="application/vnd.ms-excel.controlproperties+xml"/>
  <Override PartName="/xl/charts/chart12.xml" ContentType="application/vnd.openxmlformats-officedocument.drawingml.chart+xml"/>
  <Override PartName="/xl/drawings/drawing14.xml" ContentType="application/vnd.openxmlformats-officedocument.drawing+xml"/>
  <Override PartName="/xl/ctrlProps/ctrlProp14.xml" ContentType="application/vnd.ms-excel.controlproperties+xml"/>
  <Override PartName="/xl/charts/chart13.xml" ContentType="application/vnd.openxmlformats-officedocument.drawingml.chart+xml"/>
  <Override PartName="/xl/drawings/drawing15.xml" ContentType="application/vnd.openxmlformats-officedocument.drawing+xml"/>
  <Override PartName="/xl/ctrlProps/ctrlProp15.xml" ContentType="application/vnd.ms-excel.controlproperties+xml"/>
  <Override PartName="/xl/charts/chart14.xml" ContentType="application/vnd.openxmlformats-officedocument.drawingml.chart+xml"/>
  <Override PartName="/xl/drawings/drawing16.xml" ContentType="application/vnd.openxmlformats-officedocument.drawing+xml"/>
  <Override PartName="/xl/ctrlProps/ctrlProp16.xml" ContentType="application/vnd.ms-excel.controlproperties+xml"/>
  <Override PartName="/xl/charts/chart15.xml" ContentType="application/vnd.openxmlformats-officedocument.drawingml.chart+xml"/>
  <Override PartName="/xl/drawings/drawing17.xml" ContentType="application/vnd.openxmlformats-officedocument.drawing+xml"/>
  <Override PartName="/xl/ctrlProps/ctrlProp17.xml" ContentType="application/vnd.ms-excel.controlproperties+xml"/>
  <Override PartName="/xl/charts/chart16.xml" ContentType="application/vnd.openxmlformats-officedocument.drawingml.chart+xml"/>
  <Override PartName="/xl/drawings/drawing18.xml" ContentType="application/vnd.openxmlformats-officedocument.drawing+xml"/>
  <Override PartName="/xl/ctrlProps/ctrlProp18.xml" ContentType="application/vnd.ms-excel.controlproperties+xml"/>
  <Override PartName="/xl/charts/chart17.xml" ContentType="application/vnd.openxmlformats-officedocument.drawingml.chart+xml"/>
  <Override PartName="/xl/drawings/drawing19.xml" ContentType="application/vnd.openxmlformats-officedocument.drawing+xml"/>
  <Override PartName="/xl/ctrlProps/ctrlProp19.xml" ContentType="application/vnd.ms-excel.controlproperties+xml"/>
  <Override PartName="/xl/charts/chart18.xml" ContentType="application/vnd.openxmlformats-officedocument.drawingml.chart+xml"/>
  <Override PartName="/xl/drawings/drawing20.xml" ContentType="application/vnd.openxmlformats-officedocument.drawing+xml"/>
  <Override PartName="/xl/ctrlProps/ctrlProp20.xml" ContentType="application/vnd.ms-excel.controlproperties+xml"/>
  <Override PartName="/xl/charts/chart19.xml" ContentType="application/vnd.openxmlformats-officedocument.drawingml.chart+xml"/>
  <Override PartName="/xl/drawings/drawing21.xml" ContentType="application/vnd.openxmlformats-officedocument.drawing+xml"/>
  <Override PartName="/xl/ctrlProps/ctrlProp21.xml" ContentType="application/vnd.ms-excel.controlproperties+xml"/>
  <Override PartName="/xl/charts/chart20.xml" ContentType="application/vnd.openxmlformats-officedocument.drawingml.chart+xml"/>
  <Override PartName="/xl/drawings/drawing22.xml" ContentType="application/vnd.openxmlformats-officedocument.drawing+xml"/>
  <Override PartName="/xl/ctrlProps/ctrlProp22.xml" ContentType="application/vnd.ms-excel.controlproperties+xml"/>
  <Override PartName="/xl/charts/chart21.xml" ContentType="application/vnd.openxmlformats-officedocument.drawingml.chart+xml"/>
  <Override PartName="/xl/drawings/drawing23.xml" ContentType="application/vnd.openxmlformats-officedocument.drawing+xml"/>
  <Override PartName="/xl/ctrlProps/ctrlProp23.xml" ContentType="application/vnd.ms-excel.controlproperties+xml"/>
  <Override PartName="/xl/charts/chart22.xml" ContentType="application/vnd.openxmlformats-officedocument.drawingml.chart+xml"/>
  <Override PartName="/xl/drawings/drawing24.xml" ContentType="application/vnd.openxmlformats-officedocument.drawing+xml"/>
  <Override PartName="/xl/ctrlProps/ctrlProp24.xml" ContentType="application/vnd.ms-excel.controlproperties+xml"/>
  <Override PartName="/xl/charts/chart23.xml" ContentType="application/vnd.openxmlformats-officedocument.drawingml.chart+xml"/>
  <Override PartName="/xl/drawings/drawing25.xml" ContentType="application/vnd.openxmlformats-officedocument.drawing+xml"/>
  <Override PartName="/xl/ctrlProps/ctrlProp25.xml" ContentType="application/vnd.ms-excel.controlproperties+xml"/>
  <Override PartName="/xl/charts/chart24.xml" ContentType="application/vnd.openxmlformats-officedocument.drawingml.chart+xml"/>
  <Override PartName="/xl/drawings/drawing26.xml" ContentType="application/vnd.openxmlformats-officedocument.drawing+xml"/>
  <Override PartName="/xl/ctrlProps/ctrlProp26.xml" ContentType="application/vnd.ms-excel.controlproperties+xml"/>
  <Override PartName="/xl/charts/chart25.xml" ContentType="application/vnd.openxmlformats-officedocument.drawingml.chart+xml"/>
  <Override PartName="/xl/drawings/drawing27.xml" ContentType="application/vnd.openxmlformats-officedocument.drawing+xml"/>
  <Override PartName="/xl/ctrlProps/ctrlProp27.xml" ContentType="application/vnd.ms-excel.controlproperties+xml"/>
  <Override PartName="/xl/charts/chart26.xml" ContentType="application/vnd.openxmlformats-officedocument.drawingml.chart+xml"/>
  <Override PartName="/xl/drawings/drawing28.xml" ContentType="application/vnd.openxmlformats-officedocument.drawing+xml"/>
  <Override PartName="/xl/ctrlProps/ctrlProp28.xml" ContentType="application/vnd.ms-excel.controlproperties+xml"/>
  <Override PartName="/xl/charts/chart27.xml" ContentType="application/vnd.openxmlformats-officedocument.drawingml.chart+xml"/>
  <Override PartName="/xl/drawings/drawing29.xml" ContentType="application/vnd.openxmlformats-officedocument.drawing+xml"/>
  <Override PartName="/xl/ctrlProps/ctrlProp29.xml" ContentType="application/vnd.ms-excel.controlproperties+xml"/>
  <Override PartName="/xl/charts/chart28.xml" ContentType="application/vnd.openxmlformats-officedocument.drawingml.chart+xml"/>
  <Override PartName="/xl/drawings/drawing30.xml" ContentType="application/vnd.openxmlformats-officedocument.drawing+xml"/>
  <Override PartName="/xl/ctrlProps/ctrlProp30.xml" ContentType="application/vnd.ms-excel.controlproperties+xml"/>
  <Override PartName="/xl/charts/chart29.xml" ContentType="application/vnd.openxmlformats-officedocument.drawingml.chart+xml"/>
  <Override PartName="/xl/drawings/drawing31.xml" ContentType="application/vnd.openxmlformats-officedocument.drawing+xml"/>
  <Override PartName="/xl/ctrlProps/ctrlProp31.xml" ContentType="application/vnd.ms-excel.controlproperties+xml"/>
  <Override PartName="/xl/charts/chart30.xml" ContentType="application/vnd.openxmlformats-officedocument.drawingml.chart+xml"/>
  <Override PartName="/xl/drawings/drawing32.xml" ContentType="application/vnd.openxmlformats-officedocument.drawing+xml"/>
  <Override PartName="/xl/ctrlProps/ctrlProp32.xml" ContentType="application/vnd.ms-excel.controlproperties+xml"/>
  <Override PartName="/xl/charts/chart31.xml" ContentType="application/vnd.openxmlformats-officedocument.drawingml.chart+xml"/>
  <Override PartName="/xl/drawings/drawing33.xml" ContentType="application/vnd.openxmlformats-officedocument.drawing+xml"/>
  <Override PartName="/xl/ctrlProps/ctrlProp33.xml" ContentType="application/vnd.ms-excel.controlproperties+xml"/>
  <Override PartName="/xl/charts/chart32.xml" ContentType="application/vnd.openxmlformats-officedocument.drawingml.chart+xml"/>
  <Override PartName="/xl/drawings/drawing34.xml" ContentType="application/vnd.openxmlformats-officedocument.drawing+xml"/>
  <Override PartName="/xl/ctrlProps/ctrlProp34.xml" ContentType="application/vnd.ms-excel.controlproperties+xml"/>
  <Override PartName="/xl/charts/chart33.xml" ContentType="application/vnd.openxmlformats-officedocument.drawingml.chart+xml"/>
  <Override PartName="/xl/drawings/drawing35.xml" ContentType="application/vnd.openxmlformats-officedocument.drawing+xml"/>
  <Override PartName="/xl/ctrlProps/ctrlProp35.xml" ContentType="application/vnd.ms-excel.controlproperties+xml"/>
  <Override PartName="/xl/charts/chart34.xml" ContentType="application/vnd.openxmlformats-officedocument.drawingml.chart+xml"/>
  <Override PartName="/xl/drawings/drawing36.xml" ContentType="application/vnd.openxmlformats-officedocument.drawing+xml"/>
  <Override PartName="/xl/ctrlProps/ctrlProp36.xml" ContentType="application/vnd.ms-excel.controlproperties+xml"/>
  <Override PartName="/xl/charts/chart35.xml" ContentType="application/vnd.openxmlformats-officedocument.drawingml.chart+xml"/>
  <Override PartName="/xl/drawings/drawing37.xml" ContentType="application/vnd.openxmlformats-officedocument.drawing+xml"/>
  <Override PartName="/xl/ctrlProps/ctrlProp37.xml" ContentType="application/vnd.ms-excel.controlproperties+xml"/>
  <Override PartName="/xl/charts/chart36.xml" ContentType="application/vnd.openxmlformats-officedocument.drawingml.chart+xml"/>
  <Override PartName="/xl/drawings/drawing38.xml" ContentType="application/vnd.openxmlformats-officedocument.drawing+xml"/>
  <Override PartName="/xl/ctrlProps/ctrlProp38.xml" ContentType="application/vnd.ms-excel.controlproperties+xml"/>
  <Override PartName="/xl/charts/chart37.xml" ContentType="application/vnd.openxmlformats-officedocument.drawingml.chart+xml"/>
  <Override PartName="/xl/drawings/drawing39.xml" ContentType="application/vnd.openxmlformats-officedocument.drawing+xml"/>
  <Override PartName="/xl/ctrlProps/ctrlProp39.xml" ContentType="application/vnd.ms-excel.controlproperties+xml"/>
  <Override PartName="/xl/charts/chart38.xml" ContentType="application/vnd.openxmlformats-officedocument.drawingml.chart+xml"/>
  <Override PartName="/xl/drawings/drawing40.xml" ContentType="application/vnd.openxmlformats-officedocument.drawing+xml"/>
  <Override PartName="/xl/ctrlProps/ctrlProp40.xml" ContentType="application/vnd.ms-excel.controlproperties+xml"/>
  <Override PartName="/xl/charts/chart39.xml" ContentType="application/vnd.openxmlformats-officedocument.drawingml.chart+xml"/>
  <Override PartName="/xl/drawings/drawing41.xml" ContentType="application/vnd.openxmlformats-officedocument.drawing+xml"/>
  <Override PartName="/xl/ctrlProps/ctrlProp41.xml" ContentType="application/vnd.ms-excel.controlproperties+xml"/>
  <Override PartName="/xl/charts/chart40.xml" ContentType="application/vnd.openxmlformats-officedocument.drawingml.chart+xml"/>
  <Override PartName="/xl/drawings/drawing42.xml" ContentType="application/vnd.openxmlformats-officedocument.drawing+xml"/>
  <Override PartName="/xl/ctrlProps/ctrlProp42.xml" ContentType="application/vnd.ms-excel.controlproperties+xml"/>
  <Override PartName="/xl/charts/chart41.xml" ContentType="application/vnd.openxmlformats-officedocument.drawingml.chart+xml"/>
  <Override PartName="/xl/drawings/drawing43.xml" ContentType="application/vnd.openxmlformats-officedocument.drawing+xml"/>
  <Override PartName="/xl/ctrlProps/ctrlProp43.xml" ContentType="application/vnd.ms-excel.controlproperties+xml"/>
  <Override PartName="/xl/charts/chart42.xml" ContentType="application/vnd.openxmlformats-officedocument.drawingml.chart+xml"/>
  <Override PartName="/xl/drawings/drawing44.xml" ContentType="application/vnd.openxmlformats-officedocument.drawing+xml"/>
  <Override PartName="/xl/ctrlProps/ctrlProp44.xml" ContentType="application/vnd.ms-excel.controlproperties+xml"/>
  <Override PartName="/xl/charts/chart43.xml" ContentType="application/vnd.openxmlformats-officedocument.drawingml.chart+xml"/>
  <Override PartName="/xl/drawings/drawing45.xml" ContentType="application/vnd.openxmlformats-officedocument.drawing+xml"/>
  <Override PartName="/xl/ctrlProps/ctrlProp45.xml" ContentType="application/vnd.ms-excel.controlproperties+xml"/>
  <Override PartName="/xl/charts/chart44.xml" ContentType="application/vnd.openxmlformats-officedocument.drawingml.chart+xml"/>
  <Override PartName="/xl/drawings/drawing46.xml" ContentType="application/vnd.openxmlformats-officedocument.drawing+xml"/>
  <Override PartName="/xl/ctrlProps/ctrlProp46.xml" ContentType="application/vnd.ms-excel.controlproperties+xml"/>
  <Override PartName="/xl/charts/chart45.xml" ContentType="application/vnd.openxmlformats-officedocument.drawingml.chart+xml"/>
  <Override PartName="/xl/drawings/drawing47.xml" ContentType="application/vnd.openxmlformats-officedocument.drawing+xml"/>
  <Override PartName="/xl/ctrlProps/ctrlProp47.xml" ContentType="application/vnd.ms-excel.controlproperties+xml"/>
  <Override PartName="/xl/charts/chart46.xml" ContentType="application/vnd.openxmlformats-officedocument.drawingml.chart+xml"/>
  <Override PartName="/xl/drawings/drawing48.xml" ContentType="application/vnd.openxmlformats-officedocument.drawing+xml"/>
  <Override PartName="/xl/ctrlProps/ctrlProp48.xml" ContentType="application/vnd.ms-excel.controlproperties+xml"/>
  <Override PartName="/xl/charts/chart47.xml" ContentType="application/vnd.openxmlformats-officedocument.drawingml.chart+xml"/>
  <Override PartName="/xl/drawings/drawing49.xml" ContentType="application/vnd.openxmlformats-officedocument.drawing+xml"/>
  <Override PartName="/xl/ctrlProps/ctrlProp49.xml" ContentType="application/vnd.ms-excel.controlproperties+xml"/>
  <Override PartName="/xl/charts/chart48.xml" ContentType="application/vnd.openxmlformats-officedocument.drawingml.chart+xml"/>
  <Override PartName="/xl/drawings/drawing50.xml" ContentType="application/vnd.openxmlformats-officedocument.drawing+xml"/>
  <Override PartName="/xl/ctrlProps/ctrlProp50.xml" ContentType="application/vnd.ms-excel.controlproperties+xml"/>
  <Override PartName="/xl/charts/chart49.xml" ContentType="application/vnd.openxmlformats-officedocument.drawingml.chart+xml"/>
  <Override PartName="/xl/drawings/drawing51.xml" ContentType="application/vnd.openxmlformats-officedocument.drawing+xml"/>
  <Override PartName="/xl/ctrlProps/ctrlProp51.xml" ContentType="application/vnd.ms-excel.controlproperties+xml"/>
  <Override PartName="/xl/charts/chart50.xml" ContentType="application/vnd.openxmlformats-officedocument.drawingml.chart+xml"/>
  <Override PartName="/xl/drawings/drawing52.xml" ContentType="application/vnd.openxmlformats-officedocument.drawing+xml"/>
  <Override PartName="/xl/ctrlProps/ctrlProp52.xml" ContentType="application/vnd.ms-excel.controlproperties+xml"/>
  <Override PartName="/xl/charts/chart51.xml" ContentType="application/vnd.openxmlformats-officedocument.drawingml.chart+xml"/>
  <Override PartName="/xl/drawings/drawing53.xml" ContentType="application/vnd.openxmlformats-officedocument.drawing+xml"/>
  <Override PartName="/xl/ctrlProps/ctrlProp53.xml" ContentType="application/vnd.ms-excel.controlproperties+xml"/>
  <Override PartName="/xl/charts/chart52.xml" ContentType="application/vnd.openxmlformats-officedocument.drawingml.chart+xml"/>
  <Override PartName="/xl/drawings/drawing54.xml" ContentType="application/vnd.openxmlformats-officedocument.drawing+xml"/>
  <Override PartName="/xl/ctrlProps/ctrlProp54.xml" ContentType="application/vnd.ms-excel.controlproperties+xml"/>
  <Override PartName="/xl/charts/chart53.xml" ContentType="application/vnd.openxmlformats-officedocument.drawingml.chart+xml"/>
  <Override PartName="/xl/drawings/drawing55.xml" ContentType="application/vnd.openxmlformats-officedocument.drawing+xml"/>
  <Override PartName="/xl/ctrlProps/ctrlProp55.xml" ContentType="application/vnd.ms-excel.controlproperties+xml"/>
  <Override PartName="/xl/charts/chart54.xml" ContentType="application/vnd.openxmlformats-officedocument.drawingml.chart+xml"/>
  <Override PartName="/xl/drawings/drawing56.xml" ContentType="application/vnd.openxmlformats-officedocument.drawing+xml"/>
  <Override PartName="/xl/ctrlProps/ctrlProp56.xml" ContentType="application/vnd.ms-excel.controlproperties+xml"/>
  <Override PartName="/xl/charts/chart55.xml" ContentType="application/vnd.openxmlformats-officedocument.drawingml.chart+xml"/>
  <Override PartName="/xl/drawings/drawing57.xml" ContentType="application/vnd.openxmlformats-officedocument.drawing+xml"/>
  <Override PartName="/xl/ctrlProps/ctrlProp57.xml" ContentType="application/vnd.ms-excel.controlproperties+xml"/>
  <Override PartName="/xl/ctrlProps/ctrlProp58.xml" ContentType="application/vnd.ms-excel.controlproperties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drawings/drawing58.xml" ContentType="application/vnd.openxmlformats-officedocument.drawing+xml"/>
  <Override PartName="/xl/ctrlProps/ctrlProp59.xml" ContentType="application/vnd.ms-excel.controlproperties+xml"/>
  <Override PartName="/xl/charts/chart58.xml" ContentType="application/vnd.openxmlformats-officedocument.drawingml.chart+xml"/>
  <Override PartName="/xl/drawings/drawing59.xml" ContentType="application/vnd.openxmlformats-officedocument.drawing+xml"/>
  <Override PartName="/xl/ctrlProps/ctrlProp60.xml" ContentType="application/vnd.ms-excel.controlproperties+xml"/>
  <Override PartName="/xl/charts/chart59.xml" ContentType="application/vnd.openxmlformats-officedocument.drawingml.chart+xml"/>
  <Override PartName="/xl/drawings/drawing60.xml" ContentType="application/vnd.openxmlformats-officedocument.drawing+xml"/>
  <Override PartName="/xl/ctrlProps/ctrlProp61.xml" ContentType="application/vnd.ms-excel.controlproperties+xml"/>
  <Override PartName="/xl/charts/chart60.xml" ContentType="application/vnd.openxmlformats-officedocument.drawingml.chart+xml"/>
  <Override PartName="/xl/drawings/drawing61.xml" ContentType="application/vnd.openxmlformats-officedocument.drawing+xml"/>
  <Override PartName="/xl/ctrlProps/ctrlProp62.xml" ContentType="application/vnd.ms-excel.controlproperties+xml"/>
  <Override PartName="/xl/charts/chart61.xml" ContentType="application/vnd.openxmlformats-officedocument.drawingml.chart+xml"/>
  <Override PartName="/xl/drawings/drawing62.xml" ContentType="application/vnd.openxmlformats-officedocument.drawing+xml"/>
  <Override PartName="/xl/ctrlProps/ctrlProp63.xml" ContentType="application/vnd.ms-excel.controlproperties+xml"/>
  <Override PartName="/xl/charts/chart62.xml" ContentType="application/vnd.openxmlformats-officedocument.drawingml.chart+xml"/>
  <Override PartName="/xl/drawings/drawing63.xml" ContentType="application/vnd.openxmlformats-officedocument.drawing+xml"/>
  <Override PartName="/xl/ctrlProps/ctrlProp64.xml" ContentType="application/vnd.ms-excel.controlproperties+xml"/>
  <Override PartName="/xl/charts/chart63.xml" ContentType="application/vnd.openxmlformats-officedocument.drawingml.chart+xml"/>
  <Override PartName="/xl/drawings/drawing64.xml" ContentType="application/vnd.openxmlformats-officedocument.drawing+xml"/>
  <Override PartName="/xl/ctrlProps/ctrlProp65.xml" ContentType="application/vnd.ms-excel.controlproperties+xml"/>
  <Override PartName="/xl/charts/chart64.xml" ContentType="application/vnd.openxmlformats-officedocument.drawingml.chart+xml"/>
  <Override PartName="/xl/drawings/drawing65.xml" ContentType="application/vnd.openxmlformats-officedocument.drawing+xml"/>
  <Override PartName="/xl/ctrlProps/ctrlProp66.xml" ContentType="application/vnd.ms-excel.controlproperties+xml"/>
  <Override PartName="/xl/charts/chart65.xml" ContentType="application/vnd.openxmlformats-officedocument.drawingml.chart+xml"/>
  <Override PartName="/xl/drawings/drawing66.xml" ContentType="application/vnd.openxmlformats-officedocument.drawing+xml"/>
  <Override PartName="/xl/ctrlProps/ctrlProp67.xml" ContentType="application/vnd.ms-excel.controlproperties+xml"/>
  <Override PartName="/xl/charts/chart66.xml" ContentType="application/vnd.openxmlformats-officedocument.drawingml.chart+xml"/>
  <Override PartName="/xl/drawings/drawing67.xml" ContentType="application/vnd.openxmlformats-officedocument.drawing+xml"/>
  <Override PartName="/xl/ctrlProps/ctrlProp68.xml" ContentType="application/vnd.ms-excel.controlproperties+xml"/>
  <Override PartName="/xl/charts/chart67.xml" ContentType="application/vnd.openxmlformats-officedocument.drawingml.chart+xml"/>
  <Override PartName="/xl/drawings/drawing68.xml" ContentType="application/vnd.openxmlformats-officedocument.drawing+xml"/>
  <Override PartName="/xl/ctrlProps/ctrlProp69.xml" ContentType="application/vnd.ms-excel.controlproperties+xml"/>
  <Override PartName="/xl/charts/chart68.xml" ContentType="application/vnd.openxmlformats-officedocument.drawingml.chart+xml"/>
  <Override PartName="/xl/drawings/drawing69.xml" ContentType="application/vnd.openxmlformats-officedocument.drawing+xml"/>
  <Override PartName="/xl/ctrlProps/ctrlProp70.xml" ContentType="application/vnd.ms-excel.controlproperties+xml"/>
  <Override PartName="/xl/charts/chart69.xml" ContentType="application/vnd.openxmlformats-officedocument.drawingml.chart+xml"/>
  <Override PartName="/xl/drawings/drawing70.xml" ContentType="application/vnd.openxmlformats-officedocument.drawing+xml"/>
  <Override PartName="/xl/ctrlProps/ctrlProp71.xml" ContentType="application/vnd.ms-excel.controlproperties+xml"/>
  <Override PartName="/xl/charts/chart70.xml" ContentType="application/vnd.openxmlformats-officedocument.drawingml.chart+xml"/>
  <Override PartName="/xl/drawings/drawing71.xml" ContentType="application/vnd.openxmlformats-officedocument.drawing+xml"/>
  <Override PartName="/xl/ctrlProps/ctrlProp72.xml" ContentType="application/vnd.ms-excel.controlproperties+xml"/>
  <Override PartName="/xl/charts/chart7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icta\Desktop\programs\NWS CODEX\NAIVAWASCO\"/>
    </mc:Choice>
  </mc:AlternateContent>
  <workbookProtection workbookAlgorithmName="SHA-512" workbookHashValue="6o/zZSQuERXeAPWvsMu3prEds507cFyRKoGJ3UbGQY+rZmHSsu3jiLV2igGjtV0e1q8LaaVvL/jUP4lxSJ9v4g==" workbookSaltValue="Ln0NZnuEK+xBnJhzZBRwSA==" workbookSpinCount="100000" lockStructure="1"/>
  <bookViews>
    <workbookView xWindow="0" yWindow="0" windowWidth="30720" windowHeight="13410" tabRatio="961"/>
  </bookViews>
  <sheets>
    <sheet name="Distribution Dashboard" sheetId="102" r:id="rId1"/>
    <sheet name="Budget2526" sheetId="233" r:id="rId2"/>
    <sheet name="Actuals2526" sheetId="304" r:id="rId3"/>
    <sheet name="Actuals2425" sheetId="288" state="hidden" r:id="rId4"/>
    <sheet name="Actual2223" sheetId="272" state="hidden" r:id="rId5"/>
    <sheet name="Actual2122" sheetId="234" state="hidden" r:id="rId6"/>
    <sheet name="Actual2021" sheetId="235" state="hidden" r:id="rId7"/>
    <sheet name="KPI A(1)" sheetId="301" r:id="rId8"/>
    <sheet name="KPI A" sheetId="298" r:id="rId9"/>
    <sheet name="KPI 100" sheetId="197" r:id="rId10"/>
    <sheet name="KPI B(2)" sheetId="302" r:id="rId11"/>
    <sheet name="KPI B" sheetId="299" r:id="rId12"/>
    <sheet name="KPI 128a" sheetId="207" r:id="rId13"/>
    <sheet name="KPI C(3)" sheetId="303" r:id="rId14"/>
    <sheet name="KPI C" sheetId="300" r:id="rId15"/>
    <sheet name="KPI 128" sheetId="142" r:id="rId16"/>
    <sheet name="KPI RA" sheetId="215" r:id="rId17"/>
    <sheet name="KPI RA2" sheetId="216" r:id="rId18"/>
    <sheet name="KPI RA3" sheetId="217" r:id="rId19"/>
    <sheet name="KPI RA4" sheetId="218" r:id="rId20"/>
    <sheet name="KPI RA6 (B)" sheetId="236" r:id="rId21"/>
    <sheet name="KPI RB2 (2)" sheetId="285" r:id="rId22"/>
    <sheet name="KPI RB2" sheetId="222" r:id="rId23"/>
    <sheet name="KPI RB3 (2)" sheetId="283" r:id="rId24"/>
    <sheet name="KPI RB4" sheetId="224" r:id="rId25"/>
    <sheet name="KPI RA6 (B) (2)" sheetId="282" r:id="rId26"/>
    <sheet name="KPI RB2 (3)" sheetId="286" r:id="rId27"/>
    <sheet name="KPI RB3 (3)" sheetId="284" r:id="rId28"/>
    <sheet name="KPI RB4 (2)" sheetId="287" r:id="rId29"/>
    <sheet name="KPI 101" sheetId="113" r:id="rId30"/>
    <sheet name="KPI 108" sheetId="120" r:id="rId31"/>
    <sheet name="KPI 122" sheetId="135" r:id="rId32"/>
    <sheet name="KPI 102" sheetId="114" r:id="rId33"/>
    <sheet name="KPI 109" sheetId="121" r:id="rId34"/>
    <sheet name="KPI 123" sheetId="136" r:id="rId35"/>
    <sheet name="KPI 104" sheetId="116" r:id="rId36"/>
    <sheet name="KPI 111" sheetId="123" r:id="rId37"/>
    <sheet name="KPI 125" sheetId="139" r:id="rId38"/>
    <sheet name="KPI 103" sheetId="115" r:id="rId39"/>
    <sheet name="KPI 110" sheetId="122" r:id="rId40"/>
    <sheet name="KPI 124" sheetId="138" r:id="rId41"/>
    <sheet name="KPI 105B" sheetId="295" r:id="rId42"/>
    <sheet name="KPI 105" sheetId="117" r:id="rId43"/>
    <sheet name="KPI 112B" sheetId="296" r:id="rId44"/>
    <sheet name="KPI 112" sheetId="124" r:id="rId45"/>
    <sheet name="KPI 126B" sheetId="297" r:id="rId46"/>
    <sheet name="KPI 126" sheetId="140" r:id="rId47"/>
    <sheet name="KPI 106" sheetId="118" r:id="rId48"/>
    <sheet name="KPI 113" sheetId="126" r:id="rId49"/>
    <sheet name="KPI 127" sheetId="141" r:id="rId50"/>
    <sheet name="KPI 103 (3)" sheetId="173" r:id="rId51"/>
    <sheet name="KPI 110 (3)" sheetId="176" r:id="rId52"/>
    <sheet name="KPI 124 (3)" sheetId="182" r:id="rId53"/>
    <sheet name="KPI 103 (2)" sheetId="172" r:id="rId54"/>
    <sheet name="KPI 110 (2)" sheetId="175" r:id="rId55"/>
    <sheet name="KPI 124 (2)" sheetId="181" r:id="rId56"/>
    <sheet name="KPI 103 (4)" sheetId="174" r:id="rId57"/>
    <sheet name="KPI 110 (4)" sheetId="177" r:id="rId58"/>
    <sheet name="KPI 124 (4)" sheetId="183" r:id="rId59"/>
    <sheet name="KPI 103 (5)" sheetId="212" r:id="rId60"/>
    <sheet name="KPI 103 (6)" sheetId="289" r:id="rId61"/>
    <sheet name="KPI 103(7)" sheetId="292" r:id="rId62"/>
    <sheet name="KPI 110(7)" sheetId="293" r:id="rId63"/>
    <sheet name="KPI 110 (6)" sheetId="290" r:id="rId64"/>
    <sheet name="KPI 110 (5)" sheetId="213" r:id="rId65"/>
    <sheet name="KPI 124 (5)" sheetId="214" r:id="rId66"/>
    <sheet name="KPI 124(7)" sheetId="294" r:id="rId67"/>
    <sheet name="KPI 124 (6)" sheetId="291" r:id="rId68"/>
    <sheet name="KPI Y" sheetId="273" r:id="rId69"/>
    <sheet name="KPI z" sheetId="274" r:id="rId70"/>
    <sheet name="KPI k" sheetId="275" r:id="rId71"/>
    <sheet name="KPI Y (2)" sheetId="276" r:id="rId72"/>
    <sheet name="KPI z (2)" sheetId="277" r:id="rId73"/>
    <sheet name="KPI k (2)" sheetId="278" r:id="rId74"/>
    <sheet name="KPI Y (3)" sheetId="279" r:id="rId75"/>
    <sheet name="KPI z (3)" sheetId="280" r:id="rId76"/>
    <sheet name="KPI k (3)" sheetId="281" r:id="rId77"/>
    <sheet name="General" sheetId="12" state="hidden" r:id="rId78"/>
  </sheets>
  <definedNames>
    <definedName name="Actual_month">General!$B$3</definedName>
    <definedName name="_xlnm.Print_Area" localSheetId="0">'Distribution Dashboard'!$B$2:$O$110</definedName>
    <definedName name="_xlnm.Print_Titles" localSheetId="0">'Distribution Dashboard'!$1:$4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" i="177" l="1" a="1"/>
  <c r="I1" i="177" s="1"/>
  <c r="I1" i="174" a="1"/>
  <c r="I1" i="174" s="1"/>
  <c r="I1" i="175" a="1"/>
  <c r="I1" i="175" s="1"/>
  <c r="I1" i="172" a="1"/>
  <c r="I1" i="172" s="1"/>
  <c r="I1" i="176" a="1"/>
  <c r="I1" i="176" s="1"/>
  <c r="I1" i="173" a="1"/>
  <c r="I1" i="173" s="1"/>
  <c r="I1" i="126" a="1"/>
  <c r="I1" i="126" s="1"/>
  <c r="I1" i="118" a="1"/>
  <c r="I1" i="118" s="1"/>
  <c r="I1" i="124" a="1"/>
  <c r="I1" i="124" s="1"/>
  <c r="I1" i="296" a="1"/>
  <c r="I1" i="296" s="1"/>
  <c r="I1" i="117" a="1"/>
  <c r="I1" i="117" s="1"/>
  <c r="I1" i="295" a="1"/>
  <c r="I1" i="295" s="1"/>
  <c r="I1" i="122" a="1"/>
  <c r="I1" i="122" s="1"/>
  <c r="I1" i="115" a="1"/>
  <c r="I1" i="115" s="1"/>
  <c r="I1" i="123" a="1"/>
  <c r="I1" i="123" s="1"/>
  <c r="I1" i="116" a="1"/>
  <c r="I1" i="116" s="1"/>
  <c r="I1" i="121" a="1"/>
  <c r="I1" i="121" s="1"/>
  <c r="I1" i="120" a="1"/>
  <c r="I1" i="120" s="1"/>
  <c r="I1" i="113" a="1"/>
  <c r="I1" i="113" s="1"/>
  <c r="I1" i="287" a="1"/>
  <c r="I1" i="287" s="1"/>
  <c r="J79" i="304"/>
  <c r="J97" i="304"/>
  <c r="I79" i="304" l="1"/>
  <c r="I97" i="304"/>
  <c r="H79" i="304" l="1"/>
  <c r="H97" i="304"/>
  <c r="G69" i="304" l="1"/>
  <c r="G51" i="304"/>
  <c r="G41" i="304" l="1"/>
  <c r="G36" i="304"/>
  <c r="G27" i="304"/>
  <c r="F79" i="304" l="1"/>
  <c r="F97" i="304"/>
  <c r="E79" i="304" l="1"/>
  <c r="E97" i="304"/>
  <c r="F20" i="293" l="1"/>
  <c r="G20" i="293"/>
  <c r="H20" i="293"/>
  <c r="I20" i="293"/>
  <c r="J20" i="293"/>
  <c r="K20" i="293"/>
  <c r="L20" i="293"/>
  <c r="M20" i="293"/>
  <c r="N20" i="293"/>
  <c r="O20" i="293"/>
  <c r="P20" i="293"/>
  <c r="E20" i="293"/>
  <c r="D79" i="304" l="1"/>
  <c r="D97" i="304"/>
  <c r="F23" i="290" l="1"/>
  <c r="G23" i="290"/>
  <c r="H23" i="290"/>
  <c r="I23" i="290"/>
  <c r="J23" i="290"/>
  <c r="K23" i="290"/>
  <c r="L23" i="290"/>
  <c r="M23" i="290"/>
  <c r="N23" i="290"/>
  <c r="O23" i="290"/>
  <c r="P23" i="290"/>
  <c r="E23" i="290"/>
  <c r="F20" i="290"/>
  <c r="G20" i="290"/>
  <c r="H20" i="290"/>
  <c r="I20" i="290"/>
  <c r="J20" i="290"/>
  <c r="K20" i="290"/>
  <c r="L20" i="290"/>
  <c r="M20" i="290"/>
  <c r="N20" i="290"/>
  <c r="O20" i="290"/>
  <c r="P20" i="290"/>
  <c r="E20" i="290"/>
  <c r="F23" i="289"/>
  <c r="G23" i="289"/>
  <c r="H23" i="289"/>
  <c r="I23" i="289"/>
  <c r="J23" i="289"/>
  <c r="K23" i="289"/>
  <c r="L23" i="289"/>
  <c r="M23" i="289"/>
  <c r="N23" i="289"/>
  <c r="O23" i="289"/>
  <c r="P23" i="289"/>
  <c r="E23" i="289"/>
  <c r="F20" i="289"/>
  <c r="G20" i="289"/>
  <c r="H20" i="289"/>
  <c r="I20" i="289"/>
  <c r="J20" i="289"/>
  <c r="K20" i="289"/>
  <c r="L20" i="289"/>
  <c r="M20" i="289"/>
  <c r="N20" i="289"/>
  <c r="O20" i="289"/>
  <c r="P20" i="289"/>
  <c r="E20" i="289"/>
  <c r="F23" i="293"/>
  <c r="G23" i="293"/>
  <c r="H23" i="293"/>
  <c r="I23" i="293"/>
  <c r="J23" i="293"/>
  <c r="K23" i="293"/>
  <c r="L23" i="293"/>
  <c r="M23" i="293"/>
  <c r="N23" i="293"/>
  <c r="O23" i="293"/>
  <c r="P23" i="293"/>
  <c r="E23" i="293"/>
  <c r="F23" i="292"/>
  <c r="G23" i="292"/>
  <c r="H23" i="292"/>
  <c r="I23" i="292"/>
  <c r="J23" i="292"/>
  <c r="K23" i="292"/>
  <c r="L23" i="292"/>
  <c r="M23" i="292"/>
  <c r="N23" i="292"/>
  <c r="O23" i="292"/>
  <c r="P23" i="292"/>
  <c r="E23" i="292"/>
  <c r="P20" i="292"/>
  <c r="F20" i="292"/>
  <c r="G20" i="292"/>
  <c r="H20" i="292"/>
  <c r="I20" i="292"/>
  <c r="J20" i="292"/>
  <c r="K20" i="292"/>
  <c r="L20" i="292"/>
  <c r="M20" i="292"/>
  <c r="N20" i="292"/>
  <c r="O20" i="292"/>
  <c r="E20" i="292"/>
  <c r="F23" i="213"/>
  <c r="G23" i="213"/>
  <c r="H23" i="213"/>
  <c r="I23" i="213"/>
  <c r="J23" i="213"/>
  <c r="K23" i="213"/>
  <c r="L23" i="213"/>
  <c r="M23" i="213"/>
  <c r="N23" i="213"/>
  <c r="O23" i="213"/>
  <c r="P23" i="213"/>
  <c r="F20" i="213"/>
  <c r="G20" i="213"/>
  <c r="H20" i="213"/>
  <c r="I20" i="213"/>
  <c r="J20" i="213"/>
  <c r="K20" i="213"/>
  <c r="L20" i="213"/>
  <c r="M20" i="213"/>
  <c r="N20" i="213"/>
  <c r="O20" i="213"/>
  <c r="P20" i="213"/>
  <c r="E20" i="213"/>
  <c r="F23" i="212"/>
  <c r="G23" i="212"/>
  <c r="H23" i="212"/>
  <c r="I23" i="212"/>
  <c r="J23" i="212"/>
  <c r="K23" i="212"/>
  <c r="L23" i="212"/>
  <c r="M23" i="212"/>
  <c r="N23" i="212"/>
  <c r="O23" i="212"/>
  <c r="P23" i="212"/>
  <c r="E23" i="212"/>
  <c r="F20" i="212"/>
  <c r="G20" i="212"/>
  <c r="H20" i="212"/>
  <c r="I20" i="212"/>
  <c r="J20" i="212"/>
  <c r="K20" i="212"/>
  <c r="L20" i="212"/>
  <c r="M20" i="212"/>
  <c r="N20" i="212"/>
  <c r="O20" i="212"/>
  <c r="P20" i="212"/>
  <c r="E20" i="212"/>
  <c r="F23" i="177"/>
  <c r="G23" i="177"/>
  <c r="H23" i="177"/>
  <c r="I23" i="177"/>
  <c r="J23" i="177"/>
  <c r="K23" i="177"/>
  <c r="L23" i="177"/>
  <c r="M23" i="177"/>
  <c r="N23" i="177"/>
  <c r="O23" i="177"/>
  <c r="P23" i="177"/>
  <c r="E23" i="177"/>
  <c r="F20" i="177"/>
  <c r="G20" i="177"/>
  <c r="H20" i="177"/>
  <c r="I20" i="177"/>
  <c r="J20" i="177"/>
  <c r="K20" i="177"/>
  <c r="L20" i="177"/>
  <c r="M20" i="177"/>
  <c r="N20" i="177"/>
  <c r="O20" i="177"/>
  <c r="P20" i="177"/>
  <c r="E20" i="177"/>
  <c r="F23" i="174"/>
  <c r="P23" i="174"/>
  <c r="F20" i="174"/>
  <c r="G20" i="174"/>
  <c r="H20" i="174"/>
  <c r="I20" i="174"/>
  <c r="J20" i="174"/>
  <c r="K20" i="174"/>
  <c r="L20" i="174"/>
  <c r="M20" i="174"/>
  <c r="N20" i="174"/>
  <c r="O20" i="174"/>
  <c r="P20" i="174"/>
  <c r="E20" i="174"/>
  <c r="F23" i="175"/>
  <c r="G23" i="175"/>
  <c r="H23" i="175"/>
  <c r="I23" i="175"/>
  <c r="J23" i="175"/>
  <c r="K23" i="175"/>
  <c r="L23" i="175"/>
  <c r="M23" i="175"/>
  <c r="N23" i="175"/>
  <c r="O23" i="175"/>
  <c r="P23" i="175"/>
  <c r="E23" i="175"/>
  <c r="F20" i="175"/>
  <c r="G20" i="175"/>
  <c r="H20" i="175"/>
  <c r="I20" i="175"/>
  <c r="J20" i="175"/>
  <c r="K20" i="175"/>
  <c r="L20" i="175"/>
  <c r="M20" i="175"/>
  <c r="N20" i="175"/>
  <c r="O20" i="175"/>
  <c r="P20" i="175"/>
  <c r="E20" i="175"/>
  <c r="F23" i="172"/>
  <c r="G23" i="172"/>
  <c r="H23" i="172"/>
  <c r="I23" i="172"/>
  <c r="J23" i="172"/>
  <c r="K23" i="172"/>
  <c r="L23" i="172"/>
  <c r="M23" i="172"/>
  <c r="N23" i="172"/>
  <c r="O23" i="172"/>
  <c r="P23" i="172"/>
  <c r="E23" i="172"/>
  <c r="F20" i="172"/>
  <c r="G20" i="172"/>
  <c r="H20" i="172"/>
  <c r="I20" i="172"/>
  <c r="J20" i="172"/>
  <c r="K20" i="172"/>
  <c r="L20" i="172"/>
  <c r="M20" i="172"/>
  <c r="N20" i="172"/>
  <c r="O20" i="172"/>
  <c r="P20" i="172"/>
  <c r="E20" i="172"/>
  <c r="F23" i="176"/>
  <c r="G23" i="176"/>
  <c r="H23" i="176"/>
  <c r="I23" i="176"/>
  <c r="J23" i="176"/>
  <c r="K23" i="176"/>
  <c r="L23" i="176"/>
  <c r="M23" i="176"/>
  <c r="N23" i="176"/>
  <c r="O23" i="176"/>
  <c r="P23" i="176"/>
  <c r="E23" i="176"/>
  <c r="F20" i="176"/>
  <c r="G20" i="176"/>
  <c r="H20" i="176"/>
  <c r="I20" i="176"/>
  <c r="J20" i="176"/>
  <c r="K20" i="176"/>
  <c r="L20" i="176"/>
  <c r="M20" i="176"/>
  <c r="N20" i="176"/>
  <c r="O20" i="176"/>
  <c r="P20" i="176"/>
  <c r="E20" i="176"/>
  <c r="F23" i="173"/>
  <c r="G23" i="173"/>
  <c r="H23" i="173"/>
  <c r="I23" i="173"/>
  <c r="J23" i="173"/>
  <c r="K23" i="173"/>
  <c r="L23" i="173"/>
  <c r="M23" i="173"/>
  <c r="N23" i="173"/>
  <c r="O23" i="173"/>
  <c r="P23" i="173"/>
  <c r="E23" i="173"/>
  <c r="F20" i="173"/>
  <c r="G20" i="173"/>
  <c r="H20" i="173"/>
  <c r="I20" i="173"/>
  <c r="J20" i="173"/>
  <c r="K20" i="173"/>
  <c r="L20" i="173"/>
  <c r="M20" i="173"/>
  <c r="N20" i="173"/>
  <c r="O20" i="173"/>
  <c r="P20" i="173"/>
  <c r="E20" i="173"/>
  <c r="F23" i="126"/>
  <c r="G23" i="126"/>
  <c r="H23" i="126"/>
  <c r="I23" i="126"/>
  <c r="J23" i="126"/>
  <c r="K23" i="126"/>
  <c r="L23" i="126"/>
  <c r="M23" i="126"/>
  <c r="N23" i="126"/>
  <c r="O23" i="126"/>
  <c r="P23" i="126"/>
  <c r="E23" i="126"/>
  <c r="F20" i="126"/>
  <c r="G20" i="126"/>
  <c r="H20" i="126"/>
  <c r="I20" i="126"/>
  <c r="J20" i="126"/>
  <c r="K20" i="126"/>
  <c r="L20" i="126"/>
  <c r="M20" i="126"/>
  <c r="N20" i="126"/>
  <c r="O20" i="126"/>
  <c r="P20" i="126"/>
  <c r="E20" i="126"/>
  <c r="F23" i="118"/>
  <c r="P23" i="118"/>
  <c r="E23" i="118"/>
  <c r="F20" i="118"/>
  <c r="G20" i="118"/>
  <c r="H20" i="118"/>
  <c r="I20" i="118"/>
  <c r="J20" i="118"/>
  <c r="K20" i="118"/>
  <c r="L20" i="118"/>
  <c r="M20" i="118"/>
  <c r="N20" i="118"/>
  <c r="O20" i="118"/>
  <c r="P20" i="118"/>
  <c r="E20" i="118"/>
  <c r="F23" i="296"/>
  <c r="G23" i="296"/>
  <c r="H23" i="296"/>
  <c r="I23" i="296"/>
  <c r="J23" i="296"/>
  <c r="K23" i="296"/>
  <c r="L23" i="296"/>
  <c r="M23" i="296"/>
  <c r="N23" i="296"/>
  <c r="O23" i="296"/>
  <c r="P23" i="296"/>
  <c r="E23" i="296"/>
  <c r="P20" i="296"/>
  <c r="F20" i="296"/>
  <c r="G20" i="296"/>
  <c r="H20" i="296"/>
  <c r="I20" i="296"/>
  <c r="J20" i="296"/>
  <c r="K20" i="296"/>
  <c r="L20" i="296"/>
  <c r="M20" i="296"/>
  <c r="N20" i="296"/>
  <c r="O20" i="296"/>
  <c r="E20" i="296"/>
  <c r="F23" i="295"/>
  <c r="G23" i="295"/>
  <c r="H23" i="295"/>
  <c r="I23" i="295"/>
  <c r="J23" i="295"/>
  <c r="K23" i="295"/>
  <c r="L23" i="295"/>
  <c r="M23" i="295"/>
  <c r="N23" i="295"/>
  <c r="O23" i="295"/>
  <c r="P23" i="295"/>
  <c r="E23" i="295"/>
  <c r="F20" i="295"/>
  <c r="G20" i="295"/>
  <c r="H20" i="295"/>
  <c r="I20" i="295"/>
  <c r="J20" i="295"/>
  <c r="K20" i="295"/>
  <c r="L20" i="295"/>
  <c r="M20" i="295"/>
  <c r="N20" i="295"/>
  <c r="O20" i="295"/>
  <c r="P20" i="295"/>
  <c r="E20" i="295"/>
  <c r="F23" i="124"/>
  <c r="G23" i="124"/>
  <c r="H23" i="124"/>
  <c r="I23" i="124"/>
  <c r="J23" i="124"/>
  <c r="K23" i="124"/>
  <c r="L23" i="124"/>
  <c r="M23" i="124"/>
  <c r="N23" i="124"/>
  <c r="O23" i="124"/>
  <c r="P23" i="124"/>
  <c r="E23" i="124"/>
  <c r="F20" i="124"/>
  <c r="G20" i="124"/>
  <c r="H20" i="124"/>
  <c r="I20" i="124"/>
  <c r="J20" i="124"/>
  <c r="K20" i="124"/>
  <c r="L20" i="124"/>
  <c r="M20" i="124"/>
  <c r="N20" i="124"/>
  <c r="O20" i="124"/>
  <c r="P20" i="124"/>
  <c r="E20" i="124"/>
  <c r="F23" i="117"/>
  <c r="G23" i="117"/>
  <c r="H23" i="117"/>
  <c r="I23" i="117"/>
  <c r="J23" i="117"/>
  <c r="K23" i="117"/>
  <c r="L23" i="117"/>
  <c r="M23" i="117"/>
  <c r="N23" i="117"/>
  <c r="O23" i="117"/>
  <c r="P23" i="117"/>
  <c r="E23" i="117"/>
  <c r="F20" i="117"/>
  <c r="G20" i="117"/>
  <c r="H20" i="117"/>
  <c r="I20" i="117"/>
  <c r="J20" i="117"/>
  <c r="K20" i="117"/>
  <c r="L20" i="117"/>
  <c r="M20" i="117"/>
  <c r="N20" i="117"/>
  <c r="O20" i="117"/>
  <c r="P20" i="117"/>
  <c r="E20" i="117"/>
  <c r="F23" i="122"/>
  <c r="G23" i="122"/>
  <c r="H23" i="122"/>
  <c r="I23" i="122"/>
  <c r="J23" i="122"/>
  <c r="K23" i="122"/>
  <c r="L23" i="122"/>
  <c r="M23" i="122"/>
  <c r="N23" i="122"/>
  <c r="O23" i="122"/>
  <c r="P23" i="122"/>
  <c r="E23" i="122"/>
  <c r="F20" i="122"/>
  <c r="G20" i="122"/>
  <c r="H20" i="122"/>
  <c r="I20" i="122"/>
  <c r="J20" i="122"/>
  <c r="K20" i="122"/>
  <c r="L20" i="122"/>
  <c r="M20" i="122"/>
  <c r="N20" i="122"/>
  <c r="O20" i="122"/>
  <c r="P20" i="122"/>
  <c r="E20" i="122"/>
  <c r="F23" i="115"/>
  <c r="G23" i="115"/>
  <c r="H23" i="115"/>
  <c r="I23" i="115"/>
  <c r="J23" i="115"/>
  <c r="K23" i="115"/>
  <c r="L23" i="115"/>
  <c r="M23" i="115"/>
  <c r="N23" i="115"/>
  <c r="O23" i="115"/>
  <c r="P23" i="115"/>
  <c r="E23" i="115"/>
  <c r="F20" i="115"/>
  <c r="G20" i="115"/>
  <c r="H20" i="115"/>
  <c r="I20" i="115"/>
  <c r="J20" i="115"/>
  <c r="K20" i="115"/>
  <c r="L20" i="115"/>
  <c r="M20" i="115"/>
  <c r="N20" i="115"/>
  <c r="O20" i="115"/>
  <c r="P20" i="115"/>
  <c r="E20" i="115"/>
  <c r="F23" i="123"/>
  <c r="G23" i="123"/>
  <c r="H23" i="123"/>
  <c r="I23" i="123"/>
  <c r="J23" i="123"/>
  <c r="K23" i="123"/>
  <c r="M23" i="123"/>
  <c r="N23" i="123"/>
  <c r="O23" i="123"/>
  <c r="P23" i="123"/>
  <c r="E23" i="123"/>
  <c r="F20" i="123"/>
  <c r="G20" i="123"/>
  <c r="H20" i="123"/>
  <c r="I20" i="123"/>
  <c r="J20" i="123"/>
  <c r="K20" i="123"/>
  <c r="L20" i="123"/>
  <c r="M20" i="123"/>
  <c r="N20" i="123"/>
  <c r="O20" i="123"/>
  <c r="P20" i="123"/>
  <c r="E20" i="123"/>
  <c r="F23" i="116"/>
  <c r="G23" i="116"/>
  <c r="H23" i="116"/>
  <c r="I23" i="116"/>
  <c r="J23" i="116"/>
  <c r="K23" i="116"/>
  <c r="L23" i="116"/>
  <c r="M23" i="116"/>
  <c r="N23" i="116"/>
  <c r="O23" i="116"/>
  <c r="P23" i="116"/>
  <c r="E23" i="116"/>
  <c r="F20" i="116"/>
  <c r="G20" i="116"/>
  <c r="H20" i="116"/>
  <c r="I20" i="116"/>
  <c r="J20" i="116"/>
  <c r="K20" i="116"/>
  <c r="L20" i="116"/>
  <c r="M20" i="116"/>
  <c r="N20" i="116"/>
  <c r="O20" i="116"/>
  <c r="P20" i="116"/>
  <c r="E20" i="116"/>
  <c r="F23" i="121"/>
  <c r="G23" i="121"/>
  <c r="H23" i="121"/>
  <c r="I23" i="121"/>
  <c r="J23" i="121"/>
  <c r="K23" i="121"/>
  <c r="L23" i="121"/>
  <c r="M23" i="121"/>
  <c r="N23" i="121"/>
  <c r="O23" i="121"/>
  <c r="P23" i="121"/>
  <c r="E23" i="121"/>
  <c r="F20" i="121"/>
  <c r="G20" i="121"/>
  <c r="H20" i="121"/>
  <c r="I20" i="121"/>
  <c r="J20" i="121"/>
  <c r="K20" i="121"/>
  <c r="L20" i="121"/>
  <c r="M20" i="121"/>
  <c r="N20" i="121"/>
  <c r="O20" i="121"/>
  <c r="P20" i="121"/>
  <c r="E20" i="121"/>
  <c r="F23" i="114"/>
  <c r="G23" i="114"/>
  <c r="H23" i="114"/>
  <c r="I23" i="114"/>
  <c r="J23" i="114"/>
  <c r="K23" i="114"/>
  <c r="L23" i="114"/>
  <c r="M23" i="114"/>
  <c r="N23" i="114"/>
  <c r="O23" i="114"/>
  <c r="P23" i="114"/>
  <c r="E23" i="114"/>
  <c r="F20" i="114"/>
  <c r="G20" i="114"/>
  <c r="H20" i="114"/>
  <c r="I20" i="114"/>
  <c r="J20" i="114"/>
  <c r="K20" i="114"/>
  <c r="L20" i="114"/>
  <c r="M20" i="114"/>
  <c r="N20" i="114"/>
  <c r="O20" i="114"/>
  <c r="P20" i="114"/>
  <c r="E20" i="114"/>
  <c r="F23" i="120"/>
  <c r="G23" i="120"/>
  <c r="H23" i="120"/>
  <c r="I23" i="120"/>
  <c r="J23" i="120"/>
  <c r="K23" i="120"/>
  <c r="L23" i="120"/>
  <c r="M23" i="120"/>
  <c r="N23" i="120"/>
  <c r="O23" i="120"/>
  <c r="P23" i="120"/>
  <c r="E23" i="120"/>
  <c r="F20" i="120"/>
  <c r="G20" i="120"/>
  <c r="H20" i="120"/>
  <c r="I20" i="120"/>
  <c r="J20" i="120"/>
  <c r="K20" i="120"/>
  <c r="L20" i="120"/>
  <c r="M20" i="120"/>
  <c r="N20" i="120"/>
  <c r="O20" i="120"/>
  <c r="P20" i="120"/>
  <c r="E20" i="120"/>
  <c r="F23" i="113"/>
  <c r="G23" i="113"/>
  <c r="H23" i="113"/>
  <c r="I23" i="113"/>
  <c r="J23" i="113"/>
  <c r="K23" i="113"/>
  <c r="L23" i="113"/>
  <c r="M23" i="113"/>
  <c r="N23" i="113"/>
  <c r="O23" i="113"/>
  <c r="P23" i="113"/>
  <c r="E23" i="113"/>
  <c r="F20" i="113"/>
  <c r="G20" i="113"/>
  <c r="H20" i="113"/>
  <c r="I20" i="113"/>
  <c r="J20" i="113"/>
  <c r="K20" i="113"/>
  <c r="L20" i="113"/>
  <c r="M20" i="113"/>
  <c r="N20" i="113"/>
  <c r="O20" i="113"/>
  <c r="P20" i="113"/>
  <c r="E20" i="113"/>
  <c r="Q20" i="283"/>
  <c r="Q20" i="215"/>
  <c r="F23" i="298" l="1"/>
  <c r="G23" i="298"/>
  <c r="H23" i="298"/>
  <c r="I23" i="298"/>
  <c r="J23" i="298"/>
  <c r="K23" i="298"/>
  <c r="L23" i="298"/>
  <c r="M23" i="298"/>
  <c r="N23" i="298"/>
  <c r="O23" i="298"/>
  <c r="P23" i="298"/>
  <c r="E23" i="298"/>
  <c r="E27" i="233"/>
  <c r="F27" i="233"/>
  <c r="G27" i="233"/>
  <c r="H27" i="233"/>
  <c r="I27" i="233"/>
  <c r="J27" i="233"/>
  <c r="K27" i="233"/>
  <c r="L27" i="233"/>
  <c r="M27" i="233"/>
  <c r="N27" i="233"/>
  <c r="O27" i="233"/>
  <c r="D27" i="233"/>
  <c r="E127" i="233"/>
  <c r="F127" i="233"/>
  <c r="G127" i="233"/>
  <c r="H127" i="233"/>
  <c r="I127" i="233"/>
  <c r="J127" i="233"/>
  <c r="K127" i="233"/>
  <c r="L127" i="233"/>
  <c r="M127" i="233"/>
  <c r="N127" i="233"/>
  <c r="O127" i="233"/>
  <c r="D127" i="233"/>
  <c r="D47" i="233"/>
  <c r="E26" i="233" l="1"/>
  <c r="F26" i="233"/>
  <c r="G26" i="233"/>
  <c r="H26" i="233"/>
  <c r="I26" i="233"/>
  <c r="J26" i="233"/>
  <c r="K26" i="233"/>
  <c r="L26" i="233"/>
  <c r="M26" i="233"/>
  <c r="N26" i="233"/>
  <c r="O26" i="233"/>
  <c r="D26" i="233"/>
  <c r="E35" i="233"/>
  <c r="F35" i="233"/>
  <c r="G35" i="233"/>
  <c r="H35" i="233"/>
  <c r="I35" i="233"/>
  <c r="J35" i="233"/>
  <c r="K35" i="233"/>
  <c r="L35" i="233"/>
  <c r="M35" i="233"/>
  <c r="N35" i="233"/>
  <c r="O35" i="233"/>
  <c r="D35" i="233"/>
  <c r="J36" i="233"/>
  <c r="K36" i="233"/>
  <c r="L36" i="233"/>
  <c r="M36" i="233"/>
  <c r="N36" i="233"/>
  <c r="O36" i="233"/>
  <c r="E36" i="233"/>
  <c r="F36" i="233"/>
  <c r="G36" i="233"/>
  <c r="H36" i="233"/>
  <c r="I36" i="233"/>
  <c r="D36" i="233"/>
  <c r="E40" i="233"/>
  <c r="F40" i="233"/>
  <c r="G40" i="233"/>
  <c r="H40" i="233"/>
  <c r="I40" i="233"/>
  <c r="J40" i="233"/>
  <c r="K40" i="233"/>
  <c r="L40" i="233"/>
  <c r="M40" i="233"/>
  <c r="N40" i="233"/>
  <c r="O40" i="233"/>
  <c r="E41" i="233"/>
  <c r="F41" i="233"/>
  <c r="G41" i="233"/>
  <c r="G42" i="233" s="1"/>
  <c r="H41" i="233"/>
  <c r="I41" i="233"/>
  <c r="J41" i="233"/>
  <c r="K41" i="233"/>
  <c r="L41" i="233"/>
  <c r="M41" i="233"/>
  <c r="N41" i="233"/>
  <c r="O41" i="233"/>
  <c r="O42" i="233" s="1"/>
  <c r="D41" i="233"/>
  <c r="D40" i="233"/>
  <c r="C176" i="304"/>
  <c r="B176" i="304"/>
  <c r="A176" i="304"/>
  <c r="C175" i="304"/>
  <c r="B175" i="304"/>
  <c r="A175" i="304"/>
  <c r="C174" i="304"/>
  <c r="B174" i="304"/>
  <c r="A174" i="304"/>
  <c r="C173" i="304"/>
  <c r="B173" i="304"/>
  <c r="A173" i="304"/>
  <c r="C172" i="304"/>
  <c r="B172" i="304"/>
  <c r="A172" i="304"/>
  <c r="C171" i="304"/>
  <c r="B171" i="304"/>
  <c r="A171" i="304"/>
  <c r="C170" i="304"/>
  <c r="B170" i="304"/>
  <c r="A170" i="304"/>
  <c r="C169" i="304"/>
  <c r="B169" i="304"/>
  <c r="A169" i="304"/>
  <c r="C168" i="304"/>
  <c r="B168" i="304"/>
  <c r="A168" i="304"/>
  <c r="C167" i="304"/>
  <c r="B167" i="304"/>
  <c r="A167" i="304"/>
  <c r="C166" i="304"/>
  <c r="B166" i="304"/>
  <c r="A166" i="304"/>
  <c r="C165" i="304"/>
  <c r="B165" i="304"/>
  <c r="A165" i="304"/>
  <c r="C164" i="304"/>
  <c r="B164" i="304"/>
  <c r="A164" i="304"/>
  <c r="C163" i="304"/>
  <c r="B163" i="304"/>
  <c r="A163" i="304"/>
  <c r="C162" i="304"/>
  <c r="B162" i="304"/>
  <c r="A162" i="304"/>
  <c r="C161" i="304"/>
  <c r="B161" i="304"/>
  <c r="A161" i="304"/>
  <c r="C160" i="304"/>
  <c r="B160" i="304"/>
  <c r="A160" i="304"/>
  <c r="C159" i="304"/>
  <c r="B159" i="304"/>
  <c r="A159" i="304"/>
  <c r="C158" i="304"/>
  <c r="B158" i="304"/>
  <c r="A158" i="304"/>
  <c r="C157" i="304"/>
  <c r="B157" i="304"/>
  <c r="A157" i="304"/>
  <c r="C156" i="304"/>
  <c r="B156" i="304"/>
  <c r="A156" i="304"/>
  <c r="C155" i="304"/>
  <c r="B155" i="304"/>
  <c r="A155" i="304"/>
  <c r="C154" i="304"/>
  <c r="B154" i="304"/>
  <c r="A154" i="304"/>
  <c r="C153" i="304"/>
  <c r="B153" i="304"/>
  <c r="A153" i="304"/>
  <c r="C152" i="304"/>
  <c r="B152" i="304"/>
  <c r="A152" i="304"/>
  <c r="C151" i="304"/>
  <c r="B151" i="304"/>
  <c r="A151" i="304"/>
  <c r="C150" i="304"/>
  <c r="B150" i="304"/>
  <c r="A150" i="304"/>
  <c r="C149" i="304"/>
  <c r="B149" i="304"/>
  <c r="A149" i="304"/>
  <c r="C148" i="304"/>
  <c r="B148" i="304"/>
  <c r="A148" i="304"/>
  <c r="C147" i="304"/>
  <c r="B147" i="304"/>
  <c r="A147" i="304"/>
  <c r="C146" i="304"/>
  <c r="B146" i="304"/>
  <c r="A146" i="304"/>
  <c r="C145" i="304"/>
  <c r="B145" i="304"/>
  <c r="A145" i="304"/>
  <c r="C144" i="304"/>
  <c r="B144" i="304"/>
  <c r="A144" i="304"/>
  <c r="C143" i="304"/>
  <c r="B143" i="304"/>
  <c r="A143" i="304"/>
  <c r="C142" i="304"/>
  <c r="B142" i="304"/>
  <c r="A142" i="304"/>
  <c r="C141" i="304"/>
  <c r="B141" i="304"/>
  <c r="A141" i="304"/>
  <c r="C140" i="304"/>
  <c r="B140" i="304"/>
  <c r="A140" i="304"/>
  <c r="C139" i="304"/>
  <c r="B139" i="304"/>
  <c r="A139" i="304"/>
  <c r="C138" i="304"/>
  <c r="B138" i="304"/>
  <c r="A138" i="304"/>
  <c r="C137" i="304"/>
  <c r="B137" i="304"/>
  <c r="A137" i="304"/>
  <c r="C136" i="304"/>
  <c r="B136" i="304"/>
  <c r="A136" i="304"/>
  <c r="C135" i="304"/>
  <c r="B135" i="304"/>
  <c r="A135" i="304"/>
  <c r="C134" i="304"/>
  <c r="B134" i="304"/>
  <c r="A134" i="304"/>
  <c r="C133" i="304"/>
  <c r="B133" i="304"/>
  <c r="A133" i="304"/>
  <c r="C132" i="304"/>
  <c r="B132" i="304"/>
  <c r="A132" i="304"/>
  <c r="C131" i="304"/>
  <c r="B131" i="304"/>
  <c r="A131" i="304"/>
  <c r="C130" i="304"/>
  <c r="B130" i="304"/>
  <c r="A130" i="304"/>
  <c r="C129" i="304"/>
  <c r="B129" i="304"/>
  <c r="A129" i="304"/>
  <c r="C128" i="304"/>
  <c r="B128" i="304"/>
  <c r="A128" i="304"/>
  <c r="O127" i="304"/>
  <c r="P20" i="291" s="1"/>
  <c r="N127" i="304"/>
  <c r="O20" i="291" s="1"/>
  <c r="M127" i="304"/>
  <c r="N20" i="291" s="1"/>
  <c r="L127" i="304"/>
  <c r="M20" i="291" s="1"/>
  <c r="K127" i="304"/>
  <c r="L20" i="291" s="1"/>
  <c r="J127" i="304"/>
  <c r="K20" i="291" s="1"/>
  <c r="I127" i="304"/>
  <c r="J20" i="291" s="1"/>
  <c r="H127" i="304"/>
  <c r="I20" i="291" s="1"/>
  <c r="G127" i="304"/>
  <c r="H20" i="291" s="1"/>
  <c r="F127" i="304"/>
  <c r="G20" i="291" s="1"/>
  <c r="E127" i="304"/>
  <c r="F20" i="291" s="1"/>
  <c r="D127" i="304"/>
  <c r="E20" i="291" s="1"/>
  <c r="C127" i="304"/>
  <c r="B127" i="304"/>
  <c r="A127" i="304"/>
  <c r="C126" i="304"/>
  <c r="B126" i="304"/>
  <c r="A126" i="304"/>
  <c r="C125" i="304"/>
  <c r="B125" i="304"/>
  <c r="A125" i="304"/>
  <c r="C124" i="304"/>
  <c r="B124" i="304"/>
  <c r="A124" i="304"/>
  <c r="O123" i="304"/>
  <c r="P20" i="294" s="1"/>
  <c r="N123" i="304"/>
  <c r="O20" i="294" s="1"/>
  <c r="M123" i="304"/>
  <c r="N20" i="294" s="1"/>
  <c r="L123" i="304"/>
  <c r="M20" i="294" s="1"/>
  <c r="K123" i="304"/>
  <c r="L20" i="294" s="1"/>
  <c r="J123" i="304"/>
  <c r="K20" i="294" s="1"/>
  <c r="I123" i="304"/>
  <c r="J20" i="294" s="1"/>
  <c r="H123" i="304"/>
  <c r="I20" i="294" s="1"/>
  <c r="G123" i="304"/>
  <c r="H20" i="294" s="1"/>
  <c r="F123" i="304"/>
  <c r="G20" i="294" s="1"/>
  <c r="E123" i="304"/>
  <c r="F20" i="294" s="1"/>
  <c r="D123" i="304"/>
  <c r="E20" i="294" s="1"/>
  <c r="C123" i="304"/>
  <c r="B123" i="304"/>
  <c r="A123" i="304"/>
  <c r="C122" i="304"/>
  <c r="B122" i="304"/>
  <c r="A122" i="304"/>
  <c r="C121" i="304"/>
  <c r="B121" i="304"/>
  <c r="A121" i="304"/>
  <c r="B120" i="304"/>
  <c r="O119" i="304"/>
  <c r="N119" i="304"/>
  <c r="M119" i="304"/>
  <c r="L119" i="304"/>
  <c r="K119" i="304"/>
  <c r="J119" i="304"/>
  <c r="I119" i="304"/>
  <c r="H119" i="304"/>
  <c r="G119" i="304"/>
  <c r="F119" i="304"/>
  <c r="E119" i="304"/>
  <c r="D119" i="304"/>
  <c r="C119" i="304"/>
  <c r="B119" i="304"/>
  <c r="A119" i="304"/>
  <c r="C118" i="304"/>
  <c r="B118" i="304"/>
  <c r="A118" i="304"/>
  <c r="C117" i="304"/>
  <c r="B117" i="304"/>
  <c r="A117" i="304"/>
  <c r="C116" i="304"/>
  <c r="B116" i="304"/>
  <c r="A116" i="304"/>
  <c r="O115" i="304"/>
  <c r="N115" i="304"/>
  <c r="M115" i="304"/>
  <c r="L115" i="304"/>
  <c r="K115" i="304"/>
  <c r="J115" i="304"/>
  <c r="I115" i="304"/>
  <c r="H115" i="304"/>
  <c r="G115" i="304"/>
  <c r="F115" i="304"/>
  <c r="E115" i="304"/>
  <c r="D115" i="304"/>
  <c r="C115" i="304"/>
  <c r="B115" i="304"/>
  <c r="A115" i="304"/>
  <c r="C114" i="304"/>
  <c r="B114" i="304"/>
  <c r="A114" i="304"/>
  <c r="C113" i="304"/>
  <c r="B113" i="304"/>
  <c r="A113" i="304"/>
  <c r="C112" i="304"/>
  <c r="B112" i="304"/>
  <c r="A112" i="304"/>
  <c r="O111" i="304"/>
  <c r="N111" i="304"/>
  <c r="M111" i="304"/>
  <c r="L111" i="304"/>
  <c r="K111" i="304"/>
  <c r="J111" i="304"/>
  <c r="I111" i="304"/>
  <c r="H111" i="304"/>
  <c r="G111" i="304"/>
  <c r="F111" i="304"/>
  <c r="E111" i="304"/>
  <c r="D111" i="304"/>
  <c r="C111" i="304"/>
  <c r="B111" i="304"/>
  <c r="A111" i="304"/>
  <c r="C110" i="304"/>
  <c r="B110" i="304"/>
  <c r="A110" i="304"/>
  <c r="C109" i="304"/>
  <c r="B109" i="304"/>
  <c r="A109" i="304"/>
  <c r="C108" i="304"/>
  <c r="B108" i="304"/>
  <c r="A108" i="304"/>
  <c r="C107" i="304"/>
  <c r="B107" i="304"/>
  <c r="A107" i="304"/>
  <c r="C106" i="304"/>
  <c r="B106" i="304"/>
  <c r="A106" i="304"/>
  <c r="O105" i="304"/>
  <c r="P20" i="214" s="1"/>
  <c r="N105" i="304"/>
  <c r="O20" i="214" s="1"/>
  <c r="M105" i="304"/>
  <c r="N20" i="214" s="1"/>
  <c r="L105" i="304"/>
  <c r="M20" i="214" s="1"/>
  <c r="K105" i="304"/>
  <c r="L20" i="214" s="1"/>
  <c r="J105" i="304"/>
  <c r="K20" i="214" s="1"/>
  <c r="I105" i="304"/>
  <c r="J20" i="214" s="1"/>
  <c r="H105" i="304"/>
  <c r="I20" i="214" s="1"/>
  <c r="G105" i="304"/>
  <c r="H20" i="214" s="1"/>
  <c r="F105" i="304"/>
  <c r="G20" i="214" s="1"/>
  <c r="E105" i="304"/>
  <c r="F20" i="214" s="1"/>
  <c r="C105" i="304"/>
  <c r="B105" i="304"/>
  <c r="A105" i="304"/>
  <c r="D105" i="304"/>
  <c r="E20" i="214" s="1"/>
  <c r="C104" i="304"/>
  <c r="B104" i="304"/>
  <c r="A104" i="304"/>
  <c r="C103" i="304"/>
  <c r="B103" i="304"/>
  <c r="A103" i="304"/>
  <c r="C102" i="304"/>
  <c r="B102" i="304"/>
  <c r="A102" i="304"/>
  <c r="C101" i="304"/>
  <c r="B101" i="304"/>
  <c r="A101" i="304"/>
  <c r="C100" i="304"/>
  <c r="B100" i="304"/>
  <c r="A100" i="304"/>
  <c r="O99" i="304"/>
  <c r="P20" i="183" s="1"/>
  <c r="N99" i="304"/>
  <c r="O20" i="183" s="1"/>
  <c r="J99" i="304"/>
  <c r="K20" i="183" s="1"/>
  <c r="F99" i="304"/>
  <c r="G20" i="183" s="1"/>
  <c r="E99" i="304"/>
  <c r="F20" i="183" s="1"/>
  <c r="C99" i="304"/>
  <c r="B99" i="304"/>
  <c r="A99" i="304"/>
  <c r="C98" i="304"/>
  <c r="B98" i="304"/>
  <c r="A98" i="304"/>
  <c r="M99" i="304"/>
  <c r="N20" i="183" s="1"/>
  <c r="L99" i="304"/>
  <c r="M20" i="183" s="1"/>
  <c r="K99" i="304"/>
  <c r="L20" i="183" s="1"/>
  <c r="I99" i="304"/>
  <c r="J20" i="183" s="1"/>
  <c r="H99" i="304"/>
  <c r="I20" i="183" s="1"/>
  <c r="G99" i="304"/>
  <c r="H20" i="183" s="1"/>
  <c r="D99" i="304"/>
  <c r="E20" i="183" s="1"/>
  <c r="C97" i="304"/>
  <c r="B97" i="304"/>
  <c r="A97" i="304"/>
  <c r="C96" i="304"/>
  <c r="B96" i="304"/>
  <c r="A96" i="304"/>
  <c r="C95" i="304"/>
  <c r="B95" i="304"/>
  <c r="A95" i="304"/>
  <c r="C94" i="304"/>
  <c r="B94" i="304"/>
  <c r="A94" i="304"/>
  <c r="O93" i="304"/>
  <c r="P20" i="181" s="1"/>
  <c r="N93" i="304"/>
  <c r="O20" i="181" s="1"/>
  <c r="M93" i="304"/>
  <c r="N20" i="181" s="1"/>
  <c r="L93" i="304"/>
  <c r="M20" i="181" s="1"/>
  <c r="K93" i="304"/>
  <c r="L20" i="181" s="1"/>
  <c r="J93" i="304"/>
  <c r="K20" i="181" s="1"/>
  <c r="I93" i="304"/>
  <c r="J20" i="181" s="1"/>
  <c r="H93" i="304"/>
  <c r="I20" i="181" s="1"/>
  <c r="G93" i="304"/>
  <c r="H20" i="181" s="1"/>
  <c r="F93" i="304"/>
  <c r="G20" i="181" s="1"/>
  <c r="E93" i="304"/>
  <c r="F20" i="181" s="1"/>
  <c r="D93" i="304"/>
  <c r="E20" i="181" s="1"/>
  <c r="C93" i="304"/>
  <c r="B93" i="304"/>
  <c r="A93" i="304"/>
  <c r="C92" i="304"/>
  <c r="B92" i="304"/>
  <c r="A92" i="304"/>
  <c r="C91" i="304"/>
  <c r="B91" i="304"/>
  <c r="A91" i="304"/>
  <c r="C90" i="304"/>
  <c r="B90" i="304"/>
  <c r="A90" i="304"/>
  <c r="C89" i="304"/>
  <c r="B89" i="304"/>
  <c r="A89" i="304"/>
  <c r="C88" i="304"/>
  <c r="B88" i="304"/>
  <c r="A88" i="304"/>
  <c r="O87" i="304"/>
  <c r="P20" i="182" s="1"/>
  <c r="N87" i="304"/>
  <c r="O20" i="182" s="1"/>
  <c r="M87" i="304"/>
  <c r="N20" i="182" s="1"/>
  <c r="L87" i="304"/>
  <c r="M20" i="182" s="1"/>
  <c r="K87" i="304"/>
  <c r="L20" i="182" s="1"/>
  <c r="J87" i="304"/>
  <c r="K20" i="182" s="1"/>
  <c r="I87" i="304"/>
  <c r="J20" i="182" s="1"/>
  <c r="H87" i="304"/>
  <c r="I20" i="182" s="1"/>
  <c r="G87" i="304"/>
  <c r="H20" i="182" s="1"/>
  <c r="F87" i="304"/>
  <c r="G20" i="182" s="1"/>
  <c r="E87" i="304"/>
  <c r="F20" i="182" s="1"/>
  <c r="D87" i="304"/>
  <c r="E20" i="182" s="1"/>
  <c r="C87" i="304"/>
  <c r="B87" i="304"/>
  <c r="A87" i="304"/>
  <c r="C86" i="304"/>
  <c r="B86" i="304"/>
  <c r="A86" i="304"/>
  <c r="C85" i="304"/>
  <c r="B85" i="304"/>
  <c r="A85" i="304"/>
  <c r="C84" i="304"/>
  <c r="B84" i="304"/>
  <c r="A84" i="304"/>
  <c r="C83" i="304"/>
  <c r="B83" i="304"/>
  <c r="A83" i="304"/>
  <c r="C82" i="304"/>
  <c r="B82" i="304"/>
  <c r="A82" i="304"/>
  <c r="O81" i="304"/>
  <c r="P20" i="141" s="1"/>
  <c r="N81" i="304"/>
  <c r="O20" i="141" s="1"/>
  <c r="J81" i="304"/>
  <c r="K20" i="141" s="1"/>
  <c r="F81" i="304"/>
  <c r="G20" i="141" s="1"/>
  <c r="E81" i="304"/>
  <c r="F20" i="141" s="1"/>
  <c r="D81" i="304"/>
  <c r="E20" i="141" s="1"/>
  <c r="C81" i="304"/>
  <c r="B81" i="304"/>
  <c r="A81" i="304"/>
  <c r="C80" i="304"/>
  <c r="B80" i="304"/>
  <c r="A80" i="304"/>
  <c r="M81" i="304"/>
  <c r="N20" i="141" s="1"/>
  <c r="L81" i="304"/>
  <c r="M20" i="141" s="1"/>
  <c r="K81" i="304"/>
  <c r="L20" i="141" s="1"/>
  <c r="I81" i="304"/>
  <c r="J20" i="141" s="1"/>
  <c r="H81" i="304"/>
  <c r="I20" i="141" s="1"/>
  <c r="G81" i="304"/>
  <c r="H20" i="141" s="1"/>
  <c r="C79" i="304"/>
  <c r="B79" i="304"/>
  <c r="A79" i="304"/>
  <c r="C78" i="304"/>
  <c r="B78" i="304"/>
  <c r="A78" i="304"/>
  <c r="O77" i="304"/>
  <c r="P20" i="297" s="1"/>
  <c r="N77" i="304"/>
  <c r="O20" i="297" s="1"/>
  <c r="M77" i="304"/>
  <c r="N20" i="297" s="1"/>
  <c r="L77" i="304"/>
  <c r="M20" i="297" s="1"/>
  <c r="K77" i="304"/>
  <c r="L20" i="297" s="1"/>
  <c r="J77" i="304"/>
  <c r="K20" i="297" s="1"/>
  <c r="I77" i="304"/>
  <c r="J20" i="297" s="1"/>
  <c r="H77" i="304"/>
  <c r="I20" i="297" s="1"/>
  <c r="G77" i="304"/>
  <c r="H20" i="297" s="1"/>
  <c r="F77" i="304"/>
  <c r="G20" i="297" s="1"/>
  <c r="E77" i="304"/>
  <c r="F20" i="297" s="1"/>
  <c r="D77" i="304"/>
  <c r="E20" i="297" s="1"/>
  <c r="C77" i="304"/>
  <c r="B77" i="304"/>
  <c r="A77" i="304"/>
  <c r="C76" i="304"/>
  <c r="B76" i="304"/>
  <c r="A76" i="304"/>
  <c r="C75" i="304"/>
  <c r="B75" i="304"/>
  <c r="A75" i="304"/>
  <c r="C74" i="304"/>
  <c r="B74" i="304"/>
  <c r="A74" i="304"/>
  <c r="C73" i="304"/>
  <c r="B73" i="304"/>
  <c r="A73" i="304"/>
  <c r="C72" i="304"/>
  <c r="B72" i="304"/>
  <c r="A72" i="304"/>
  <c r="O71" i="304"/>
  <c r="P20" i="140" s="1"/>
  <c r="N71" i="304"/>
  <c r="O20" i="140" s="1"/>
  <c r="M71" i="304"/>
  <c r="N20" i="140" s="1"/>
  <c r="L71" i="304"/>
  <c r="M20" i="140" s="1"/>
  <c r="K71" i="304"/>
  <c r="L20" i="140" s="1"/>
  <c r="J71" i="304"/>
  <c r="K20" i="140" s="1"/>
  <c r="I71" i="304"/>
  <c r="J20" i="140" s="1"/>
  <c r="H71" i="304"/>
  <c r="I20" i="140" s="1"/>
  <c r="G71" i="304"/>
  <c r="H20" i="140" s="1"/>
  <c r="F71" i="304"/>
  <c r="G20" i="140" s="1"/>
  <c r="E71" i="304"/>
  <c r="F20" i="140" s="1"/>
  <c r="D71" i="304"/>
  <c r="E20" i="140" s="1"/>
  <c r="C71" i="304"/>
  <c r="B71" i="304"/>
  <c r="A71" i="304"/>
  <c r="C70" i="304"/>
  <c r="B70" i="304"/>
  <c r="A70" i="304"/>
  <c r="C69" i="304"/>
  <c r="B69" i="304"/>
  <c r="A69" i="304"/>
  <c r="C68" i="304"/>
  <c r="B68" i="304"/>
  <c r="A68" i="304"/>
  <c r="C67" i="304"/>
  <c r="B67" i="304"/>
  <c r="A67" i="304"/>
  <c r="C66" i="304"/>
  <c r="B66" i="304"/>
  <c r="A66" i="304"/>
  <c r="O65" i="304"/>
  <c r="P20" i="138" s="1"/>
  <c r="N65" i="304"/>
  <c r="O20" i="138" s="1"/>
  <c r="M65" i="304"/>
  <c r="N20" i="138" s="1"/>
  <c r="L65" i="304"/>
  <c r="M20" i="138" s="1"/>
  <c r="K65" i="304"/>
  <c r="L20" i="138" s="1"/>
  <c r="J65" i="304"/>
  <c r="K20" i="138" s="1"/>
  <c r="I65" i="304"/>
  <c r="J20" i="138" s="1"/>
  <c r="H65" i="304"/>
  <c r="I20" i="138" s="1"/>
  <c r="G65" i="304"/>
  <c r="H20" i="138" s="1"/>
  <c r="F65" i="304"/>
  <c r="G20" i="138" s="1"/>
  <c r="E65" i="304"/>
  <c r="F20" i="138" s="1"/>
  <c r="D65" i="304"/>
  <c r="E20" i="138" s="1"/>
  <c r="C65" i="304"/>
  <c r="B65" i="304"/>
  <c r="A65" i="304"/>
  <c r="C64" i="304"/>
  <c r="B64" i="304"/>
  <c r="A64" i="304"/>
  <c r="C63" i="304"/>
  <c r="B63" i="304"/>
  <c r="A63" i="304"/>
  <c r="C62" i="304"/>
  <c r="B62" i="304"/>
  <c r="A62" i="304"/>
  <c r="C61" i="304"/>
  <c r="B61" i="304"/>
  <c r="A61" i="304"/>
  <c r="C60" i="304"/>
  <c r="B60" i="304"/>
  <c r="A60" i="304"/>
  <c r="O59" i="304"/>
  <c r="P20" i="139" s="1"/>
  <c r="N59" i="304"/>
  <c r="O20" i="139" s="1"/>
  <c r="M59" i="304"/>
  <c r="N20" i="139" s="1"/>
  <c r="L59" i="304"/>
  <c r="M20" i="139" s="1"/>
  <c r="K59" i="304"/>
  <c r="L20" i="139" s="1"/>
  <c r="J59" i="304"/>
  <c r="K20" i="139" s="1"/>
  <c r="I59" i="304"/>
  <c r="J20" i="139" s="1"/>
  <c r="H59" i="304"/>
  <c r="I20" i="139" s="1"/>
  <c r="G59" i="304"/>
  <c r="H20" i="139" s="1"/>
  <c r="F59" i="304"/>
  <c r="G20" i="139" s="1"/>
  <c r="E59" i="304"/>
  <c r="F20" i="139" s="1"/>
  <c r="D59" i="304"/>
  <c r="E20" i="139" s="1"/>
  <c r="C59" i="304"/>
  <c r="B59" i="304"/>
  <c r="A59" i="304"/>
  <c r="C58" i="304"/>
  <c r="B58" i="304"/>
  <c r="A58" i="304"/>
  <c r="C57" i="304"/>
  <c r="B57" i="304"/>
  <c r="A57" i="304"/>
  <c r="C56" i="304"/>
  <c r="B56" i="304"/>
  <c r="A56" i="304"/>
  <c r="C55" i="304"/>
  <c r="B55" i="304"/>
  <c r="A55" i="304"/>
  <c r="C54" i="304"/>
  <c r="B54" i="304"/>
  <c r="A54" i="304"/>
  <c r="O53" i="304"/>
  <c r="P20" i="136" s="1"/>
  <c r="N53" i="304"/>
  <c r="O20" i="136" s="1"/>
  <c r="M53" i="304"/>
  <c r="N20" i="136" s="1"/>
  <c r="L53" i="304"/>
  <c r="M20" i="136" s="1"/>
  <c r="K53" i="304"/>
  <c r="L20" i="136" s="1"/>
  <c r="J53" i="304"/>
  <c r="K20" i="136" s="1"/>
  <c r="I53" i="304"/>
  <c r="J20" i="136" s="1"/>
  <c r="H53" i="304"/>
  <c r="I20" i="136" s="1"/>
  <c r="G53" i="304"/>
  <c r="H20" i="136" s="1"/>
  <c r="F53" i="304"/>
  <c r="G20" i="136" s="1"/>
  <c r="E53" i="304"/>
  <c r="F20" i="136" s="1"/>
  <c r="D53" i="304"/>
  <c r="E20" i="136" s="1"/>
  <c r="C53" i="304"/>
  <c r="B53" i="304"/>
  <c r="A53" i="304"/>
  <c r="C52" i="304"/>
  <c r="B52" i="304"/>
  <c r="A52" i="304"/>
  <c r="C51" i="304"/>
  <c r="B51" i="304"/>
  <c r="A51" i="304"/>
  <c r="C50" i="304"/>
  <c r="B50" i="304"/>
  <c r="A50" i="304"/>
  <c r="C49" i="304"/>
  <c r="B49" i="304"/>
  <c r="A49" i="304"/>
  <c r="C48" i="304"/>
  <c r="B48" i="304"/>
  <c r="A48" i="304"/>
  <c r="O47" i="304"/>
  <c r="P20" i="135" s="1"/>
  <c r="N47" i="304"/>
  <c r="O20" i="135" s="1"/>
  <c r="M47" i="304"/>
  <c r="N20" i="135" s="1"/>
  <c r="L47" i="304"/>
  <c r="M20" i="135" s="1"/>
  <c r="K47" i="304"/>
  <c r="L20" i="135" s="1"/>
  <c r="J47" i="304"/>
  <c r="K20" i="135" s="1"/>
  <c r="I47" i="304"/>
  <c r="J20" i="135" s="1"/>
  <c r="H47" i="304"/>
  <c r="I20" i="135" s="1"/>
  <c r="G47" i="304"/>
  <c r="H20" i="135" s="1"/>
  <c r="F47" i="304"/>
  <c r="G20" i="135" s="1"/>
  <c r="E47" i="304"/>
  <c r="F20" i="135" s="1"/>
  <c r="D47" i="304"/>
  <c r="E20" i="135" s="1"/>
  <c r="C47" i="304"/>
  <c r="B47" i="304"/>
  <c r="A47" i="304"/>
  <c r="C46" i="304"/>
  <c r="B46" i="304"/>
  <c r="A46" i="304"/>
  <c r="C45" i="304"/>
  <c r="B45" i="304"/>
  <c r="A45" i="304"/>
  <c r="C44" i="304"/>
  <c r="B44" i="304"/>
  <c r="A44" i="304"/>
  <c r="C43" i="304"/>
  <c r="B43" i="304"/>
  <c r="A43" i="304"/>
  <c r="C42" i="304"/>
  <c r="B42" i="304"/>
  <c r="A42" i="304"/>
  <c r="O41" i="304"/>
  <c r="N41" i="304"/>
  <c r="M41" i="304"/>
  <c r="L41" i="304"/>
  <c r="K41" i="304"/>
  <c r="L20" i="286" s="1"/>
  <c r="J41" i="304"/>
  <c r="K20" i="286" s="1"/>
  <c r="I41" i="304"/>
  <c r="J20" i="286" s="1"/>
  <c r="H41" i="304"/>
  <c r="F41" i="304"/>
  <c r="E41" i="304"/>
  <c r="D41" i="304"/>
  <c r="C41" i="304"/>
  <c r="B41" i="304"/>
  <c r="A41" i="304"/>
  <c r="O40" i="304"/>
  <c r="P20" i="282" s="1"/>
  <c r="N40" i="304"/>
  <c r="O20" i="282" s="1"/>
  <c r="M40" i="304"/>
  <c r="N20" i="282" s="1"/>
  <c r="L40" i="304"/>
  <c r="K40" i="304"/>
  <c r="L20" i="282" s="1"/>
  <c r="J40" i="304"/>
  <c r="K20" i="282" s="1"/>
  <c r="I40" i="304"/>
  <c r="H40" i="304"/>
  <c r="G40" i="304"/>
  <c r="H20" i="282" s="1"/>
  <c r="F40" i="304"/>
  <c r="G20" i="282" s="1"/>
  <c r="E40" i="304"/>
  <c r="D40" i="304"/>
  <c r="C40" i="304"/>
  <c r="B40" i="304"/>
  <c r="A40" i="304"/>
  <c r="C39" i="304"/>
  <c r="B39" i="304"/>
  <c r="A39" i="304"/>
  <c r="C38" i="304"/>
  <c r="B38" i="304"/>
  <c r="A38" i="304"/>
  <c r="C37" i="304"/>
  <c r="B37" i="304"/>
  <c r="A37" i="304"/>
  <c r="O36" i="304"/>
  <c r="P20" i="222" s="1"/>
  <c r="N36" i="304"/>
  <c r="O20" i="222" s="1"/>
  <c r="M36" i="304"/>
  <c r="N20" i="222" s="1"/>
  <c r="L36" i="304"/>
  <c r="M20" i="222" s="1"/>
  <c r="K36" i="304"/>
  <c r="L20" i="222" s="1"/>
  <c r="J36" i="304"/>
  <c r="K20" i="222" s="1"/>
  <c r="I36" i="304"/>
  <c r="J20" i="222" s="1"/>
  <c r="H36" i="304"/>
  <c r="I20" i="222" s="1"/>
  <c r="H20" i="222"/>
  <c r="F36" i="304"/>
  <c r="G20" i="222" s="1"/>
  <c r="E36" i="304"/>
  <c r="F20" i="222" s="1"/>
  <c r="D36" i="304"/>
  <c r="E20" i="222" s="1"/>
  <c r="C36" i="304"/>
  <c r="B36" i="304"/>
  <c r="A36" i="304"/>
  <c r="O35" i="304"/>
  <c r="P20" i="236" s="1"/>
  <c r="N35" i="304"/>
  <c r="O20" i="236" s="1"/>
  <c r="M35" i="304"/>
  <c r="N20" i="236" s="1"/>
  <c r="L35" i="304"/>
  <c r="M20" i="236" s="1"/>
  <c r="J35" i="304"/>
  <c r="K20" i="236" s="1"/>
  <c r="I35" i="304"/>
  <c r="J20" i="236" s="1"/>
  <c r="H35" i="304"/>
  <c r="I20" i="236" s="1"/>
  <c r="F35" i="304"/>
  <c r="G20" i="236" s="1"/>
  <c r="E35" i="304"/>
  <c r="D35" i="304"/>
  <c r="E20" i="236" s="1"/>
  <c r="C35" i="304"/>
  <c r="B35" i="304"/>
  <c r="A35" i="304"/>
  <c r="C34" i="304"/>
  <c r="B34" i="304"/>
  <c r="A34" i="304"/>
  <c r="C33" i="304"/>
  <c r="B33" i="304"/>
  <c r="A33" i="304"/>
  <c r="C32" i="304"/>
  <c r="B32" i="304"/>
  <c r="A32" i="304"/>
  <c r="C31" i="304"/>
  <c r="B31" i="304"/>
  <c r="A31" i="304"/>
  <c r="C30" i="304"/>
  <c r="B30" i="304"/>
  <c r="A30" i="304"/>
  <c r="C29" i="304"/>
  <c r="B29" i="304"/>
  <c r="A29" i="304"/>
  <c r="C28" i="304"/>
  <c r="B28" i="304"/>
  <c r="A28" i="304"/>
  <c r="O27" i="304"/>
  <c r="P20" i="216" s="1"/>
  <c r="N27" i="304"/>
  <c r="O20" i="216" s="1"/>
  <c r="M27" i="304"/>
  <c r="N20" i="216" s="1"/>
  <c r="L27" i="304"/>
  <c r="M20" i="216" s="1"/>
  <c r="K27" i="304"/>
  <c r="L20" i="216" s="1"/>
  <c r="J27" i="304"/>
  <c r="K20" i="216" s="1"/>
  <c r="I27" i="304"/>
  <c r="J20" i="216" s="1"/>
  <c r="H27" i="304"/>
  <c r="I20" i="216" s="1"/>
  <c r="H20" i="216"/>
  <c r="F27" i="304"/>
  <c r="G20" i="216" s="1"/>
  <c r="E27" i="304"/>
  <c r="F20" i="216" s="1"/>
  <c r="D27" i="304"/>
  <c r="E20" i="216" s="1"/>
  <c r="C27" i="304"/>
  <c r="B27" i="304"/>
  <c r="A27" i="304"/>
  <c r="O26" i="304"/>
  <c r="P20" i="215" s="1"/>
  <c r="N26" i="304"/>
  <c r="O20" i="215" s="1"/>
  <c r="M26" i="304"/>
  <c r="N20" i="215" s="1"/>
  <c r="L26" i="304"/>
  <c r="M20" i="215" s="1"/>
  <c r="K26" i="304"/>
  <c r="L20" i="215" s="1"/>
  <c r="J26" i="304"/>
  <c r="K20" i="215" s="1"/>
  <c r="I26" i="304"/>
  <c r="J20" i="215" s="1"/>
  <c r="H26" i="304"/>
  <c r="I20" i="215" s="1"/>
  <c r="G26" i="304"/>
  <c r="H20" i="215" s="1"/>
  <c r="F26" i="304"/>
  <c r="G20" i="215" s="1"/>
  <c r="E26" i="304"/>
  <c r="F20" i="215" s="1"/>
  <c r="D26" i="304"/>
  <c r="E20" i="215" s="1"/>
  <c r="C26" i="304"/>
  <c r="B26" i="304"/>
  <c r="A26" i="304"/>
  <c r="C25" i="304"/>
  <c r="B25" i="304"/>
  <c r="A25" i="304"/>
  <c r="C24" i="304"/>
  <c r="B24" i="304"/>
  <c r="A24" i="304"/>
  <c r="C23" i="304"/>
  <c r="B23" i="304"/>
  <c r="A23" i="304"/>
  <c r="C22" i="304"/>
  <c r="B22" i="304"/>
  <c r="A22" i="304"/>
  <c r="C21" i="304"/>
  <c r="B21" i="304"/>
  <c r="A21" i="304"/>
  <c r="C20" i="304"/>
  <c r="B20" i="304"/>
  <c r="A20" i="304"/>
  <c r="C19" i="304"/>
  <c r="B19" i="304"/>
  <c r="A19" i="304"/>
  <c r="J18" i="304"/>
  <c r="C18" i="304"/>
  <c r="B18" i="304"/>
  <c r="A18" i="304"/>
  <c r="C17" i="304"/>
  <c r="B17" i="304"/>
  <c r="A17" i="304"/>
  <c r="C16" i="304"/>
  <c r="B16" i="304"/>
  <c r="A16" i="304"/>
  <c r="C15" i="304"/>
  <c r="B15" i="304"/>
  <c r="A15" i="304"/>
  <c r="C14" i="304"/>
  <c r="B14" i="304"/>
  <c r="A14" i="304"/>
  <c r="C13" i="304"/>
  <c r="B13" i="304"/>
  <c r="A13" i="304"/>
  <c r="C12" i="304"/>
  <c r="B12" i="304"/>
  <c r="A12" i="304"/>
  <c r="C11" i="304"/>
  <c r="B11" i="304"/>
  <c r="A11" i="304"/>
  <c r="C10" i="304"/>
  <c r="B10" i="304"/>
  <c r="A10" i="304"/>
  <c r="A9" i="304"/>
  <c r="C8" i="304"/>
  <c r="B8" i="304"/>
  <c r="A8" i="304"/>
  <c r="C7" i="304"/>
  <c r="B7" i="304"/>
  <c r="A7" i="304"/>
  <c r="C6" i="304"/>
  <c r="B6" i="304"/>
  <c r="A6" i="304"/>
  <c r="C5" i="304"/>
  <c r="B5" i="304"/>
  <c r="A5" i="304"/>
  <c r="C4" i="304"/>
  <c r="A4" i="304"/>
  <c r="C3" i="304"/>
  <c r="B3" i="304"/>
  <c r="A3" i="304"/>
  <c r="C2" i="304"/>
  <c r="A2" i="304"/>
  <c r="C1" i="304"/>
  <c r="B1" i="304"/>
  <c r="A1" i="304"/>
  <c r="K18" i="304" l="1"/>
  <c r="L42" i="304"/>
  <c r="M20" i="284" s="1"/>
  <c r="M20" i="282"/>
  <c r="N18" i="304"/>
  <c r="O20" i="286"/>
  <c r="O18" i="304"/>
  <c r="P20" i="286"/>
  <c r="L18" i="304"/>
  <c r="M20" i="286"/>
  <c r="M18" i="304"/>
  <c r="N20" i="286"/>
  <c r="I18" i="304"/>
  <c r="I42" i="304"/>
  <c r="J20" i="282"/>
  <c r="H18" i="304"/>
  <c r="I20" i="286"/>
  <c r="H42" i="304"/>
  <c r="I20" i="284" s="1"/>
  <c r="I20" i="282"/>
  <c r="G18" i="304"/>
  <c r="H20" i="286"/>
  <c r="F18" i="304"/>
  <c r="G20" i="286"/>
  <c r="E18" i="304"/>
  <c r="F20" i="286"/>
  <c r="E37" i="304"/>
  <c r="F20" i="236"/>
  <c r="D18" i="304"/>
  <c r="E20" i="286"/>
  <c r="E42" i="304"/>
  <c r="F20" i="282"/>
  <c r="D42" i="304"/>
  <c r="E20" i="284" s="1"/>
  <c r="E20" i="282"/>
  <c r="M42" i="233"/>
  <c r="I42" i="233"/>
  <c r="M15" i="233"/>
  <c r="I15" i="233"/>
  <c r="I11" i="233" s="1"/>
  <c r="I6" i="233" s="1"/>
  <c r="E15" i="233"/>
  <c r="E11" i="233" s="1"/>
  <c r="E6" i="233" s="1"/>
  <c r="L16" i="233"/>
  <c r="L7" i="233" s="1"/>
  <c r="H16" i="233"/>
  <c r="H7" i="233" s="1"/>
  <c r="K42" i="233"/>
  <c r="D16" i="233"/>
  <c r="D7" i="233" s="1"/>
  <c r="L15" i="233"/>
  <c r="H15" i="233"/>
  <c r="O16" i="233"/>
  <c r="O7" i="233" s="1"/>
  <c r="K16" i="233"/>
  <c r="K7" i="233" s="1"/>
  <c r="G16" i="233"/>
  <c r="G7" i="233" s="1"/>
  <c r="O15" i="233"/>
  <c r="O11" i="233" s="1"/>
  <c r="O6" i="233" s="1"/>
  <c r="O10" i="233" s="1"/>
  <c r="K15" i="233"/>
  <c r="G15" i="233"/>
  <c r="N16" i="233"/>
  <c r="N7" i="233" s="1"/>
  <c r="J16" i="233"/>
  <c r="J7" i="233" s="1"/>
  <c r="F16" i="233"/>
  <c r="F7" i="233" s="1"/>
  <c r="E42" i="233"/>
  <c r="N15" i="233"/>
  <c r="N11" i="233" s="1"/>
  <c r="N6" i="233" s="1"/>
  <c r="N10" i="233" s="1"/>
  <c r="J15" i="233"/>
  <c r="F15" i="233"/>
  <c r="F11" i="233" s="1"/>
  <c r="F6" i="233" s="1"/>
  <c r="M16" i="233"/>
  <c r="M7" i="233" s="1"/>
  <c r="I16" i="233"/>
  <c r="I7" i="233" s="1"/>
  <c r="E16" i="233"/>
  <c r="E7" i="233" s="1"/>
  <c r="D15" i="233"/>
  <c r="L42" i="233"/>
  <c r="H42" i="233"/>
  <c r="N42" i="233"/>
  <c r="J42" i="233"/>
  <c r="F42" i="233"/>
  <c r="G28" i="304"/>
  <c r="K28" i="304"/>
  <c r="O28" i="304"/>
  <c r="G16" i="304"/>
  <c r="E28" i="304"/>
  <c r="M28" i="304"/>
  <c r="I28" i="304"/>
  <c r="K16" i="304"/>
  <c r="J37" i="304"/>
  <c r="H37" i="304"/>
  <c r="N37" i="304"/>
  <c r="O37" i="304"/>
  <c r="F37" i="304"/>
  <c r="F28" i="304"/>
  <c r="J28" i="304"/>
  <c r="N28" i="304"/>
  <c r="D28" i="304"/>
  <c r="H28" i="304"/>
  <c r="L28" i="304"/>
  <c r="G42" i="304"/>
  <c r="H20" i="284" s="1"/>
  <c r="K42" i="304"/>
  <c r="L20" i="284" s="1"/>
  <c r="O16" i="304"/>
  <c r="L37" i="304"/>
  <c r="D37" i="304"/>
  <c r="M37" i="304"/>
  <c r="O15" i="304"/>
  <c r="I37" i="304"/>
  <c r="I16" i="304"/>
  <c r="E16" i="304"/>
  <c r="H15" i="304"/>
  <c r="F42" i="304"/>
  <c r="F43" i="304" s="1"/>
  <c r="G20" i="287" s="1"/>
  <c r="J42" i="304"/>
  <c r="N42" i="304"/>
  <c r="O20" i="284" s="1"/>
  <c r="M42" i="304"/>
  <c r="D15" i="304"/>
  <c r="M16" i="304"/>
  <c r="L15" i="304"/>
  <c r="F16" i="304"/>
  <c r="J16" i="304"/>
  <c r="N16" i="304"/>
  <c r="L43" i="304"/>
  <c r="M20" i="287" s="1"/>
  <c r="L19" i="304"/>
  <c r="L22" i="304" s="1"/>
  <c r="N19" i="304"/>
  <c r="N22" i="304" s="1"/>
  <c r="H43" i="304"/>
  <c r="I20" i="287" s="1"/>
  <c r="E15" i="304"/>
  <c r="F20" i="197" s="1"/>
  <c r="I15" i="304"/>
  <c r="J20" i="197" s="1"/>
  <c r="M15" i="304"/>
  <c r="N20" i="197" s="1"/>
  <c r="D16" i="304"/>
  <c r="H16" i="304"/>
  <c r="L16" i="304"/>
  <c r="G35" i="304"/>
  <c r="H20" i="236" s="1"/>
  <c r="K35" i="304"/>
  <c r="L20" i="236" s="1"/>
  <c r="F15" i="304"/>
  <c r="G20" i="197" s="1"/>
  <c r="J15" i="304"/>
  <c r="K20" i="197" s="1"/>
  <c r="N15" i="304"/>
  <c r="O20" i="197" s="1"/>
  <c r="O42" i="304"/>
  <c r="P20" i="284" s="1"/>
  <c r="E19" i="304"/>
  <c r="E22" i="304" s="1"/>
  <c r="I19" i="304"/>
  <c r="I22" i="304" s="1"/>
  <c r="D27" i="288"/>
  <c r="E23" i="216" s="1"/>
  <c r="E27" i="288"/>
  <c r="F23" i="216" s="1"/>
  <c r="F27" i="288"/>
  <c r="G23" i="216" s="1"/>
  <c r="G27" i="288"/>
  <c r="H23" i="216" s="1"/>
  <c r="H27" i="288"/>
  <c r="I23" i="216" s="1"/>
  <c r="I27" i="288"/>
  <c r="J23" i="216" s="1"/>
  <c r="J27" i="288"/>
  <c r="K23" i="216" s="1"/>
  <c r="L27" i="288"/>
  <c r="M23" i="216" s="1"/>
  <c r="M27" i="288"/>
  <c r="N23" i="216" s="1"/>
  <c r="N27" i="288"/>
  <c r="O23" i="216" s="1"/>
  <c r="O27" i="288"/>
  <c r="P23" i="216" s="1"/>
  <c r="K19" i="304" l="1"/>
  <c r="K22" i="304" s="1"/>
  <c r="K43" i="304"/>
  <c r="L20" i="287" s="1"/>
  <c r="L38" i="304"/>
  <c r="M20" i="224" s="1"/>
  <c r="M20" i="283"/>
  <c r="O7" i="304"/>
  <c r="P20" i="207"/>
  <c r="M29" i="304"/>
  <c r="N20" i="218" s="1"/>
  <c r="N20" i="217"/>
  <c r="L7" i="304"/>
  <c r="M20" i="207"/>
  <c r="L11" i="304"/>
  <c r="M20" i="197"/>
  <c r="N43" i="304"/>
  <c r="O20" i="287" s="1"/>
  <c r="M7" i="304"/>
  <c r="N20" i="207"/>
  <c r="O38" i="304"/>
  <c r="P20" i="224" s="1"/>
  <c r="P20" i="283"/>
  <c r="L29" i="304"/>
  <c r="M20" i="218" s="1"/>
  <c r="M20" i="217"/>
  <c r="N38" i="304"/>
  <c r="O20" i="224" s="1"/>
  <c r="O20" i="283"/>
  <c r="O29" i="304"/>
  <c r="P20" i="218" s="1"/>
  <c r="P20" i="217"/>
  <c r="M43" i="304"/>
  <c r="N20" i="287" s="1"/>
  <c r="N20" i="284"/>
  <c r="K29" i="304"/>
  <c r="L20" i="218" s="1"/>
  <c r="L20" i="217"/>
  <c r="O17" i="304"/>
  <c r="P20" i="142" s="1"/>
  <c r="P20" i="197"/>
  <c r="M38" i="304"/>
  <c r="N20" i="224" s="1"/>
  <c r="N20" i="283"/>
  <c r="N7" i="304"/>
  <c r="O20" i="207"/>
  <c r="N29" i="304"/>
  <c r="O20" i="218" s="1"/>
  <c r="O20" i="217"/>
  <c r="K7" i="304"/>
  <c r="L20" i="207"/>
  <c r="J43" i="304"/>
  <c r="K20" i="287" s="1"/>
  <c r="K20" i="284"/>
  <c r="J38" i="304"/>
  <c r="K20" i="224" s="1"/>
  <c r="K20" i="283"/>
  <c r="J7" i="304"/>
  <c r="K20" i="207"/>
  <c r="J29" i="304"/>
  <c r="K20" i="218" s="1"/>
  <c r="K20" i="217"/>
  <c r="I7" i="304"/>
  <c r="J20" i="299" s="1"/>
  <c r="J20" i="207"/>
  <c r="I38" i="304"/>
  <c r="J20" i="224" s="1"/>
  <c r="J20" i="283"/>
  <c r="I29" i="304"/>
  <c r="J20" i="218" s="1"/>
  <c r="J20" i="217"/>
  <c r="I43" i="304"/>
  <c r="J20" i="287" s="1"/>
  <c r="J20" i="284"/>
  <c r="H19" i="304"/>
  <c r="H22" i="304" s="1"/>
  <c r="H11" i="304"/>
  <c r="I20" i="197"/>
  <c r="H38" i="304"/>
  <c r="I20" i="224" s="1"/>
  <c r="I20" i="283"/>
  <c r="H7" i="304"/>
  <c r="I20" i="207"/>
  <c r="H29" i="304"/>
  <c r="I20" i="218" s="1"/>
  <c r="I20" i="217"/>
  <c r="G29" i="304"/>
  <c r="H20" i="218" s="1"/>
  <c r="H20" i="217"/>
  <c r="G19" i="304"/>
  <c r="G22" i="304" s="1"/>
  <c r="G7" i="304"/>
  <c r="H20" i="299" s="1"/>
  <c r="H20" i="207"/>
  <c r="G43" i="304"/>
  <c r="H20" i="287" s="1"/>
  <c r="F19" i="304"/>
  <c r="F22" i="304" s="1"/>
  <c r="G20" i="284"/>
  <c r="F38" i="304"/>
  <c r="G20" i="224" s="1"/>
  <c r="G20" i="283"/>
  <c r="F7" i="304"/>
  <c r="G20" i="207"/>
  <c r="F29" i="304"/>
  <c r="G20" i="218" s="1"/>
  <c r="G20" i="217"/>
  <c r="E7" i="304"/>
  <c r="F20" i="207"/>
  <c r="E38" i="304"/>
  <c r="F20" i="224" s="1"/>
  <c r="F20" i="283"/>
  <c r="E29" i="304"/>
  <c r="F20" i="218" s="1"/>
  <c r="F20" i="217"/>
  <c r="D7" i="304"/>
  <c r="E20" i="207"/>
  <c r="D19" i="304"/>
  <c r="D22" i="304" s="1"/>
  <c r="D43" i="304"/>
  <c r="E20" i="287" s="1"/>
  <c r="E43" i="304"/>
  <c r="F20" i="287" s="1"/>
  <c r="F20" i="284"/>
  <c r="D38" i="304"/>
  <c r="E20" i="224" s="1"/>
  <c r="E20" i="283"/>
  <c r="D29" i="304"/>
  <c r="E20" i="218" s="1"/>
  <c r="E20" i="217"/>
  <c r="D11" i="304"/>
  <c r="E20" i="197"/>
  <c r="M19" i="304"/>
  <c r="M22" i="304" s="1"/>
  <c r="O11" i="304"/>
  <c r="J19" i="304"/>
  <c r="J22" i="304" s="1"/>
  <c r="L17" i="304"/>
  <c r="M20" i="142" s="1"/>
  <c r="H17" i="304"/>
  <c r="I20" i="142" s="1"/>
  <c r="O43" i="304"/>
  <c r="P20" i="287" s="1"/>
  <c r="O19" i="304"/>
  <c r="O22" i="304" s="1"/>
  <c r="I17" i="304"/>
  <c r="J20" i="142" s="1"/>
  <c r="I11" i="304"/>
  <c r="N17" i="304"/>
  <c r="O20" i="142" s="1"/>
  <c r="N11" i="304"/>
  <c r="E17" i="304"/>
  <c r="F20" i="142" s="1"/>
  <c r="E11" i="304"/>
  <c r="J17" i="304"/>
  <c r="K20" i="142" s="1"/>
  <c r="J11" i="304"/>
  <c r="K37" i="304"/>
  <c r="K15" i="304"/>
  <c r="L20" i="197" s="1"/>
  <c r="F11" i="304"/>
  <c r="F17" i="304"/>
  <c r="G20" i="142" s="1"/>
  <c r="G37" i="304"/>
  <c r="G15" i="304"/>
  <c r="H20" i="197" s="1"/>
  <c r="M17" i="304"/>
  <c r="N20" i="142" s="1"/>
  <c r="M11" i="304"/>
  <c r="D17" i="304"/>
  <c r="E20" i="142" s="1"/>
  <c r="E10" i="288"/>
  <c r="F23" i="301" s="1"/>
  <c r="F10" i="288"/>
  <c r="G23" i="301" s="1"/>
  <c r="G10" i="288"/>
  <c r="H23" i="301" s="1"/>
  <c r="H10" i="288"/>
  <c r="I23" i="301" s="1"/>
  <c r="I10" i="288"/>
  <c r="J23" i="301" s="1"/>
  <c r="J10" i="288"/>
  <c r="K23" i="301" s="1"/>
  <c r="K10" i="288"/>
  <c r="L23" i="301" s="1"/>
  <c r="L10" i="288"/>
  <c r="M23" i="301" s="1"/>
  <c r="M10" i="288"/>
  <c r="N23" i="301" s="1"/>
  <c r="N10" i="288"/>
  <c r="O23" i="301" s="1"/>
  <c r="O10" i="288"/>
  <c r="P23" i="301" s="1"/>
  <c r="L6" i="304" l="1"/>
  <c r="M20" i="302"/>
  <c r="N6" i="304"/>
  <c r="O20" i="302"/>
  <c r="M20" i="299"/>
  <c r="N8" i="304"/>
  <c r="O20" i="300" s="1"/>
  <c r="O20" i="299"/>
  <c r="K38" i="304"/>
  <c r="L20" i="224" s="1"/>
  <c r="L20" i="283"/>
  <c r="N20" i="299"/>
  <c r="O6" i="304"/>
  <c r="P20" i="302"/>
  <c r="M6" i="304"/>
  <c r="M8" i="304" s="1"/>
  <c r="N20" i="300" s="1"/>
  <c r="N20" i="302"/>
  <c r="P20" i="299"/>
  <c r="L20" i="299"/>
  <c r="F20" i="302"/>
  <c r="E6" i="304"/>
  <c r="J6" i="304"/>
  <c r="J8" i="304" s="1"/>
  <c r="K20" i="300" s="1"/>
  <c r="K20" i="302"/>
  <c r="K20" i="299"/>
  <c r="I6" i="304"/>
  <c r="J20" i="302"/>
  <c r="H6" i="304"/>
  <c r="H8" i="304" s="1"/>
  <c r="I20" i="300" s="1"/>
  <c r="I20" i="302"/>
  <c r="I20" i="299"/>
  <c r="G38" i="304"/>
  <c r="H20" i="224" s="1"/>
  <c r="H20" i="283"/>
  <c r="F6" i="304"/>
  <c r="F8" i="304" s="1"/>
  <c r="G20" i="300" s="1"/>
  <c r="G20" i="302"/>
  <c r="G20" i="299"/>
  <c r="F20" i="299"/>
  <c r="D6" i="304"/>
  <c r="D8" i="304"/>
  <c r="E20" i="300" s="1"/>
  <c r="E20" i="299"/>
  <c r="E20" i="302"/>
  <c r="G17" i="304"/>
  <c r="H20" i="142" s="1"/>
  <c r="G11" i="304"/>
  <c r="K17" i="304"/>
  <c r="L20" i="142" s="1"/>
  <c r="K11" i="304"/>
  <c r="M20" i="298" l="1"/>
  <c r="L10" i="304"/>
  <c r="F20" i="298"/>
  <c r="E10" i="304"/>
  <c r="K6" i="304"/>
  <c r="L20" i="302"/>
  <c r="L8" i="304"/>
  <c r="M20" i="300" s="1"/>
  <c r="O20" i="298"/>
  <c r="N10" i="304"/>
  <c r="N20" i="298"/>
  <c r="M10" i="304"/>
  <c r="P20" i="298"/>
  <c r="O10" i="304"/>
  <c r="E8" i="304"/>
  <c r="F20" i="300" s="1"/>
  <c r="O8" i="304"/>
  <c r="P20" i="300" s="1"/>
  <c r="K20" i="298"/>
  <c r="J10" i="304"/>
  <c r="J20" i="298"/>
  <c r="I10" i="304"/>
  <c r="I8" i="304"/>
  <c r="J20" i="300" s="1"/>
  <c r="I20" i="298"/>
  <c r="H10" i="304"/>
  <c r="G6" i="304"/>
  <c r="H20" i="302"/>
  <c r="G20" i="298"/>
  <c r="F10" i="304"/>
  <c r="E20" i="298"/>
  <c r="D10" i="304"/>
  <c r="N79" i="288"/>
  <c r="O23" i="118" s="1"/>
  <c r="N97" i="288"/>
  <c r="O23" i="174" s="1"/>
  <c r="L20" i="298" l="1"/>
  <c r="K10" i="304"/>
  <c r="K8" i="304"/>
  <c r="L20" i="300" s="1"/>
  <c r="P20" i="301"/>
  <c r="O12" i="304"/>
  <c r="P20" i="303" s="1"/>
  <c r="O13" i="304"/>
  <c r="F20" i="301"/>
  <c r="E12" i="304"/>
  <c r="F20" i="303" s="1"/>
  <c r="E13" i="304"/>
  <c r="N20" i="301"/>
  <c r="M13" i="304"/>
  <c r="M12" i="304"/>
  <c r="N20" i="303" s="1"/>
  <c r="M20" i="301"/>
  <c r="L12" i="304"/>
  <c r="M20" i="303" s="1"/>
  <c r="L13" i="304"/>
  <c r="O20" i="301"/>
  <c r="N12" i="304"/>
  <c r="O20" i="303" s="1"/>
  <c r="N13" i="304"/>
  <c r="K20" i="301"/>
  <c r="J12" i="304"/>
  <c r="K20" i="303" s="1"/>
  <c r="J13" i="304"/>
  <c r="J20" i="301"/>
  <c r="I13" i="304"/>
  <c r="I12" i="304"/>
  <c r="J20" i="303" s="1"/>
  <c r="I20" i="301"/>
  <c r="H13" i="304"/>
  <c r="H12" i="304"/>
  <c r="I20" i="303" s="1"/>
  <c r="H20" i="298"/>
  <c r="G10" i="304"/>
  <c r="G8" i="304"/>
  <c r="H20" i="300" s="1"/>
  <c r="G20" i="301"/>
  <c r="F12" i="304"/>
  <c r="G20" i="303" s="1"/>
  <c r="F13" i="304"/>
  <c r="E20" i="301"/>
  <c r="D13" i="304"/>
  <c r="D12" i="304"/>
  <c r="E20" i="303" s="1"/>
  <c r="K58" i="288"/>
  <c r="L23" i="123" l="1"/>
  <c r="K27" i="288"/>
  <c r="L23" i="216" s="1"/>
  <c r="L20" i="301"/>
  <c r="K12" i="304"/>
  <c r="L20" i="303" s="1"/>
  <c r="K13" i="304"/>
  <c r="H20" i="301"/>
  <c r="G12" i="304"/>
  <c r="H20" i="303" s="1"/>
  <c r="G13" i="304"/>
  <c r="N127" i="288"/>
  <c r="O23" i="291" s="1"/>
  <c r="O127" i="288"/>
  <c r="P23" i="291" s="1"/>
  <c r="M127" i="288"/>
  <c r="N23" i="291" s="1"/>
  <c r="M97" i="288"/>
  <c r="N23" i="174" s="1"/>
  <c r="M79" i="288"/>
  <c r="N23" i="118" s="1"/>
  <c r="M77" i="233" l="1"/>
  <c r="N77" i="233"/>
  <c r="O77" i="233"/>
  <c r="D77" i="233"/>
  <c r="E77" i="233"/>
  <c r="F77" i="233"/>
  <c r="G77" i="233"/>
  <c r="H77" i="233"/>
  <c r="I77" i="233"/>
  <c r="J77" i="233"/>
  <c r="K77" i="233"/>
  <c r="L77" i="233"/>
  <c r="L127" i="288" l="1"/>
  <c r="M23" i="291" s="1"/>
  <c r="L97" i="288"/>
  <c r="M23" i="174" s="1"/>
  <c r="L79" i="288"/>
  <c r="M23" i="118" s="1"/>
  <c r="K79" i="288" l="1"/>
  <c r="L23" i="118" s="1"/>
  <c r="K127" i="288"/>
  <c r="L23" i="291" s="1"/>
  <c r="K97" i="288"/>
  <c r="L23" i="174" s="1"/>
  <c r="J79" i="288" l="1"/>
  <c r="K23" i="118" s="1"/>
  <c r="J97" i="288"/>
  <c r="K23" i="174" s="1"/>
  <c r="F19" i="114" l="1"/>
  <c r="G19" i="114"/>
  <c r="H19" i="114"/>
  <c r="I19" i="114"/>
  <c r="J19" i="114"/>
  <c r="K19" i="114"/>
  <c r="L19" i="114"/>
  <c r="M19" i="114"/>
  <c r="N19" i="114"/>
  <c r="O19" i="114"/>
  <c r="P19" i="114"/>
  <c r="E19" i="114"/>
  <c r="F19" i="113"/>
  <c r="G19" i="113"/>
  <c r="H19" i="113"/>
  <c r="I19" i="113"/>
  <c r="J19" i="113"/>
  <c r="K19" i="113"/>
  <c r="L19" i="113"/>
  <c r="M19" i="113"/>
  <c r="N19" i="113"/>
  <c r="O19" i="113"/>
  <c r="P19" i="113"/>
  <c r="E19" i="113"/>
  <c r="F19" i="121"/>
  <c r="G19" i="121"/>
  <c r="H19" i="121"/>
  <c r="I19" i="121"/>
  <c r="J19" i="121"/>
  <c r="K19" i="121"/>
  <c r="L19" i="121"/>
  <c r="M19" i="121"/>
  <c r="N19" i="121"/>
  <c r="O19" i="121"/>
  <c r="P19" i="121"/>
  <c r="E19" i="121"/>
  <c r="F19" i="120"/>
  <c r="G19" i="120"/>
  <c r="H19" i="120"/>
  <c r="I19" i="120"/>
  <c r="J19" i="120"/>
  <c r="K19" i="120"/>
  <c r="L19" i="120"/>
  <c r="M19" i="120"/>
  <c r="N19" i="120"/>
  <c r="O19" i="120"/>
  <c r="P19" i="120"/>
  <c r="E19" i="120"/>
  <c r="I97" i="288" l="1"/>
  <c r="J23" i="174" s="1"/>
  <c r="I79" i="288"/>
  <c r="J23" i="118" s="1"/>
  <c r="H79" i="288" l="1"/>
  <c r="I23" i="118" s="1"/>
  <c r="H97" i="288"/>
  <c r="I23" i="174" s="1"/>
  <c r="G97" i="288" l="1"/>
  <c r="H23" i="174" s="1"/>
  <c r="G79" i="288"/>
  <c r="H23" i="118" s="1"/>
  <c r="L77" i="288" l="1"/>
  <c r="M23" i="297" s="1"/>
  <c r="M77" i="288"/>
  <c r="N23" i="297" s="1"/>
  <c r="N77" i="288"/>
  <c r="O23" i="297" s="1"/>
  <c r="O77" i="288"/>
  <c r="P23" i="297" s="1"/>
  <c r="F77" i="288"/>
  <c r="G23" i="297" s="1"/>
  <c r="G77" i="288"/>
  <c r="H23" i="297" s="1"/>
  <c r="H77" i="288"/>
  <c r="I23" i="297" s="1"/>
  <c r="I77" i="288"/>
  <c r="J23" i="297" s="1"/>
  <c r="J77" i="288"/>
  <c r="K23" i="297" s="1"/>
  <c r="K77" i="288"/>
  <c r="L23" i="297" s="1"/>
  <c r="F79" i="288"/>
  <c r="G23" i="118" s="1"/>
  <c r="F97" i="288"/>
  <c r="G23" i="174" s="1"/>
  <c r="B1" i="303" l="1"/>
  <c r="D23" i="303"/>
  <c r="D30" i="303" s="1"/>
  <c r="D22" i="303"/>
  <c r="D29" i="303" s="1"/>
  <c r="D21" i="303"/>
  <c r="D28" i="303" s="1"/>
  <c r="D20" i="303"/>
  <c r="D27" i="303" s="1"/>
  <c r="D19" i="303"/>
  <c r="D26" i="303" s="1"/>
  <c r="P18" i="303"/>
  <c r="P25" i="303" s="1"/>
  <c r="O18" i="303"/>
  <c r="O25" i="303" s="1"/>
  <c r="N18" i="303"/>
  <c r="N25" i="303" s="1"/>
  <c r="M18" i="303"/>
  <c r="M25" i="303" s="1"/>
  <c r="L18" i="303"/>
  <c r="L25" i="303" s="1"/>
  <c r="K18" i="303"/>
  <c r="K25" i="303" s="1"/>
  <c r="J18" i="303"/>
  <c r="J25" i="303" s="1"/>
  <c r="I18" i="303"/>
  <c r="I25" i="303" s="1"/>
  <c r="H18" i="303"/>
  <c r="H25" i="303" s="1"/>
  <c r="G18" i="303"/>
  <c r="G25" i="303" s="1"/>
  <c r="F18" i="303"/>
  <c r="F25" i="303" s="1"/>
  <c r="E18" i="303"/>
  <c r="E25" i="303" s="1"/>
  <c r="B1" i="302"/>
  <c r="D23" i="302"/>
  <c r="D30" i="302" s="1"/>
  <c r="D22" i="302"/>
  <c r="D29" i="302" s="1"/>
  <c r="D21" i="302"/>
  <c r="D28" i="302" s="1"/>
  <c r="D20" i="302"/>
  <c r="D27" i="302" s="1"/>
  <c r="D19" i="302"/>
  <c r="D26" i="302" s="1"/>
  <c r="P18" i="302"/>
  <c r="P25" i="302" s="1"/>
  <c r="O18" i="302"/>
  <c r="O25" i="302" s="1"/>
  <c r="N18" i="302"/>
  <c r="N25" i="302" s="1"/>
  <c r="M18" i="302"/>
  <c r="M25" i="302" s="1"/>
  <c r="L18" i="302"/>
  <c r="L25" i="302" s="1"/>
  <c r="K18" i="302"/>
  <c r="K25" i="302" s="1"/>
  <c r="J18" i="302"/>
  <c r="J25" i="302" s="1"/>
  <c r="I18" i="302"/>
  <c r="I25" i="302" s="1"/>
  <c r="H18" i="302"/>
  <c r="H25" i="302" s="1"/>
  <c r="G18" i="302"/>
  <c r="G25" i="302" s="1"/>
  <c r="F18" i="302"/>
  <c r="F25" i="302" s="1"/>
  <c r="E18" i="302"/>
  <c r="E25" i="302" s="1"/>
  <c r="B1" i="301"/>
  <c r="D10" i="288"/>
  <c r="E23" i="301" s="1"/>
  <c r="A11" i="288"/>
  <c r="B11" i="288"/>
  <c r="C11" i="288"/>
  <c r="A12" i="288"/>
  <c r="B12" i="288"/>
  <c r="C12" i="288"/>
  <c r="B10" i="288"/>
  <c r="C10" i="288"/>
  <c r="A9" i="288"/>
  <c r="A10" i="288"/>
  <c r="E10" i="233"/>
  <c r="F19" i="301" s="1"/>
  <c r="F10" i="233"/>
  <c r="I10" i="233"/>
  <c r="J19" i="301" s="1"/>
  <c r="A11" i="233"/>
  <c r="B11" i="233"/>
  <c r="C11" i="233"/>
  <c r="A12" i="233"/>
  <c r="B12" i="233"/>
  <c r="C12" i="233"/>
  <c r="B10" i="233"/>
  <c r="C10" i="233"/>
  <c r="A9" i="233"/>
  <c r="A10" i="233"/>
  <c r="D30" i="301"/>
  <c r="D29" i="301"/>
  <c r="D28" i="301"/>
  <c r="D27" i="301"/>
  <c r="D26" i="301"/>
  <c r="P25" i="301"/>
  <c r="O25" i="301"/>
  <c r="N25" i="301"/>
  <c r="M25" i="301"/>
  <c r="L25" i="301"/>
  <c r="K25" i="301"/>
  <c r="J25" i="301"/>
  <c r="I25" i="301"/>
  <c r="H25" i="301"/>
  <c r="G25" i="301"/>
  <c r="F25" i="301"/>
  <c r="E25" i="301"/>
  <c r="C2" i="301"/>
  <c r="I1" i="301"/>
  <c r="J21" i="301" l="1"/>
  <c r="M27" i="301"/>
  <c r="N21" i="301"/>
  <c r="I1" i="302"/>
  <c r="P19" i="301"/>
  <c r="P22" i="301" s="1"/>
  <c r="O19" i="301"/>
  <c r="G19" i="301"/>
  <c r="G21" i="301" s="1"/>
  <c r="I1" i="303"/>
  <c r="F22" i="301"/>
  <c r="F21" i="301"/>
  <c r="J22" i="301"/>
  <c r="E27" i="301"/>
  <c r="N27" i="301"/>
  <c r="K27" i="301"/>
  <c r="O27" i="301" l="1"/>
  <c r="P21" i="301"/>
  <c r="G27" i="301"/>
  <c r="L27" i="301"/>
  <c r="P27" i="301"/>
  <c r="J27" i="301"/>
  <c r="F27" i="301"/>
  <c r="I27" i="301"/>
  <c r="H27" i="301"/>
  <c r="O22" i="301"/>
  <c r="O21" i="301"/>
  <c r="G22" i="301"/>
  <c r="M21" i="301"/>
  <c r="S4" i="301"/>
  <c r="B1" i="300"/>
  <c r="D23" i="300"/>
  <c r="D30" i="300" s="1"/>
  <c r="D22" i="300"/>
  <c r="D29" i="300" s="1"/>
  <c r="D21" i="300"/>
  <c r="D28" i="300" s="1"/>
  <c r="D20" i="300"/>
  <c r="D27" i="300" s="1"/>
  <c r="D19" i="300"/>
  <c r="D26" i="300" s="1"/>
  <c r="P18" i="300"/>
  <c r="P25" i="300" s="1"/>
  <c r="O18" i="300"/>
  <c r="O25" i="300" s="1"/>
  <c r="N18" i="300"/>
  <c r="N25" i="300" s="1"/>
  <c r="M18" i="300"/>
  <c r="M25" i="300" s="1"/>
  <c r="L18" i="300"/>
  <c r="L25" i="300" s="1"/>
  <c r="K18" i="300"/>
  <c r="K25" i="300" s="1"/>
  <c r="J18" i="300"/>
  <c r="J25" i="300" s="1"/>
  <c r="I18" i="300"/>
  <c r="I25" i="300" s="1"/>
  <c r="H18" i="300"/>
  <c r="H25" i="300" s="1"/>
  <c r="G18" i="300"/>
  <c r="G25" i="300" s="1"/>
  <c r="F18" i="300"/>
  <c r="F25" i="300" s="1"/>
  <c r="E18" i="300"/>
  <c r="E25" i="300" s="1"/>
  <c r="F19" i="299"/>
  <c r="G19" i="299"/>
  <c r="H19" i="299"/>
  <c r="I19" i="299"/>
  <c r="J19" i="299"/>
  <c r="K19" i="299"/>
  <c r="L19" i="299"/>
  <c r="M19" i="299"/>
  <c r="N19" i="299"/>
  <c r="O19" i="299"/>
  <c r="P19" i="299"/>
  <c r="E19" i="299"/>
  <c r="E26" i="299" s="1"/>
  <c r="B1" i="299"/>
  <c r="D23" i="299"/>
  <c r="D30" i="299" s="1"/>
  <c r="D22" i="299"/>
  <c r="D29" i="299" s="1"/>
  <c r="D21" i="299"/>
  <c r="D28" i="299" s="1"/>
  <c r="D20" i="299"/>
  <c r="D27" i="299" s="1"/>
  <c r="D19" i="299"/>
  <c r="D26" i="299" s="1"/>
  <c r="P18" i="299"/>
  <c r="P25" i="299" s="1"/>
  <c r="O18" i="299"/>
  <c r="O25" i="299" s="1"/>
  <c r="N18" i="299"/>
  <c r="N25" i="299" s="1"/>
  <c r="M18" i="299"/>
  <c r="M25" i="299" s="1"/>
  <c r="L18" i="299"/>
  <c r="L25" i="299" s="1"/>
  <c r="K18" i="299"/>
  <c r="K25" i="299" s="1"/>
  <c r="J18" i="299"/>
  <c r="J25" i="299" s="1"/>
  <c r="I18" i="299"/>
  <c r="I25" i="299" s="1"/>
  <c r="H18" i="299"/>
  <c r="H25" i="299" s="1"/>
  <c r="G18" i="299"/>
  <c r="G25" i="299" s="1"/>
  <c r="F18" i="299"/>
  <c r="F25" i="299" s="1"/>
  <c r="E18" i="299"/>
  <c r="E25" i="299" s="1"/>
  <c r="I1" i="299"/>
  <c r="F19" i="298"/>
  <c r="G19" i="298"/>
  <c r="J19" i="298"/>
  <c r="O19" i="298"/>
  <c r="P19" i="298"/>
  <c r="B1" i="298"/>
  <c r="D30" i="298"/>
  <c r="D29" i="298"/>
  <c r="D28" i="298"/>
  <c r="D27" i="298"/>
  <c r="D26" i="298"/>
  <c r="P25" i="298"/>
  <c r="O25" i="298"/>
  <c r="N25" i="298"/>
  <c r="M25" i="298"/>
  <c r="L25" i="298"/>
  <c r="K25" i="298"/>
  <c r="J25" i="298"/>
  <c r="I25" i="298"/>
  <c r="H25" i="298"/>
  <c r="G25" i="298"/>
  <c r="F25" i="298"/>
  <c r="E25" i="298"/>
  <c r="C2" i="298"/>
  <c r="I1" i="298"/>
  <c r="C5" i="288"/>
  <c r="B5" i="288"/>
  <c r="A5" i="288"/>
  <c r="C6" i="288"/>
  <c r="C7" i="288"/>
  <c r="C8" i="288"/>
  <c r="C13" i="288"/>
  <c r="C14" i="288"/>
  <c r="B6" i="288"/>
  <c r="B7" i="288"/>
  <c r="B8" i="288"/>
  <c r="B13" i="288"/>
  <c r="A6" i="288"/>
  <c r="A7" i="288"/>
  <c r="A8" i="288"/>
  <c r="A13" i="288"/>
  <c r="E8" i="233"/>
  <c r="F19" i="300" s="1"/>
  <c r="F8" i="233"/>
  <c r="G19" i="300" s="1"/>
  <c r="I8" i="233"/>
  <c r="J19" i="300" s="1"/>
  <c r="N8" i="233"/>
  <c r="O19" i="300" s="1"/>
  <c r="O8" i="233"/>
  <c r="P19" i="300" s="1"/>
  <c r="P22" i="298" l="1"/>
  <c r="O22" i="298"/>
  <c r="G22" i="298"/>
  <c r="I1" i="300"/>
  <c r="P26" i="299"/>
  <c r="I26" i="299"/>
  <c r="M26" i="299"/>
  <c r="F26" i="299"/>
  <c r="J26" i="299"/>
  <c r="N26" i="299"/>
  <c r="G26" i="299"/>
  <c r="K26" i="299"/>
  <c r="O26" i="299"/>
  <c r="H26" i="299"/>
  <c r="L26" i="299"/>
  <c r="O27" i="298"/>
  <c r="F21" i="298"/>
  <c r="J22" i="298"/>
  <c r="J21" i="298"/>
  <c r="N21" i="298"/>
  <c r="F22" i="298"/>
  <c r="H27" i="298"/>
  <c r="L27" i="298"/>
  <c r="P27" i="298"/>
  <c r="G21" i="298"/>
  <c r="O21" i="298"/>
  <c r="E27" i="298"/>
  <c r="I27" i="298"/>
  <c r="M27" i="298"/>
  <c r="L21" i="298"/>
  <c r="P21" i="298"/>
  <c r="F27" i="298"/>
  <c r="J27" i="298"/>
  <c r="N27" i="298"/>
  <c r="M21" i="298"/>
  <c r="G27" i="298"/>
  <c r="K27" i="298"/>
  <c r="S5" i="299" l="1"/>
  <c r="S6" i="299" s="1"/>
  <c r="S4" i="298"/>
  <c r="C5" i="233" l="1"/>
  <c r="B5" i="233"/>
  <c r="A5" i="233"/>
  <c r="A7" i="233"/>
  <c r="B7" i="233"/>
  <c r="C7" i="233"/>
  <c r="A8" i="233"/>
  <c r="B8" i="233"/>
  <c r="C8" i="233"/>
  <c r="B6" i="233"/>
  <c r="C6" i="233"/>
  <c r="A6" i="233"/>
  <c r="A13" i="233"/>
  <c r="E40" i="288" l="1"/>
  <c r="F23" i="282" s="1"/>
  <c r="F40" i="288"/>
  <c r="G23" i="282" s="1"/>
  <c r="G40" i="288"/>
  <c r="H23" i="282" s="1"/>
  <c r="H40" i="288"/>
  <c r="I23" i="282" s="1"/>
  <c r="I40" i="288"/>
  <c r="J23" i="282" s="1"/>
  <c r="J40" i="288"/>
  <c r="K23" i="282" s="1"/>
  <c r="K40" i="288"/>
  <c r="L23" i="282" s="1"/>
  <c r="L40" i="288"/>
  <c r="M23" i="282" s="1"/>
  <c r="M40" i="288"/>
  <c r="N23" i="282" s="1"/>
  <c r="N40" i="288"/>
  <c r="O23" i="282" s="1"/>
  <c r="O40" i="288"/>
  <c r="P23" i="282" s="1"/>
  <c r="E41" i="288"/>
  <c r="F23" i="286" s="1"/>
  <c r="F41" i="288"/>
  <c r="G23" i="286" s="1"/>
  <c r="G41" i="288"/>
  <c r="H23" i="286" s="1"/>
  <c r="H41" i="288"/>
  <c r="I23" i="286" s="1"/>
  <c r="I41" i="288"/>
  <c r="J23" i="286" s="1"/>
  <c r="J41" i="288"/>
  <c r="K23" i="286" s="1"/>
  <c r="K41" i="288"/>
  <c r="L23" i="286" s="1"/>
  <c r="L41" i="288"/>
  <c r="M23" i="286" s="1"/>
  <c r="M41" i="288"/>
  <c r="N23" i="286" s="1"/>
  <c r="N41" i="288"/>
  <c r="O23" i="286" s="1"/>
  <c r="O41" i="288"/>
  <c r="P23" i="286" s="1"/>
  <c r="E35" i="288"/>
  <c r="F23" i="236" s="1"/>
  <c r="F35" i="288"/>
  <c r="G23" i="236" s="1"/>
  <c r="G35" i="288"/>
  <c r="H23" i="236" s="1"/>
  <c r="H35" i="288"/>
  <c r="I23" i="236" s="1"/>
  <c r="I35" i="288"/>
  <c r="J23" i="236" s="1"/>
  <c r="J35" i="288"/>
  <c r="K23" i="236" s="1"/>
  <c r="K35" i="288"/>
  <c r="L23" i="236" s="1"/>
  <c r="L35" i="288"/>
  <c r="M23" i="236" s="1"/>
  <c r="M35" i="288"/>
  <c r="N23" i="236" s="1"/>
  <c r="N35" i="288"/>
  <c r="O23" i="236" s="1"/>
  <c r="O35" i="288"/>
  <c r="P23" i="236" s="1"/>
  <c r="E36" i="288"/>
  <c r="F23" i="222" s="1"/>
  <c r="F36" i="288"/>
  <c r="G23" i="222" s="1"/>
  <c r="G36" i="288"/>
  <c r="H23" i="222" s="1"/>
  <c r="H36" i="288"/>
  <c r="I23" i="222" s="1"/>
  <c r="I36" i="288"/>
  <c r="J23" i="222" s="1"/>
  <c r="J36" i="288"/>
  <c r="K23" i="222" s="1"/>
  <c r="K36" i="288"/>
  <c r="L23" i="222" s="1"/>
  <c r="L36" i="288"/>
  <c r="M23" i="222" s="1"/>
  <c r="M36" i="288"/>
  <c r="N23" i="222" s="1"/>
  <c r="N36" i="288"/>
  <c r="O23" i="222" s="1"/>
  <c r="O36" i="288"/>
  <c r="P23" i="222" s="1"/>
  <c r="E77" i="288"/>
  <c r="F23" i="297" s="1"/>
  <c r="E26" i="288"/>
  <c r="F23" i="215" s="1"/>
  <c r="F26" i="288"/>
  <c r="G23" i="215" s="1"/>
  <c r="G26" i="288"/>
  <c r="H23" i="215" s="1"/>
  <c r="H26" i="288"/>
  <c r="I23" i="215" s="1"/>
  <c r="I26" i="288"/>
  <c r="J23" i="215" s="1"/>
  <c r="J26" i="288"/>
  <c r="K23" i="215" s="1"/>
  <c r="K26" i="288"/>
  <c r="L23" i="215" s="1"/>
  <c r="L26" i="288"/>
  <c r="M23" i="215" s="1"/>
  <c r="M26" i="288"/>
  <c r="N23" i="215" s="1"/>
  <c r="N26" i="288"/>
  <c r="O23" i="215" s="1"/>
  <c r="O26" i="288"/>
  <c r="P23" i="215" s="1"/>
  <c r="D26" i="288" l="1"/>
  <c r="E23" i="215" s="1"/>
  <c r="D77" i="288"/>
  <c r="E23" i="297" s="1"/>
  <c r="F19" i="297"/>
  <c r="G19" i="297"/>
  <c r="H19" i="297"/>
  <c r="I19" i="297"/>
  <c r="J19" i="297"/>
  <c r="K19" i="297"/>
  <c r="L19" i="297"/>
  <c r="M19" i="297"/>
  <c r="N19" i="297"/>
  <c r="O19" i="297"/>
  <c r="P19" i="297"/>
  <c r="E19" i="297"/>
  <c r="B1" i="297"/>
  <c r="D23" i="297"/>
  <c r="D30" i="297" s="1"/>
  <c r="D22" i="297"/>
  <c r="D29" i="297" s="1"/>
  <c r="D21" i="297"/>
  <c r="D28" i="297" s="1"/>
  <c r="D20" i="297"/>
  <c r="D27" i="297" s="1"/>
  <c r="D19" i="297"/>
  <c r="D26" i="297" s="1"/>
  <c r="P18" i="297"/>
  <c r="P25" i="297" s="1"/>
  <c r="O18" i="297"/>
  <c r="O25" i="297" s="1"/>
  <c r="N18" i="297"/>
  <c r="N25" i="297" s="1"/>
  <c r="M18" i="297"/>
  <c r="M25" i="297" s="1"/>
  <c r="L18" i="297"/>
  <c r="L25" i="297" s="1"/>
  <c r="K18" i="297"/>
  <c r="K25" i="297" s="1"/>
  <c r="J18" i="297"/>
  <c r="J25" i="297" s="1"/>
  <c r="I18" i="297"/>
  <c r="I25" i="297" s="1"/>
  <c r="H18" i="297"/>
  <c r="H25" i="297" s="1"/>
  <c r="G18" i="297"/>
  <c r="G25" i="297" s="1"/>
  <c r="F18" i="297"/>
  <c r="F25" i="297" s="1"/>
  <c r="E18" i="297"/>
  <c r="E25" i="297" s="1"/>
  <c r="F19" i="296"/>
  <c r="G19" i="296"/>
  <c r="H19" i="296"/>
  <c r="I19" i="296"/>
  <c r="J19" i="296"/>
  <c r="K19" i="296"/>
  <c r="L19" i="296"/>
  <c r="M19" i="296"/>
  <c r="N19" i="296"/>
  <c r="O19" i="296"/>
  <c r="P19" i="296"/>
  <c r="E19" i="296"/>
  <c r="E26" i="296" s="1"/>
  <c r="B1" i="296"/>
  <c r="Q23" i="296"/>
  <c r="D23" i="296"/>
  <c r="D30" i="296" s="1"/>
  <c r="D22" i="296"/>
  <c r="D29" i="296" s="1"/>
  <c r="D21" i="296"/>
  <c r="D28" i="296" s="1"/>
  <c r="D20" i="296"/>
  <c r="D27" i="296" s="1"/>
  <c r="D19" i="296"/>
  <c r="D26" i="296" s="1"/>
  <c r="P18" i="296"/>
  <c r="P25" i="296" s="1"/>
  <c r="O18" i="296"/>
  <c r="O25" i="296" s="1"/>
  <c r="N18" i="296"/>
  <c r="N25" i="296" s="1"/>
  <c r="M18" i="296"/>
  <c r="M25" i="296" s="1"/>
  <c r="L18" i="296"/>
  <c r="L25" i="296" s="1"/>
  <c r="K18" i="296"/>
  <c r="K25" i="296" s="1"/>
  <c r="J18" i="296"/>
  <c r="J25" i="296" s="1"/>
  <c r="I18" i="296"/>
  <c r="I25" i="296" s="1"/>
  <c r="H18" i="296"/>
  <c r="H25" i="296" s="1"/>
  <c r="G18" i="296"/>
  <c r="G25" i="296" s="1"/>
  <c r="F18" i="296"/>
  <c r="F25" i="296" s="1"/>
  <c r="E18" i="296"/>
  <c r="E25" i="296" s="1"/>
  <c r="J4" i="296"/>
  <c r="F19" i="295"/>
  <c r="G19" i="295"/>
  <c r="H19" i="295"/>
  <c r="I19" i="295"/>
  <c r="J19" i="295"/>
  <c r="K19" i="295"/>
  <c r="L19" i="295"/>
  <c r="M19" i="295"/>
  <c r="N19" i="295"/>
  <c r="O19" i="295"/>
  <c r="P19" i="295"/>
  <c r="E19" i="295"/>
  <c r="E26" i="295" s="1"/>
  <c r="B1" i="295"/>
  <c r="D23" i="295"/>
  <c r="D30" i="295" s="1"/>
  <c r="D22" i="295"/>
  <c r="D29" i="295" s="1"/>
  <c r="D21" i="295"/>
  <c r="D28" i="295" s="1"/>
  <c r="D20" i="295"/>
  <c r="D27" i="295" s="1"/>
  <c r="D19" i="295"/>
  <c r="D26" i="295" s="1"/>
  <c r="P18" i="295"/>
  <c r="P25" i="295" s="1"/>
  <c r="O18" i="295"/>
  <c r="O25" i="295" s="1"/>
  <c r="N18" i="295"/>
  <c r="N25" i="295" s="1"/>
  <c r="M18" i="295"/>
  <c r="M25" i="295" s="1"/>
  <c r="L18" i="295"/>
  <c r="L25" i="295" s="1"/>
  <c r="K18" i="295"/>
  <c r="K25" i="295" s="1"/>
  <c r="J18" i="295"/>
  <c r="J25" i="295" s="1"/>
  <c r="I18" i="295"/>
  <c r="I25" i="295" s="1"/>
  <c r="H18" i="295"/>
  <c r="H25" i="295" s="1"/>
  <c r="G18" i="295"/>
  <c r="G25" i="295" s="1"/>
  <c r="F18" i="295"/>
  <c r="F25" i="295" s="1"/>
  <c r="E18" i="295"/>
  <c r="E25" i="295" s="1"/>
  <c r="A75" i="288"/>
  <c r="B75" i="288"/>
  <c r="C75" i="288"/>
  <c r="A76" i="288"/>
  <c r="B76" i="288"/>
  <c r="C76" i="288"/>
  <c r="A77" i="288"/>
  <c r="B77" i="288"/>
  <c r="C77" i="288"/>
  <c r="C74" i="288"/>
  <c r="B74" i="288"/>
  <c r="A72" i="288"/>
  <c r="A73" i="288"/>
  <c r="A74" i="288"/>
  <c r="C72" i="233"/>
  <c r="C73" i="233"/>
  <c r="C74" i="233"/>
  <c r="C75" i="233"/>
  <c r="C76" i="233"/>
  <c r="C77" i="233"/>
  <c r="A75" i="233"/>
  <c r="B75" i="233"/>
  <c r="A76" i="233"/>
  <c r="B76" i="233"/>
  <c r="A77" i="233"/>
  <c r="B77" i="233"/>
  <c r="B74" i="233"/>
  <c r="A72" i="233"/>
  <c r="A73" i="233"/>
  <c r="A74" i="233"/>
  <c r="O21" i="297" l="1"/>
  <c r="O21" i="295"/>
  <c r="P21" i="296"/>
  <c r="P21" i="295"/>
  <c r="O21" i="296"/>
  <c r="P21" i="297"/>
  <c r="I1" i="297"/>
  <c r="P30" i="295"/>
  <c r="H66" i="102"/>
  <c r="G67" i="102"/>
  <c r="N21" i="296"/>
  <c r="H67" i="102"/>
  <c r="N21" i="297"/>
  <c r="N21" i="295"/>
  <c r="M21" i="297"/>
  <c r="J21" i="296"/>
  <c r="L21" i="295"/>
  <c r="L21" i="296"/>
  <c r="H21" i="296"/>
  <c r="L21" i="297"/>
  <c r="K21" i="295"/>
  <c r="G21" i="296"/>
  <c r="K21" i="297"/>
  <c r="M21" i="295"/>
  <c r="G68" i="102"/>
  <c r="I21" i="297"/>
  <c r="J21" i="297"/>
  <c r="H21" i="297"/>
  <c r="G21" i="297"/>
  <c r="J21" i="295"/>
  <c r="I21" i="295"/>
  <c r="G66" i="102"/>
  <c r="H21" i="295"/>
  <c r="G21" i="295"/>
  <c r="N22" i="297"/>
  <c r="P22" i="295"/>
  <c r="H22" i="295"/>
  <c r="E26" i="297"/>
  <c r="H30" i="296"/>
  <c r="H22" i="297"/>
  <c r="I30" i="295"/>
  <c r="P30" i="296"/>
  <c r="J30" i="296"/>
  <c r="P22" i="296"/>
  <c r="H22" i="296"/>
  <c r="P22" i="297"/>
  <c r="I22" i="295"/>
  <c r="I22" i="297"/>
  <c r="H27" i="296"/>
  <c r="H68" i="102"/>
  <c r="K22" i="297"/>
  <c r="L22" i="297"/>
  <c r="F26" i="296"/>
  <c r="F21" i="295"/>
  <c r="K22" i="295"/>
  <c r="F22" i="297"/>
  <c r="L26" i="296"/>
  <c r="E22" i="296"/>
  <c r="M22" i="296"/>
  <c r="I22" i="296"/>
  <c r="F21" i="297"/>
  <c r="E21" i="297"/>
  <c r="J22" i="297"/>
  <c r="E22" i="297"/>
  <c r="M22" i="297"/>
  <c r="G22" i="297"/>
  <c r="O22" i="297"/>
  <c r="M21" i="296"/>
  <c r="L22" i="296"/>
  <c r="I21" i="296"/>
  <c r="O27" i="296"/>
  <c r="N26" i="296"/>
  <c r="K22" i="296"/>
  <c r="J22" i="296"/>
  <c r="I30" i="296"/>
  <c r="K21" i="296"/>
  <c r="F22" i="296"/>
  <c r="N22" i="296"/>
  <c r="G26" i="296"/>
  <c r="O26" i="296"/>
  <c r="J27" i="296"/>
  <c r="K30" i="296"/>
  <c r="M26" i="296"/>
  <c r="G22" i="296"/>
  <c r="O22" i="296"/>
  <c r="H26" i="296"/>
  <c r="P26" i="296"/>
  <c r="K27" i="296"/>
  <c r="L30" i="296"/>
  <c r="P27" i="296"/>
  <c r="E21" i="296"/>
  <c r="I26" i="296"/>
  <c r="L27" i="296"/>
  <c r="E30" i="296"/>
  <c r="M30" i="296"/>
  <c r="F21" i="296"/>
  <c r="J26" i="296"/>
  <c r="E27" i="296"/>
  <c r="M27" i="296"/>
  <c r="F30" i="296"/>
  <c r="N30" i="296"/>
  <c r="I27" i="296"/>
  <c r="K26" i="296"/>
  <c r="F27" i="296"/>
  <c r="N27" i="296"/>
  <c r="G30" i="296"/>
  <c r="O30" i="296"/>
  <c r="G27" i="296"/>
  <c r="O27" i="295"/>
  <c r="J22" i="295"/>
  <c r="F22" i="295"/>
  <c r="N22" i="295"/>
  <c r="L26" i="295"/>
  <c r="M26" i="295"/>
  <c r="H27" i="295"/>
  <c r="P27" i="295"/>
  <c r="L22" i="295"/>
  <c r="F26" i="295"/>
  <c r="N26" i="295"/>
  <c r="I27" i="295"/>
  <c r="J30" i="295"/>
  <c r="E22" i="295"/>
  <c r="M22" i="295"/>
  <c r="G26" i="295"/>
  <c r="O26" i="295"/>
  <c r="J27" i="295"/>
  <c r="K30" i="295"/>
  <c r="H26" i="295"/>
  <c r="P26" i="295"/>
  <c r="K27" i="295"/>
  <c r="L30" i="295"/>
  <c r="G22" i="295"/>
  <c r="O22" i="295"/>
  <c r="I26" i="295"/>
  <c r="L27" i="295"/>
  <c r="E30" i="295"/>
  <c r="M30" i="295"/>
  <c r="E21" i="295"/>
  <c r="J26" i="295"/>
  <c r="E27" i="295"/>
  <c r="M27" i="295"/>
  <c r="F30" i="295"/>
  <c r="N30" i="295"/>
  <c r="K26" i="295"/>
  <c r="F27" i="295"/>
  <c r="N27" i="295"/>
  <c r="G30" i="295"/>
  <c r="O30" i="295"/>
  <c r="G27" i="295"/>
  <c r="H30" i="295"/>
  <c r="D41" i="288"/>
  <c r="E23" i="286" s="1"/>
  <c r="D104" i="288"/>
  <c r="D35" i="288"/>
  <c r="E23" i="236" s="1"/>
  <c r="D97" i="288"/>
  <c r="O29" i="295" l="1"/>
  <c r="D36" i="288"/>
  <c r="E23" i="222" s="1"/>
  <c r="E23" i="213"/>
  <c r="D40" i="288"/>
  <c r="E23" i="282" s="1"/>
  <c r="E23" i="174"/>
  <c r="M67" i="102"/>
  <c r="D11" i="233"/>
  <c r="D6" i="233" s="1"/>
  <c r="M66" i="102"/>
  <c r="N66" i="102"/>
  <c r="N67" i="102"/>
  <c r="S5" i="296"/>
  <c r="S6" i="296" s="1"/>
  <c r="H27" i="297"/>
  <c r="N27" i="297"/>
  <c r="L27" i="297"/>
  <c r="J27" i="297"/>
  <c r="E27" i="297"/>
  <c r="K27" i="297"/>
  <c r="O26" i="297"/>
  <c r="L26" i="297"/>
  <c r="N26" i="297"/>
  <c r="S5" i="295"/>
  <c r="S6" i="295" s="1"/>
  <c r="F26" i="297"/>
  <c r="J26" i="297"/>
  <c r="I26" i="297"/>
  <c r="K26" i="297"/>
  <c r="P26" i="297"/>
  <c r="M26" i="297"/>
  <c r="G26" i="297"/>
  <c r="H28" i="296"/>
  <c r="H26" i="297"/>
  <c r="G27" i="297"/>
  <c r="F27" i="297"/>
  <c r="M27" i="297"/>
  <c r="O27" i="297"/>
  <c r="I27" i="297"/>
  <c r="P27" i="297"/>
  <c r="O29" i="296"/>
  <c r="E29" i="296"/>
  <c r="E28" i="296"/>
  <c r="S4" i="296"/>
  <c r="O28" i="296"/>
  <c r="I28" i="296"/>
  <c r="I29" i="296"/>
  <c r="G29" i="296"/>
  <c r="G28" i="296"/>
  <c r="M29" i="296"/>
  <c r="M28" i="296"/>
  <c r="P28" i="296"/>
  <c r="P29" i="296"/>
  <c r="N29" i="296"/>
  <c r="N28" i="296"/>
  <c r="J28" i="296"/>
  <c r="J29" i="296"/>
  <c r="L29" i="296"/>
  <c r="L28" i="296"/>
  <c r="F28" i="296"/>
  <c r="F29" i="296"/>
  <c r="K28" i="296"/>
  <c r="K29" i="296"/>
  <c r="H29" i="296"/>
  <c r="O28" i="295"/>
  <c r="F28" i="295"/>
  <c r="F29" i="295"/>
  <c r="I28" i="295"/>
  <c r="I29" i="295"/>
  <c r="L29" i="295"/>
  <c r="L28" i="295"/>
  <c r="N28" i="295"/>
  <c r="N29" i="295"/>
  <c r="M29" i="295"/>
  <c r="M28" i="295"/>
  <c r="J28" i="295"/>
  <c r="J29" i="295"/>
  <c r="E29" i="295"/>
  <c r="S4" i="295"/>
  <c r="E28" i="295"/>
  <c r="P28" i="295"/>
  <c r="P29" i="295"/>
  <c r="G28" i="295"/>
  <c r="G29" i="295"/>
  <c r="H28" i="295"/>
  <c r="H29" i="295"/>
  <c r="K29" i="295"/>
  <c r="K28" i="295"/>
  <c r="E53" i="233"/>
  <c r="F53" i="233"/>
  <c r="G53" i="233"/>
  <c r="H53" i="233"/>
  <c r="I53" i="233"/>
  <c r="J53" i="233"/>
  <c r="K53" i="233"/>
  <c r="L53" i="233"/>
  <c r="M53" i="233"/>
  <c r="N53" i="233"/>
  <c r="O53" i="233"/>
  <c r="D53" i="233"/>
  <c r="E47" i="233"/>
  <c r="F47" i="233"/>
  <c r="G47" i="233"/>
  <c r="H47" i="233"/>
  <c r="I47" i="233"/>
  <c r="J47" i="233"/>
  <c r="K47" i="233"/>
  <c r="L47" i="233"/>
  <c r="M47" i="233"/>
  <c r="N47" i="233"/>
  <c r="O47" i="233"/>
  <c r="D127" i="288"/>
  <c r="E23" i="291" s="1"/>
  <c r="E127" i="288"/>
  <c r="F23" i="291" s="1"/>
  <c r="F127" i="288"/>
  <c r="G23" i="291" s="1"/>
  <c r="G127" i="288"/>
  <c r="H23" i="291" s="1"/>
  <c r="H127" i="288"/>
  <c r="I23" i="291" s="1"/>
  <c r="I127" i="288"/>
  <c r="J23" i="291" s="1"/>
  <c r="J127" i="288"/>
  <c r="K23" i="291" s="1"/>
  <c r="D10" i="233" l="1"/>
  <c r="E19" i="301" s="1"/>
  <c r="E21" i="301" s="1"/>
  <c r="E19" i="298"/>
  <c r="E21" i="298" s="1"/>
  <c r="D8" i="233"/>
  <c r="E19" i="300" s="1"/>
  <c r="E19" i="302"/>
  <c r="D12" i="233"/>
  <c r="E19" i="303" s="1"/>
  <c r="K28" i="297"/>
  <c r="M28" i="297"/>
  <c r="L29" i="297"/>
  <c r="K29" i="297"/>
  <c r="M29" i="297"/>
  <c r="L28" i="297"/>
  <c r="H29" i="297"/>
  <c r="N29" i="297"/>
  <c r="J29" i="297"/>
  <c r="G28" i="297"/>
  <c r="I28" i="297"/>
  <c r="S4" i="297"/>
  <c r="N68" i="102"/>
  <c r="F29" i="297"/>
  <c r="E29" i="297"/>
  <c r="E28" i="297"/>
  <c r="N28" i="297"/>
  <c r="I29" i="297"/>
  <c r="F28" i="297"/>
  <c r="H28" i="297"/>
  <c r="J28" i="297"/>
  <c r="G29" i="297"/>
  <c r="S5" i="297"/>
  <c r="S6" i="297" s="1"/>
  <c r="M68" i="102"/>
  <c r="O28" i="297"/>
  <c r="O29" i="297"/>
  <c r="P28" i="297"/>
  <c r="P29" i="297"/>
  <c r="F19" i="293"/>
  <c r="G19" i="293"/>
  <c r="H19" i="293"/>
  <c r="I19" i="293"/>
  <c r="J19" i="293"/>
  <c r="K19" i="293"/>
  <c r="L19" i="293"/>
  <c r="M19" i="293"/>
  <c r="N19" i="293"/>
  <c r="O19" i="293"/>
  <c r="P19" i="293"/>
  <c r="E19" i="293"/>
  <c r="E30" i="292"/>
  <c r="F19" i="292"/>
  <c r="G19" i="292"/>
  <c r="H19" i="292"/>
  <c r="I19" i="292"/>
  <c r="J19" i="292"/>
  <c r="K19" i="292"/>
  <c r="L19" i="292"/>
  <c r="M19" i="292"/>
  <c r="N19" i="292"/>
  <c r="O19" i="292"/>
  <c r="P19" i="292"/>
  <c r="E19" i="292"/>
  <c r="E123" i="233"/>
  <c r="F19" i="294" s="1"/>
  <c r="F123" i="233"/>
  <c r="G19" i="294" s="1"/>
  <c r="G123" i="233"/>
  <c r="H19" i="294" s="1"/>
  <c r="H123" i="233"/>
  <c r="I19" i="294" s="1"/>
  <c r="I123" i="233"/>
  <c r="J19" i="294" s="1"/>
  <c r="J123" i="233"/>
  <c r="K19" i="294" s="1"/>
  <c r="K123" i="233"/>
  <c r="L19" i="294" s="1"/>
  <c r="L123" i="233"/>
  <c r="M19" i="294" s="1"/>
  <c r="M123" i="233"/>
  <c r="N19" i="294" s="1"/>
  <c r="N123" i="233"/>
  <c r="O19" i="294" s="1"/>
  <c r="O123" i="233"/>
  <c r="P19" i="294" s="1"/>
  <c r="D123" i="233"/>
  <c r="E19" i="294" s="1"/>
  <c r="E123" i="288"/>
  <c r="F23" i="294" s="1"/>
  <c r="F123" i="288"/>
  <c r="G23" i="294" s="1"/>
  <c r="G123" i="288"/>
  <c r="H23" i="294" s="1"/>
  <c r="H123" i="288"/>
  <c r="I23" i="294" s="1"/>
  <c r="I123" i="288"/>
  <c r="J23" i="294" s="1"/>
  <c r="J123" i="288"/>
  <c r="K23" i="294" s="1"/>
  <c r="K123" i="288"/>
  <c r="L23" i="294" s="1"/>
  <c r="L123" i="288"/>
  <c r="M23" i="294" s="1"/>
  <c r="M123" i="288"/>
  <c r="N23" i="294" s="1"/>
  <c r="N123" i="288"/>
  <c r="O23" i="294" s="1"/>
  <c r="O123" i="288"/>
  <c r="D123" i="288"/>
  <c r="E23" i="294" s="1"/>
  <c r="C122" i="288"/>
  <c r="C123" i="288"/>
  <c r="C121" i="288"/>
  <c r="B122" i="288"/>
  <c r="B123" i="288"/>
  <c r="B121" i="288"/>
  <c r="A122" i="288"/>
  <c r="A123" i="288"/>
  <c r="A121" i="288"/>
  <c r="B120" i="288"/>
  <c r="C122" i="233"/>
  <c r="C123" i="233"/>
  <c r="C121" i="233"/>
  <c r="B122" i="233"/>
  <c r="B123" i="233"/>
  <c r="B121" i="233"/>
  <c r="A122" i="233"/>
  <c r="A123" i="233"/>
  <c r="A121" i="233"/>
  <c r="B120" i="233"/>
  <c r="D23" i="294"/>
  <c r="D30" i="294" s="1"/>
  <c r="D22" i="294"/>
  <c r="D29" i="294" s="1"/>
  <c r="D21" i="294"/>
  <c r="D28" i="294" s="1"/>
  <c r="D20" i="294"/>
  <c r="D27" i="294" s="1"/>
  <c r="D19" i="294"/>
  <c r="D26" i="294" s="1"/>
  <c r="P18" i="294"/>
  <c r="P25" i="294" s="1"/>
  <c r="O18" i="294"/>
  <c r="O25" i="294" s="1"/>
  <c r="N18" i="294"/>
  <c r="M18" i="294"/>
  <c r="M25" i="294" s="1"/>
  <c r="L18" i="294"/>
  <c r="L25" i="294" s="1"/>
  <c r="K18" i="294"/>
  <c r="K25" i="294" s="1"/>
  <c r="J18" i="294"/>
  <c r="J25" i="294" s="1"/>
  <c r="I18" i="294"/>
  <c r="I25" i="294" s="1"/>
  <c r="H18" i="294"/>
  <c r="H25" i="294" s="1"/>
  <c r="G18" i="294"/>
  <c r="G25" i="294" s="1"/>
  <c r="F18" i="294"/>
  <c r="F25" i="294" s="1"/>
  <c r="E18" i="294"/>
  <c r="E25" i="294" s="1"/>
  <c r="D23" i="293"/>
  <c r="D30" i="293" s="1"/>
  <c r="D22" i="293"/>
  <c r="D29" i="293" s="1"/>
  <c r="D21" i="293"/>
  <c r="D28" i="293" s="1"/>
  <c r="D20" i="293"/>
  <c r="D27" i="293" s="1"/>
  <c r="D19" i="293"/>
  <c r="D26" i="293" s="1"/>
  <c r="P18" i="293"/>
  <c r="P25" i="293" s="1"/>
  <c r="O18" i="293"/>
  <c r="O25" i="293" s="1"/>
  <c r="N18" i="293"/>
  <c r="N25" i="293" s="1"/>
  <c r="M18" i="293"/>
  <c r="M25" i="293" s="1"/>
  <c r="L18" i="293"/>
  <c r="L25" i="293" s="1"/>
  <c r="K18" i="293"/>
  <c r="J18" i="293"/>
  <c r="J25" i="293" s="1"/>
  <c r="I18" i="293"/>
  <c r="I25" i="293" s="1"/>
  <c r="H18" i="293"/>
  <c r="H25" i="293" s="1"/>
  <c r="G18" i="293"/>
  <c r="G25" i="293" s="1"/>
  <c r="F18" i="293"/>
  <c r="F25" i="293" s="1"/>
  <c r="E18" i="293"/>
  <c r="E25" i="293" s="1"/>
  <c r="J4" i="293"/>
  <c r="D23" i="292"/>
  <c r="D30" i="292" s="1"/>
  <c r="D22" i="292"/>
  <c r="D29" i="292" s="1"/>
  <c r="D21" i="292"/>
  <c r="D28" i="292" s="1"/>
  <c r="D20" i="292"/>
  <c r="D27" i="292" s="1"/>
  <c r="D19" i="292"/>
  <c r="D26" i="292" s="1"/>
  <c r="P18" i="292"/>
  <c r="P25" i="292" s="1"/>
  <c r="O18" i="292"/>
  <c r="N18" i="292"/>
  <c r="N25" i="292" s="1"/>
  <c r="M18" i="292"/>
  <c r="M25" i="292" s="1"/>
  <c r="L18" i="292"/>
  <c r="L25" i="292" s="1"/>
  <c r="K18" i="292"/>
  <c r="K25" i="292" s="1"/>
  <c r="J18" i="292"/>
  <c r="J25" i="292" s="1"/>
  <c r="I18" i="292"/>
  <c r="I25" i="292" s="1"/>
  <c r="H18" i="292"/>
  <c r="H25" i="292" s="1"/>
  <c r="G18" i="292"/>
  <c r="G25" i="292" s="1"/>
  <c r="F18" i="292"/>
  <c r="F25" i="292" s="1"/>
  <c r="E18" i="292"/>
  <c r="E25" i="292" s="1"/>
  <c r="K25" i="293" l="1"/>
  <c r="I1" i="293"/>
  <c r="P21" i="294"/>
  <c r="P23" i="294"/>
  <c r="G113" i="102"/>
  <c r="E26" i="300"/>
  <c r="G26" i="300"/>
  <c r="F26" i="300"/>
  <c r="E26" i="298"/>
  <c r="F26" i="298"/>
  <c r="G26" i="298"/>
  <c r="E22" i="298"/>
  <c r="F26" i="301"/>
  <c r="E26" i="301"/>
  <c r="E22" i="301"/>
  <c r="G26" i="301"/>
  <c r="P21" i="292"/>
  <c r="P21" i="293"/>
  <c r="H21" i="292"/>
  <c r="L21" i="292"/>
  <c r="G114" i="102"/>
  <c r="G112" i="102"/>
  <c r="Q112" i="102" s="1"/>
  <c r="E26" i="303"/>
  <c r="E26" i="302"/>
  <c r="F22" i="293"/>
  <c r="H112" i="102"/>
  <c r="H114" i="102"/>
  <c r="H113" i="102"/>
  <c r="I1" i="294"/>
  <c r="O25" i="292"/>
  <c r="I1" i="292"/>
  <c r="G30" i="293"/>
  <c r="E30" i="293"/>
  <c r="E30" i="294" s="1"/>
  <c r="O30" i="293"/>
  <c r="N22" i="293"/>
  <c r="J22" i="293"/>
  <c r="M30" i="293"/>
  <c r="P30" i="293"/>
  <c r="O27" i="293"/>
  <c r="P30" i="292"/>
  <c r="O30" i="292"/>
  <c r="I22" i="292"/>
  <c r="M22" i="292"/>
  <c r="L21" i="293"/>
  <c r="F21" i="292"/>
  <c r="J21" i="292"/>
  <c r="N21" i="292"/>
  <c r="O27" i="292"/>
  <c r="I22" i="293"/>
  <c r="M22" i="293"/>
  <c r="F27" i="293"/>
  <c r="H22" i="293"/>
  <c r="L22" i="293"/>
  <c r="P22" i="293"/>
  <c r="P26" i="293"/>
  <c r="P26" i="292"/>
  <c r="H22" i="292"/>
  <c r="L22" i="292"/>
  <c r="P22" i="292"/>
  <c r="F21" i="293"/>
  <c r="F22" i="292"/>
  <c r="J22" i="292"/>
  <c r="N22" i="292"/>
  <c r="N21" i="293"/>
  <c r="G26" i="293"/>
  <c r="G21" i="292"/>
  <c r="K21" i="292"/>
  <c r="O21" i="292"/>
  <c r="E22" i="292"/>
  <c r="O26" i="293"/>
  <c r="G21" i="293"/>
  <c r="K21" i="293"/>
  <c r="O21" i="293"/>
  <c r="J21" i="293"/>
  <c r="E22" i="293"/>
  <c r="O26" i="292"/>
  <c r="I21" i="292"/>
  <c r="M21" i="292"/>
  <c r="E26" i="292"/>
  <c r="I21" i="293"/>
  <c r="M21" i="293"/>
  <c r="E26" i="293"/>
  <c r="N25" i="294"/>
  <c r="H21" i="293"/>
  <c r="G22" i="293"/>
  <c r="K22" i="293"/>
  <c r="O22" i="293"/>
  <c r="I26" i="293"/>
  <c r="M26" i="293"/>
  <c r="H27" i="293"/>
  <c r="L27" i="293"/>
  <c r="P27" i="293"/>
  <c r="I30" i="293"/>
  <c r="E21" i="293"/>
  <c r="F26" i="293"/>
  <c r="F28" i="293" s="1"/>
  <c r="J26" i="293"/>
  <c r="N26" i="293"/>
  <c r="E27" i="293"/>
  <c r="I27" i="293"/>
  <c r="M27" i="293"/>
  <c r="F30" i="293"/>
  <c r="J30" i="293"/>
  <c r="N30" i="293"/>
  <c r="K26" i="293"/>
  <c r="J27" i="293"/>
  <c r="N27" i="293"/>
  <c r="K30" i="293"/>
  <c r="H26" i="293"/>
  <c r="L26" i="293"/>
  <c r="G27" i="293"/>
  <c r="K27" i="293"/>
  <c r="H30" i="293"/>
  <c r="L30" i="293"/>
  <c r="G22" i="292"/>
  <c r="K22" i="292"/>
  <c r="O22" i="292"/>
  <c r="I26" i="292"/>
  <c r="M26" i="292"/>
  <c r="H27" i="292"/>
  <c r="L27" i="292"/>
  <c r="P27" i="292"/>
  <c r="I30" i="292"/>
  <c r="M30" i="292"/>
  <c r="E21" i="292"/>
  <c r="F26" i="292"/>
  <c r="J26" i="292"/>
  <c r="N26" i="292"/>
  <c r="E27" i="292"/>
  <c r="I27" i="292"/>
  <c r="M27" i="292"/>
  <c r="F30" i="292"/>
  <c r="J30" i="292"/>
  <c r="N30" i="292"/>
  <c r="G26" i="292"/>
  <c r="K26" i="292"/>
  <c r="F27" i="292"/>
  <c r="J27" i="292"/>
  <c r="J27" i="294" s="1"/>
  <c r="N27" i="292"/>
  <c r="N27" i="294" s="1"/>
  <c r="G30" i="292"/>
  <c r="K30" i="292"/>
  <c r="H26" i="292"/>
  <c r="L26" i="292"/>
  <c r="G27" i="292"/>
  <c r="K27" i="292"/>
  <c r="H30" i="292"/>
  <c r="L30" i="292"/>
  <c r="E29" i="301" l="1"/>
  <c r="E28" i="301"/>
  <c r="F29" i="301"/>
  <c r="F28" i="301"/>
  <c r="K30" i="294"/>
  <c r="G29" i="298"/>
  <c r="G28" i="298"/>
  <c r="F29" i="298"/>
  <c r="F28" i="298"/>
  <c r="E29" i="298"/>
  <c r="E28" i="298"/>
  <c r="G28" i="301"/>
  <c r="G29" i="301"/>
  <c r="M30" i="294"/>
  <c r="M112" i="102"/>
  <c r="J30" i="294"/>
  <c r="P30" i="294"/>
  <c r="M113" i="102"/>
  <c r="E26" i="294"/>
  <c r="N30" i="294"/>
  <c r="H30" i="294"/>
  <c r="O30" i="294"/>
  <c r="K27" i="294"/>
  <c r="F27" i="294"/>
  <c r="L27" i="294"/>
  <c r="P26" i="294"/>
  <c r="I27" i="294"/>
  <c r="E27" i="294"/>
  <c r="G27" i="294"/>
  <c r="H27" i="294"/>
  <c r="F26" i="294"/>
  <c r="S5" i="293"/>
  <c r="S6" i="293" s="1"/>
  <c r="H26" i="294"/>
  <c r="I26" i="294"/>
  <c r="P27" i="294"/>
  <c r="N113" i="102"/>
  <c r="O29" i="292"/>
  <c r="O26" i="294"/>
  <c r="N112" i="102"/>
  <c r="O27" i="294"/>
  <c r="G30" i="294"/>
  <c r="K26" i="294"/>
  <c r="F30" i="294"/>
  <c r="S5" i="292"/>
  <c r="S6" i="292" s="1"/>
  <c r="N26" i="294"/>
  <c r="N29" i="294" s="1"/>
  <c r="L30" i="294"/>
  <c r="L26" i="294"/>
  <c r="G26" i="294"/>
  <c r="M27" i="294"/>
  <c r="J26" i="294"/>
  <c r="J29" i="294" s="1"/>
  <c r="I30" i="294"/>
  <c r="M26" i="294"/>
  <c r="O29" i="293"/>
  <c r="O28" i="292"/>
  <c r="O28" i="293"/>
  <c r="J28" i="293"/>
  <c r="J29" i="293"/>
  <c r="K29" i="293"/>
  <c r="K28" i="293"/>
  <c r="I29" i="293"/>
  <c r="I28" i="293"/>
  <c r="P29" i="293"/>
  <c r="P28" i="293"/>
  <c r="G29" i="293"/>
  <c r="G28" i="293"/>
  <c r="N28" i="293"/>
  <c r="S4" i="293"/>
  <c r="N29" i="293"/>
  <c r="E29" i="293"/>
  <c r="E28" i="293"/>
  <c r="L29" i="293"/>
  <c r="L28" i="293"/>
  <c r="H29" i="293"/>
  <c r="H28" i="293"/>
  <c r="M29" i="293"/>
  <c r="M28" i="293"/>
  <c r="F29" i="293"/>
  <c r="H29" i="292"/>
  <c r="H28" i="292"/>
  <c r="N28" i="292"/>
  <c r="S4" i="292"/>
  <c r="N29" i="292"/>
  <c r="M29" i="292"/>
  <c r="M28" i="292"/>
  <c r="G29" i="292"/>
  <c r="G28" i="292"/>
  <c r="J28" i="292"/>
  <c r="J29" i="292"/>
  <c r="I29" i="292"/>
  <c r="I28" i="292"/>
  <c r="P29" i="292"/>
  <c r="P28" i="292"/>
  <c r="K29" i="292"/>
  <c r="K28" i="292"/>
  <c r="F28" i="292"/>
  <c r="F29" i="292"/>
  <c r="E29" i="292"/>
  <c r="E28" i="292"/>
  <c r="L29" i="292"/>
  <c r="L28" i="292"/>
  <c r="O112" i="102" l="1"/>
  <c r="O113" i="102"/>
  <c r="M114" i="102"/>
  <c r="K29" i="294"/>
  <c r="L29" i="294"/>
  <c r="F28" i="294"/>
  <c r="I28" i="294"/>
  <c r="P29" i="294"/>
  <c r="N28" i="294"/>
  <c r="G29" i="294"/>
  <c r="H28" i="294"/>
  <c r="P28" i="294"/>
  <c r="F29" i="294"/>
  <c r="J28" i="294"/>
  <c r="I29" i="294"/>
  <c r="K28" i="294"/>
  <c r="G28" i="294"/>
  <c r="L28" i="294"/>
  <c r="H29" i="294"/>
  <c r="E29" i="294"/>
  <c r="E28" i="294"/>
  <c r="M29" i="294"/>
  <c r="M28" i="294"/>
  <c r="O29" i="294"/>
  <c r="N114" i="102"/>
  <c r="O28" i="294"/>
  <c r="M15" i="288"/>
  <c r="N15" i="288"/>
  <c r="N11" i="288" l="1"/>
  <c r="O23" i="197"/>
  <c r="M11" i="288"/>
  <c r="N23" i="197"/>
  <c r="N12" i="288"/>
  <c r="O23" i="303" s="1"/>
  <c r="M12" i="288"/>
  <c r="N23" i="303" s="1"/>
  <c r="O114" i="102"/>
  <c r="O15" i="288"/>
  <c r="O11" i="288" l="1"/>
  <c r="P23" i="197"/>
  <c r="N23" i="302"/>
  <c r="M13" i="288"/>
  <c r="O23" i="302"/>
  <c r="N13" i="288"/>
  <c r="O12" i="288"/>
  <c r="P23" i="303" s="1"/>
  <c r="G21" i="291"/>
  <c r="O21" i="291"/>
  <c r="P21" i="291"/>
  <c r="F19" i="291"/>
  <c r="G19" i="291"/>
  <c r="H19" i="291"/>
  <c r="I19" i="291"/>
  <c r="J19" i="291"/>
  <c r="K19" i="291"/>
  <c r="L19" i="291"/>
  <c r="M19" i="291"/>
  <c r="N19" i="291"/>
  <c r="O19" i="291"/>
  <c r="P19" i="291"/>
  <c r="E19" i="291"/>
  <c r="D23" i="291"/>
  <c r="D30" i="291" s="1"/>
  <c r="D22" i="291"/>
  <c r="D29" i="291" s="1"/>
  <c r="D21" i="291"/>
  <c r="D28" i="291" s="1"/>
  <c r="D20" i="291"/>
  <c r="D27" i="291" s="1"/>
  <c r="D19" i="291"/>
  <c r="D26" i="291" s="1"/>
  <c r="P18" i="291"/>
  <c r="P25" i="291" s="1"/>
  <c r="O18" i="291"/>
  <c r="O25" i="291" s="1"/>
  <c r="N18" i="291"/>
  <c r="N25" i="291" s="1"/>
  <c r="M18" i="291"/>
  <c r="M25" i="291" s="1"/>
  <c r="L18" i="291"/>
  <c r="L25" i="291" s="1"/>
  <c r="K18" i="291"/>
  <c r="I1" i="291" s="1"/>
  <c r="J18" i="291"/>
  <c r="J25" i="291" s="1"/>
  <c r="I18" i="291"/>
  <c r="I25" i="291" s="1"/>
  <c r="H18" i="291"/>
  <c r="H25" i="291" s="1"/>
  <c r="G18" i="291"/>
  <c r="G25" i="291" s="1"/>
  <c r="F18" i="291"/>
  <c r="F25" i="291" s="1"/>
  <c r="E18" i="291"/>
  <c r="E25" i="291" s="1"/>
  <c r="E30" i="290"/>
  <c r="F19" i="290"/>
  <c r="G19" i="290"/>
  <c r="G22" i="290" s="1"/>
  <c r="H19" i="290"/>
  <c r="I19" i="290"/>
  <c r="J19" i="290"/>
  <c r="K19" i="290"/>
  <c r="L19" i="290"/>
  <c r="M19" i="290"/>
  <c r="N19" i="290"/>
  <c r="O19" i="290"/>
  <c r="P19" i="290"/>
  <c r="E19" i="290"/>
  <c r="E26" i="290" s="1"/>
  <c r="D23" i="290"/>
  <c r="D30" i="290" s="1"/>
  <c r="D22" i="290"/>
  <c r="D29" i="290" s="1"/>
  <c r="D21" i="290"/>
  <c r="D28" i="290" s="1"/>
  <c r="D20" i="290"/>
  <c r="D27" i="290" s="1"/>
  <c r="D19" i="290"/>
  <c r="D26" i="290" s="1"/>
  <c r="P18" i="290"/>
  <c r="P25" i="290" s="1"/>
  <c r="O18" i="290"/>
  <c r="O25" i="290" s="1"/>
  <c r="N18" i="290"/>
  <c r="N25" i="290" s="1"/>
  <c r="M18" i="290"/>
  <c r="M25" i="290" s="1"/>
  <c r="L18" i="290"/>
  <c r="L25" i="290" s="1"/>
  <c r="K18" i="290"/>
  <c r="J18" i="290"/>
  <c r="J25" i="290" s="1"/>
  <c r="I18" i="290"/>
  <c r="I25" i="290" s="1"/>
  <c r="H18" i="290"/>
  <c r="H25" i="290" s="1"/>
  <c r="G18" i="290"/>
  <c r="G25" i="290" s="1"/>
  <c r="F18" i="290"/>
  <c r="F25" i="290" s="1"/>
  <c r="E18" i="290"/>
  <c r="E25" i="290" s="1"/>
  <c r="J4" i="290"/>
  <c r="Q23" i="289"/>
  <c r="E30" i="289"/>
  <c r="E30" i="291" s="1"/>
  <c r="Q20" i="289"/>
  <c r="F19" i="289"/>
  <c r="G19" i="289"/>
  <c r="H19" i="289"/>
  <c r="I19" i="289"/>
  <c r="J19" i="289"/>
  <c r="K19" i="289"/>
  <c r="L19" i="289"/>
  <c r="M19" i="289"/>
  <c r="N19" i="289"/>
  <c r="O19" i="289"/>
  <c r="P19" i="289"/>
  <c r="E19" i="289"/>
  <c r="E26" i="289" s="1"/>
  <c r="D23" i="289"/>
  <c r="D30" i="289" s="1"/>
  <c r="D22" i="289"/>
  <c r="D29" i="289" s="1"/>
  <c r="D21" i="289"/>
  <c r="D28" i="289" s="1"/>
  <c r="D20" i="289"/>
  <c r="D27" i="289" s="1"/>
  <c r="D19" i="289"/>
  <c r="D26" i="289" s="1"/>
  <c r="P18" i="289"/>
  <c r="P25" i="289" s="1"/>
  <c r="O18" i="289"/>
  <c r="O25" i="289" s="1"/>
  <c r="N18" i="289"/>
  <c r="N25" i="289" s="1"/>
  <c r="M18" i="289"/>
  <c r="M25" i="289" s="1"/>
  <c r="L18" i="289"/>
  <c r="L25" i="289" s="1"/>
  <c r="K18" i="289"/>
  <c r="K25" i="289" s="1"/>
  <c r="J18" i="289"/>
  <c r="J25" i="289" s="1"/>
  <c r="I18" i="289"/>
  <c r="I25" i="289" s="1"/>
  <c r="H18" i="289"/>
  <c r="H25" i="289" s="1"/>
  <c r="G18" i="289"/>
  <c r="G25" i="289" s="1"/>
  <c r="F18" i="289"/>
  <c r="F25" i="289" s="1"/>
  <c r="E18" i="289"/>
  <c r="E25" i="289" s="1"/>
  <c r="C126" i="288"/>
  <c r="C127" i="288"/>
  <c r="C125" i="288"/>
  <c r="B126" i="288"/>
  <c r="B127" i="288"/>
  <c r="B125" i="288"/>
  <c r="A126" i="288"/>
  <c r="A127" i="288"/>
  <c r="A125" i="288"/>
  <c r="C126" i="233"/>
  <c r="C127" i="233"/>
  <c r="C125" i="233"/>
  <c r="B126" i="233"/>
  <c r="B127" i="233"/>
  <c r="B125" i="233"/>
  <c r="A126" i="233"/>
  <c r="A127" i="233"/>
  <c r="A125" i="233"/>
  <c r="K25" i="290" l="1"/>
  <c r="I1" i="290"/>
  <c r="P23" i="302"/>
  <c r="O13" i="288"/>
  <c r="P21" i="290"/>
  <c r="P21" i="289"/>
  <c r="G21" i="290"/>
  <c r="H21" i="290"/>
  <c r="K21" i="289"/>
  <c r="G21" i="289"/>
  <c r="K21" i="290"/>
  <c r="K22" i="290"/>
  <c r="P30" i="290"/>
  <c r="H116" i="102"/>
  <c r="K21" i="291"/>
  <c r="J22" i="290"/>
  <c r="G22" i="291"/>
  <c r="F22" i="290"/>
  <c r="E22" i="291"/>
  <c r="P22" i="291"/>
  <c r="O22" i="290"/>
  <c r="J22" i="291"/>
  <c r="G117" i="102"/>
  <c r="Q117" i="102" s="1"/>
  <c r="O21" i="289"/>
  <c r="G22" i="289"/>
  <c r="I22" i="290"/>
  <c r="N22" i="289"/>
  <c r="J22" i="289"/>
  <c r="F22" i="289"/>
  <c r="P22" i="289"/>
  <c r="K22" i="289"/>
  <c r="H22" i="291"/>
  <c r="F26" i="289"/>
  <c r="L22" i="290"/>
  <c r="M26" i="290"/>
  <c r="O21" i="290"/>
  <c r="E26" i="291"/>
  <c r="N22" i="290"/>
  <c r="P26" i="290"/>
  <c r="H22" i="289"/>
  <c r="K22" i="291"/>
  <c r="O22" i="291"/>
  <c r="H117" i="102"/>
  <c r="O27" i="289"/>
  <c r="L22" i="289"/>
  <c r="L21" i="291"/>
  <c r="H118" i="102"/>
  <c r="N22" i="291"/>
  <c r="G116" i="102"/>
  <c r="P22" i="290"/>
  <c r="L21" i="290"/>
  <c r="H22" i="290"/>
  <c r="M22" i="291"/>
  <c r="I22" i="291"/>
  <c r="H21" i="289"/>
  <c r="O22" i="289"/>
  <c r="L22" i="291"/>
  <c r="G118" i="102"/>
  <c r="Q118" i="102" s="1"/>
  <c r="J30" i="289"/>
  <c r="M22" i="290"/>
  <c r="F22" i="291"/>
  <c r="L21" i="289"/>
  <c r="P30" i="289"/>
  <c r="P30" i="291" s="1"/>
  <c r="M30" i="290"/>
  <c r="H21" i="291"/>
  <c r="E21" i="291"/>
  <c r="I21" i="291"/>
  <c r="M21" i="291"/>
  <c r="K25" i="291"/>
  <c r="F21" i="291"/>
  <c r="J21" i="291"/>
  <c r="N21" i="291"/>
  <c r="O27" i="290"/>
  <c r="L27" i="290"/>
  <c r="I30" i="290"/>
  <c r="E21" i="290"/>
  <c r="I21" i="290"/>
  <c r="M21" i="290"/>
  <c r="F26" i="290"/>
  <c r="J26" i="290"/>
  <c r="N26" i="290"/>
  <c r="E27" i="290"/>
  <c r="I27" i="290"/>
  <c r="M27" i="290"/>
  <c r="F30" i="290"/>
  <c r="J30" i="290"/>
  <c r="N30" i="290"/>
  <c r="F21" i="290"/>
  <c r="J21" i="290"/>
  <c r="N21" i="290"/>
  <c r="E22" i="290"/>
  <c r="G26" i="290"/>
  <c r="K26" i="290"/>
  <c r="O26" i="290"/>
  <c r="F27" i="290"/>
  <c r="J27" i="290"/>
  <c r="N27" i="290"/>
  <c r="G30" i="290"/>
  <c r="K30" i="290"/>
  <c r="O30" i="290"/>
  <c r="I26" i="290"/>
  <c r="H27" i="290"/>
  <c r="P27" i="290"/>
  <c r="H26" i="290"/>
  <c r="L26" i="290"/>
  <c r="G27" i="290"/>
  <c r="K27" i="290"/>
  <c r="H30" i="290"/>
  <c r="L30" i="290"/>
  <c r="I22" i="289"/>
  <c r="M22" i="289"/>
  <c r="P26" i="289"/>
  <c r="I26" i="289"/>
  <c r="M26" i="289"/>
  <c r="H27" i="289"/>
  <c r="P27" i="289"/>
  <c r="I30" i="289"/>
  <c r="E21" i="289"/>
  <c r="I21" i="289"/>
  <c r="M21" i="289"/>
  <c r="J26" i="289"/>
  <c r="N26" i="289"/>
  <c r="I27" i="289"/>
  <c r="I27" i="291" s="1"/>
  <c r="N30" i="289"/>
  <c r="I1" i="289"/>
  <c r="F21" i="289"/>
  <c r="J21" i="289"/>
  <c r="N21" i="289"/>
  <c r="E22" i="289"/>
  <c r="G26" i="289"/>
  <c r="K26" i="289"/>
  <c r="O26" i="289"/>
  <c r="F27" i="289"/>
  <c r="J27" i="289"/>
  <c r="N27" i="289"/>
  <c r="G30" i="289"/>
  <c r="K30" i="289"/>
  <c r="O30" i="289"/>
  <c r="L27" i="289"/>
  <c r="M30" i="289"/>
  <c r="E27" i="289"/>
  <c r="M27" i="289"/>
  <c r="F30" i="289"/>
  <c r="F30" i="291" s="1"/>
  <c r="H26" i="289"/>
  <c r="H26" i="291" s="1"/>
  <c r="L26" i="289"/>
  <c r="G27" i="289"/>
  <c r="K27" i="289"/>
  <c r="K27" i="291" s="1"/>
  <c r="H30" i="289"/>
  <c r="H30" i="291" s="1"/>
  <c r="L30" i="289"/>
  <c r="L30" i="291" s="1"/>
  <c r="F19" i="115"/>
  <c r="G19" i="115"/>
  <c r="H19" i="115"/>
  <c r="I19" i="115"/>
  <c r="J19" i="115"/>
  <c r="K19" i="115"/>
  <c r="L19" i="115"/>
  <c r="O30" i="291" l="1"/>
  <c r="G27" i="291"/>
  <c r="N116" i="102"/>
  <c r="I26" i="291"/>
  <c r="I29" i="291" s="1"/>
  <c r="I117" i="102"/>
  <c r="M117" i="102"/>
  <c r="R117" i="102" s="1"/>
  <c r="I116" i="102"/>
  <c r="Q116" i="102"/>
  <c r="J27" i="291"/>
  <c r="H27" i="291"/>
  <c r="H28" i="291" s="1"/>
  <c r="F26" i="291"/>
  <c r="G26" i="291"/>
  <c r="N26" i="291"/>
  <c r="M26" i="291"/>
  <c r="J26" i="291"/>
  <c r="P26" i="291"/>
  <c r="O27" i="291"/>
  <c r="N117" i="102"/>
  <c r="I118" i="102"/>
  <c r="P27" i="291"/>
  <c r="J30" i="291"/>
  <c r="M116" i="102"/>
  <c r="L26" i="291"/>
  <c r="E27" i="291"/>
  <c r="K30" i="291"/>
  <c r="F27" i="291"/>
  <c r="I30" i="291"/>
  <c r="S5" i="290"/>
  <c r="S6" i="290" s="1"/>
  <c r="S5" i="289"/>
  <c r="S6" i="289" s="1"/>
  <c r="K26" i="291"/>
  <c r="K29" i="291" s="1"/>
  <c r="M30" i="291"/>
  <c r="G30" i="291"/>
  <c r="O29" i="289"/>
  <c r="O26" i="291"/>
  <c r="N30" i="291"/>
  <c r="I28" i="291"/>
  <c r="L27" i="291"/>
  <c r="N27" i="291"/>
  <c r="M27" i="291"/>
  <c r="O28" i="290"/>
  <c r="G29" i="290"/>
  <c r="G28" i="290"/>
  <c r="E29" i="290"/>
  <c r="E28" i="290"/>
  <c r="L29" i="290"/>
  <c r="L28" i="290"/>
  <c r="N28" i="290"/>
  <c r="N29" i="290"/>
  <c r="S4" i="290"/>
  <c r="K29" i="290"/>
  <c r="K28" i="290"/>
  <c r="P29" i="290"/>
  <c r="P28" i="290"/>
  <c r="F28" i="290"/>
  <c r="F29" i="290"/>
  <c r="I29" i="290"/>
  <c r="I28" i="290"/>
  <c r="H29" i="290"/>
  <c r="H28" i="290"/>
  <c r="O29" i="290"/>
  <c r="J28" i="290"/>
  <c r="J29" i="290"/>
  <c r="M29" i="290"/>
  <c r="M28" i="290"/>
  <c r="S4" i="289"/>
  <c r="K28" i="289"/>
  <c r="K29" i="289"/>
  <c r="N28" i="289"/>
  <c r="N29" i="289"/>
  <c r="G29" i="289"/>
  <c r="G28" i="289"/>
  <c r="M29" i="289"/>
  <c r="M28" i="289"/>
  <c r="J28" i="289"/>
  <c r="J29" i="289"/>
  <c r="F28" i="289"/>
  <c r="F29" i="289"/>
  <c r="P28" i="289"/>
  <c r="P29" i="289"/>
  <c r="O28" i="289"/>
  <c r="E29" i="289"/>
  <c r="E28" i="289"/>
  <c r="L29" i="289"/>
  <c r="L28" i="289"/>
  <c r="I29" i="289"/>
  <c r="I28" i="289"/>
  <c r="H28" i="289"/>
  <c r="H29" i="289"/>
  <c r="G29" i="291" l="1"/>
  <c r="J29" i="291"/>
  <c r="H29" i="291"/>
  <c r="N28" i="291"/>
  <c r="G28" i="291"/>
  <c r="J28" i="291"/>
  <c r="K28" i="291"/>
  <c r="O117" i="102"/>
  <c r="O116" i="102"/>
  <c r="R116" i="102"/>
  <c r="O28" i="291"/>
  <c r="P29" i="291"/>
  <c r="M29" i="291"/>
  <c r="O29" i="291"/>
  <c r="P28" i="291"/>
  <c r="E29" i="291"/>
  <c r="E28" i="291"/>
  <c r="N29" i="291"/>
  <c r="L29" i="291"/>
  <c r="N118" i="102"/>
  <c r="S4" i="291"/>
  <c r="F28" i="291"/>
  <c r="F29" i="291"/>
  <c r="S5" i="291"/>
  <c r="S6" i="291" s="1"/>
  <c r="M118" i="102"/>
  <c r="R118" i="102" s="1"/>
  <c r="M28" i="291"/>
  <c r="L28" i="291"/>
  <c r="O118" i="102" l="1"/>
  <c r="H81" i="233" l="1"/>
  <c r="H88" i="102" l="1"/>
  <c r="E47" i="288" l="1"/>
  <c r="F23" i="135" s="1"/>
  <c r="D71" i="233" l="1"/>
  <c r="D71" i="288"/>
  <c r="E23" i="140" s="1"/>
  <c r="E65" i="233"/>
  <c r="F65" i="233"/>
  <c r="G65" i="233"/>
  <c r="H65" i="233"/>
  <c r="I65" i="233"/>
  <c r="J65" i="233"/>
  <c r="K65" i="233"/>
  <c r="L65" i="233"/>
  <c r="M65" i="233"/>
  <c r="N65" i="233"/>
  <c r="O65" i="233"/>
  <c r="E65" i="288"/>
  <c r="F23" i="138" s="1"/>
  <c r="F65" i="288"/>
  <c r="G23" i="138" s="1"/>
  <c r="G65" i="288"/>
  <c r="H23" i="138" s="1"/>
  <c r="H65" i="288"/>
  <c r="I23" i="138" s="1"/>
  <c r="I65" i="288"/>
  <c r="J23" i="138" s="1"/>
  <c r="J65" i="288"/>
  <c r="K23" i="138" s="1"/>
  <c r="K65" i="288"/>
  <c r="L23" i="138" s="1"/>
  <c r="L65" i="288"/>
  <c r="M23" i="138" s="1"/>
  <c r="M65" i="288"/>
  <c r="N23" i="138" s="1"/>
  <c r="N65" i="288"/>
  <c r="O23" i="138" s="1"/>
  <c r="O65" i="288"/>
  <c r="P23" i="138" s="1"/>
  <c r="E59" i="233"/>
  <c r="F59" i="233"/>
  <c r="G59" i="233"/>
  <c r="H59" i="233"/>
  <c r="I59" i="233"/>
  <c r="J59" i="233"/>
  <c r="K59" i="233"/>
  <c r="L59" i="233"/>
  <c r="M59" i="233"/>
  <c r="N59" i="233"/>
  <c r="O59" i="233"/>
  <c r="E59" i="288"/>
  <c r="F23" i="139" s="1"/>
  <c r="F59" i="288"/>
  <c r="G23" i="139" s="1"/>
  <c r="G59" i="288"/>
  <c r="H23" i="139" s="1"/>
  <c r="H59" i="288"/>
  <c r="I23" i="139" s="1"/>
  <c r="I59" i="288"/>
  <c r="J23" i="139" s="1"/>
  <c r="J59" i="288"/>
  <c r="K23" i="139" s="1"/>
  <c r="K59" i="288"/>
  <c r="L23" i="139" s="1"/>
  <c r="L59" i="288"/>
  <c r="M23" i="139" s="1"/>
  <c r="M59" i="288"/>
  <c r="N23" i="139" s="1"/>
  <c r="N59" i="288"/>
  <c r="O23" i="139" s="1"/>
  <c r="O59" i="288"/>
  <c r="P23" i="139" s="1"/>
  <c r="E53" i="288"/>
  <c r="F23" i="136" s="1"/>
  <c r="F53" i="288"/>
  <c r="G23" i="136" s="1"/>
  <c r="G53" i="288"/>
  <c r="H23" i="136" s="1"/>
  <c r="H53" i="288"/>
  <c r="I23" i="136" s="1"/>
  <c r="I53" i="288"/>
  <c r="J23" i="136" s="1"/>
  <c r="J53" i="288"/>
  <c r="K23" i="136" s="1"/>
  <c r="K53" i="288"/>
  <c r="L23" i="136" s="1"/>
  <c r="L53" i="288"/>
  <c r="M23" i="136" s="1"/>
  <c r="M53" i="288"/>
  <c r="N23" i="136" s="1"/>
  <c r="N53" i="288"/>
  <c r="O23" i="136" s="1"/>
  <c r="O53" i="288"/>
  <c r="P23" i="136" s="1"/>
  <c r="F47" i="288"/>
  <c r="G23" i="135" s="1"/>
  <c r="G47" i="288"/>
  <c r="H23" i="135" s="1"/>
  <c r="H47" i="288"/>
  <c r="I23" i="135" s="1"/>
  <c r="I47" i="288"/>
  <c r="J23" i="135" s="1"/>
  <c r="J47" i="288"/>
  <c r="K23" i="135" s="1"/>
  <c r="K47" i="288"/>
  <c r="L23" i="135" s="1"/>
  <c r="L47" i="288"/>
  <c r="M23" i="135" s="1"/>
  <c r="M47" i="288"/>
  <c r="N23" i="135" s="1"/>
  <c r="N47" i="288"/>
  <c r="O23" i="135" s="1"/>
  <c r="O47" i="288"/>
  <c r="P23" i="135" s="1"/>
  <c r="D47" i="288"/>
  <c r="E23" i="135" s="1"/>
  <c r="E42" i="288"/>
  <c r="F23" i="284" s="1"/>
  <c r="O16" i="288"/>
  <c r="L16" i="288"/>
  <c r="P15" i="233"/>
  <c r="Q15" i="233"/>
  <c r="P15" i="288"/>
  <c r="Q23" i="197" s="1"/>
  <c r="Q15" i="288"/>
  <c r="L7" i="288" l="1"/>
  <c r="M23" i="299" s="1"/>
  <c r="M23" i="207"/>
  <c r="O7" i="288"/>
  <c r="P23" i="299" s="1"/>
  <c r="P23" i="207"/>
  <c r="O8" i="288"/>
  <c r="P23" i="300" s="1"/>
  <c r="L8" i="288"/>
  <c r="M23" i="300" s="1"/>
  <c r="N16" i="288"/>
  <c r="M16" i="288"/>
  <c r="M42" i="288"/>
  <c r="N23" i="284" s="1"/>
  <c r="O42" i="288"/>
  <c r="P23" i="284" s="1"/>
  <c r="K16" i="288"/>
  <c r="N42" i="288"/>
  <c r="O23" i="284" s="1"/>
  <c r="J42" i="288"/>
  <c r="K23" i="284" s="1"/>
  <c r="K42" i="288"/>
  <c r="L23" i="284" s="1"/>
  <c r="J16" i="288"/>
  <c r="I42" i="288"/>
  <c r="J23" i="284" s="1"/>
  <c r="I16" i="288"/>
  <c r="H16" i="288"/>
  <c r="G16" i="288"/>
  <c r="G42" i="288"/>
  <c r="H23" i="284" s="1"/>
  <c r="F16" i="288"/>
  <c r="F42" i="288"/>
  <c r="G23" i="284" s="1"/>
  <c r="E16" i="288"/>
  <c r="L42" i="288"/>
  <c r="M23" i="284" s="1"/>
  <c r="H42" i="288"/>
  <c r="I23" i="284" s="1"/>
  <c r="C176" i="288"/>
  <c r="B176" i="288"/>
  <c r="A176" i="288"/>
  <c r="C175" i="288"/>
  <c r="B175" i="288"/>
  <c r="A175" i="288"/>
  <c r="C174" i="288"/>
  <c r="B174" i="288"/>
  <c r="A174" i="288"/>
  <c r="C173" i="288"/>
  <c r="B173" i="288"/>
  <c r="A173" i="288"/>
  <c r="C172" i="288"/>
  <c r="B172" i="288"/>
  <c r="A172" i="288"/>
  <c r="C171" i="288"/>
  <c r="B171" i="288"/>
  <c r="A171" i="288"/>
  <c r="C170" i="288"/>
  <c r="B170" i="288"/>
  <c r="A170" i="288"/>
  <c r="C169" i="288"/>
  <c r="B169" i="288"/>
  <c r="A169" i="288"/>
  <c r="C168" i="288"/>
  <c r="B168" i="288"/>
  <c r="A168" i="288"/>
  <c r="C167" i="288"/>
  <c r="B167" i="288"/>
  <c r="A167" i="288"/>
  <c r="C166" i="288"/>
  <c r="B166" i="288"/>
  <c r="A166" i="288"/>
  <c r="C165" i="288"/>
  <c r="B165" i="288"/>
  <c r="A165" i="288"/>
  <c r="C164" i="288"/>
  <c r="B164" i="288"/>
  <c r="A164" i="288"/>
  <c r="C163" i="288"/>
  <c r="B163" i="288"/>
  <c r="A163" i="288"/>
  <c r="C162" i="288"/>
  <c r="B162" i="288"/>
  <c r="A162" i="288"/>
  <c r="C161" i="288"/>
  <c r="B161" i="288"/>
  <c r="A161" i="288"/>
  <c r="C160" i="288"/>
  <c r="B160" i="288"/>
  <c r="A160" i="288"/>
  <c r="C159" i="288"/>
  <c r="B159" i="288"/>
  <c r="A159" i="288"/>
  <c r="C158" i="288"/>
  <c r="B158" i="288"/>
  <c r="A158" i="288"/>
  <c r="C157" i="288"/>
  <c r="B157" i="288"/>
  <c r="A157" i="288"/>
  <c r="C156" i="288"/>
  <c r="B156" i="288"/>
  <c r="A156" i="288"/>
  <c r="C155" i="288"/>
  <c r="B155" i="288"/>
  <c r="A155" i="288"/>
  <c r="C154" i="288"/>
  <c r="B154" i="288"/>
  <c r="A154" i="288"/>
  <c r="C153" i="288"/>
  <c r="B153" i="288"/>
  <c r="A153" i="288"/>
  <c r="C152" i="288"/>
  <c r="B152" i="288"/>
  <c r="A152" i="288"/>
  <c r="C151" i="288"/>
  <c r="B151" i="288"/>
  <c r="A151" i="288"/>
  <c r="C150" i="288"/>
  <c r="B150" i="288"/>
  <c r="A150" i="288"/>
  <c r="C149" i="288"/>
  <c r="B149" i="288"/>
  <c r="A149" i="288"/>
  <c r="C148" i="288"/>
  <c r="B148" i="288"/>
  <c r="A148" i="288"/>
  <c r="C147" i="288"/>
  <c r="B147" i="288"/>
  <c r="A147" i="288"/>
  <c r="C146" i="288"/>
  <c r="B146" i="288"/>
  <c r="A146" i="288"/>
  <c r="C145" i="288"/>
  <c r="B145" i="288"/>
  <c r="A145" i="288"/>
  <c r="C144" i="288"/>
  <c r="B144" i="288"/>
  <c r="A144" i="288"/>
  <c r="C143" i="288"/>
  <c r="B143" i="288"/>
  <c r="A143" i="288"/>
  <c r="C142" i="288"/>
  <c r="B142" i="288"/>
  <c r="A142" i="288"/>
  <c r="C141" i="288"/>
  <c r="B141" i="288"/>
  <c r="A141" i="288"/>
  <c r="C140" i="288"/>
  <c r="B140" i="288"/>
  <c r="A140" i="288"/>
  <c r="C139" i="288"/>
  <c r="B139" i="288"/>
  <c r="A139" i="288"/>
  <c r="C138" i="288"/>
  <c r="B138" i="288"/>
  <c r="A138" i="288"/>
  <c r="C137" i="288"/>
  <c r="B137" i="288"/>
  <c r="A137" i="288"/>
  <c r="C136" i="288"/>
  <c r="B136" i="288"/>
  <c r="A136" i="288"/>
  <c r="C135" i="288"/>
  <c r="B135" i="288"/>
  <c r="A135" i="288"/>
  <c r="C134" i="288"/>
  <c r="B134" i="288"/>
  <c r="A134" i="288"/>
  <c r="C133" i="288"/>
  <c r="B133" i="288"/>
  <c r="A133" i="288"/>
  <c r="C132" i="288"/>
  <c r="B132" i="288"/>
  <c r="A132" i="288"/>
  <c r="C131" i="288"/>
  <c r="B131" i="288"/>
  <c r="A131" i="288"/>
  <c r="C130" i="288"/>
  <c r="B130" i="288"/>
  <c r="A130" i="288"/>
  <c r="C129" i="288"/>
  <c r="B129" i="288"/>
  <c r="A129" i="288"/>
  <c r="C128" i="288"/>
  <c r="B128" i="288"/>
  <c r="A128" i="288"/>
  <c r="C124" i="288"/>
  <c r="B124" i="288"/>
  <c r="A124" i="288"/>
  <c r="O119" i="288"/>
  <c r="N119" i="288"/>
  <c r="M119" i="288"/>
  <c r="L119" i="288"/>
  <c r="K119" i="288"/>
  <c r="J119" i="288"/>
  <c r="I119" i="288"/>
  <c r="H119" i="288"/>
  <c r="G119" i="288"/>
  <c r="F119" i="288"/>
  <c r="E119" i="288"/>
  <c r="D119" i="288"/>
  <c r="C119" i="288"/>
  <c r="B119" i="288"/>
  <c r="A119" i="288"/>
  <c r="C118" i="288"/>
  <c r="B118" i="288"/>
  <c r="A118" i="288"/>
  <c r="C117" i="288"/>
  <c r="B117" i="288"/>
  <c r="A117" i="288"/>
  <c r="C116" i="288"/>
  <c r="B116" i="288"/>
  <c r="A116" i="288"/>
  <c r="O115" i="288"/>
  <c r="N115" i="288"/>
  <c r="M115" i="288"/>
  <c r="L115" i="288"/>
  <c r="K115" i="288"/>
  <c r="J115" i="288"/>
  <c r="I115" i="288"/>
  <c r="H115" i="288"/>
  <c r="G115" i="288"/>
  <c r="F115" i="288"/>
  <c r="E115" i="288"/>
  <c r="D115" i="288"/>
  <c r="C115" i="288"/>
  <c r="B115" i="288"/>
  <c r="A115" i="288"/>
  <c r="C114" i="288"/>
  <c r="B114" i="288"/>
  <c r="A114" i="288"/>
  <c r="C113" i="288"/>
  <c r="B113" i="288"/>
  <c r="A113" i="288"/>
  <c r="C112" i="288"/>
  <c r="B112" i="288"/>
  <c r="A112" i="288"/>
  <c r="O111" i="288"/>
  <c r="N111" i="288"/>
  <c r="M111" i="288"/>
  <c r="L111" i="288"/>
  <c r="K111" i="288"/>
  <c r="J111" i="288"/>
  <c r="I111" i="288"/>
  <c r="H111" i="288"/>
  <c r="G111" i="288"/>
  <c r="F111" i="288"/>
  <c r="E111" i="288"/>
  <c r="D111" i="288"/>
  <c r="C111" i="288"/>
  <c r="B111" i="288"/>
  <c r="A111" i="288"/>
  <c r="C110" i="288"/>
  <c r="B110" i="288"/>
  <c r="A110" i="288"/>
  <c r="C109" i="288"/>
  <c r="B109" i="288"/>
  <c r="A109" i="288"/>
  <c r="C108" i="288"/>
  <c r="B108" i="288"/>
  <c r="A108" i="288"/>
  <c r="C107" i="288"/>
  <c r="B107" i="288"/>
  <c r="A107" i="288"/>
  <c r="C106" i="288"/>
  <c r="B106" i="288"/>
  <c r="A106" i="288"/>
  <c r="O105" i="288"/>
  <c r="P23" i="214" s="1"/>
  <c r="N105" i="288"/>
  <c r="O23" i="214" s="1"/>
  <c r="M105" i="288"/>
  <c r="N23" i="214" s="1"/>
  <c r="L105" i="288"/>
  <c r="M23" i="214" s="1"/>
  <c r="K105" i="288"/>
  <c r="L23" i="214" s="1"/>
  <c r="J105" i="288"/>
  <c r="K23" i="214" s="1"/>
  <c r="I105" i="288"/>
  <c r="J23" i="214" s="1"/>
  <c r="H105" i="288"/>
  <c r="I23" i="214" s="1"/>
  <c r="G105" i="288"/>
  <c r="H23" i="214" s="1"/>
  <c r="F105" i="288"/>
  <c r="G23" i="214" s="1"/>
  <c r="E105" i="288"/>
  <c r="F23" i="214" s="1"/>
  <c r="D105" i="288"/>
  <c r="E23" i="214" s="1"/>
  <c r="C105" i="288"/>
  <c r="B105" i="288"/>
  <c r="A105" i="288"/>
  <c r="C104" i="288"/>
  <c r="B104" i="288"/>
  <c r="A104" i="288"/>
  <c r="C103" i="288"/>
  <c r="B103" i="288"/>
  <c r="A103" i="288"/>
  <c r="C102" i="288"/>
  <c r="B102" i="288"/>
  <c r="A102" i="288"/>
  <c r="C101" i="288"/>
  <c r="B101" i="288"/>
  <c r="A101" i="288"/>
  <c r="C100" i="288"/>
  <c r="B100" i="288"/>
  <c r="A100" i="288"/>
  <c r="O99" i="288"/>
  <c r="P23" i="183" s="1"/>
  <c r="N99" i="288"/>
  <c r="O23" i="183" s="1"/>
  <c r="M99" i="288"/>
  <c r="N23" i="183" s="1"/>
  <c r="L99" i="288"/>
  <c r="M23" i="183" s="1"/>
  <c r="K99" i="288"/>
  <c r="L23" i="183" s="1"/>
  <c r="J99" i="288"/>
  <c r="K23" i="183" s="1"/>
  <c r="I99" i="288"/>
  <c r="J23" i="183" s="1"/>
  <c r="H99" i="288"/>
  <c r="I23" i="183" s="1"/>
  <c r="G99" i="288"/>
  <c r="H23" i="183" s="1"/>
  <c r="F99" i="288"/>
  <c r="G23" i="183" s="1"/>
  <c r="E99" i="288"/>
  <c r="F23" i="183" s="1"/>
  <c r="D99" i="288"/>
  <c r="E23" i="183" s="1"/>
  <c r="C99" i="288"/>
  <c r="B99" i="288"/>
  <c r="A99" i="288"/>
  <c r="C98" i="288"/>
  <c r="B98" i="288"/>
  <c r="A98" i="288"/>
  <c r="C97" i="288"/>
  <c r="B97" i="288"/>
  <c r="A97" i="288"/>
  <c r="C96" i="288"/>
  <c r="B96" i="288"/>
  <c r="A96" i="288"/>
  <c r="C95" i="288"/>
  <c r="B95" i="288"/>
  <c r="A95" i="288"/>
  <c r="C94" i="288"/>
  <c r="B94" i="288"/>
  <c r="A94" i="288"/>
  <c r="O93" i="288"/>
  <c r="P23" i="181" s="1"/>
  <c r="N93" i="288"/>
  <c r="O23" i="181" s="1"/>
  <c r="M93" i="288"/>
  <c r="N23" i="181" s="1"/>
  <c r="L93" i="288"/>
  <c r="M23" i="181" s="1"/>
  <c r="K93" i="288"/>
  <c r="L23" i="181" s="1"/>
  <c r="J93" i="288"/>
  <c r="K23" i="181" s="1"/>
  <c r="I93" i="288"/>
  <c r="J23" i="181" s="1"/>
  <c r="H93" i="288"/>
  <c r="I23" i="181" s="1"/>
  <c r="G93" i="288"/>
  <c r="H23" i="181" s="1"/>
  <c r="F93" i="288"/>
  <c r="G23" i="181" s="1"/>
  <c r="E93" i="288"/>
  <c r="F23" i="181" s="1"/>
  <c r="D93" i="288"/>
  <c r="E23" i="181" s="1"/>
  <c r="C93" i="288"/>
  <c r="B93" i="288"/>
  <c r="A93" i="288"/>
  <c r="C92" i="288"/>
  <c r="B92" i="288"/>
  <c r="A92" i="288"/>
  <c r="C91" i="288"/>
  <c r="B91" i="288"/>
  <c r="A91" i="288"/>
  <c r="C90" i="288"/>
  <c r="B90" i="288"/>
  <c r="A90" i="288"/>
  <c r="C89" i="288"/>
  <c r="B89" i="288"/>
  <c r="A89" i="288"/>
  <c r="C88" i="288"/>
  <c r="B88" i="288"/>
  <c r="A88" i="288"/>
  <c r="O87" i="288"/>
  <c r="P23" i="182" s="1"/>
  <c r="N87" i="288"/>
  <c r="O23" i="182" s="1"/>
  <c r="M87" i="288"/>
  <c r="N23" i="182" s="1"/>
  <c r="L87" i="288"/>
  <c r="M23" i="182" s="1"/>
  <c r="K87" i="288"/>
  <c r="L23" i="182" s="1"/>
  <c r="J87" i="288"/>
  <c r="K23" i="182" s="1"/>
  <c r="I87" i="288"/>
  <c r="J23" i="182" s="1"/>
  <c r="H87" i="288"/>
  <c r="I23" i="182" s="1"/>
  <c r="G87" i="288"/>
  <c r="H23" i="182" s="1"/>
  <c r="F87" i="288"/>
  <c r="G23" i="182" s="1"/>
  <c r="E87" i="288"/>
  <c r="F23" i="182" s="1"/>
  <c r="D87" i="288"/>
  <c r="E23" i="182" s="1"/>
  <c r="C87" i="288"/>
  <c r="B87" i="288"/>
  <c r="A87" i="288"/>
  <c r="C86" i="288"/>
  <c r="B86" i="288"/>
  <c r="A86" i="288"/>
  <c r="C85" i="288"/>
  <c r="B85" i="288"/>
  <c r="A85" i="288"/>
  <c r="C84" i="288"/>
  <c r="B84" i="288"/>
  <c r="A84" i="288"/>
  <c r="C83" i="288"/>
  <c r="B83" i="288"/>
  <c r="A83" i="288"/>
  <c r="C82" i="288"/>
  <c r="B82" i="288"/>
  <c r="A82" i="288"/>
  <c r="O81" i="288"/>
  <c r="P23" i="141" s="1"/>
  <c r="N81" i="288"/>
  <c r="O23" i="141" s="1"/>
  <c r="M81" i="288"/>
  <c r="N23" i="141" s="1"/>
  <c r="L81" i="288"/>
  <c r="M23" i="141" s="1"/>
  <c r="K81" i="288"/>
  <c r="L23" i="141" s="1"/>
  <c r="J81" i="288"/>
  <c r="K23" i="141" s="1"/>
  <c r="I81" i="288"/>
  <c r="J23" i="141" s="1"/>
  <c r="H81" i="288"/>
  <c r="I23" i="141" s="1"/>
  <c r="G81" i="288"/>
  <c r="H23" i="141" s="1"/>
  <c r="F81" i="288"/>
  <c r="G23" i="141" s="1"/>
  <c r="E81" i="288"/>
  <c r="F23" i="141" s="1"/>
  <c r="D81" i="288"/>
  <c r="E23" i="141" s="1"/>
  <c r="C81" i="288"/>
  <c r="B81" i="288"/>
  <c r="A81" i="288"/>
  <c r="C80" i="288"/>
  <c r="B80" i="288"/>
  <c r="A80" i="288"/>
  <c r="C79" i="288"/>
  <c r="B79" i="288"/>
  <c r="A79" i="288"/>
  <c r="C78" i="288"/>
  <c r="B78" i="288"/>
  <c r="A78" i="288"/>
  <c r="C73" i="288"/>
  <c r="B73" i="288"/>
  <c r="C72" i="288"/>
  <c r="B72" i="288"/>
  <c r="O71" i="288"/>
  <c r="P23" i="140" s="1"/>
  <c r="N71" i="288"/>
  <c r="O23" i="140" s="1"/>
  <c r="M71" i="288"/>
  <c r="N23" i="140" s="1"/>
  <c r="L71" i="288"/>
  <c r="M23" i="140" s="1"/>
  <c r="K71" i="288"/>
  <c r="L23" i="140" s="1"/>
  <c r="J71" i="288"/>
  <c r="K23" i="140" s="1"/>
  <c r="I71" i="288"/>
  <c r="J23" i="140" s="1"/>
  <c r="H71" i="288"/>
  <c r="I23" i="140" s="1"/>
  <c r="G71" i="288"/>
  <c r="H23" i="140" s="1"/>
  <c r="F71" i="288"/>
  <c r="G23" i="140" s="1"/>
  <c r="E71" i="288"/>
  <c r="F23" i="140" s="1"/>
  <c r="C71" i="288"/>
  <c r="B71" i="288"/>
  <c r="A71" i="288"/>
  <c r="C70" i="288"/>
  <c r="B70" i="288"/>
  <c r="A70" i="288"/>
  <c r="C69" i="288"/>
  <c r="B69" i="288"/>
  <c r="A69" i="288"/>
  <c r="C68" i="288"/>
  <c r="B68" i="288"/>
  <c r="A68" i="288"/>
  <c r="C67" i="288"/>
  <c r="B67" i="288"/>
  <c r="A67" i="288"/>
  <c r="C66" i="288"/>
  <c r="B66" i="288"/>
  <c r="A66" i="288"/>
  <c r="D65" i="288"/>
  <c r="E23" i="138" s="1"/>
  <c r="C65" i="288"/>
  <c r="B65" i="288"/>
  <c r="A65" i="288"/>
  <c r="C64" i="288"/>
  <c r="B64" i="288"/>
  <c r="A64" i="288"/>
  <c r="C63" i="288"/>
  <c r="B63" i="288"/>
  <c r="A63" i="288"/>
  <c r="C62" i="288"/>
  <c r="B62" i="288"/>
  <c r="A62" i="288"/>
  <c r="C61" i="288"/>
  <c r="B61" i="288"/>
  <c r="A61" i="288"/>
  <c r="C60" i="288"/>
  <c r="B60" i="288"/>
  <c r="A60" i="288"/>
  <c r="D59" i="288"/>
  <c r="E23" i="139" s="1"/>
  <c r="C59" i="288"/>
  <c r="B59" i="288"/>
  <c r="A59" i="288"/>
  <c r="C58" i="288"/>
  <c r="B58" i="288"/>
  <c r="A58" i="288"/>
  <c r="C57" i="288"/>
  <c r="B57" i="288"/>
  <c r="A57" i="288"/>
  <c r="C56" i="288"/>
  <c r="B56" i="288"/>
  <c r="A56" i="288"/>
  <c r="C55" i="288"/>
  <c r="B55" i="288"/>
  <c r="A55" i="288"/>
  <c r="C54" i="288"/>
  <c r="B54" i="288"/>
  <c r="A54" i="288"/>
  <c r="D53" i="288"/>
  <c r="E23" i="136" s="1"/>
  <c r="C53" i="288"/>
  <c r="B53" i="288"/>
  <c r="A53" i="288"/>
  <c r="C52" i="288"/>
  <c r="B52" i="288"/>
  <c r="A52" i="288"/>
  <c r="C51" i="288"/>
  <c r="B51" i="288"/>
  <c r="A51" i="288"/>
  <c r="C50" i="288"/>
  <c r="B50" i="288"/>
  <c r="A50" i="288"/>
  <c r="C49" i="288"/>
  <c r="B49" i="288"/>
  <c r="A49" i="288"/>
  <c r="C48" i="288"/>
  <c r="B48" i="288"/>
  <c r="A48" i="288"/>
  <c r="C47" i="288"/>
  <c r="B47" i="288"/>
  <c r="A47" i="288"/>
  <c r="C46" i="288"/>
  <c r="B46" i="288"/>
  <c r="A46" i="288"/>
  <c r="C45" i="288"/>
  <c r="B45" i="288"/>
  <c r="A45" i="288"/>
  <c r="C44" i="288"/>
  <c r="B44" i="288"/>
  <c r="A44" i="288"/>
  <c r="C43" i="288"/>
  <c r="B43" i="288"/>
  <c r="A43" i="288"/>
  <c r="C42" i="288"/>
  <c r="B42" i="288"/>
  <c r="A42" i="288"/>
  <c r="N18" i="288"/>
  <c r="M18" i="288"/>
  <c r="J18" i="288"/>
  <c r="I18" i="288"/>
  <c r="F18" i="288"/>
  <c r="E18" i="288"/>
  <c r="C41" i="288"/>
  <c r="B41" i="288"/>
  <c r="A41" i="288"/>
  <c r="C40" i="288"/>
  <c r="B40" i="288"/>
  <c r="A40" i="288"/>
  <c r="C39" i="288"/>
  <c r="B39" i="288"/>
  <c r="A39" i="288"/>
  <c r="C38" i="288"/>
  <c r="B38" i="288"/>
  <c r="A38" i="288"/>
  <c r="C37" i="288"/>
  <c r="B37" i="288"/>
  <c r="A37" i="288"/>
  <c r="C36" i="288"/>
  <c r="B36" i="288"/>
  <c r="A36" i="288"/>
  <c r="C35" i="288"/>
  <c r="B35" i="288"/>
  <c r="A35" i="288"/>
  <c r="C34" i="288"/>
  <c r="B34" i="288"/>
  <c r="A34" i="288"/>
  <c r="C33" i="288"/>
  <c r="B33" i="288"/>
  <c r="A33" i="288"/>
  <c r="C32" i="288"/>
  <c r="B32" i="288"/>
  <c r="A32" i="288"/>
  <c r="C31" i="288"/>
  <c r="B31" i="288"/>
  <c r="A31" i="288"/>
  <c r="C30" i="288"/>
  <c r="B30" i="288"/>
  <c r="A30" i="288"/>
  <c r="C29" i="288"/>
  <c r="B29" i="288"/>
  <c r="A29" i="288"/>
  <c r="C28" i="288"/>
  <c r="B28" i="288"/>
  <c r="A28" i="288"/>
  <c r="C27" i="288"/>
  <c r="B27" i="288"/>
  <c r="A27" i="288"/>
  <c r="O17" i="288"/>
  <c r="P23" i="142" s="1"/>
  <c r="H15" i="288"/>
  <c r="G15" i="288"/>
  <c r="F15" i="288"/>
  <c r="G23" i="197" s="1"/>
  <c r="E15" i="288"/>
  <c r="C26" i="288"/>
  <c r="B26" i="288"/>
  <c r="A26" i="288"/>
  <c r="C25" i="288"/>
  <c r="B25" i="288"/>
  <c r="A25" i="288"/>
  <c r="C24" i="288"/>
  <c r="B24" i="288"/>
  <c r="A24" i="288"/>
  <c r="C23" i="288"/>
  <c r="B23" i="288"/>
  <c r="A23" i="288"/>
  <c r="C22" i="288"/>
  <c r="B22" i="288"/>
  <c r="A22" i="288"/>
  <c r="C21" i="288"/>
  <c r="B21" i="288"/>
  <c r="A21" i="288"/>
  <c r="C20" i="288"/>
  <c r="B20" i="288"/>
  <c r="A20" i="288"/>
  <c r="C19" i="288"/>
  <c r="B19" i="288"/>
  <c r="A19" i="288"/>
  <c r="O18" i="288"/>
  <c r="K18" i="288"/>
  <c r="G18" i="288"/>
  <c r="C18" i="288"/>
  <c r="B18" i="288"/>
  <c r="A18" i="288"/>
  <c r="C17" i="288"/>
  <c r="B17" i="288"/>
  <c r="A17" i="288"/>
  <c r="C16" i="288"/>
  <c r="B16" i="288"/>
  <c r="A16" i="288"/>
  <c r="C15" i="288"/>
  <c r="B15" i="288"/>
  <c r="A15" i="288"/>
  <c r="B14" i="288"/>
  <c r="A14" i="288"/>
  <c r="C4" i="288"/>
  <c r="A4" i="288"/>
  <c r="C3" i="288"/>
  <c r="B3" i="288"/>
  <c r="A3" i="288"/>
  <c r="C2" i="288"/>
  <c r="A2" i="288"/>
  <c r="C1" i="288"/>
  <c r="B1" i="288"/>
  <c r="A1" i="288"/>
  <c r="J7" i="288" l="1"/>
  <c r="K23" i="299" s="1"/>
  <c r="K23" i="207"/>
  <c r="M7" i="288"/>
  <c r="N23" i="299" s="1"/>
  <c r="N23" i="207"/>
  <c r="E7" i="288"/>
  <c r="F23" i="299" s="1"/>
  <c r="F23" i="207"/>
  <c r="F7" i="288"/>
  <c r="G23" i="299" s="1"/>
  <c r="G23" i="207"/>
  <c r="G7" i="288"/>
  <c r="H23" i="299" s="1"/>
  <c r="H23" i="207"/>
  <c r="K7" i="288"/>
  <c r="L23" i="207"/>
  <c r="G11" i="288"/>
  <c r="H23" i="197"/>
  <c r="H11" i="288"/>
  <c r="H12" i="288" s="1"/>
  <c r="I23" i="303" s="1"/>
  <c r="I23" i="197"/>
  <c r="H7" i="288"/>
  <c r="I23" i="299" s="1"/>
  <c r="I23" i="207"/>
  <c r="N7" i="288"/>
  <c r="O23" i="299" s="1"/>
  <c r="O23" i="207"/>
  <c r="E11" i="288"/>
  <c r="F23" i="197"/>
  <c r="I7" i="288"/>
  <c r="J23" i="299" s="1"/>
  <c r="J23" i="207"/>
  <c r="N12" i="233"/>
  <c r="O19" i="303" s="1"/>
  <c r="O22" i="303" s="1"/>
  <c r="O19" i="302"/>
  <c r="J19" i="302"/>
  <c r="I12" i="233"/>
  <c r="J19" i="303" s="1"/>
  <c r="E12" i="233"/>
  <c r="F19" i="303" s="1"/>
  <c r="F21" i="303" s="1"/>
  <c r="F19" i="302"/>
  <c r="P19" i="302"/>
  <c r="O12" i="233"/>
  <c r="P19" i="303" s="1"/>
  <c r="G19" i="302"/>
  <c r="F12" i="233"/>
  <c r="G19" i="303" s="1"/>
  <c r="G12" i="288"/>
  <c r="H23" i="303" s="1"/>
  <c r="F11" i="288"/>
  <c r="P21" i="299"/>
  <c r="P22" i="299"/>
  <c r="H8" i="288"/>
  <c r="I23" i="300" s="1"/>
  <c r="P21" i="300"/>
  <c r="P22" i="300"/>
  <c r="M8" i="288"/>
  <c r="N23" i="300" s="1"/>
  <c r="E8" i="288"/>
  <c r="F23" i="300" s="1"/>
  <c r="J8" i="288"/>
  <c r="K23" i="300" s="1"/>
  <c r="I8" i="288"/>
  <c r="J23" i="300" s="1"/>
  <c r="N8" i="288"/>
  <c r="O23" i="300" s="1"/>
  <c r="M22" i="299"/>
  <c r="M21" i="299"/>
  <c r="G8" i="288"/>
  <c r="H23" i="300" s="1"/>
  <c r="M21" i="300"/>
  <c r="D15" i="288"/>
  <c r="E23" i="197" s="1"/>
  <c r="G17" i="288"/>
  <c r="H23" i="142" s="1"/>
  <c r="K15" i="288"/>
  <c r="L23" i="197" s="1"/>
  <c r="L15" i="288"/>
  <c r="M23" i="197" s="1"/>
  <c r="I15" i="288"/>
  <c r="J23" i="197" s="1"/>
  <c r="M17" i="288"/>
  <c r="N23" i="142" s="1"/>
  <c r="J15" i="288"/>
  <c r="K23" i="197" s="1"/>
  <c r="N17" i="288"/>
  <c r="O23" i="142" s="1"/>
  <c r="D16" i="288"/>
  <c r="E23" i="207" s="1"/>
  <c r="H17" i="288"/>
  <c r="I23" i="142" s="1"/>
  <c r="F17" i="288"/>
  <c r="G23" i="142" s="1"/>
  <c r="E17" i="288"/>
  <c r="F23" i="142" s="1"/>
  <c r="D37" i="288"/>
  <c r="I43" i="288"/>
  <c r="J23" i="287" s="1"/>
  <c r="I19" i="288"/>
  <c r="I22" i="288" s="1"/>
  <c r="D42" i="288"/>
  <c r="E23" i="284" s="1"/>
  <c r="E43" i="288"/>
  <c r="F23" i="287" s="1"/>
  <c r="L18" i="288"/>
  <c r="H18" i="288"/>
  <c r="D18" i="288"/>
  <c r="H37" i="288"/>
  <c r="L37" i="288"/>
  <c r="E37" i="288"/>
  <c r="I37" i="288"/>
  <c r="M37" i="288"/>
  <c r="G37" i="288"/>
  <c r="K37" i="288"/>
  <c r="O37" i="288"/>
  <c r="F37" i="288"/>
  <c r="N37" i="288"/>
  <c r="J37" i="288"/>
  <c r="E28" i="288"/>
  <c r="I28" i="288"/>
  <c r="M28" i="288"/>
  <c r="O28" i="288"/>
  <c r="F28" i="288"/>
  <c r="J28" i="288"/>
  <c r="N28" i="288"/>
  <c r="K28" i="288"/>
  <c r="G28" i="288"/>
  <c r="O19" i="288"/>
  <c r="O22" i="288" s="1"/>
  <c r="L43" i="288"/>
  <c r="M23" i="287" s="1"/>
  <c r="L19" i="288"/>
  <c r="J43" i="288"/>
  <c r="K23" i="287" s="1"/>
  <c r="D28" i="288"/>
  <c r="E23" i="217" s="1"/>
  <c r="H28" i="288"/>
  <c r="L28" i="288"/>
  <c r="G38" i="288" l="1"/>
  <c r="H23" i="224" s="1"/>
  <c r="H23" i="283"/>
  <c r="F26" i="303"/>
  <c r="G23" i="302"/>
  <c r="F13" i="288"/>
  <c r="G29" i="288"/>
  <c r="H23" i="218" s="1"/>
  <c r="H23" i="217"/>
  <c r="M29" i="288"/>
  <c r="N23" i="218" s="1"/>
  <c r="N23" i="217"/>
  <c r="M38" i="288"/>
  <c r="N23" i="224" s="1"/>
  <c r="N23" i="283"/>
  <c r="E29" i="288"/>
  <c r="F23" i="218" s="1"/>
  <c r="F23" i="217"/>
  <c r="L29" i="288"/>
  <c r="M23" i="218" s="1"/>
  <c r="M23" i="217"/>
  <c r="J38" i="288"/>
  <c r="K23" i="224" s="1"/>
  <c r="K23" i="283"/>
  <c r="F23" i="302"/>
  <c r="E13" i="288"/>
  <c r="H23" i="302"/>
  <c r="G13" i="288"/>
  <c r="I29" i="288"/>
  <c r="J23" i="218" s="1"/>
  <c r="J23" i="217"/>
  <c r="I23" i="302"/>
  <c r="H13" i="288"/>
  <c r="I38" i="288"/>
  <c r="J23" i="224" s="1"/>
  <c r="J23" i="283"/>
  <c r="E38" i="288"/>
  <c r="F23" i="224" s="1"/>
  <c r="F23" i="283"/>
  <c r="K29" i="288"/>
  <c r="L23" i="218" s="1"/>
  <c r="L23" i="217"/>
  <c r="H29" i="288"/>
  <c r="I23" i="218" s="1"/>
  <c r="I23" i="217"/>
  <c r="N29" i="288"/>
  <c r="O23" i="218" s="1"/>
  <c r="O23" i="217"/>
  <c r="N38" i="288"/>
  <c r="O23" i="224" s="1"/>
  <c r="O23" i="283"/>
  <c r="L38" i="288"/>
  <c r="M23" i="224" s="1"/>
  <c r="M23" i="283"/>
  <c r="J29" i="288"/>
  <c r="K23" i="218" s="1"/>
  <c r="K23" i="217"/>
  <c r="F38" i="288"/>
  <c r="G23" i="224" s="1"/>
  <c r="G23" i="283"/>
  <c r="H38" i="288"/>
  <c r="I23" i="224" s="1"/>
  <c r="I23" i="283"/>
  <c r="D38" i="288"/>
  <c r="E23" i="224" s="1"/>
  <c r="E23" i="283"/>
  <c r="E12" i="288"/>
  <c r="F23" i="303" s="1"/>
  <c r="K8" i="288"/>
  <c r="L23" i="300" s="1"/>
  <c r="L23" i="299"/>
  <c r="F29" i="288"/>
  <c r="G23" i="218" s="1"/>
  <c r="G23" i="217"/>
  <c r="O38" i="288"/>
  <c r="P23" i="224" s="1"/>
  <c r="P23" i="283"/>
  <c r="O29" i="288"/>
  <c r="P23" i="218" s="1"/>
  <c r="P23" i="217"/>
  <c r="K38" i="288"/>
  <c r="L23" i="224" s="1"/>
  <c r="L23" i="283"/>
  <c r="F8" i="288"/>
  <c r="G23" i="300" s="1"/>
  <c r="P22" i="302"/>
  <c r="P21" i="302"/>
  <c r="P22" i="303"/>
  <c r="P21" i="303"/>
  <c r="O21" i="303"/>
  <c r="O22" i="302"/>
  <c r="O21" i="302"/>
  <c r="D11" i="288"/>
  <c r="F22" i="302"/>
  <c r="F22" i="303"/>
  <c r="F26" i="302"/>
  <c r="G26" i="302"/>
  <c r="F21" i="302"/>
  <c r="L17" i="288"/>
  <c r="M23" i="142" s="1"/>
  <c r="L11" i="288"/>
  <c r="K17" i="288"/>
  <c r="L23" i="142" s="1"/>
  <c r="K11" i="288"/>
  <c r="J17" i="288"/>
  <c r="K23" i="142" s="1"/>
  <c r="J11" i="288"/>
  <c r="G26" i="303"/>
  <c r="I17" i="288"/>
  <c r="J23" i="142" s="1"/>
  <c r="I11" i="288"/>
  <c r="F12" i="288"/>
  <c r="G23" i="303" s="1"/>
  <c r="D7" i="288"/>
  <c r="E23" i="299" s="1"/>
  <c r="H21" i="299"/>
  <c r="H22" i="299"/>
  <c r="N21" i="299"/>
  <c r="N22" i="299"/>
  <c r="L21" i="299"/>
  <c r="L22" i="299"/>
  <c r="J22" i="299"/>
  <c r="J21" i="299"/>
  <c r="L21" i="300"/>
  <c r="N21" i="300"/>
  <c r="J22" i="300"/>
  <c r="J21" i="300"/>
  <c r="O22" i="299"/>
  <c r="O21" i="299"/>
  <c r="I22" i="299"/>
  <c r="I21" i="299"/>
  <c r="O21" i="300"/>
  <c r="O22" i="300"/>
  <c r="G22" i="299"/>
  <c r="G21" i="299"/>
  <c r="F22" i="300"/>
  <c r="F21" i="300"/>
  <c r="K22" i="299"/>
  <c r="K21" i="299"/>
  <c r="G21" i="300"/>
  <c r="G22" i="300"/>
  <c r="F22" i="299"/>
  <c r="F21" i="299"/>
  <c r="D17" i="288"/>
  <c r="E23" i="142" s="1"/>
  <c r="D29" i="288"/>
  <c r="E23" i="218" s="1"/>
  <c r="O43" i="288"/>
  <c r="P23" i="287" s="1"/>
  <c r="F19" i="288"/>
  <c r="F22" i="288" s="1"/>
  <c r="D43" i="288"/>
  <c r="E23" i="287" s="1"/>
  <c r="K43" i="288"/>
  <c r="L23" i="287" s="1"/>
  <c r="J19" i="288"/>
  <c r="J22" i="288" s="1"/>
  <c r="H43" i="288"/>
  <c r="I23" i="287" s="1"/>
  <c r="G43" i="288"/>
  <c r="H23" i="287" s="1"/>
  <c r="N43" i="288"/>
  <c r="O23" i="287" s="1"/>
  <c r="E19" i="288"/>
  <c r="E22" i="288" s="1"/>
  <c r="F43" i="288"/>
  <c r="G23" i="287" s="1"/>
  <c r="G19" i="288"/>
  <c r="G22" i="288" s="1"/>
  <c r="N19" i="288"/>
  <c r="N22" i="288" s="1"/>
  <c r="L22" i="288"/>
  <c r="D19" i="288"/>
  <c r="D22" i="288" s="1"/>
  <c r="K19" i="288"/>
  <c r="K22" i="288" s="1"/>
  <c r="H19" i="288"/>
  <c r="H22" i="288" s="1"/>
  <c r="M43" i="288"/>
  <c r="N23" i="287" s="1"/>
  <c r="M19" i="288"/>
  <c r="M22" i="288" s="1"/>
  <c r="L23" i="302" l="1"/>
  <c r="K13" i="288"/>
  <c r="K23" i="302"/>
  <c r="J13" i="288"/>
  <c r="E23" i="302"/>
  <c r="D13" i="288"/>
  <c r="M23" i="302"/>
  <c r="L13" i="288"/>
  <c r="J23" i="302"/>
  <c r="I13" i="288"/>
  <c r="D12" i="288"/>
  <c r="E23" i="303" s="1"/>
  <c r="L12" i="288"/>
  <c r="M23" i="303" s="1"/>
  <c r="K12" i="288"/>
  <c r="L23" i="303" s="1"/>
  <c r="J12" i="288"/>
  <c r="K23" i="303" s="1"/>
  <c r="I12" i="288"/>
  <c r="J23" i="303" s="1"/>
  <c r="G21" i="302"/>
  <c r="J27" i="302"/>
  <c r="H27" i="302"/>
  <c r="G22" i="302"/>
  <c r="I27" i="302"/>
  <c r="G21" i="303"/>
  <c r="G22" i="303"/>
  <c r="I27" i="303"/>
  <c r="D8" i="288"/>
  <c r="E23" i="300" s="1"/>
  <c r="L31" i="272"/>
  <c r="E27" i="303" l="1"/>
  <c r="F27" i="303"/>
  <c r="E29" i="303"/>
  <c r="E22" i="303"/>
  <c r="E28" i="303"/>
  <c r="E21" i="303"/>
  <c r="G27" i="303"/>
  <c r="G29" i="303" s="1"/>
  <c r="M27" i="302"/>
  <c r="F27" i="302"/>
  <c r="E27" i="302"/>
  <c r="E21" i="302"/>
  <c r="E22" i="302"/>
  <c r="H27" i="303"/>
  <c r="H28" i="303" s="1"/>
  <c r="G27" i="302"/>
  <c r="G29" i="302" s="1"/>
  <c r="K27" i="303"/>
  <c r="K28" i="303" s="1"/>
  <c r="O27" i="302"/>
  <c r="L27" i="303"/>
  <c r="L28" i="303" s="1"/>
  <c r="N27" i="302"/>
  <c r="L27" i="302"/>
  <c r="K27" i="302"/>
  <c r="P27" i="302"/>
  <c r="J22" i="303"/>
  <c r="J21" i="303"/>
  <c r="O27" i="303"/>
  <c r="O28" i="303" s="1"/>
  <c r="N27" i="303"/>
  <c r="N28" i="303" s="1"/>
  <c r="J27" i="303"/>
  <c r="J28" i="303" s="1"/>
  <c r="J22" i="302"/>
  <c r="J21" i="302"/>
  <c r="M27" i="303"/>
  <c r="M28" i="303" s="1"/>
  <c r="P27" i="303"/>
  <c r="I28" i="303"/>
  <c r="E27" i="299"/>
  <c r="I27" i="299"/>
  <c r="E21" i="299"/>
  <c r="M27" i="299"/>
  <c r="F27" i="299"/>
  <c r="E22" i="299"/>
  <c r="J27" i="299"/>
  <c r="G27" i="299"/>
  <c r="O27" i="299"/>
  <c r="H27" i="299"/>
  <c r="N27" i="299"/>
  <c r="K27" i="299"/>
  <c r="L27" i="299"/>
  <c r="P27" i="299"/>
  <c r="G27" i="300"/>
  <c r="O27" i="300"/>
  <c r="F27" i="300"/>
  <c r="H27" i="300"/>
  <c r="P27" i="300"/>
  <c r="I27" i="300"/>
  <c r="J27" i="300"/>
  <c r="E27" i="300"/>
  <c r="K27" i="300"/>
  <c r="E21" i="300"/>
  <c r="L27" i="300"/>
  <c r="M27" i="300"/>
  <c r="E29" i="300"/>
  <c r="N27" i="300"/>
  <c r="E22" i="300"/>
  <c r="E28" i="300"/>
  <c r="K26" i="272"/>
  <c r="G28" i="303" l="1"/>
  <c r="G28" i="302"/>
  <c r="E28" i="302"/>
  <c r="E29" i="302"/>
  <c r="F28" i="303"/>
  <c r="F29" i="303"/>
  <c r="F28" i="302"/>
  <c r="F29" i="302"/>
  <c r="S4" i="302"/>
  <c r="S4" i="303"/>
  <c r="P28" i="303"/>
  <c r="G29" i="300"/>
  <c r="G28" i="300"/>
  <c r="J28" i="299"/>
  <c r="J29" i="299"/>
  <c r="P28" i="299"/>
  <c r="P29" i="299"/>
  <c r="O28" i="300"/>
  <c r="G29" i="299"/>
  <c r="G28" i="299"/>
  <c r="L29" i="299"/>
  <c r="L28" i="299"/>
  <c r="F28" i="299"/>
  <c r="F29" i="299"/>
  <c r="S4" i="299"/>
  <c r="M29" i="299"/>
  <c r="M28" i="299"/>
  <c r="P28" i="300"/>
  <c r="N28" i="299"/>
  <c r="N29" i="299"/>
  <c r="M28" i="300"/>
  <c r="H29" i="299"/>
  <c r="H28" i="299"/>
  <c r="I29" i="299"/>
  <c r="I28" i="299"/>
  <c r="N28" i="300"/>
  <c r="K29" i="299"/>
  <c r="K28" i="299"/>
  <c r="L28" i="300"/>
  <c r="S4" i="300"/>
  <c r="F28" i="300"/>
  <c r="F29" i="300"/>
  <c r="O29" i="299"/>
  <c r="O28" i="299"/>
  <c r="E29" i="299"/>
  <c r="E28" i="299"/>
  <c r="K17" i="272"/>
  <c r="K31" i="272"/>
  <c r="J26" i="272" l="1"/>
  <c r="J31" i="272"/>
  <c r="J17" i="272"/>
  <c r="D32" i="272" l="1"/>
  <c r="E32" i="272"/>
  <c r="D31" i="272"/>
  <c r="E31" i="272"/>
  <c r="F31" i="272"/>
  <c r="D18" i="272"/>
  <c r="E18" i="272"/>
  <c r="D17" i="272"/>
  <c r="E17" i="272"/>
  <c r="D27" i="272"/>
  <c r="E27" i="272"/>
  <c r="D26" i="272"/>
  <c r="E26" i="272"/>
  <c r="E33" i="272" l="1"/>
  <c r="D33" i="272"/>
  <c r="C1" i="287" l="1"/>
  <c r="D23" i="287"/>
  <c r="D30" i="287" s="1"/>
  <c r="D22" i="287"/>
  <c r="D29" i="287" s="1"/>
  <c r="D21" i="287"/>
  <c r="D28" i="287" s="1"/>
  <c r="D20" i="287"/>
  <c r="D27" i="287" s="1"/>
  <c r="D19" i="287"/>
  <c r="D26" i="287" s="1"/>
  <c r="P18" i="287"/>
  <c r="P25" i="287" s="1"/>
  <c r="O18" i="287"/>
  <c r="O25" i="287" s="1"/>
  <c r="N18" i="287"/>
  <c r="N25" i="287" s="1"/>
  <c r="M18" i="287"/>
  <c r="M25" i="287" s="1"/>
  <c r="L18" i="287"/>
  <c r="L25" i="287" s="1"/>
  <c r="K18" i="287"/>
  <c r="K25" i="287" s="1"/>
  <c r="J18" i="287"/>
  <c r="J25" i="287" s="1"/>
  <c r="I18" i="287"/>
  <c r="I25" i="287" s="1"/>
  <c r="H18" i="287"/>
  <c r="H25" i="287" s="1"/>
  <c r="G18" i="287"/>
  <c r="G25" i="287" s="1"/>
  <c r="F18" i="287"/>
  <c r="F25" i="287" s="1"/>
  <c r="E18" i="287"/>
  <c r="E25" i="287" s="1"/>
  <c r="D23" i="286"/>
  <c r="D30" i="286" s="1"/>
  <c r="D22" i="286"/>
  <c r="D29" i="286" s="1"/>
  <c r="D21" i="286"/>
  <c r="D28" i="286" s="1"/>
  <c r="D20" i="286"/>
  <c r="D27" i="286" s="1"/>
  <c r="D19" i="286"/>
  <c r="D26" i="286" s="1"/>
  <c r="P18" i="286"/>
  <c r="P25" i="286" s="1"/>
  <c r="O18" i="286"/>
  <c r="O25" i="286" s="1"/>
  <c r="N18" i="286"/>
  <c r="N25" i="286" s="1"/>
  <c r="M18" i="286"/>
  <c r="M25" i="286" s="1"/>
  <c r="L18" i="286"/>
  <c r="L25" i="286" s="1"/>
  <c r="K18" i="286"/>
  <c r="K25" i="286" s="1"/>
  <c r="J18" i="286"/>
  <c r="J25" i="286" s="1"/>
  <c r="I18" i="286"/>
  <c r="I25" i="286" s="1"/>
  <c r="H18" i="286"/>
  <c r="H25" i="286" s="1"/>
  <c r="G18" i="286"/>
  <c r="G25" i="286" s="1"/>
  <c r="F18" i="286"/>
  <c r="F25" i="286" s="1"/>
  <c r="E18" i="286"/>
  <c r="E25" i="286" s="1"/>
  <c r="I1" i="286"/>
  <c r="P23" i="285"/>
  <c r="O23" i="285"/>
  <c r="N23" i="285"/>
  <c r="M23" i="285"/>
  <c r="L23" i="285"/>
  <c r="K23" i="285"/>
  <c r="J23" i="285"/>
  <c r="I23" i="285"/>
  <c r="H23" i="285"/>
  <c r="G23" i="285"/>
  <c r="F23" i="285"/>
  <c r="E23" i="285"/>
  <c r="D23" i="285"/>
  <c r="D30" i="285" s="1"/>
  <c r="D22" i="285"/>
  <c r="D29" i="285" s="1"/>
  <c r="D21" i="285"/>
  <c r="D28" i="285" s="1"/>
  <c r="F20" i="285"/>
  <c r="E20" i="285"/>
  <c r="D20" i="285"/>
  <c r="D27" i="285" s="1"/>
  <c r="D19" i="285"/>
  <c r="D26" i="285" s="1"/>
  <c r="P18" i="285"/>
  <c r="P25" i="285" s="1"/>
  <c r="O18" i="285"/>
  <c r="O25" i="285" s="1"/>
  <c r="N18" i="285"/>
  <c r="N25" i="285" s="1"/>
  <c r="M18" i="285"/>
  <c r="M25" i="285" s="1"/>
  <c r="L18" i="285"/>
  <c r="L25" i="285" s="1"/>
  <c r="K18" i="285"/>
  <c r="K25" i="285" s="1"/>
  <c r="J18" i="285"/>
  <c r="J25" i="285" s="1"/>
  <c r="I18" i="285"/>
  <c r="I25" i="285" s="1"/>
  <c r="H18" i="285"/>
  <c r="H25" i="285" s="1"/>
  <c r="G18" i="285"/>
  <c r="G25" i="285" s="1"/>
  <c r="F18" i="285"/>
  <c r="F25" i="285" s="1"/>
  <c r="E18" i="285"/>
  <c r="E25" i="285" s="1"/>
  <c r="I1" i="285"/>
  <c r="G30" i="285" l="1"/>
  <c r="F27" i="285"/>
  <c r="N30" i="285"/>
  <c r="E30" i="286"/>
  <c r="F27" i="286"/>
  <c r="E27" i="286"/>
  <c r="F30" i="286"/>
  <c r="O30" i="285"/>
  <c r="K30" i="285"/>
  <c r="H30" i="285"/>
  <c r="L30" i="285"/>
  <c r="P30" i="285"/>
  <c r="E30" i="285"/>
  <c r="I30" i="285"/>
  <c r="M30" i="285"/>
  <c r="E27" i="285"/>
  <c r="F30" i="285"/>
  <c r="J30" i="285"/>
  <c r="D23" i="284"/>
  <c r="D30" i="284" s="1"/>
  <c r="D22" i="284"/>
  <c r="D29" i="284" s="1"/>
  <c r="D21" i="284"/>
  <c r="D28" i="284" s="1"/>
  <c r="D20" i="284"/>
  <c r="D27" i="284" s="1"/>
  <c r="D19" i="284"/>
  <c r="D26" i="284" s="1"/>
  <c r="P18" i="284"/>
  <c r="P25" i="284" s="1"/>
  <c r="O18" i="284"/>
  <c r="O25" i="284" s="1"/>
  <c r="N18" i="284"/>
  <c r="N25" i="284" s="1"/>
  <c r="M18" i="284"/>
  <c r="M25" i="284" s="1"/>
  <c r="L18" i="284"/>
  <c r="L25" i="284" s="1"/>
  <c r="K18" i="284"/>
  <c r="K25" i="284" s="1"/>
  <c r="J18" i="284"/>
  <c r="J25" i="284" s="1"/>
  <c r="I18" i="284"/>
  <c r="I25" i="284" s="1"/>
  <c r="H18" i="284"/>
  <c r="H25" i="284" s="1"/>
  <c r="G18" i="284"/>
  <c r="G25" i="284" s="1"/>
  <c r="F18" i="284"/>
  <c r="F25" i="284" s="1"/>
  <c r="E18" i="284"/>
  <c r="E25" i="284" s="1"/>
  <c r="I1" i="284"/>
  <c r="F86" i="272"/>
  <c r="F80" i="272"/>
  <c r="F30" i="284" l="1"/>
  <c r="E30" i="284"/>
  <c r="E27" i="284"/>
  <c r="F27" i="284"/>
  <c r="D23" i="283"/>
  <c r="D30" i="283" s="1"/>
  <c r="D22" i="283"/>
  <c r="D29" i="283" s="1"/>
  <c r="D21" i="283"/>
  <c r="D28" i="283" s="1"/>
  <c r="D20" i="283"/>
  <c r="D27" i="283" s="1"/>
  <c r="D19" i="283"/>
  <c r="D26" i="283" s="1"/>
  <c r="P18" i="283"/>
  <c r="P25" i="283" s="1"/>
  <c r="O18" i="283"/>
  <c r="O25" i="283" s="1"/>
  <c r="N18" i="283"/>
  <c r="N25" i="283" s="1"/>
  <c r="M18" i="283"/>
  <c r="M25" i="283" s="1"/>
  <c r="L18" i="283"/>
  <c r="L25" i="283" s="1"/>
  <c r="K18" i="283"/>
  <c r="K25" i="283" s="1"/>
  <c r="J18" i="283"/>
  <c r="J25" i="283" s="1"/>
  <c r="I18" i="283"/>
  <c r="I25" i="283" s="1"/>
  <c r="H18" i="283"/>
  <c r="H25" i="283" s="1"/>
  <c r="G18" i="283"/>
  <c r="G25" i="283" s="1"/>
  <c r="F18" i="283"/>
  <c r="F25" i="283" s="1"/>
  <c r="E18" i="283"/>
  <c r="E25" i="283" s="1"/>
  <c r="I1" i="283"/>
  <c r="E34" i="272"/>
  <c r="F30" i="287" s="1"/>
  <c r="D34" i="272"/>
  <c r="E30" i="287" s="1"/>
  <c r="C34" i="272"/>
  <c r="B34" i="272"/>
  <c r="A34" i="272"/>
  <c r="C43" i="233"/>
  <c r="B43" i="233"/>
  <c r="A43" i="233"/>
  <c r="E19" i="282"/>
  <c r="E26" i="282" s="1"/>
  <c r="D23" i="282"/>
  <c r="D30" i="282" s="1"/>
  <c r="D22" i="282"/>
  <c r="D29" i="282" s="1"/>
  <c r="D21" i="282"/>
  <c r="D28" i="282" s="1"/>
  <c r="D20" i="282"/>
  <c r="D27" i="282" s="1"/>
  <c r="D19" i="282"/>
  <c r="D26" i="282" s="1"/>
  <c r="P18" i="282"/>
  <c r="P25" i="282" s="1"/>
  <c r="O18" i="282"/>
  <c r="O25" i="282" s="1"/>
  <c r="N18" i="282"/>
  <c r="N25" i="282" s="1"/>
  <c r="M18" i="282"/>
  <c r="M25" i="282" s="1"/>
  <c r="L18" i="282"/>
  <c r="L25" i="282" s="1"/>
  <c r="K18" i="282"/>
  <c r="K25" i="282" s="1"/>
  <c r="J18" i="282"/>
  <c r="J25" i="282" s="1"/>
  <c r="I18" i="282"/>
  <c r="I25" i="282" s="1"/>
  <c r="H18" i="282"/>
  <c r="H25" i="282" s="1"/>
  <c r="G18" i="282"/>
  <c r="F18" i="282"/>
  <c r="F25" i="282" s="1"/>
  <c r="E18" i="282"/>
  <c r="E25" i="282" s="1"/>
  <c r="C2" i="282"/>
  <c r="F27" i="287" l="1"/>
  <c r="E27" i="287"/>
  <c r="E30" i="282"/>
  <c r="G25" i="282"/>
  <c r="I1" i="282"/>
  <c r="E22" i="282"/>
  <c r="E27" i="282"/>
  <c r="E21" i="282"/>
  <c r="G30" i="282"/>
  <c r="F30" i="282"/>
  <c r="F74" i="272"/>
  <c r="F68" i="272"/>
  <c r="F62" i="272"/>
  <c r="F56" i="272"/>
  <c r="F50" i="272"/>
  <c r="F44" i="272"/>
  <c r="F38" i="272"/>
  <c r="E6" i="272"/>
  <c r="D6" i="272"/>
  <c r="D7" i="272"/>
  <c r="E30" i="301" l="1"/>
  <c r="F30" i="301"/>
  <c r="E30" i="302"/>
  <c r="G30" i="297"/>
  <c r="E29" i="282"/>
  <c r="E28" i="282"/>
  <c r="B16" i="272"/>
  <c r="E30" i="298" l="1"/>
  <c r="F30" i="298"/>
  <c r="E30" i="299"/>
  <c r="D80" i="272"/>
  <c r="E119" i="233"/>
  <c r="F119" i="233"/>
  <c r="G119" i="233"/>
  <c r="H119" i="233"/>
  <c r="I119" i="233"/>
  <c r="J119" i="233"/>
  <c r="K119" i="233"/>
  <c r="L119" i="233"/>
  <c r="M119" i="233"/>
  <c r="N119" i="233"/>
  <c r="O119" i="233"/>
  <c r="D119" i="233"/>
  <c r="F18" i="272"/>
  <c r="G18" i="272"/>
  <c r="H18" i="272"/>
  <c r="I18" i="272"/>
  <c r="J18" i="272"/>
  <c r="K18" i="272"/>
  <c r="L18" i="272"/>
  <c r="M18" i="272"/>
  <c r="N18" i="272"/>
  <c r="O18" i="272"/>
  <c r="F17" i="272"/>
  <c r="G17" i="272"/>
  <c r="H17" i="272"/>
  <c r="I17" i="272"/>
  <c r="L17" i="272"/>
  <c r="M17" i="272"/>
  <c r="N17" i="272"/>
  <c r="O17" i="272"/>
  <c r="E17" i="233"/>
  <c r="F17" i="233"/>
  <c r="I17" i="233"/>
  <c r="N17" i="233"/>
  <c r="O17" i="233"/>
  <c r="F27" i="272"/>
  <c r="G27" i="272"/>
  <c r="H27" i="272"/>
  <c r="I27" i="272"/>
  <c r="J27" i="272"/>
  <c r="K27" i="272"/>
  <c r="L27" i="272"/>
  <c r="M27" i="272"/>
  <c r="N27" i="272"/>
  <c r="O27" i="272"/>
  <c r="F19" i="222"/>
  <c r="G19" i="222"/>
  <c r="H19" i="222"/>
  <c r="I19" i="222"/>
  <c r="J19" i="222"/>
  <c r="K19" i="222"/>
  <c r="L19" i="222"/>
  <c r="M19" i="222"/>
  <c r="N19" i="222"/>
  <c r="O19" i="222"/>
  <c r="P19" i="222"/>
  <c r="F26" i="272"/>
  <c r="G26" i="272"/>
  <c r="H26" i="272"/>
  <c r="I26" i="272"/>
  <c r="L26" i="272"/>
  <c r="M26" i="272"/>
  <c r="N26" i="272"/>
  <c r="O26" i="272"/>
  <c r="F19" i="236"/>
  <c r="G19" i="236"/>
  <c r="H19" i="236"/>
  <c r="I19" i="236"/>
  <c r="J19" i="236"/>
  <c r="K19" i="236"/>
  <c r="L19" i="236"/>
  <c r="M19" i="236"/>
  <c r="N19" i="236"/>
  <c r="O19" i="236"/>
  <c r="P19" i="236"/>
  <c r="F32" i="272"/>
  <c r="G32" i="272"/>
  <c r="H32" i="272"/>
  <c r="I32" i="272"/>
  <c r="J32" i="272"/>
  <c r="K32" i="272"/>
  <c r="L32" i="272"/>
  <c r="M32" i="272"/>
  <c r="N32" i="272"/>
  <c r="O32" i="272"/>
  <c r="G31" i="272"/>
  <c r="H31" i="272"/>
  <c r="I31" i="272"/>
  <c r="M31" i="272"/>
  <c r="N31" i="272"/>
  <c r="O31" i="272"/>
  <c r="C39" i="233"/>
  <c r="C40" i="233"/>
  <c r="C41" i="233"/>
  <c r="C42" i="233"/>
  <c r="C44" i="233"/>
  <c r="C30" i="272"/>
  <c r="C31" i="272"/>
  <c r="C32" i="272"/>
  <c r="C33" i="272"/>
  <c r="C35" i="272"/>
  <c r="B39" i="233"/>
  <c r="B40" i="233"/>
  <c r="B41" i="233"/>
  <c r="B42" i="233"/>
  <c r="B30" i="272"/>
  <c r="B31" i="272"/>
  <c r="B32" i="272"/>
  <c r="B33" i="272"/>
  <c r="A39" i="233"/>
  <c r="A40" i="233"/>
  <c r="A41" i="233"/>
  <c r="A42" i="233"/>
  <c r="A44" i="233"/>
  <c r="A30" i="272"/>
  <c r="A31" i="272"/>
  <c r="A32" i="272"/>
  <c r="A33" i="272"/>
  <c r="A35" i="272"/>
  <c r="E19" i="222" l="1"/>
  <c r="E21" i="222" s="1"/>
  <c r="M33" i="272"/>
  <c r="O33" i="272"/>
  <c r="K30" i="286"/>
  <c r="L30" i="286"/>
  <c r="N30" i="286"/>
  <c r="I30" i="286"/>
  <c r="P30" i="286"/>
  <c r="O30" i="286"/>
  <c r="H30" i="286"/>
  <c r="G30" i="286"/>
  <c r="M30" i="286"/>
  <c r="J30" i="286"/>
  <c r="M6" i="272"/>
  <c r="N33" i="272"/>
  <c r="J30" i="282"/>
  <c r="H30" i="282"/>
  <c r="M30" i="282"/>
  <c r="I30" i="282"/>
  <c r="K30" i="282"/>
  <c r="L30" i="282"/>
  <c r="K33" i="272"/>
  <c r="L33" i="272"/>
  <c r="P19" i="282"/>
  <c r="L19" i="282"/>
  <c r="H19" i="282"/>
  <c r="J33" i="272"/>
  <c r="E19" i="286"/>
  <c r="E19" i="285"/>
  <c r="D42" i="233"/>
  <c r="M19" i="286"/>
  <c r="M19" i="285"/>
  <c r="I19" i="285"/>
  <c r="I19" i="286"/>
  <c r="P20" i="285"/>
  <c r="L20" i="285"/>
  <c r="N7" i="272"/>
  <c r="F7" i="272"/>
  <c r="O19" i="282"/>
  <c r="K19" i="282"/>
  <c r="G19" i="282"/>
  <c r="P19" i="286"/>
  <c r="P19" i="285"/>
  <c r="L19" i="286"/>
  <c r="L19" i="285"/>
  <c r="H19" i="286"/>
  <c r="H19" i="285"/>
  <c r="O20" i="285"/>
  <c r="G20" i="285"/>
  <c r="F33" i="272"/>
  <c r="M7" i="272"/>
  <c r="N19" i="282"/>
  <c r="J19" i="282"/>
  <c r="F19" i="282"/>
  <c r="O19" i="285"/>
  <c r="O19" i="286"/>
  <c r="K19" i="285"/>
  <c r="K19" i="286"/>
  <c r="G19" i="285"/>
  <c r="G19" i="286"/>
  <c r="N20" i="285"/>
  <c r="E19" i="236"/>
  <c r="L7" i="272"/>
  <c r="M19" i="282"/>
  <c r="I19" i="282"/>
  <c r="G33" i="272"/>
  <c r="N19" i="285"/>
  <c r="N19" i="286"/>
  <c r="J19" i="285"/>
  <c r="J19" i="286"/>
  <c r="F19" i="285"/>
  <c r="F19" i="286"/>
  <c r="M20" i="285"/>
  <c r="O7" i="272"/>
  <c r="K7" i="272"/>
  <c r="I33" i="272"/>
  <c r="K20" i="285"/>
  <c r="H32" i="102"/>
  <c r="J7" i="272"/>
  <c r="J20" i="285"/>
  <c r="I7" i="272"/>
  <c r="H31" i="102"/>
  <c r="H33" i="272"/>
  <c r="H7" i="272"/>
  <c r="I20" i="285"/>
  <c r="H20" i="285"/>
  <c r="F6" i="272"/>
  <c r="G7" i="272"/>
  <c r="O6" i="272"/>
  <c r="K6" i="272"/>
  <c r="G6" i="272"/>
  <c r="N6" i="272"/>
  <c r="J6" i="272"/>
  <c r="E7" i="272"/>
  <c r="I6" i="272"/>
  <c r="L6" i="272"/>
  <c r="H6" i="272"/>
  <c r="E115" i="233"/>
  <c r="F115" i="233"/>
  <c r="G115" i="233"/>
  <c r="H115" i="233"/>
  <c r="I115" i="233"/>
  <c r="J115" i="233"/>
  <c r="K115" i="233"/>
  <c r="L115" i="233"/>
  <c r="M115" i="233"/>
  <c r="N115" i="233"/>
  <c r="O115" i="233"/>
  <c r="D115" i="233"/>
  <c r="I30" i="302" l="1"/>
  <c r="P30" i="302"/>
  <c r="N30" i="302"/>
  <c r="J30" i="302"/>
  <c r="G30" i="302"/>
  <c r="K30" i="302"/>
  <c r="L30" i="302"/>
  <c r="F30" i="302"/>
  <c r="O30" i="302"/>
  <c r="M30" i="302"/>
  <c r="H30" i="302"/>
  <c r="K30" i="301"/>
  <c r="J30" i="301"/>
  <c r="M30" i="301"/>
  <c r="P30" i="301"/>
  <c r="H30" i="301"/>
  <c r="O30" i="301"/>
  <c r="I30" i="301"/>
  <c r="N30" i="301"/>
  <c r="G30" i="301"/>
  <c r="L30" i="301"/>
  <c r="P30" i="282"/>
  <c r="O30" i="282"/>
  <c r="N30" i="282"/>
  <c r="G34" i="272"/>
  <c r="H30" i="287" s="1"/>
  <c r="H30" i="284"/>
  <c r="K34" i="272"/>
  <c r="L30" i="287" s="1"/>
  <c r="O34" i="272"/>
  <c r="P30" i="287" s="1"/>
  <c r="I34" i="272"/>
  <c r="J30" i="287" s="1"/>
  <c r="H34" i="272"/>
  <c r="I30" i="287" s="1"/>
  <c r="N34" i="272"/>
  <c r="O30" i="287" s="1"/>
  <c r="M34" i="272"/>
  <c r="N30" i="287" s="1"/>
  <c r="G30" i="284"/>
  <c r="J34" i="272"/>
  <c r="K30" i="287" s="1"/>
  <c r="L34" i="272"/>
  <c r="M30" i="287" s="1"/>
  <c r="G31" i="102"/>
  <c r="G32" i="102"/>
  <c r="F21" i="285"/>
  <c r="F22" i="285"/>
  <c r="N22" i="286"/>
  <c r="N21" i="286"/>
  <c r="F19" i="284"/>
  <c r="E43" i="233"/>
  <c r="F19" i="287" s="1"/>
  <c r="N19" i="284"/>
  <c r="M43" i="233"/>
  <c r="N19" i="287" s="1"/>
  <c r="H27" i="284"/>
  <c r="F34" i="272"/>
  <c r="G30" i="287" s="1"/>
  <c r="O21" i="285"/>
  <c r="O22" i="285"/>
  <c r="G21" i="282"/>
  <c r="G22" i="282"/>
  <c r="P22" i="286"/>
  <c r="P21" i="286"/>
  <c r="L19" i="284"/>
  <c r="K43" i="233"/>
  <c r="L19" i="287" s="1"/>
  <c r="M21" i="285"/>
  <c r="M22" i="285"/>
  <c r="M19" i="284"/>
  <c r="L43" i="233"/>
  <c r="M19" i="287" s="1"/>
  <c r="N22" i="285"/>
  <c r="N21" i="285"/>
  <c r="P26" i="282"/>
  <c r="F26" i="282"/>
  <c r="G26" i="282"/>
  <c r="M26" i="282"/>
  <c r="N26" i="282"/>
  <c r="H26" i="282"/>
  <c r="O26" i="282"/>
  <c r="J26" i="282"/>
  <c r="L26" i="282"/>
  <c r="K26" i="282"/>
  <c r="I26" i="282"/>
  <c r="G21" i="286"/>
  <c r="G22" i="286"/>
  <c r="G27" i="286"/>
  <c r="K19" i="284"/>
  <c r="J43" i="233"/>
  <c r="K19" i="287" s="1"/>
  <c r="L21" i="285"/>
  <c r="L22" i="285"/>
  <c r="E19" i="284"/>
  <c r="D43" i="233"/>
  <c r="E19" i="287" s="1"/>
  <c r="M22" i="286"/>
  <c r="M21" i="286"/>
  <c r="J19" i="284"/>
  <c r="I43" i="233"/>
  <c r="J19" i="287" s="1"/>
  <c r="G22" i="285"/>
  <c r="G27" i="285"/>
  <c r="G21" i="285"/>
  <c r="L21" i="286"/>
  <c r="L22" i="286"/>
  <c r="G26" i="285"/>
  <c r="O26" i="285"/>
  <c r="E22" i="285"/>
  <c r="K26" i="285"/>
  <c r="L26" i="285"/>
  <c r="I26" i="285"/>
  <c r="P26" i="285"/>
  <c r="M26" i="285"/>
  <c r="E21" i="285"/>
  <c r="N26" i="285"/>
  <c r="F26" i="285"/>
  <c r="H26" i="285"/>
  <c r="E26" i="285"/>
  <c r="J26" i="285"/>
  <c r="H19" i="284"/>
  <c r="H22" i="284" s="1"/>
  <c r="G43" i="233"/>
  <c r="H19" i="287" s="1"/>
  <c r="P19" i="284"/>
  <c r="O43" i="233"/>
  <c r="P19" i="287" s="1"/>
  <c r="F21" i="286"/>
  <c r="F22" i="286"/>
  <c r="I19" i="284"/>
  <c r="H43" i="233"/>
  <c r="I19" i="287" s="1"/>
  <c r="O21" i="286"/>
  <c r="O22" i="286"/>
  <c r="G19" i="284"/>
  <c r="F43" i="233"/>
  <c r="G19" i="287" s="1"/>
  <c r="O19" i="284"/>
  <c r="N43" i="233"/>
  <c r="O19" i="287" s="1"/>
  <c r="P22" i="285"/>
  <c r="P21" i="285"/>
  <c r="E26" i="286"/>
  <c r="N26" i="286"/>
  <c r="H26" i="286"/>
  <c r="O26" i="286"/>
  <c r="J26" i="286"/>
  <c r="E22" i="286"/>
  <c r="M26" i="286"/>
  <c r="L26" i="286"/>
  <c r="K26" i="286"/>
  <c r="F26" i="286"/>
  <c r="I26" i="286"/>
  <c r="P26" i="286"/>
  <c r="G26" i="286"/>
  <c r="E21" i="286"/>
  <c r="K22" i="286"/>
  <c r="K21" i="286"/>
  <c r="K22" i="285"/>
  <c r="K21" i="285"/>
  <c r="J21" i="286"/>
  <c r="J22" i="286"/>
  <c r="J22" i="285"/>
  <c r="J21" i="285"/>
  <c r="I22" i="286"/>
  <c r="I21" i="286"/>
  <c r="I21" i="285"/>
  <c r="I22" i="285"/>
  <c r="H22" i="286"/>
  <c r="H21" i="286"/>
  <c r="H27" i="286"/>
  <c r="O27" i="286"/>
  <c r="J27" i="286"/>
  <c r="I27" i="286"/>
  <c r="L27" i="286"/>
  <c r="K27" i="286"/>
  <c r="N27" i="286"/>
  <c r="M27" i="286"/>
  <c r="P27" i="286"/>
  <c r="L27" i="285"/>
  <c r="M27" i="285"/>
  <c r="H22" i="285"/>
  <c r="H21" i="285"/>
  <c r="P27" i="285"/>
  <c r="I27" i="285"/>
  <c r="K27" i="285"/>
  <c r="O27" i="285"/>
  <c r="N27" i="285"/>
  <c r="J27" i="285"/>
  <c r="H27" i="285"/>
  <c r="M22" i="282"/>
  <c r="M21" i="282"/>
  <c r="K21" i="282"/>
  <c r="K22" i="282"/>
  <c r="P21" i="282"/>
  <c r="P22" i="282"/>
  <c r="H21" i="282"/>
  <c r="H22" i="282"/>
  <c r="I22" i="282"/>
  <c r="I21" i="282"/>
  <c r="H27" i="282"/>
  <c r="G27" i="282"/>
  <c r="F22" i="282"/>
  <c r="F21" i="282"/>
  <c r="N27" i="282"/>
  <c r="P27" i="282"/>
  <c r="O27" i="282"/>
  <c r="J27" i="282"/>
  <c r="I27" i="282"/>
  <c r="K27" i="282"/>
  <c r="F27" i="282"/>
  <c r="L27" i="282"/>
  <c r="M27" i="282"/>
  <c r="L21" i="282"/>
  <c r="L22" i="282"/>
  <c r="J22" i="282"/>
  <c r="J21" i="282"/>
  <c r="O22" i="282"/>
  <c r="O21" i="282"/>
  <c r="N22" i="282"/>
  <c r="N21" i="282"/>
  <c r="E106" i="272"/>
  <c r="F106" i="272"/>
  <c r="G106" i="272"/>
  <c r="H106" i="272"/>
  <c r="I106" i="272"/>
  <c r="J106" i="272"/>
  <c r="K106" i="272"/>
  <c r="L106" i="272"/>
  <c r="M106" i="272"/>
  <c r="N106" i="272"/>
  <c r="O106" i="272"/>
  <c r="D106" i="272"/>
  <c r="E102" i="272"/>
  <c r="F102" i="272"/>
  <c r="G102" i="272"/>
  <c r="H102" i="272"/>
  <c r="I102" i="272"/>
  <c r="J102" i="272"/>
  <c r="K102" i="272"/>
  <c r="L102" i="272"/>
  <c r="M102" i="272"/>
  <c r="N102" i="272"/>
  <c r="O102" i="272"/>
  <c r="D102" i="272"/>
  <c r="J30" i="284" l="1"/>
  <c r="M30" i="298"/>
  <c r="H30" i="298"/>
  <c r="P30" i="298"/>
  <c r="K30" i="298"/>
  <c r="I30" i="298"/>
  <c r="L30" i="298"/>
  <c r="G30" i="298"/>
  <c r="O30" i="298"/>
  <c r="J30" i="298"/>
  <c r="N30" i="298"/>
  <c r="P30" i="299"/>
  <c r="M30" i="299"/>
  <c r="J30" i="299"/>
  <c r="G30" i="299"/>
  <c r="K30" i="299"/>
  <c r="N30" i="299"/>
  <c r="I30" i="299"/>
  <c r="H30" i="299"/>
  <c r="O30" i="299"/>
  <c r="L30" i="299"/>
  <c r="F30" i="299"/>
  <c r="I30" i="284"/>
  <c r="K30" i="284"/>
  <c r="M30" i="284"/>
  <c r="L30" i="284"/>
  <c r="O30" i="284"/>
  <c r="N30" i="284"/>
  <c r="P30" i="284"/>
  <c r="G34" i="102"/>
  <c r="S5" i="285"/>
  <c r="S6" i="285" s="1"/>
  <c r="M21" i="287"/>
  <c r="G33" i="102"/>
  <c r="S4" i="286"/>
  <c r="S4" i="285"/>
  <c r="M22" i="287"/>
  <c r="F29" i="285"/>
  <c r="F28" i="285"/>
  <c r="S5" i="282"/>
  <c r="S6" i="282" s="1"/>
  <c r="M31" i="102"/>
  <c r="H21" i="284"/>
  <c r="P22" i="284"/>
  <c r="P21" i="284"/>
  <c r="E29" i="285"/>
  <c r="E28" i="285"/>
  <c r="G29" i="285"/>
  <c r="G28" i="285"/>
  <c r="G26" i="287"/>
  <c r="K26" i="287"/>
  <c r="O26" i="287"/>
  <c r="F26" i="287"/>
  <c r="J26" i="287"/>
  <c r="H26" i="287"/>
  <c r="L26" i="287"/>
  <c r="P26" i="287"/>
  <c r="I26" i="287"/>
  <c r="M26" i="287"/>
  <c r="N26" i="287"/>
  <c r="E26" i="287"/>
  <c r="E21" i="287"/>
  <c r="E22" i="287"/>
  <c r="O22" i="287"/>
  <c r="O21" i="287"/>
  <c r="S5" i="286"/>
  <c r="S6" i="286" s="1"/>
  <c r="M32" i="102"/>
  <c r="M21" i="284"/>
  <c r="M22" i="284"/>
  <c r="F28" i="286"/>
  <c r="F29" i="286"/>
  <c r="P26" i="284"/>
  <c r="L26" i="284"/>
  <c r="G26" i="284"/>
  <c r="M26" i="284"/>
  <c r="H26" i="284"/>
  <c r="H28" i="284" s="1"/>
  <c r="E22" i="284"/>
  <c r="N26" i="284"/>
  <c r="I26" i="284"/>
  <c r="E21" i="284"/>
  <c r="O26" i="284"/>
  <c r="J26" i="284"/>
  <c r="E26" i="284"/>
  <c r="K26" i="284"/>
  <c r="F26" i="284"/>
  <c r="O22" i="284"/>
  <c r="O21" i="284"/>
  <c r="E29" i="286"/>
  <c r="E28" i="286"/>
  <c r="N22" i="287"/>
  <c r="N21" i="287"/>
  <c r="N32" i="102"/>
  <c r="G28" i="286"/>
  <c r="G29" i="286"/>
  <c r="G27" i="287"/>
  <c r="I27" i="287"/>
  <c r="H27" i="287"/>
  <c r="G21" i="287"/>
  <c r="G22" i="287"/>
  <c r="F22" i="287"/>
  <c r="F21" i="287"/>
  <c r="L22" i="287"/>
  <c r="L21" i="287"/>
  <c r="P22" i="287"/>
  <c r="P21" i="287"/>
  <c r="N22" i="284"/>
  <c r="N21" i="284"/>
  <c r="G21" i="284"/>
  <c r="G27" i="284"/>
  <c r="G22" i="284"/>
  <c r="F21" i="284"/>
  <c r="F22" i="284"/>
  <c r="L21" i="284"/>
  <c r="L22" i="284"/>
  <c r="O27" i="284"/>
  <c r="K22" i="287"/>
  <c r="K21" i="287"/>
  <c r="K22" i="284"/>
  <c r="K21" i="284"/>
  <c r="K27" i="287"/>
  <c r="O27" i="287"/>
  <c r="L27" i="287"/>
  <c r="P27" i="287"/>
  <c r="J27" i="287"/>
  <c r="M27" i="287"/>
  <c r="N27" i="287"/>
  <c r="J21" i="287"/>
  <c r="J22" i="287"/>
  <c r="J22" i="284"/>
  <c r="J21" i="284"/>
  <c r="H34" i="102"/>
  <c r="H33" i="102"/>
  <c r="N27" i="284"/>
  <c r="K27" i="284"/>
  <c r="M27" i="284"/>
  <c r="P27" i="284"/>
  <c r="I27" i="284"/>
  <c r="I21" i="287"/>
  <c r="I22" i="287"/>
  <c r="I22" i="284"/>
  <c r="I21" i="284"/>
  <c r="L27" i="284"/>
  <c r="J27" i="284"/>
  <c r="J29" i="285"/>
  <c r="J28" i="285"/>
  <c r="I29" i="285"/>
  <c r="I28" i="285"/>
  <c r="N29" i="286"/>
  <c r="N28" i="286"/>
  <c r="J29" i="286"/>
  <c r="J28" i="286"/>
  <c r="N29" i="285"/>
  <c r="N28" i="285"/>
  <c r="P29" i="285"/>
  <c r="P28" i="285"/>
  <c r="L29" i="285"/>
  <c r="L28" i="285"/>
  <c r="K29" i="286"/>
  <c r="K28" i="286"/>
  <c r="O28" i="286"/>
  <c r="O29" i="286"/>
  <c r="O28" i="285"/>
  <c r="O29" i="285"/>
  <c r="P28" i="286"/>
  <c r="P29" i="286"/>
  <c r="L28" i="286"/>
  <c r="L29" i="286"/>
  <c r="H28" i="286"/>
  <c r="H29" i="286"/>
  <c r="H28" i="285"/>
  <c r="H29" i="285"/>
  <c r="K28" i="285"/>
  <c r="K29" i="285"/>
  <c r="M28" i="286"/>
  <c r="M29" i="286"/>
  <c r="I28" i="286"/>
  <c r="I29" i="286"/>
  <c r="M28" i="285"/>
  <c r="M29" i="285"/>
  <c r="H22" i="287"/>
  <c r="H21" i="287"/>
  <c r="J28" i="282"/>
  <c r="J29" i="282"/>
  <c r="K29" i="282"/>
  <c r="K28" i="282"/>
  <c r="P29" i="282"/>
  <c r="P28" i="282"/>
  <c r="N31" i="102"/>
  <c r="S4" i="282"/>
  <c r="G29" i="282"/>
  <c r="G28" i="282"/>
  <c r="L28" i="282"/>
  <c r="L29" i="282"/>
  <c r="M28" i="282"/>
  <c r="M29" i="282"/>
  <c r="I28" i="282"/>
  <c r="I29" i="282"/>
  <c r="N29" i="282"/>
  <c r="N28" i="282"/>
  <c r="H29" i="282"/>
  <c r="H28" i="282"/>
  <c r="F29" i="282"/>
  <c r="F28" i="282"/>
  <c r="O28" i="282"/>
  <c r="O29" i="282"/>
  <c r="F20" i="281"/>
  <c r="F21" i="281" s="1"/>
  <c r="G20" i="281"/>
  <c r="H20" i="281"/>
  <c r="I20" i="281"/>
  <c r="J20" i="281"/>
  <c r="J21" i="281" s="1"/>
  <c r="K20" i="281"/>
  <c r="K21" i="281" s="1"/>
  <c r="L20" i="281"/>
  <c r="M20" i="281"/>
  <c r="N20" i="281"/>
  <c r="N21" i="281" s="1"/>
  <c r="O20" i="281"/>
  <c r="O21" i="281" s="1"/>
  <c r="P20" i="281"/>
  <c r="E20" i="281"/>
  <c r="F19" i="281"/>
  <c r="G19" i="281"/>
  <c r="H19" i="281"/>
  <c r="I19" i="281"/>
  <c r="J19" i="281"/>
  <c r="K19" i="281"/>
  <c r="L19" i="281"/>
  <c r="M19" i="281"/>
  <c r="N19" i="281"/>
  <c r="O19" i="281"/>
  <c r="P19" i="281"/>
  <c r="E19" i="281"/>
  <c r="C1" i="281"/>
  <c r="B1" i="281"/>
  <c r="D23" i="281"/>
  <c r="D30" i="281" s="1"/>
  <c r="D22" i="281"/>
  <c r="D29" i="281" s="1"/>
  <c r="D21" i="281"/>
  <c r="D28" i="281" s="1"/>
  <c r="D20" i="281"/>
  <c r="D27" i="281" s="1"/>
  <c r="D19" i="281"/>
  <c r="D26" i="281" s="1"/>
  <c r="P18" i="281"/>
  <c r="P25" i="281" s="1"/>
  <c r="O18" i="281"/>
  <c r="O25" i="281" s="1"/>
  <c r="N18" i="281"/>
  <c r="N25" i="281" s="1"/>
  <c r="M18" i="281"/>
  <c r="M25" i="281" s="1"/>
  <c r="L18" i="281"/>
  <c r="L25" i="281" s="1"/>
  <c r="K18" i="281"/>
  <c r="K25" i="281" s="1"/>
  <c r="J18" i="281"/>
  <c r="J25" i="281" s="1"/>
  <c r="I18" i="281"/>
  <c r="I25" i="281" s="1"/>
  <c r="H18" i="281"/>
  <c r="H25" i="281" s="1"/>
  <c r="G18" i="281"/>
  <c r="G25" i="281" s="1"/>
  <c r="F18" i="281"/>
  <c r="F25" i="281" s="1"/>
  <c r="E18" i="281"/>
  <c r="E25" i="281" s="1"/>
  <c r="F20" i="280"/>
  <c r="G20" i="280"/>
  <c r="H20" i="280"/>
  <c r="I20" i="280"/>
  <c r="J20" i="280"/>
  <c r="K20" i="280"/>
  <c r="K21" i="280" s="1"/>
  <c r="L20" i="280"/>
  <c r="M20" i="280"/>
  <c r="N20" i="280"/>
  <c r="N21" i="280" s="1"/>
  <c r="O20" i="280"/>
  <c r="O21" i="280" s="1"/>
  <c r="P20" i="280"/>
  <c r="E20" i="280"/>
  <c r="F19" i="280"/>
  <c r="G19" i="280"/>
  <c r="H19" i="280"/>
  <c r="I19" i="280"/>
  <c r="J19" i="280"/>
  <c r="K19" i="280"/>
  <c r="K22" i="280" s="1"/>
  <c r="L19" i="280"/>
  <c r="M19" i="280"/>
  <c r="N19" i="280"/>
  <c r="O19" i="280"/>
  <c r="P19" i="280"/>
  <c r="E19" i="280"/>
  <c r="C1" i="280"/>
  <c r="B1" i="280"/>
  <c r="P30" i="280"/>
  <c r="O30" i="280"/>
  <c r="N30" i="280"/>
  <c r="M30" i="280"/>
  <c r="L30" i="280"/>
  <c r="K30" i="280"/>
  <c r="J30" i="280"/>
  <c r="I30" i="280"/>
  <c r="H30" i="280"/>
  <c r="G30" i="280"/>
  <c r="F30" i="280"/>
  <c r="E30" i="280"/>
  <c r="D23" i="280"/>
  <c r="D30" i="280" s="1"/>
  <c r="D22" i="280"/>
  <c r="D29" i="280" s="1"/>
  <c r="D21" i="280"/>
  <c r="D28" i="280" s="1"/>
  <c r="D20" i="280"/>
  <c r="D27" i="280" s="1"/>
  <c r="D19" i="280"/>
  <c r="D26" i="280" s="1"/>
  <c r="P18" i="280"/>
  <c r="P25" i="280" s="1"/>
  <c r="O18" i="280"/>
  <c r="O25" i="280" s="1"/>
  <c r="N18" i="280"/>
  <c r="N25" i="280" s="1"/>
  <c r="M18" i="280"/>
  <c r="M25" i="280" s="1"/>
  <c r="L18" i="280"/>
  <c r="L25" i="280" s="1"/>
  <c r="K18" i="280"/>
  <c r="K25" i="280" s="1"/>
  <c r="J18" i="280"/>
  <c r="J25" i="280" s="1"/>
  <c r="I18" i="280"/>
  <c r="I25" i="280" s="1"/>
  <c r="H18" i="280"/>
  <c r="H25" i="280" s="1"/>
  <c r="G18" i="280"/>
  <c r="G25" i="280" s="1"/>
  <c r="F18" i="280"/>
  <c r="F25" i="280" s="1"/>
  <c r="E18" i="280"/>
  <c r="E25" i="280" s="1"/>
  <c r="J4" i="280"/>
  <c r="F20" i="279"/>
  <c r="G20" i="279"/>
  <c r="H20" i="279"/>
  <c r="I20" i="279"/>
  <c r="J20" i="279"/>
  <c r="K20" i="279"/>
  <c r="L20" i="279"/>
  <c r="M20" i="279"/>
  <c r="N20" i="279"/>
  <c r="O20" i="279"/>
  <c r="P20" i="279"/>
  <c r="P21" i="279" s="1"/>
  <c r="E20" i="279"/>
  <c r="F19" i="279"/>
  <c r="G19" i="279"/>
  <c r="H19" i="279"/>
  <c r="I19" i="279"/>
  <c r="J19" i="279"/>
  <c r="K19" i="279"/>
  <c r="L19" i="279"/>
  <c r="M19" i="279"/>
  <c r="N19" i="279"/>
  <c r="O19" i="279"/>
  <c r="P19" i="279"/>
  <c r="P22" i="279" s="1"/>
  <c r="E19" i="279"/>
  <c r="E26" i="279" s="1"/>
  <c r="C1" i="279"/>
  <c r="B1" i="279"/>
  <c r="P30" i="279"/>
  <c r="O30" i="279"/>
  <c r="N30" i="279"/>
  <c r="M30" i="279"/>
  <c r="L30" i="279"/>
  <c r="K30" i="279"/>
  <c r="J30" i="279"/>
  <c r="I30" i="279"/>
  <c r="H30" i="279"/>
  <c r="G30" i="279"/>
  <c r="F30" i="279"/>
  <c r="E30" i="279"/>
  <c r="D23" i="279"/>
  <c r="D30" i="279" s="1"/>
  <c r="D22" i="279"/>
  <c r="D29" i="279" s="1"/>
  <c r="K21" i="279"/>
  <c r="D21" i="279"/>
  <c r="D28" i="279" s="1"/>
  <c r="D20" i="279"/>
  <c r="D27" i="279" s="1"/>
  <c r="D19" i="279"/>
  <c r="D26" i="279" s="1"/>
  <c r="P18" i="279"/>
  <c r="P25" i="279" s="1"/>
  <c r="O18" i="279"/>
  <c r="O25" i="279" s="1"/>
  <c r="N18" i="279"/>
  <c r="N25" i="279" s="1"/>
  <c r="M18" i="279"/>
  <c r="M25" i="279" s="1"/>
  <c r="L18" i="279"/>
  <c r="L25" i="279" s="1"/>
  <c r="K18" i="279"/>
  <c r="K25" i="279" s="1"/>
  <c r="J18" i="279"/>
  <c r="J25" i="279" s="1"/>
  <c r="I18" i="279"/>
  <c r="I25" i="279" s="1"/>
  <c r="H18" i="279"/>
  <c r="H25" i="279" s="1"/>
  <c r="G18" i="279"/>
  <c r="G25" i="279" s="1"/>
  <c r="F18" i="279"/>
  <c r="F25" i="279" s="1"/>
  <c r="E18" i="279"/>
  <c r="E25" i="279" s="1"/>
  <c r="C103" i="272"/>
  <c r="C104" i="272"/>
  <c r="C105" i="272"/>
  <c r="C106" i="272"/>
  <c r="C107" i="272"/>
  <c r="B103" i="272"/>
  <c r="B104" i="272"/>
  <c r="B105" i="272"/>
  <c r="B106" i="272"/>
  <c r="B107" i="272"/>
  <c r="A103" i="272"/>
  <c r="A104" i="272"/>
  <c r="A105" i="272"/>
  <c r="A106" i="272"/>
  <c r="C116" i="233"/>
  <c r="C117" i="233"/>
  <c r="C118" i="233"/>
  <c r="C119" i="233"/>
  <c r="C124" i="233"/>
  <c r="A116" i="233"/>
  <c r="A117" i="233"/>
  <c r="A118" i="233"/>
  <c r="A119" i="233"/>
  <c r="A124" i="233"/>
  <c r="B116" i="233"/>
  <c r="B117" i="233"/>
  <c r="B118" i="233"/>
  <c r="B119" i="233"/>
  <c r="B124" i="233"/>
  <c r="F20" i="278"/>
  <c r="G20" i="278"/>
  <c r="G21" i="278" s="1"/>
  <c r="H20" i="278"/>
  <c r="I20" i="278"/>
  <c r="J20" i="278"/>
  <c r="K20" i="278"/>
  <c r="L20" i="278"/>
  <c r="L21" i="278" s="1"/>
  <c r="M20" i="278"/>
  <c r="N20" i="278"/>
  <c r="O20" i="278"/>
  <c r="O21" i="278" s="1"/>
  <c r="P20" i="278"/>
  <c r="P21" i="278" s="1"/>
  <c r="E20" i="278"/>
  <c r="F19" i="278"/>
  <c r="G19" i="278"/>
  <c r="H19" i="278"/>
  <c r="I19" i="278"/>
  <c r="J19" i="278"/>
  <c r="K19" i="278"/>
  <c r="L19" i="278"/>
  <c r="M19" i="278"/>
  <c r="N19" i="278"/>
  <c r="O19" i="278"/>
  <c r="P19" i="278"/>
  <c r="E19" i="278"/>
  <c r="J26" i="278" s="1"/>
  <c r="C1" i="278"/>
  <c r="B1" i="278"/>
  <c r="D23" i="278"/>
  <c r="D30" i="278" s="1"/>
  <c r="D22" i="278"/>
  <c r="D29" i="278" s="1"/>
  <c r="D21" i="278"/>
  <c r="D28" i="278" s="1"/>
  <c r="D20" i="278"/>
  <c r="D27" i="278" s="1"/>
  <c r="D19" i="278"/>
  <c r="D26" i="278" s="1"/>
  <c r="P18" i="278"/>
  <c r="P25" i="278" s="1"/>
  <c r="O18" i="278"/>
  <c r="O25" i="278" s="1"/>
  <c r="N18" i="278"/>
  <c r="N25" i="278" s="1"/>
  <c r="M18" i="278"/>
  <c r="M25" i="278" s="1"/>
  <c r="L18" i="278"/>
  <c r="L25" i="278" s="1"/>
  <c r="K18" i="278"/>
  <c r="K25" i="278" s="1"/>
  <c r="J18" i="278"/>
  <c r="J25" i="278" s="1"/>
  <c r="I18" i="278"/>
  <c r="I25" i="278" s="1"/>
  <c r="H18" i="278"/>
  <c r="H25" i="278" s="1"/>
  <c r="G18" i="278"/>
  <c r="G25" i="278" s="1"/>
  <c r="F18" i="278"/>
  <c r="F25" i="278" s="1"/>
  <c r="E18" i="278"/>
  <c r="E25" i="278" s="1"/>
  <c r="P20" i="277"/>
  <c r="P21" i="277" s="1"/>
  <c r="F20" i="277"/>
  <c r="G20" i="277"/>
  <c r="H20" i="277"/>
  <c r="I20" i="277"/>
  <c r="J20" i="277"/>
  <c r="K20" i="277"/>
  <c r="K21" i="277" s="1"/>
  <c r="L20" i="277"/>
  <c r="L21" i="277" s="1"/>
  <c r="M20" i="277"/>
  <c r="N20" i="277"/>
  <c r="O20" i="277"/>
  <c r="O21" i="277" s="1"/>
  <c r="E20" i="277"/>
  <c r="F19" i="277"/>
  <c r="G19" i="277"/>
  <c r="H19" i="277"/>
  <c r="I19" i="277"/>
  <c r="J19" i="277"/>
  <c r="K19" i="277"/>
  <c r="L19" i="277"/>
  <c r="M19" i="277"/>
  <c r="N19" i="277"/>
  <c r="O19" i="277"/>
  <c r="P19" i="277"/>
  <c r="E19" i="277"/>
  <c r="E26" i="277" s="1"/>
  <c r="C1" i="277"/>
  <c r="B1" i="277"/>
  <c r="P30" i="277"/>
  <c r="O30" i="277"/>
  <c r="N30" i="277"/>
  <c r="M30" i="277"/>
  <c r="L30" i="277"/>
  <c r="K30" i="277"/>
  <c r="J30" i="277"/>
  <c r="I30" i="277"/>
  <c r="H30" i="277"/>
  <c r="G30" i="277"/>
  <c r="F30" i="277"/>
  <c r="E30" i="277"/>
  <c r="D23" i="277"/>
  <c r="D30" i="277" s="1"/>
  <c r="D22" i="277"/>
  <c r="D29" i="277" s="1"/>
  <c r="D21" i="277"/>
  <c r="D28" i="277" s="1"/>
  <c r="D20" i="277"/>
  <c r="D27" i="277" s="1"/>
  <c r="D19" i="277"/>
  <c r="D26" i="277" s="1"/>
  <c r="P18" i="277"/>
  <c r="P25" i="277" s="1"/>
  <c r="O18" i="277"/>
  <c r="O25" i="277" s="1"/>
  <c r="N18" i="277"/>
  <c r="N25" i="277" s="1"/>
  <c r="M18" i="277"/>
  <c r="M25" i="277" s="1"/>
  <c r="L18" i="277"/>
  <c r="L25" i="277" s="1"/>
  <c r="K18" i="277"/>
  <c r="K25" i="277" s="1"/>
  <c r="J18" i="277"/>
  <c r="J25" i="277" s="1"/>
  <c r="I18" i="277"/>
  <c r="I25" i="277" s="1"/>
  <c r="H18" i="277"/>
  <c r="H25" i="277" s="1"/>
  <c r="G18" i="277"/>
  <c r="G25" i="277" s="1"/>
  <c r="F18" i="277"/>
  <c r="F25" i="277" s="1"/>
  <c r="E18" i="277"/>
  <c r="E25" i="277" s="1"/>
  <c r="J4" i="277"/>
  <c r="F20" i="276"/>
  <c r="G20" i="276"/>
  <c r="H20" i="276"/>
  <c r="I20" i="276"/>
  <c r="J20" i="276"/>
  <c r="J21" i="276" s="1"/>
  <c r="K20" i="276"/>
  <c r="K21" i="276" s="1"/>
  <c r="L20" i="276"/>
  <c r="M20" i="276"/>
  <c r="N20" i="276"/>
  <c r="O20" i="276"/>
  <c r="O21" i="276" s="1"/>
  <c r="P20" i="276"/>
  <c r="E20" i="276"/>
  <c r="F19" i="276"/>
  <c r="G19" i="276"/>
  <c r="H19" i="276"/>
  <c r="I19" i="276"/>
  <c r="J19" i="276"/>
  <c r="K19" i="276"/>
  <c r="L19" i="276"/>
  <c r="M19" i="276"/>
  <c r="N19" i="276"/>
  <c r="O19" i="276"/>
  <c r="P19" i="276"/>
  <c r="E19" i="276"/>
  <c r="C1" i="276"/>
  <c r="B1" i="276"/>
  <c r="P30" i="276"/>
  <c r="O30" i="276"/>
  <c r="N30" i="276"/>
  <c r="M30" i="276"/>
  <c r="L30" i="276"/>
  <c r="K30" i="276"/>
  <c r="J30" i="276"/>
  <c r="I30" i="276"/>
  <c r="H30" i="276"/>
  <c r="G30" i="276"/>
  <c r="F30" i="276"/>
  <c r="E30" i="276"/>
  <c r="D23" i="276"/>
  <c r="D30" i="276" s="1"/>
  <c r="D22" i="276"/>
  <c r="D29" i="276" s="1"/>
  <c r="D21" i="276"/>
  <c r="D28" i="276" s="1"/>
  <c r="D20" i="276"/>
  <c r="D27" i="276" s="1"/>
  <c r="D19" i="276"/>
  <c r="D26" i="276" s="1"/>
  <c r="P18" i="276"/>
  <c r="P25" i="276" s="1"/>
  <c r="O18" i="276"/>
  <c r="O25" i="276" s="1"/>
  <c r="N18" i="276"/>
  <c r="N25" i="276" s="1"/>
  <c r="M18" i="276"/>
  <c r="M25" i="276" s="1"/>
  <c r="L18" i="276"/>
  <c r="L25" i="276" s="1"/>
  <c r="K18" i="276"/>
  <c r="K25" i="276" s="1"/>
  <c r="J18" i="276"/>
  <c r="J25" i="276" s="1"/>
  <c r="I18" i="276"/>
  <c r="I25" i="276" s="1"/>
  <c r="H18" i="276"/>
  <c r="H25" i="276" s="1"/>
  <c r="G18" i="276"/>
  <c r="G25" i="276" s="1"/>
  <c r="F18" i="276"/>
  <c r="F25" i="276" s="1"/>
  <c r="E18" i="276"/>
  <c r="E25" i="276" s="1"/>
  <c r="P28" i="284" l="1"/>
  <c r="M28" i="284"/>
  <c r="K22" i="276"/>
  <c r="K22" i="279"/>
  <c r="O22" i="281"/>
  <c r="L28" i="284"/>
  <c r="G109" i="102"/>
  <c r="Q109" i="102" s="1"/>
  <c r="J22" i="280"/>
  <c r="F21" i="280"/>
  <c r="H21" i="277"/>
  <c r="G22" i="279"/>
  <c r="N22" i="279"/>
  <c r="M22" i="276"/>
  <c r="I1" i="277"/>
  <c r="H105" i="102"/>
  <c r="P22" i="278"/>
  <c r="G110" i="102"/>
  <c r="Q110" i="102" s="1"/>
  <c r="I1" i="280"/>
  <c r="O22" i="280"/>
  <c r="J22" i="281"/>
  <c r="O22" i="276"/>
  <c r="F22" i="276"/>
  <c r="O28" i="284"/>
  <c r="L22" i="277"/>
  <c r="K22" i="277"/>
  <c r="N28" i="284"/>
  <c r="J22" i="277"/>
  <c r="L22" i="279"/>
  <c r="O22" i="279"/>
  <c r="H29" i="284"/>
  <c r="K28" i="284"/>
  <c r="I29" i="284"/>
  <c r="L21" i="279"/>
  <c r="I1" i="281"/>
  <c r="I1" i="276"/>
  <c r="G104" i="102"/>
  <c r="I1" i="278"/>
  <c r="O21" i="279"/>
  <c r="P22" i="277"/>
  <c r="J28" i="284"/>
  <c r="H108" i="102"/>
  <c r="L26" i="278"/>
  <c r="H21" i="279"/>
  <c r="I22" i="280"/>
  <c r="O22" i="277"/>
  <c r="G22" i="277"/>
  <c r="H21" i="278"/>
  <c r="G108" i="102"/>
  <c r="Q108" i="102" s="1"/>
  <c r="K22" i="281"/>
  <c r="G29" i="284"/>
  <c r="G28" i="284"/>
  <c r="F28" i="284"/>
  <c r="F29" i="284"/>
  <c r="G106" i="102"/>
  <c r="Q106" i="102" s="1"/>
  <c r="K22" i="278"/>
  <c r="I1" i="279"/>
  <c r="S5" i="284"/>
  <c r="S6" i="284" s="1"/>
  <c r="M33" i="102"/>
  <c r="J21" i="280"/>
  <c r="E28" i="284"/>
  <c r="E29" i="284"/>
  <c r="N29" i="284"/>
  <c r="O29" i="284"/>
  <c r="H110" i="102"/>
  <c r="K29" i="284"/>
  <c r="H104" i="102"/>
  <c r="N33" i="102"/>
  <c r="S4" i="284"/>
  <c r="M29" i="284"/>
  <c r="P29" i="284"/>
  <c r="J29" i="284"/>
  <c r="I28" i="284"/>
  <c r="L29" i="284"/>
  <c r="H22" i="279"/>
  <c r="H22" i="278"/>
  <c r="G21" i="276"/>
  <c r="G22" i="276"/>
  <c r="G22" i="278"/>
  <c r="F21" i="276"/>
  <c r="G105" i="102"/>
  <c r="K21" i="278"/>
  <c r="P26" i="278"/>
  <c r="G26" i="278"/>
  <c r="J22" i="279"/>
  <c r="F22" i="279"/>
  <c r="G22" i="280"/>
  <c r="G21" i="277"/>
  <c r="O26" i="278"/>
  <c r="I26" i="278"/>
  <c r="N22" i="280"/>
  <c r="M22" i="280"/>
  <c r="K26" i="278"/>
  <c r="J26" i="279"/>
  <c r="G21" i="279"/>
  <c r="O26" i="280"/>
  <c r="H109" i="102"/>
  <c r="H106" i="102"/>
  <c r="N27" i="280"/>
  <c r="G21" i="280"/>
  <c r="P22" i="281"/>
  <c r="L22" i="281"/>
  <c r="H22" i="281"/>
  <c r="G22" i="281"/>
  <c r="N22" i="278"/>
  <c r="L22" i="278"/>
  <c r="J22" i="278"/>
  <c r="F22" i="278"/>
  <c r="O22" i="278"/>
  <c r="F26" i="278"/>
  <c r="M26" i="278"/>
  <c r="H26" i="278"/>
  <c r="E26" i="278"/>
  <c r="N26" i="278"/>
  <c r="O26" i="277"/>
  <c r="N22" i="277"/>
  <c r="F22" i="277"/>
  <c r="N22" i="276"/>
  <c r="J22" i="276"/>
  <c r="I22" i="276"/>
  <c r="G21" i="281"/>
  <c r="N22" i="281"/>
  <c r="F22" i="281"/>
  <c r="O26" i="281"/>
  <c r="I22" i="281"/>
  <c r="M22" i="281"/>
  <c r="E22" i="281"/>
  <c r="H26" i="281"/>
  <c r="L26" i="281"/>
  <c r="P26" i="281"/>
  <c r="H21" i="281"/>
  <c r="L21" i="281"/>
  <c r="P21" i="281"/>
  <c r="E26" i="281"/>
  <c r="I26" i="281"/>
  <c r="M26" i="281"/>
  <c r="E21" i="281"/>
  <c r="I21" i="281"/>
  <c r="M21" i="281"/>
  <c r="F26" i="281"/>
  <c r="J26" i="281"/>
  <c r="N26" i="281"/>
  <c r="G26" i="281"/>
  <c r="K26" i="281"/>
  <c r="G27" i="280"/>
  <c r="F22" i="280"/>
  <c r="H22" i="280"/>
  <c r="L22" i="280"/>
  <c r="P22" i="280"/>
  <c r="H26" i="280"/>
  <c r="L26" i="280"/>
  <c r="P26" i="280"/>
  <c r="K27" i="280"/>
  <c r="O27" i="280"/>
  <c r="H21" i="280"/>
  <c r="L21" i="280"/>
  <c r="P21" i="280"/>
  <c r="E26" i="280"/>
  <c r="I26" i="280"/>
  <c r="M26" i="280"/>
  <c r="H27" i="280"/>
  <c r="L27" i="280"/>
  <c r="P27" i="280"/>
  <c r="E21" i="280"/>
  <c r="I21" i="280"/>
  <c r="M21" i="280"/>
  <c r="F26" i="280"/>
  <c r="J26" i="280"/>
  <c r="N26" i="280"/>
  <c r="E27" i="280"/>
  <c r="I27" i="280"/>
  <c r="M27" i="280"/>
  <c r="E22" i="280"/>
  <c r="G26" i="280"/>
  <c r="K26" i="280"/>
  <c r="F27" i="280"/>
  <c r="J27" i="280"/>
  <c r="O27" i="279"/>
  <c r="I22" i="279"/>
  <c r="M22" i="279"/>
  <c r="P26" i="279"/>
  <c r="I26" i="279"/>
  <c r="M26" i="279"/>
  <c r="H27" i="279"/>
  <c r="L27" i="279"/>
  <c r="E21" i="279"/>
  <c r="I21" i="279"/>
  <c r="M21" i="279"/>
  <c r="F26" i="279"/>
  <c r="N26" i="279"/>
  <c r="E27" i="279"/>
  <c r="I27" i="279"/>
  <c r="M27" i="279"/>
  <c r="F21" i="279"/>
  <c r="J21" i="279"/>
  <c r="N21" i="279"/>
  <c r="E22" i="279"/>
  <c r="G26" i="279"/>
  <c r="K26" i="279"/>
  <c r="O26" i="279"/>
  <c r="F27" i="279"/>
  <c r="J27" i="279"/>
  <c r="N27" i="279"/>
  <c r="P27" i="279"/>
  <c r="H26" i="279"/>
  <c r="L26" i="279"/>
  <c r="G27" i="279"/>
  <c r="K27" i="279"/>
  <c r="I22" i="278"/>
  <c r="M22" i="278"/>
  <c r="E22" i="278"/>
  <c r="E21" i="278"/>
  <c r="I21" i="278"/>
  <c r="M21" i="278"/>
  <c r="F21" i="278"/>
  <c r="J21" i="278"/>
  <c r="N21" i="278"/>
  <c r="O27" i="277"/>
  <c r="H22" i="277"/>
  <c r="I22" i="277"/>
  <c r="M22" i="277"/>
  <c r="P26" i="277"/>
  <c r="I26" i="277"/>
  <c r="M26" i="277"/>
  <c r="H27" i="277"/>
  <c r="L27" i="277"/>
  <c r="P27" i="277"/>
  <c r="E21" i="277"/>
  <c r="I21" i="277"/>
  <c r="M21" i="277"/>
  <c r="F26" i="277"/>
  <c r="J26" i="277"/>
  <c r="N26" i="277"/>
  <c r="E27" i="277"/>
  <c r="I27" i="277"/>
  <c r="M27" i="277"/>
  <c r="F21" i="277"/>
  <c r="J21" i="277"/>
  <c r="N21" i="277"/>
  <c r="E22" i="277"/>
  <c r="G26" i="277"/>
  <c r="K26" i="277"/>
  <c r="F27" i="277"/>
  <c r="J27" i="277"/>
  <c r="N27" i="277"/>
  <c r="H26" i="277"/>
  <c r="L26" i="277"/>
  <c r="G27" i="277"/>
  <c r="K27" i="277"/>
  <c r="N27" i="276"/>
  <c r="G27" i="276"/>
  <c r="N21" i="276"/>
  <c r="O26" i="276"/>
  <c r="H22" i="276"/>
  <c r="L22" i="276"/>
  <c r="P22" i="276"/>
  <c r="H26" i="276"/>
  <c r="L26" i="276"/>
  <c r="P26" i="276"/>
  <c r="K27" i="276"/>
  <c r="O27" i="276"/>
  <c r="H21" i="276"/>
  <c r="L21" i="276"/>
  <c r="P21" i="276"/>
  <c r="E26" i="276"/>
  <c r="I26" i="276"/>
  <c r="M26" i="276"/>
  <c r="H27" i="276"/>
  <c r="L27" i="276"/>
  <c r="P27" i="276"/>
  <c r="E21" i="276"/>
  <c r="I21" i="276"/>
  <c r="M21" i="276"/>
  <c r="F26" i="276"/>
  <c r="J26" i="276"/>
  <c r="N26" i="276"/>
  <c r="E27" i="276"/>
  <c r="I27" i="276"/>
  <c r="M27" i="276"/>
  <c r="E22" i="276"/>
  <c r="G26" i="276"/>
  <c r="K26" i="276"/>
  <c r="F27" i="276"/>
  <c r="J27" i="276"/>
  <c r="C99" i="272"/>
  <c r="C100" i="272"/>
  <c r="C101" i="272"/>
  <c r="C102" i="272"/>
  <c r="C112" i="233"/>
  <c r="C113" i="233"/>
  <c r="C114" i="233"/>
  <c r="C115" i="233"/>
  <c r="B99" i="272"/>
  <c r="B100" i="272"/>
  <c r="B101" i="272"/>
  <c r="B102" i="272"/>
  <c r="B112" i="233"/>
  <c r="B113" i="233"/>
  <c r="B114" i="233"/>
  <c r="B115" i="233"/>
  <c r="A99" i="272"/>
  <c r="A100" i="272"/>
  <c r="A101" i="272"/>
  <c r="A102" i="272"/>
  <c r="A112" i="233"/>
  <c r="A113" i="233"/>
  <c r="A114" i="233"/>
  <c r="A115" i="233"/>
  <c r="I109" i="102" l="1"/>
  <c r="S5" i="278"/>
  <c r="S6" i="278" s="1"/>
  <c r="O29" i="277"/>
  <c r="I105" i="102"/>
  <c r="I110" i="102"/>
  <c r="N28" i="280"/>
  <c r="M106" i="102"/>
  <c r="R106" i="102" s="1"/>
  <c r="I104" i="102"/>
  <c r="Q104" i="102"/>
  <c r="I108" i="102"/>
  <c r="M109" i="102"/>
  <c r="R109" i="102" s="1"/>
  <c r="N109" i="102"/>
  <c r="N105" i="102"/>
  <c r="M110" i="102"/>
  <c r="R110" i="102" s="1"/>
  <c r="G29" i="276"/>
  <c r="N104" i="102"/>
  <c r="O28" i="279"/>
  <c r="Q105" i="102"/>
  <c r="G28" i="280"/>
  <c r="S5" i="277"/>
  <c r="S6" i="277" s="1"/>
  <c r="M105" i="102"/>
  <c r="R105" i="102" s="1"/>
  <c r="M108" i="102"/>
  <c r="R108" i="102" s="1"/>
  <c r="S5" i="279"/>
  <c r="S6" i="279" s="1"/>
  <c r="S5" i="280"/>
  <c r="S6" i="280" s="1"/>
  <c r="N108" i="102"/>
  <c r="N29" i="280"/>
  <c r="N29" i="276"/>
  <c r="G28" i="276"/>
  <c r="N28" i="276"/>
  <c r="S5" i="276"/>
  <c r="S6" i="276" s="1"/>
  <c r="M104" i="102"/>
  <c r="R104" i="102" s="1"/>
  <c r="S5" i="281"/>
  <c r="S6" i="281" s="1"/>
  <c r="G29" i="280"/>
  <c r="F29" i="280"/>
  <c r="F28" i="280"/>
  <c r="P29" i="280"/>
  <c r="P28" i="280"/>
  <c r="M28" i="280"/>
  <c r="M29" i="280"/>
  <c r="L29" i="280"/>
  <c r="L28" i="280"/>
  <c r="O29" i="280"/>
  <c r="O28" i="280"/>
  <c r="I28" i="280"/>
  <c r="I29" i="280"/>
  <c r="H29" i="280"/>
  <c r="H28" i="280"/>
  <c r="K29" i="280"/>
  <c r="K28" i="280"/>
  <c r="J29" i="280"/>
  <c r="J28" i="280"/>
  <c r="E28" i="280"/>
  <c r="E29" i="280"/>
  <c r="S4" i="280"/>
  <c r="O29" i="279"/>
  <c r="G29" i="279"/>
  <c r="G28" i="279"/>
  <c r="E29" i="279"/>
  <c r="S4" i="279"/>
  <c r="E28" i="279"/>
  <c r="J28" i="279"/>
  <c r="J29" i="279"/>
  <c r="F28" i="279"/>
  <c r="F29" i="279"/>
  <c r="M29" i="279"/>
  <c r="M28" i="279"/>
  <c r="L29" i="279"/>
  <c r="L28" i="279"/>
  <c r="N28" i="279"/>
  <c r="N29" i="279"/>
  <c r="K28" i="279"/>
  <c r="K29" i="279"/>
  <c r="P28" i="279"/>
  <c r="P29" i="279"/>
  <c r="I29" i="279"/>
  <c r="I28" i="279"/>
  <c r="H29" i="279"/>
  <c r="H28" i="279"/>
  <c r="O28" i="277"/>
  <c r="K29" i="277"/>
  <c r="K28" i="277"/>
  <c r="N28" i="277"/>
  <c r="N29" i="277"/>
  <c r="H29" i="277"/>
  <c r="H28" i="277"/>
  <c r="G29" i="277"/>
  <c r="G28" i="277"/>
  <c r="J28" i="277"/>
  <c r="J29" i="277"/>
  <c r="M29" i="277"/>
  <c r="M28" i="277"/>
  <c r="F28" i="277"/>
  <c r="F29" i="277"/>
  <c r="I29" i="277"/>
  <c r="I28" i="277"/>
  <c r="P29" i="277"/>
  <c r="P28" i="277"/>
  <c r="E29" i="277"/>
  <c r="S4" i="277"/>
  <c r="E28" i="277"/>
  <c r="L29" i="277"/>
  <c r="L28" i="277"/>
  <c r="E28" i="276"/>
  <c r="E29" i="276"/>
  <c r="S4" i="276"/>
  <c r="P29" i="276"/>
  <c r="P28" i="276"/>
  <c r="J29" i="276"/>
  <c r="J28" i="276"/>
  <c r="L29" i="276"/>
  <c r="L28" i="276"/>
  <c r="O29" i="276"/>
  <c r="O28" i="276"/>
  <c r="F29" i="276"/>
  <c r="F28" i="276"/>
  <c r="M28" i="276"/>
  <c r="M29" i="276"/>
  <c r="H29" i="276"/>
  <c r="H28" i="276"/>
  <c r="K29" i="276"/>
  <c r="K28" i="276"/>
  <c r="I106" i="102"/>
  <c r="I28" i="276"/>
  <c r="I29" i="276"/>
  <c r="F20" i="274"/>
  <c r="G20" i="274"/>
  <c r="H20" i="274"/>
  <c r="I20" i="274"/>
  <c r="J20" i="274"/>
  <c r="K20" i="274"/>
  <c r="L20" i="274"/>
  <c r="M20" i="274"/>
  <c r="N20" i="274"/>
  <c r="O20" i="274"/>
  <c r="P20" i="274"/>
  <c r="E20" i="274"/>
  <c r="F19" i="274"/>
  <c r="G19" i="274"/>
  <c r="H19" i="274"/>
  <c r="I19" i="274"/>
  <c r="J19" i="274"/>
  <c r="K19" i="274"/>
  <c r="K21" i="274" s="1"/>
  <c r="L19" i="274"/>
  <c r="M19" i="274"/>
  <c r="N19" i="274"/>
  <c r="O19" i="274"/>
  <c r="P19" i="274"/>
  <c r="E19" i="274"/>
  <c r="F28" i="272"/>
  <c r="J28" i="272"/>
  <c r="N28" i="272"/>
  <c r="F37" i="233"/>
  <c r="F38" i="233" s="1"/>
  <c r="I37" i="233"/>
  <c r="I38" i="233" s="1"/>
  <c r="J37" i="233"/>
  <c r="J38" i="233" s="1"/>
  <c r="M37" i="233"/>
  <c r="M38" i="233" s="1"/>
  <c r="N37" i="233"/>
  <c r="N38" i="233" s="1"/>
  <c r="E98" i="272"/>
  <c r="F20" i="275" s="1"/>
  <c r="F98" i="272"/>
  <c r="G20" i="275" s="1"/>
  <c r="G98" i="272"/>
  <c r="H20" i="275" s="1"/>
  <c r="H98" i="272"/>
  <c r="I20" i="275" s="1"/>
  <c r="I98" i="272"/>
  <c r="J20" i="275" s="1"/>
  <c r="J98" i="272"/>
  <c r="K20" i="275" s="1"/>
  <c r="K98" i="272"/>
  <c r="L20" i="275" s="1"/>
  <c r="L98" i="272"/>
  <c r="M20" i="275" s="1"/>
  <c r="M98" i="272"/>
  <c r="N20" i="275" s="1"/>
  <c r="N98" i="272"/>
  <c r="O20" i="275" s="1"/>
  <c r="O21" i="275" s="1"/>
  <c r="O98" i="272"/>
  <c r="P20" i="275" s="1"/>
  <c r="E111" i="233"/>
  <c r="F19" i="275" s="1"/>
  <c r="F111" i="233"/>
  <c r="G19" i="275" s="1"/>
  <c r="G111" i="233"/>
  <c r="H19" i="275" s="1"/>
  <c r="H111" i="233"/>
  <c r="I19" i="275" s="1"/>
  <c r="I111" i="233"/>
  <c r="J19" i="275" s="1"/>
  <c r="J111" i="233"/>
  <c r="K19" i="275" s="1"/>
  <c r="K111" i="233"/>
  <c r="L19" i="275" s="1"/>
  <c r="L111" i="233"/>
  <c r="M19" i="275" s="1"/>
  <c r="M111" i="233"/>
  <c r="N19" i="275" s="1"/>
  <c r="N111" i="233"/>
  <c r="O19" i="275" s="1"/>
  <c r="O111" i="233"/>
  <c r="P19" i="275" s="1"/>
  <c r="D98" i="272"/>
  <c r="E20" i="275" s="1"/>
  <c r="D111" i="233"/>
  <c r="E19" i="275" s="1"/>
  <c r="B1" i="275"/>
  <c r="D23" i="275"/>
  <c r="D30" i="275" s="1"/>
  <c r="D22" i="275"/>
  <c r="D29" i="275" s="1"/>
  <c r="D21" i="275"/>
  <c r="D28" i="275" s="1"/>
  <c r="D20" i="275"/>
  <c r="D27" i="275" s="1"/>
  <c r="D19" i="275"/>
  <c r="D26" i="275" s="1"/>
  <c r="P18" i="275"/>
  <c r="P25" i="275" s="1"/>
  <c r="O18" i="275"/>
  <c r="O25" i="275" s="1"/>
  <c r="N18" i="275"/>
  <c r="N25" i="275" s="1"/>
  <c r="M18" i="275"/>
  <c r="M25" i="275" s="1"/>
  <c r="L18" i="275"/>
  <c r="L25" i="275" s="1"/>
  <c r="K18" i="275"/>
  <c r="K25" i="275" s="1"/>
  <c r="J18" i="275"/>
  <c r="J25" i="275" s="1"/>
  <c r="I18" i="275"/>
  <c r="I25" i="275" s="1"/>
  <c r="H18" i="275"/>
  <c r="H25" i="275" s="1"/>
  <c r="G18" i="275"/>
  <c r="G25" i="275" s="1"/>
  <c r="F18" i="275"/>
  <c r="F25" i="275" s="1"/>
  <c r="E18" i="275"/>
  <c r="E25" i="275" s="1"/>
  <c r="B1" i="274"/>
  <c r="E30" i="274"/>
  <c r="P30" i="274"/>
  <c r="D23" i="274"/>
  <c r="D30" i="274" s="1"/>
  <c r="D22" i="274"/>
  <c r="D29" i="274" s="1"/>
  <c r="D21" i="274"/>
  <c r="D28" i="274" s="1"/>
  <c r="D20" i="274"/>
  <c r="D27" i="274" s="1"/>
  <c r="D19" i="274"/>
  <c r="D26" i="274" s="1"/>
  <c r="P18" i="274"/>
  <c r="P25" i="274" s="1"/>
  <c r="O18" i="274"/>
  <c r="O25" i="274" s="1"/>
  <c r="N18" i="274"/>
  <c r="N25" i="274" s="1"/>
  <c r="M18" i="274"/>
  <c r="M25" i="274" s="1"/>
  <c r="L18" i="274"/>
  <c r="L25" i="274" s="1"/>
  <c r="K18" i="274"/>
  <c r="K25" i="274" s="1"/>
  <c r="J18" i="274"/>
  <c r="J25" i="274" s="1"/>
  <c r="I18" i="274"/>
  <c r="I25" i="274" s="1"/>
  <c r="H18" i="274"/>
  <c r="H25" i="274" s="1"/>
  <c r="G18" i="274"/>
  <c r="G25" i="274" s="1"/>
  <c r="F18" i="274"/>
  <c r="F25" i="274" s="1"/>
  <c r="E18" i="274"/>
  <c r="E25" i="274" s="1"/>
  <c r="J4" i="274"/>
  <c r="F20" i="273"/>
  <c r="G20" i="273"/>
  <c r="H20" i="273"/>
  <c r="I20" i="273"/>
  <c r="J20" i="273"/>
  <c r="K20" i="273"/>
  <c r="L20" i="273"/>
  <c r="M20" i="273"/>
  <c r="N20" i="273"/>
  <c r="O20" i="273"/>
  <c r="P20" i="273"/>
  <c r="E20" i="273"/>
  <c r="F19" i="273"/>
  <c r="G19" i="273"/>
  <c r="H19" i="273"/>
  <c r="I19" i="273"/>
  <c r="J19" i="273"/>
  <c r="K19" i="273"/>
  <c r="L19" i="273"/>
  <c r="M19" i="273"/>
  <c r="N19" i="273"/>
  <c r="O19" i="273"/>
  <c r="P19" i="273"/>
  <c r="E19" i="273"/>
  <c r="E26" i="273" s="1"/>
  <c r="C1" i="273"/>
  <c r="E30" i="273"/>
  <c r="P30" i="273"/>
  <c r="D23" i="273"/>
  <c r="D30" i="273" s="1"/>
  <c r="D22" i="273"/>
  <c r="D29" i="273" s="1"/>
  <c r="D21" i="273"/>
  <c r="D28" i="273" s="1"/>
  <c r="D20" i="273"/>
  <c r="D27" i="273" s="1"/>
  <c r="D19" i="273"/>
  <c r="D26" i="273" s="1"/>
  <c r="P18" i="273"/>
  <c r="P25" i="273" s="1"/>
  <c r="O18" i="273"/>
  <c r="O25" i="273" s="1"/>
  <c r="N18" i="273"/>
  <c r="N25" i="273" s="1"/>
  <c r="M18" i="273"/>
  <c r="M25" i="273" s="1"/>
  <c r="L18" i="273"/>
  <c r="L25" i="273" s="1"/>
  <c r="K18" i="273"/>
  <c r="K25" i="273" s="1"/>
  <c r="J18" i="273"/>
  <c r="J25" i="273" s="1"/>
  <c r="I18" i="273"/>
  <c r="I25" i="273" s="1"/>
  <c r="H18" i="273"/>
  <c r="H25" i="273" s="1"/>
  <c r="G18" i="273"/>
  <c r="G25" i="273" s="1"/>
  <c r="F18" i="273"/>
  <c r="F25" i="273" s="1"/>
  <c r="E18" i="273"/>
  <c r="E25" i="273" s="1"/>
  <c r="C95" i="272"/>
  <c r="C96" i="272"/>
  <c r="C97" i="272"/>
  <c r="C98" i="272"/>
  <c r="C108" i="233"/>
  <c r="C109" i="233"/>
  <c r="C110" i="233"/>
  <c r="C111" i="233"/>
  <c r="A96" i="272"/>
  <c r="A97" i="272"/>
  <c r="A98" i="272"/>
  <c r="A109" i="233"/>
  <c r="A110" i="233"/>
  <c r="A111" i="233"/>
  <c r="B96" i="272"/>
  <c r="B97" i="272"/>
  <c r="B98" i="272"/>
  <c r="B109" i="233"/>
  <c r="B110" i="233"/>
  <c r="B111" i="233"/>
  <c r="D9" i="272"/>
  <c r="D10" i="272"/>
  <c r="E92" i="272"/>
  <c r="F92" i="272"/>
  <c r="G92" i="272"/>
  <c r="H92" i="272"/>
  <c r="I92" i="272"/>
  <c r="J92" i="272"/>
  <c r="K92" i="272"/>
  <c r="L92" i="272"/>
  <c r="M92" i="272"/>
  <c r="N92" i="272"/>
  <c r="O92" i="272"/>
  <c r="E105" i="233"/>
  <c r="F105" i="233"/>
  <c r="G105" i="233"/>
  <c r="H105" i="233"/>
  <c r="I105" i="233"/>
  <c r="J105" i="233"/>
  <c r="K105" i="233"/>
  <c r="L105" i="233"/>
  <c r="M105" i="233"/>
  <c r="N105" i="233"/>
  <c r="O105" i="233"/>
  <c r="P22" i="294" s="1"/>
  <c r="D92" i="272"/>
  <c r="D105" i="233"/>
  <c r="E86" i="272"/>
  <c r="G86" i="272"/>
  <c r="H86" i="272"/>
  <c r="I86" i="272"/>
  <c r="J86" i="272"/>
  <c r="K86" i="272"/>
  <c r="L86" i="272"/>
  <c r="M86" i="272"/>
  <c r="N86" i="272"/>
  <c r="O86" i="272"/>
  <c r="E99" i="233"/>
  <c r="F99" i="233"/>
  <c r="G99" i="233"/>
  <c r="H99" i="233"/>
  <c r="I99" i="233"/>
  <c r="J99" i="233"/>
  <c r="K99" i="233"/>
  <c r="L99" i="233"/>
  <c r="M99" i="233"/>
  <c r="N99" i="233"/>
  <c r="O99" i="233"/>
  <c r="D86" i="272"/>
  <c r="D99" i="233"/>
  <c r="E80" i="272"/>
  <c r="G80" i="272"/>
  <c r="H80" i="272"/>
  <c r="I80" i="272"/>
  <c r="J80" i="272"/>
  <c r="K80" i="272"/>
  <c r="L80" i="272"/>
  <c r="M80" i="272"/>
  <c r="N80" i="272"/>
  <c r="O80" i="272"/>
  <c r="E93" i="233"/>
  <c r="F93" i="233"/>
  <c r="G93" i="233"/>
  <c r="H93" i="233"/>
  <c r="I93" i="233"/>
  <c r="J93" i="233"/>
  <c r="K93" i="233"/>
  <c r="L93" i="233"/>
  <c r="M93" i="233"/>
  <c r="N93" i="233"/>
  <c r="O93" i="233"/>
  <c r="D93" i="233"/>
  <c r="E74" i="272"/>
  <c r="G74" i="272"/>
  <c r="H74" i="272"/>
  <c r="I74" i="272"/>
  <c r="J74" i="272"/>
  <c r="K74" i="272"/>
  <c r="L74" i="272"/>
  <c r="M74" i="272"/>
  <c r="N74" i="272"/>
  <c r="O74" i="272"/>
  <c r="E87" i="233"/>
  <c r="F87" i="233"/>
  <c r="G87" i="233"/>
  <c r="H87" i="233"/>
  <c r="I87" i="233"/>
  <c r="J87" i="233"/>
  <c r="K87" i="233"/>
  <c r="L87" i="233"/>
  <c r="M87" i="233"/>
  <c r="N87" i="233"/>
  <c r="O87" i="233"/>
  <c r="D74" i="272"/>
  <c r="D87" i="233"/>
  <c r="E68" i="272"/>
  <c r="G68" i="272"/>
  <c r="H68" i="272"/>
  <c r="I68" i="272"/>
  <c r="J68" i="272"/>
  <c r="K68" i="272"/>
  <c r="L68" i="272"/>
  <c r="M68" i="272"/>
  <c r="N68" i="272"/>
  <c r="O68" i="272"/>
  <c r="E81" i="233"/>
  <c r="F81" i="233"/>
  <c r="G81" i="233"/>
  <c r="I81" i="233"/>
  <c r="J81" i="233"/>
  <c r="K81" i="233"/>
  <c r="L81" i="233"/>
  <c r="M81" i="233"/>
  <c r="N81" i="233"/>
  <c r="O81" i="233"/>
  <c r="D68" i="272"/>
  <c r="D81" i="233"/>
  <c r="E62" i="272"/>
  <c r="G62" i="272"/>
  <c r="H62" i="272"/>
  <c r="I62" i="272"/>
  <c r="J62" i="272"/>
  <c r="K62" i="272"/>
  <c r="L62" i="272"/>
  <c r="M62" i="272"/>
  <c r="N62" i="272"/>
  <c r="O62" i="272"/>
  <c r="E71" i="233"/>
  <c r="F71" i="233"/>
  <c r="G71" i="233"/>
  <c r="H71" i="233"/>
  <c r="I71" i="233"/>
  <c r="J71" i="233"/>
  <c r="K71" i="233"/>
  <c r="L71" i="233"/>
  <c r="M71" i="233"/>
  <c r="N71" i="233"/>
  <c r="O71" i="233"/>
  <c r="D62" i="272"/>
  <c r="E56" i="272"/>
  <c r="G56" i="272"/>
  <c r="H56" i="272"/>
  <c r="I56" i="272"/>
  <c r="J56" i="272"/>
  <c r="K56" i="272"/>
  <c r="L56" i="272"/>
  <c r="M56" i="272"/>
  <c r="N56" i="272"/>
  <c r="O56" i="272"/>
  <c r="D56" i="272"/>
  <c r="D65" i="233"/>
  <c r="E50" i="272"/>
  <c r="G50" i="272"/>
  <c r="H50" i="272"/>
  <c r="I50" i="272"/>
  <c r="J50" i="272"/>
  <c r="K50" i="272"/>
  <c r="L50" i="272"/>
  <c r="M50" i="272"/>
  <c r="N50" i="272"/>
  <c r="O50" i="272"/>
  <c r="D50" i="272"/>
  <c r="D59" i="233"/>
  <c r="E44" i="272"/>
  <c r="G44" i="272"/>
  <c r="H44" i="272"/>
  <c r="I44" i="272"/>
  <c r="J44" i="272"/>
  <c r="K44" i="272"/>
  <c r="L44" i="272"/>
  <c r="M44" i="272"/>
  <c r="N44" i="272"/>
  <c r="O44" i="272"/>
  <c r="D44" i="272"/>
  <c r="E38" i="272"/>
  <c r="G38" i="272"/>
  <c r="H38" i="272"/>
  <c r="I38" i="272"/>
  <c r="J38" i="272"/>
  <c r="K38" i="272"/>
  <c r="L38" i="272"/>
  <c r="M38" i="272"/>
  <c r="N38" i="272"/>
  <c r="O38" i="272"/>
  <c r="D38" i="272"/>
  <c r="F19" i="272"/>
  <c r="G19" i="272"/>
  <c r="H19" i="272"/>
  <c r="I19" i="272"/>
  <c r="J19" i="272"/>
  <c r="K19" i="272"/>
  <c r="L19" i="272"/>
  <c r="M19" i="272"/>
  <c r="N19" i="272"/>
  <c r="O19" i="272"/>
  <c r="E28" i="233"/>
  <c r="E29" i="233" s="1"/>
  <c r="F28" i="233"/>
  <c r="F29" i="233" s="1"/>
  <c r="G28" i="233"/>
  <c r="G29" i="233" s="1"/>
  <c r="H28" i="233"/>
  <c r="H29" i="233" s="1"/>
  <c r="I28" i="233"/>
  <c r="I29" i="233" s="1"/>
  <c r="J28" i="233"/>
  <c r="J29" i="233" s="1"/>
  <c r="K28" i="233"/>
  <c r="K29" i="233" s="1"/>
  <c r="L28" i="233"/>
  <c r="L29" i="233" s="1"/>
  <c r="M28" i="233"/>
  <c r="M29" i="233" s="1"/>
  <c r="N28" i="233"/>
  <c r="N29" i="233" s="1"/>
  <c r="O28" i="233"/>
  <c r="O29" i="233" s="1"/>
  <c r="D28" i="233"/>
  <c r="D29" i="233" s="1"/>
  <c r="G28" i="272"/>
  <c r="K28" i="272"/>
  <c r="L28" i="272"/>
  <c r="O28" i="272"/>
  <c r="H37" i="233"/>
  <c r="H38" i="233" s="1"/>
  <c r="L37" i="233"/>
  <c r="L38" i="233" s="1"/>
  <c r="N30" i="297" l="1"/>
  <c r="M30" i="297"/>
  <c r="E30" i="297"/>
  <c r="L30" i="297"/>
  <c r="F30" i="297"/>
  <c r="K30" i="297"/>
  <c r="O30" i="297"/>
  <c r="J30" i="297"/>
  <c r="P21" i="274"/>
  <c r="H22" i="274"/>
  <c r="I30" i="297"/>
  <c r="P22" i="273"/>
  <c r="H21" i="273"/>
  <c r="P30" i="297"/>
  <c r="H30" i="297"/>
  <c r="I1" i="275"/>
  <c r="L21" i="294"/>
  <c r="L22" i="294"/>
  <c r="O21" i="294"/>
  <c r="O22" i="294"/>
  <c r="G21" i="294"/>
  <c r="G22" i="294"/>
  <c r="E21" i="294"/>
  <c r="E22" i="294"/>
  <c r="N21" i="294"/>
  <c r="N22" i="294"/>
  <c r="J21" i="294"/>
  <c r="J22" i="294"/>
  <c r="F21" i="294"/>
  <c r="F22" i="294"/>
  <c r="H21" i="294"/>
  <c r="H22" i="294"/>
  <c r="K21" i="294"/>
  <c r="K22" i="294"/>
  <c r="M22" i="294"/>
  <c r="M21" i="294"/>
  <c r="I22" i="294"/>
  <c r="I21" i="294"/>
  <c r="K22" i="274"/>
  <c r="L22" i="273"/>
  <c r="K22" i="273"/>
  <c r="J20" i="272"/>
  <c r="F20" i="272"/>
  <c r="M20" i="272"/>
  <c r="N20" i="272"/>
  <c r="I20" i="272"/>
  <c r="L20" i="272"/>
  <c r="H20" i="272"/>
  <c r="O20" i="272"/>
  <c r="K20" i="272"/>
  <c r="G20" i="272"/>
  <c r="G100" i="102"/>
  <c r="Q100" i="102" s="1"/>
  <c r="G101" i="102"/>
  <c r="Q101" i="102" s="1"/>
  <c r="O109" i="102"/>
  <c r="L29" i="272"/>
  <c r="M19" i="224"/>
  <c r="M19" i="283"/>
  <c r="K29" i="272"/>
  <c r="O19" i="224"/>
  <c r="O19" i="283"/>
  <c r="G19" i="283"/>
  <c r="G19" i="224"/>
  <c r="H101" i="102"/>
  <c r="I1" i="273"/>
  <c r="I1" i="274"/>
  <c r="N19" i="224"/>
  <c r="N19" i="283"/>
  <c r="N29" i="272"/>
  <c r="I19" i="224"/>
  <c r="I19" i="283"/>
  <c r="O29" i="272"/>
  <c r="K19" i="224"/>
  <c r="K19" i="283"/>
  <c r="J19" i="224"/>
  <c r="J19" i="283"/>
  <c r="J29" i="272"/>
  <c r="G29" i="272"/>
  <c r="F29" i="272"/>
  <c r="O105" i="102"/>
  <c r="G21" i="273"/>
  <c r="G102" i="102"/>
  <c r="Q102" i="102" s="1"/>
  <c r="H26" i="275"/>
  <c r="L26" i="275"/>
  <c r="P26" i="275"/>
  <c r="I26" i="275"/>
  <c r="F26" i="275"/>
  <c r="E26" i="275"/>
  <c r="J26" i="275"/>
  <c r="N26" i="275"/>
  <c r="M26" i="275"/>
  <c r="G26" i="275"/>
  <c r="K26" i="275"/>
  <c r="O26" i="275"/>
  <c r="O22" i="274"/>
  <c r="G22" i="274"/>
  <c r="O22" i="275"/>
  <c r="O108" i="102"/>
  <c r="H100" i="102"/>
  <c r="G21" i="274"/>
  <c r="G22" i="275"/>
  <c r="I8" i="272"/>
  <c r="M8" i="272"/>
  <c r="L8" i="272"/>
  <c r="H8" i="272"/>
  <c r="O8" i="272"/>
  <c r="K8" i="272"/>
  <c r="G8" i="272"/>
  <c r="E19" i="272"/>
  <c r="E8" i="272"/>
  <c r="O104" i="102"/>
  <c r="D28" i="272"/>
  <c r="G27" i="275"/>
  <c r="E27" i="275"/>
  <c r="N27" i="275"/>
  <c r="I27" i="275"/>
  <c r="O27" i="275"/>
  <c r="P27" i="275"/>
  <c r="F27" i="275"/>
  <c r="L27" i="275"/>
  <c r="M27" i="275"/>
  <c r="H27" i="275"/>
  <c r="J27" i="275"/>
  <c r="K27" i="275"/>
  <c r="D19" i="272"/>
  <c r="D8" i="272"/>
  <c r="M28" i="272"/>
  <c r="I28" i="272"/>
  <c r="E28" i="272"/>
  <c r="H28" i="272"/>
  <c r="O21" i="274"/>
  <c r="H22" i="275"/>
  <c r="N8" i="272"/>
  <c r="J8" i="272"/>
  <c r="F8" i="272"/>
  <c r="K22" i="275"/>
  <c r="M22" i="275"/>
  <c r="I22" i="275"/>
  <c r="P22" i="274"/>
  <c r="L21" i="274"/>
  <c r="E37" i="233"/>
  <c r="E38" i="233" s="1"/>
  <c r="P21" i="273"/>
  <c r="H21" i="274"/>
  <c r="E26" i="274"/>
  <c r="L22" i="274"/>
  <c r="O21" i="273"/>
  <c r="K21" i="273"/>
  <c r="G22" i="273"/>
  <c r="P22" i="275"/>
  <c r="G21" i="275"/>
  <c r="D37" i="233"/>
  <c r="L22" i="275"/>
  <c r="O37" i="233"/>
  <c r="O38" i="233" s="1"/>
  <c r="K37" i="233"/>
  <c r="K38" i="233" s="1"/>
  <c r="G37" i="233"/>
  <c r="G38" i="233" s="1"/>
  <c r="D17" i="233"/>
  <c r="N21" i="275"/>
  <c r="N22" i="275"/>
  <c r="J22" i="275"/>
  <c r="J21" i="275"/>
  <c r="F21" i="275"/>
  <c r="F22" i="275"/>
  <c r="K21" i="275"/>
  <c r="E22" i="275"/>
  <c r="H102" i="102"/>
  <c r="H27" i="274"/>
  <c r="O22" i="273"/>
  <c r="L27" i="273"/>
  <c r="L21" i="273"/>
  <c r="H22" i="273"/>
  <c r="H21" i="275"/>
  <c r="L21" i="275"/>
  <c r="P21" i="275"/>
  <c r="E21" i="275"/>
  <c r="I21" i="275"/>
  <c r="M21" i="275"/>
  <c r="P26" i="274"/>
  <c r="O26" i="274"/>
  <c r="K26" i="274"/>
  <c r="G26" i="274"/>
  <c r="N26" i="274"/>
  <c r="J26" i="274"/>
  <c r="F26" i="274"/>
  <c r="O27" i="274"/>
  <c r="K27" i="274"/>
  <c r="G27" i="274"/>
  <c r="N27" i="274"/>
  <c r="J27" i="274"/>
  <c r="F27" i="274"/>
  <c r="E22" i="274"/>
  <c r="M27" i="274"/>
  <c r="I27" i="274"/>
  <c r="E27" i="274"/>
  <c r="E21" i="274"/>
  <c r="P27" i="274"/>
  <c r="I22" i="274"/>
  <c r="I21" i="274"/>
  <c r="M22" i="274"/>
  <c r="M21" i="274"/>
  <c r="I26" i="274"/>
  <c r="L27" i="274"/>
  <c r="F22" i="274"/>
  <c r="J22" i="274"/>
  <c r="N22" i="274"/>
  <c r="O30" i="274"/>
  <c r="K30" i="274"/>
  <c r="G30" i="274"/>
  <c r="N30" i="274"/>
  <c r="J30" i="274"/>
  <c r="F30" i="274"/>
  <c r="M30" i="274"/>
  <c r="I30" i="274"/>
  <c r="M26" i="274"/>
  <c r="F21" i="274"/>
  <c r="J21" i="274"/>
  <c r="N21" i="274"/>
  <c r="H26" i="274"/>
  <c r="L26" i="274"/>
  <c r="H30" i="274"/>
  <c r="L30" i="274"/>
  <c r="O26" i="273"/>
  <c r="K26" i="273"/>
  <c r="G26" i="273"/>
  <c r="N26" i="273"/>
  <c r="J26" i="273"/>
  <c r="F26" i="273"/>
  <c r="N22" i="273"/>
  <c r="O27" i="273"/>
  <c r="K27" i="273"/>
  <c r="G27" i="273"/>
  <c r="N27" i="273"/>
  <c r="J27" i="273"/>
  <c r="F27" i="273"/>
  <c r="E22" i="273"/>
  <c r="M27" i="273"/>
  <c r="I27" i="273"/>
  <c r="E27" i="273"/>
  <c r="E21" i="273"/>
  <c r="I22" i="273"/>
  <c r="I21" i="273"/>
  <c r="M22" i="273"/>
  <c r="M21" i="273"/>
  <c r="I26" i="273"/>
  <c r="F22" i="273"/>
  <c r="J22" i="273"/>
  <c r="O30" i="273"/>
  <c r="K30" i="273"/>
  <c r="G30" i="273"/>
  <c r="N30" i="273"/>
  <c r="J30" i="273"/>
  <c r="F30" i="273"/>
  <c r="M30" i="273"/>
  <c r="I30" i="273"/>
  <c r="M26" i="273"/>
  <c r="P27" i="273"/>
  <c r="P26" i="273"/>
  <c r="H27" i="273"/>
  <c r="F21" i="273"/>
  <c r="J21" i="273"/>
  <c r="N21" i="273"/>
  <c r="H26" i="273"/>
  <c r="L26" i="273"/>
  <c r="H30" i="273"/>
  <c r="L30" i="273"/>
  <c r="L29" i="275" l="1"/>
  <c r="H29" i="275"/>
  <c r="G29" i="275"/>
  <c r="K29" i="275"/>
  <c r="O29" i="275"/>
  <c r="E30" i="283"/>
  <c r="O30" i="283"/>
  <c r="J30" i="283"/>
  <c r="P30" i="283"/>
  <c r="G30" i="283"/>
  <c r="L30" i="283"/>
  <c r="N30" i="283"/>
  <c r="K30" i="283"/>
  <c r="F30" i="283"/>
  <c r="H30" i="283"/>
  <c r="M30" i="283"/>
  <c r="I30" i="283"/>
  <c r="D20" i="272"/>
  <c r="E20" i="272"/>
  <c r="I100" i="102"/>
  <c r="I101" i="102"/>
  <c r="L29" i="273"/>
  <c r="I102" i="102"/>
  <c r="L19" i="224"/>
  <c r="L19" i="283"/>
  <c r="L21" i="283" s="1"/>
  <c r="M29" i="272"/>
  <c r="P19" i="224"/>
  <c r="P19" i="283"/>
  <c r="P22" i="283" s="1"/>
  <c r="S5" i="273"/>
  <c r="S6" i="273" s="1"/>
  <c r="M101" i="102"/>
  <c r="R101" i="102" s="1"/>
  <c r="D38" i="233"/>
  <c r="E19" i="224" s="1"/>
  <c r="E19" i="283"/>
  <c r="F19" i="224"/>
  <c r="F19" i="283"/>
  <c r="M22" i="283"/>
  <c r="M21" i="283"/>
  <c r="H19" i="224"/>
  <c r="H19" i="283"/>
  <c r="H22" i="283" s="1"/>
  <c r="O22" i="283"/>
  <c r="O21" i="283"/>
  <c r="K21" i="283"/>
  <c r="K22" i="283"/>
  <c r="I29" i="272"/>
  <c r="H29" i="272"/>
  <c r="N100" i="102"/>
  <c r="H28" i="102"/>
  <c r="G21" i="283"/>
  <c r="G22" i="283"/>
  <c r="E29" i="272"/>
  <c r="D29" i="272"/>
  <c r="P29" i="275"/>
  <c r="S5" i="274"/>
  <c r="S6" i="274" s="1"/>
  <c r="M100" i="102"/>
  <c r="R100" i="102" s="1"/>
  <c r="N101" i="102"/>
  <c r="M102" i="102"/>
  <c r="R102" i="102" s="1"/>
  <c r="S5" i="275"/>
  <c r="S6" i="275" s="1"/>
  <c r="P28" i="275"/>
  <c r="L28" i="275"/>
  <c r="H28" i="275"/>
  <c r="O28" i="275"/>
  <c r="G28" i="275"/>
  <c r="I28" i="275"/>
  <c r="I29" i="275"/>
  <c r="F29" i="275"/>
  <c r="F28" i="275"/>
  <c r="N28" i="275"/>
  <c r="N29" i="275"/>
  <c r="K28" i="275"/>
  <c r="E29" i="275"/>
  <c r="E28" i="275"/>
  <c r="N102" i="102"/>
  <c r="S4" i="275"/>
  <c r="J29" i="275"/>
  <c r="J28" i="275"/>
  <c r="M29" i="275"/>
  <c r="M28" i="275"/>
  <c r="H29" i="274"/>
  <c r="H28" i="274"/>
  <c r="L28" i="273"/>
  <c r="K29" i="274"/>
  <c r="K28" i="274"/>
  <c r="I29" i="274"/>
  <c r="I28" i="274"/>
  <c r="J28" i="274"/>
  <c r="J29" i="274"/>
  <c r="P29" i="274"/>
  <c r="P28" i="274"/>
  <c r="M29" i="274"/>
  <c r="M28" i="274"/>
  <c r="N28" i="274"/>
  <c r="N29" i="274"/>
  <c r="L29" i="274"/>
  <c r="L28" i="274"/>
  <c r="E29" i="274"/>
  <c r="S4" i="274"/>
  <c r="E28" i="274"/>
  <c r="F28" i="274"/>
  <c r="F29" i="274"/>
  <c r="O29" i="274"/>
  <c r="O28" i="274"/>
  <c r="G29" i="274"/>
  <c r="G28" i="274"/>
  <c r="G29" i="273"/>
  <c r="G28" i="273"/>
  <c r="E29" i="273"/>
  <c r="S4" i="273"/>
  <c r="E28" i="273"/>
  <c r="I29" i="273"/>
  <c r="I28" i="273"/>
  <c r="J28" i="273"/>
  <c r="J29" i="273"/>
  <c r="O29" i="273"/>
  <c r="O28" i="273"/>
  <c r="H29" i="273"/>
  <c r="H28" i="273"/>
  <c r="F28" i="273"/>
  <c r="F29" i="273"/>
  <c r="K29" i="273"/>
  <c r="K28" i="273"/>
  <c r="P29" i="273"/>
  <c r="P28" i="273"/>
  <c r="M29" i="273"/>
  <c r="M28" i="273"/>
  <c r="N28" i="273"/>
  <c r="N29" i="273"/>
  <c r="P21" i="283" l="1"/>
  <c r="L22" i="283"/>
  <c r="H21" i="283"/>
  <c r="G28" i="102"/>
  <c r="O101" i="102"/>
  <c r="N22" i="283"/>
  <c r="N21" i="283"/>
  <c r="M26" i="283"/>
  <c r="P26" i="283"/>
  <c r="E26" i="283"/>
  <c r="O26" i="283"/>
  <c r="J26" i="283"/>
  <c r="L26" i="283"/>
  <c r="K26" i="283"/>
  <c r="F26" i="283"/>
  <c r="I26" i="283"/>
  <c r="G26" i="283"/>
  <c r="N26" i="283"/>
  <c r="H26" i="283"/>
  <c r="L26" i="224"/>
  <c r="P26" i="224"/>
  <c r="H26" i="224"/>
  <c r="J26" i="224"/>
  <c r="K26" i="224"/>
  <c r="G26" i="224"/>
  <c r="M26" i="224"/>
  <c r="I26" i="224"/>
  <c r="N26" i="224"/>
  <c r="F26" i="224"/>
  <c r="O26" i="224"/>
  <c r="E26" i="224"/>
  <c r="J22" i="283"/>
  <c r="J21" i="283"/>
  <c r="I22" i="283"/>
  <c r="I21" i="283"/>
  <c r="F22" i="283"/>
  <c r="F21" i="283"/>
  <c r="E27" i="283"/>
  <c r="E22" i="283"/>
  <c r="E21" i="283"/>
  <c r="F27" i="283"/>
  <c r="G27" i="283"/>
  <c r="L27" i="283"/>
  <c r="J27" i="283"/>
  <c r="O27" i="283"/>
  <c r="K27" i="283"/>
  <c r="M27" i="283"/>
  <c r="I27" i="283"/>
  <c r="P27" i="283"/>
  <c r="N27" i="283"/>
  <c r="H27" i="283"/>
  <c r="L27" i="224"/>
  <c r="E22" i="222"/>
  <c r="O102" i="102"/>
  <c r="O100" i="102"/>
  <c r="F19" i="214"/>
  <c r="G19" i="214"/>
  <c r="H19" i="214"/>
  <c r="I19" i="214"/>
  <c r="J19" i="214"/>
  <c r="K19" i="214"/>
  <c r="L19" i="214"/>
  <c r="M19" i="214"/>
  <c r="N19" i="214"/>
  <c r="O19" i="214"/>
  <c r="P19" i="214"/>
  <c r="E19" i="214"/>
  <c r="F19" i="213"/>
  <c r="G19" i="213"/>
  <c r="H19" i="213"/>
  <c r="I19" i="213"/>
  <c r="J19" i="213"/>
  <c r="K19" i="213"/>
  <c r="L19" i="213"/>
  <c r="M19" i="213"/>
  <c r="N19" i="213"/>
  <c r="O19" i="213"/>
  <c r="P19" i="213"/>
  <c r="E19" i="213"/>
  <c r="F19" i="212"/>
  <c r="G19" i="212"/>
  <c r="H19" i="212"/>
  <c r="I19" i="212"/>
  <c r="J19" i="212"/>
  <c r="K19" i="212"/>
  <c r="L19" i="212"/>
  <c r="M19" i="212"/>
  <c r="N19" i="212"/>
  <c r="O19" i="212"/>
  <c r="P19" i="212"/>
  <c r="E19" i="212"/>
  <c r="F19" i="183"/>
  <c r="G19" i="183"/>
  <c r="H19" i="183"/>
  <c r="I19" i="183"/>
  <c r="J19" i="183"/>
  <c r="K19" i="183"/>
  <c r="L19" i="183"/>
  <c r="M19" i="183"/>
  <c r="N19" i="183"/>
  <c r="O19" i="183"/>
  <c r="P19" i="183"/>
  <c r="E19" i="183"/>
  <c r="F19" i="177"/>
  <c r="G19" i="177"/>
  <c r="H19" i="177"/>
  <c r="I19" i="177"/>
  <c r="J19" i="177"/>
  <c r="K19" i="177"/>
  <c r="L19" i="177"/>
  <c r="M19" i="177"/>
  <c r="N19" i="177"/>
  <c r="O19" i="177"/>
  <c r="P19" i="177"/>
  <c r="E19" i="177"/>
  <c r="F19" i="174"/>
  <c r="G19" i="174"/>
  <c r="H19" i="174"/>
  <c r="I19" i="174"/>
  <c r="J19" i="174"/>
  <c r="K19" i="174"/>
  <c r="L19" i="174"/>
  <c r="M19" i="174"/>
  <c r="N19" i="174"/>
  <c r="O19" i="174"/>
  <c r="P19" i="174"/>
  <c r="E19" i="174"/>
  <c r="F19" i="181"/>
  <c r="G19" i="181"/>
  <c r="H19" i="181"/>
  <c r="I19" i="181"/>
  <c r="J19" i="181"/>
  <c r="K19" i="181"/>
  <c r="L19" i="181"/>
  <c r="M19" i="181"/>
  <c r="N19" i="181"/>
  <c r="O19" i="181"/>
  <c r="P19" i="181"/>
  <c r="E19" i="181"/>
  <c r="F19" i="175"/>
  <c r="G19" i="175"/>
  <c r="H19" i="175"/>
  <c r="I19" i="175"/>
  <c r="J19" i="175"/>
  <c r="K19" i="175"/>
  <c r="L19" i="175"/>
  <c r="M19" i="175"/>
  <c r="N19" i="175"/>
  <c r="O19" i="175"/>
  <c r="P19" i="175"/>
  <c r="E19" i="175"/>
  <c r="F19" i="172"/>
  <c r="G19" i="172"/>
  <c r="H19" i="172"/>
  <c r="I19" i="172"/>
  <c r="J19" i="172"/>
  <c r="K19" i="172"/>
  <c r="L19" i="172"/>
  <c r="M19" i="172"/>
  <c r="N19" i="172"/>
  <c r="O19" i="172"/>
  <c r="P19" i="172"/>
  <c r="E19" i="172"/>
  <c r="F19" i="182"/>
  <c r="G19" i="182"/>
  <c r="H19" i="182"/>
  <c r="I19" i="182"/>
  <c r="J19" i="182"/>
  <c r="K19" i="182"/>
  <c r="L19" i="182"/>
  <c r="M19" i="182"/>
  <c r="N19" i="182"/>
  <c r="O19" i="182"/>
  <c r="P19" i="182"/>
  <c r="E19" i="182"/>
  <c r="F19" i="176"/>
  <c r="G19" i="176"/>
  <c r="H19" i="176"/>
  <c r="I19" i="176"/>
  <c r="J19" i="176"/>
  <c r="K19" i="176"/>
  <c r="L19" i="176"/>
  <c r="M19" i="176"/>
  <c r="N19" i="176"/>
  <c r="O19" i="176"/>
  <c r="P19" i="176"/>
  <c r="E19" i="176"/>
  <c r="F19" i="173"/>
  <c r="G19" i="173"/>
  <c r="H19" i="173"/>
  <c r="I19" i="173"/>
  <c r="J19" i="173"/>
  <c r="K19" i="173"/>
  <c r="L19" i="173"/>
  <c r="M19" i="173"/>
  <c r="N19" i="173"/>
  <c r="O19" i="173"/>
  <c r="P19" i="173"/>
  <c r="E19" i="173"/>
  <c r="F19" i="141"/>
  <c r="G19" i="141"/>
  <c r="H19" i="141"/>
  <c r="I19" i="141"/>
  <c r="J19" i="141"/>
  <c r="K19" i="141"/>
  <c r="L19" i="141"/>
  <c r="M19" i="141"/>
  <c r="N19" i="141"/>
  <c r="O19" i="141"/>
  <c r="P19" i="141"/>
  <c r="E19" i="141"/>
  <c r="F19" i="126"/>
  <c r="G19" i="126"/>
  <c r="H19" i="126"/>
  <c r="I19" i="126"/>
  <c r="J19" i="126"/>
  <c r="K19" i="126"/>
  <c r="L19" i="126"/>
  <c r="M19" i="126"/>
  <c r="N19" i="126"/>
  <c r="O19" i="126"/>
  <c r="P19" i="126"/>
  <c r="E19" i="126"/>
  <c r="F19" i="118"/>
  <c r="G19" i="118"/>
  <c r="H19" i="118"/>
  <c r="I19" i="118"/>
  <c r="J19" i="118"/>
  <c r="K19" i="118"/>
  <c r="L19" i="118"/>
  <c r="M19" i="118"/>
  <c r="N19" i="118"/>
  <c r="O19" i="118"/>
  <c r="P19" i="118"/>
  <c r="E19" i="118"/>
  <c r="F30" i="140"/>
  <c r="G30" i="140"/>
  <c r="H30" i="140"/>
  <c r="I30" i="140"/>
  <c r="J30" i="140"/>
  <c r="K30" i="140"/>
  <c r="L30" i="140"/>
  <c r="M30" i="140"/>
  <c r="N30" i="140"/>
  <c r="O30" i="140"/>
  <c r="P30" i="140"/>
  <c r="E30" i="140"/>
  <c r="F19" i="140"/>
  <c r="G19" i="140"/>
  <c r="H19" i="140"/>
  <c r="I19" i="140"/>
  <c r="J19" i="140"/>
  <c r="K19" i="140"/>
  <c r="L19" i="140"/>
  <c r="M19" i="140"/>
  <c r="N19" i="140"/>
  <c r="O19" i="140"/>
  <c r="P19" i="140"/>
  <c r="E19" i="140"/>
  <c r="Q23" i="124"/>
  <c r="F19" i="124"/>
  <c r="G19" i="124"/>
  <c r="H19" i="124"/>
  <c r="I19" i="124"/>
  <c r="J19" i="124"/>
  <c r="K19" i="124"/>
  <c r="L19" i="124"/>
  <c r="M19" i="124"/>
  <c r="N19" i="124"/>
  <c r="O19" i="124"/>
  <c r="P19" i="124"/>
  <c r="E19" i="124"/>
  <c r="F19" i="117"/>
  <c r="G19" i="117"/>
  <c r="H19" i="117"/>
  <c r="I19" i="117"/>
  <c r="J19" i="117"/>
  <c r="K19" i="117"/>
  <c r="L19" i="117"/>
  <c r="M19" i="117"/>
  <c r="N19" i="117"/>
  <c r="O19" i="117"/>
  <c r="P19" i="117"/>
  <c r="E19" i="117"/>
  <c r="F19" i="138"/>
  <c r="G19" i="138"/>
  <c r="H19" i="138"/>
  <c r="I19" i="138"/>
  <c r="J19" i="138"/>
  <c r="K19" i="138"/>
  <c r="L19" i="138"/>
  <c r="M19" i="138"/>
  <c r="N19" i="138"/>
  <c r="O19" i="138"/>
  <c r="P19" i="138"/>
  <c r="E19" i="138"/>
  <c r="F19" i="122"/>
  <c r="G19" i="122"/>
  <c r="H19" i="122"/>
  <c r="I19" i="122"/>
  <c r="J19" i="122"/>
  <c r="K19" i="122"/>
  <c r="L19" i="122"/>
  <c r="M19" i="122"/>
  <c r="N19" i="122"/>
  <c r="O19" i="122"/>
  <c r="P19" i="122"/>
  <c r="E19" i="122"/>
  <c r="M19" i="115"/>
  <c r="N19" i="115"/>
  <c r="O19" i="115"/>
  <c r="P19" i="115"/>
  <c r="E19" i="115"/>
  <c r="F19" i="139"/>
  <c r="G19" i="139"/>
  <c r="H19" i="139"/>
  <c r="I19" i="139"/>
  <c r="J19" i="139"/>
  <c r="K19" i="139"/>
  <c r="L19" i="139"/>
  <c r="M19" i="139"/>
  <c r="N19" i="139"/>
  <c r="O19" i="139"/>
  <c r="P19" i="139"/>
  <c r="E19" i="139"/>
  <c r="F19" i="123"/>
  <c r="G19" i="123"/>
  <c r="H19" i="123"/>
  <c r="I19" i="123"/>
  <c r="J19" i="123"/>
  <c r="K19" i="123"/>
  <c r="L19" i="123"/>
  <c r="M19" i="123"/>
  <c r="N19" i="123"/>
  <c r="O19" i="123"/>
  <c r="P19" i="123"/>
  <c r="E19" i="123"/>
  <c r="F19" i="116"/>
  <c r="G19" i="116"/>
  <c r="H19" i="116"/>
  <c r="I19" i="116"/>
  <c r="J19" i="116"/>
  <c r="K19" i="116"/>
  <c r="L19" i="116"/>
  <c r="M19" i="116"/>
  <c r="N19" i="116"/>
  <c r="O19" i="116"/>
  <c r="P19" i="116"/>
  <c r="E19" i="116"/>
  <c r="F19" i="136"/>
  <c r="G19" i="136"/>
  <c r="H19" i="136"/>
  <c r="I19" i="136"/>
  <c r="J19" i="136"/>
  <c r="K19" i="136"/>
  <c r="L19" i="136"/>
  <c r="M19" i="136"/>
  <c r="N19" i="136"/>
  <c r="O19" i="136"/>
  <c r="P19" i="136"/>
  <c r="E19" i="136"/>
  <c r="Q67" i="102" l="1"/>
  <c r="I67" i="102"/>
  <c r="Q66" i="102"/>
  <c r="I66" i="102"/>
  <c r="Q68" i="102"/>
  <c r="I68" i="102"/>
  <c r="I112" i="102"/>
  <c r="I113" i="102"/>
  <c r="Q113" i="102"/>
  <c r="Q114" i="102"/>
  <c r="I114" i="102"/>
  <c r="J26" i="124"/>
  <c r="M28" i="102"/>
  <c r="S5" i="283"/>
  <c r="S6" i="283" s="1"/>
  <c r="P27" i="224"/>
  <c r="K27" i="224"/>
  <c r="N27" i="224"/>
  <c r="J27" i="224"/>
  <c r="F27" i="224"/>
  <c r="H27" i="224"/>
  <c r="G27" i="224"/>
  <c r="E27" i="224"/>
  <c r="I27" i="224"/>
  <c r="M27" i="224"/>
  <c r="O27" i="224"/>
  <c r="H29" i="283"/>
  <c r="H28" i="283"/>
  <c r="L29" i="283"/>
  <c r="L28" i="283"/>
  <c r="K29" i="283"/>
  <c r="K28" i="283"/>
  <c r="E29" i="283"/>
  <c r="E28" i="283"/>
  <c r="P28" i="283"/>
  <c r="P29" i="283"/>
  <c r="O28" i="283"/>
  <c r="O29" i="283"/>
  <c r="F28" i="283"/>
  <c r="F29" i="283"/>
  <c r="M28" i="283"/>
  <c r="M29" i="283"/>
  <c r="N29" i="283"/>
  <c r="N28" i="283"/>
  <c r="N28" i="102"/>
  <c r="G29" i="283"/>
  <c r="G28" i="283"/>
  <c r="S4" i="283"/>
  <c r="I29" i="283"/>
  <c r="I28" i="283"/>
  <c r="J28" i="283"/>
  <c r="J29" i="283"/>
  <c r="F19" i="135"/>
  <c r="G19" i="135"/>
  <c r="H19" i="135"/>
  <c r="I19" i="135"/>
  <c r="J19" i="135"/>
  <c r="K19" i="135"/>
  <c r="L19" i="135"/>
  <c r="M19" i="135"/>
  <c r="N19" i="135"/>
  <c r="O19" i="135"/>
  <c r="P19" i="135"/>
  <c r="E19" i="135"/>
  <c r="F30" i="224"/>
  <c r="G30" i="224"/>
  <c r="H30" i="224"/>
  <c r="I30" i="224"/>
  <c r="J30" i="224"/>
  <c r="K30" i="224"/>
  <c r="L30" i="224"/>
  <c r="M30" i="224"/>
  <c r="N30" i="224"/>
  <c r="O30" i="224"/>
  <c r="P30" i="224"/>
  <c r="E30" i="224"/>
  <c r="Q32" i="102"/>
  <c r="Q31" i="102"/>
  <c r="F19" i="218"/>
  <c r="G19" i="218"/>
  <c r="H19" i="218"/>
  <c r="I19" i="218"/>
  <c r="J19" i="218"/>
  <c r="K19" i="218"/>
  <c r="L19" i="218"/>
  <c r="M19" i="218"/>
  <c r="N19" i="218"/>
  <c r="O19" i="218"/>
  <c r="P19" i="218"/>
  <c r="E19" i="218"/>
  <c r="F19" i="217"/>
  <c r="G19" i="217"/>
  <c r="H19" i="217"/>
  <c r="I19" i="217"/>
  <c r="J19" i="217"/>
  <c r="K19" i="217"/>
  <c r="L19" i="217"/>
  <c r="M19" i="217"/>
  <c r="N19" i="217"/>
  <c r="O19" i="217"/>
  <c r="P19" i="217"/>
  <c r="E19" i="217"/>
  <c r="F19" i="216"/>
  <c r="G19" i="216"/>
  <c r="H19" i="216"/>
  <c r="I19" i="216"/>
  <c r="J19" i="216"/>
  <c r="K19" i="216"/>
  <c r="L19" i="216"/>
  <c r="M19" i="216"/>
  <c r="N19" i="216"/>
  <c r="O19" i="216"/>
  <c r="P19" i="216"/>
  <c r="E19" i="216"/>
  <c r="F19" i="215"/>
  <c r="G19" i="215"/>
  <c r="H19" i="215"/>
  <c r="I19" i="215"/>
  <c r="J19" i="215"/>
  <c r="K19" i="215"/>
  <c r="L19" i="215"/>
  <c r="M19" i="215"/>
  <c r="N19" i="215"/>
  <c r="O19" i="215"/>
  <c r="P19" i="215"/>
  <c r="E19" i="215"/>
  <c r="F19" i="142"/>
  <c r="G19" i="142"/>
  <c r="J19" i="142"/>
  <c r="O19" i="142"/>
  <c r="P19" i="142"/>
  <c r="E19" i="142"/>
  <c r="F19" i="207"/>
  <c r="G19" i="207"/>
  <c r="H19" i="207"/>
  <c r="I19" i="207"/>
  <c r="J19" i="207"/>
  <c r="K19" i="207"/>
  <c r="L19" i="207"/>
  <c r="M19" i="207"/>
  <c r="N19" i="207"/>
  <c r="O19" i="207"/>
  <c r="P19" i="207"/>
  <c r="E19" i="207"/>
  <c r="F19" i="197"/>
  <c r="G19" i="197"/>
  <c r="J19" i="197"/>
  <c r="O19" i="197"/>
  <c r="P19" i="197"/>
  <c r="E19" i="197"/>
  <c r="E22" i="197" s="1"/>
  <c r="C159" i="272"/>
  <c r="B159" i="272"/>
  <c r="A159" i="272"/>
  <c r="C158" i="272"/>
  <c r="B158" i="272"/>
  <c r="A158" i="272"/>
  <c r="C157" i="272"/>
  <c r="B157" i="272"/>
  <c r="A157" i="272"/>
  <c r="C156" i="272"/>
  <c r="B156" i="272"/>
  <c r="A156" i="272"/>
  <c r="C155" i="272"/>
  <c r="B155" i="272"/>
  <c r="A155" i="272"/>
  <c r="C154" i="272"/>
  <c r="B154" i="272"/>
  <c r="A154" i="272"/>
  <c r="C153" i="272"/>
  <c r="B153" i="272"/>
  <c r="A153" i="272"/>
  <c r="C152" i="272"/>
  <c r="B152" i="272"/>
  <c r="A152" i="272"/>
  <c r="C151" i="272"/>
  <c r="B151" i="272"/>
  <c r="A151" i="272"/>
  <c r="C150" i="272"/>
  <c r="B150" i="272"/>
  <c r="A150" i="272"/>
  <c r="C149" i="272"/>
  <c r="B149" i="272"/>
  <c r="A149" i="272"/>
  <c r="C148" i="272"/>
  <c r="B148" i="272"/>
  <c r="A148" i="272"/>
  <c r="C147" i="272"/>
  <c r="B147" i="272"/>
  <c r="A147" i="272"/>
  <c r="C146" i="272"/>
  <c r="B146" i="272"/>
  <c r="A146" i="272"/>
  <c r="C145" i="272"/>
  <c r="B145" i="272"/>
  <c r="A145" i="272"/>
  <c r="C144" i="272"/>
  <c r="B144" i="272"/>
  <c r="A144" i="272"/>
  <c r="C143" i="272"/>
  <c r="B143" i="272"/>
  <c r="A143" i="272"/>
  <c r="C142" i="272"/>
  <c r="B142" i="272"/>
  <c r="A142" i="272"/>
  <c r="C141" i="272"/>
  <c r="B141" i="272"/>
  <c r="A141" i="272"/>
  <c r="C140" i="272"/>
  <c r="B140" i="272"/>
  <c r="A140" i="272"/>
  <c r="C139" i="272"/>
  <c r="B139" i="272"/>
  <c r="A139" i="272"/>
  <c r="C138" i="272"/>
  <c r="B138" i="272"/>
  <c r="A138" i="272"/>
  <c r="C137" i="272"/>
  <c r="B137" i="272"/>
  <c r="A137" i="272"/>
  <c r="C136" i="272"/>
  <c r="B136" i="272"/>
  <c r="A136" i="272"/>
  <c r="C135" i="272"/>
  <c r="B135" i="272"/>
  <c r="A135" i="272"/>
  <c r="C134" i="272"/>
  <c r="B134" i="272"/>
  <c r="A134" i="272"/>
  <c r="C133" i="272"/>
  <c r="B133" i="272"/>
  <c r="A133" i="272"/>
  <c r="C132" i="272"/>
  <c r="B132" i="272"/>
  <c r="A132" i="272"/>
  <c r="C131" i="272"/>
  <c r="B131" i="272"/>
  <c r="A131" i="272"/>
  <c r="C130" i="272"/>
  <c r="B130" i="272"/>
  <c r="A130" i="272"/>
  <c r="C129" i="272"/>
  <c r="B129" i="272"/>
  <c r="A129" i="272"/>
  <c r="C128" i="272"/>
  <c r="B128" i="272"/>
  <c r="A128" i="272"/>
  <c r="C127" i="272"/>
  <c r="B127" i="272"/>
  <c r="A127" i="272"/>
  <c r="C126" i="272"/>
  <c r="B126" i="272"/>
  <c r="A126" i="272"/>
  <c r="C125" i="272"/>
  <c r="B125" i="272"/>
  <c r="A125" i="272"/>
  <c r="C124" i="272"/>
  <c r="B124" i="272"/>
  <c r="A124" i="272"/>
  <c r="C123" i="272"/>
  <c r="B123" i="272"/>
  <c r="A123" i="272"/>
  <c r="C122" i="272"/>
  <c r="B122" i="272"/>
  <c r="A122" i="272"/>
  <c r="C121" i="272"/>
  <c r="B121" i="272"/>
  <c r="A121" i="272"/>
  <c r="C120" i="272"/>
  <c r="B120" i="272"/>
  <c r="A120" i="272"/>
  <c r="C119" i="272"/>
  <c r="B119" i="272"/>
  <c r="A119" i="272"/>
  <c r="C118" i="272"/>
  <c r="B118" i="272"/>
  <c r="A118" i="272"/>
  <c r="C117" i="272"/>
  <c r="B117" i="272"/>
  <c r="A117" i="272"/>
  <c r="C116" i="272"/>
  <c r="B116" i="272"/>
  <c r="A116" i="272"/>
  <c r="C115" i="272"/>
  <c r="B115" i="272"/>
  <c r="A115" i="272"/>
  <c r="C114" i="272"/>
  <c r="B114" i="272"/>
  <c r="A114" i="272"/>
  <c r="C113" i="272"/>
  <c r="B113" i="272"/>
  <c r="A113" i="272"/>
  <c r="C112" i="272"/>
  <c r="B112" i="272"/>
  <c r="A112" i="272"/>
  <c r="C111" i="272"/>
  <c r="B111" i="272"/>
  <c r="A111" i="272"/>
  <c r="C110" i="272"/>
  <c r="B110" i="272"/>
  <c r="A110" i="272"/>
  <c r="C109" i="272"/>
  <c r="B109" i="272"/>
  <c r="A109" i="272"/>
  <c r="C108" i="272"/>
  <c r="B108" i="272"/>
  <c r="A108" i="272"/>
  <c r="A107" i="272"/>
  <c r="B95" i="272"/>
  <c r="A95" i="272"/>
  <c r="C94" i="272"/>
  <c r="B94" i="272"/>
  <c r="A94" i="272"/>
  <c r="C93" i="272"/>
  <c r="B93" i="272"/>
  <c r="A93" i="272"/>
  <c r="C92" i="272"/>
  <c r="B92" i="272"/>
  <c r="A92" i="272"/>
  <c r="C91" i="272"/>
  <c r="B91" i="272"/>
  <c r="A91" i="272"/>
  <c r="C90" i="272"/>
  <c r="B90" i="272"/>
  <c r="A90" i="272"/>
  <c r="C89" i="272"/>
  <c r="B89" i="272"/>
  <c r="A89" i="272"/>
  <c r="C88" i="272"/>
  <c r="B88" i="272"/>
  <c r="A88" i="272"/>
  <c r="C87" i="272"/>
  <c r="B87" i="272"/>
  <c r="A87" i="272"/>
  <c r="C86" i="272"/>
  <c r="B86" i="272"/>
  <c r="A86" i="272"/>
  <c r="C85" i="272"/>
  <c r="B85" i="272"/>
  <c r="A85" i="272"/>
  <c r="C84" i="272"/>
  <c r="B84" i="272"/>
  <c r="A84" i="272"/>
  <c r="C83" i="272"/>
  <c r="B83" i="272"/>
  <c r="A83" i="272"/>
  <c r="C82" i="272"/>
  <c r="B82" i="272"/>
  <c r="A82" i="272"/>
  <c r="C81" i="272"/>
  <c r="B81" i="272"/>
  <c r="A81" i="272"/>
  <c r="C80" i="272"/>
  <c r="B80" i="272"/>
  <c r="A80" i="272"/>
  <c r="C79" i="272"/>
  <c r="B79" i="272"/>
  <c r="A79" i="272"/>
  <c r="C78" i="272"/>
  <c r="B78" i="272"/>
  <c r="A78" i="272"/>
  <c r="C77" i="272"/>
  <c r="B77" i="272"/>
  <c r="A77" i="272"/>
  <c r="C76" i="272"/>
  <c r="B76" i="272"/>
  <c r="A76" i="272"/>
  <c r="C75" i="272"/>
  <c r="B75" i="272"/>
  <c r="A75" i="272"/>
  <c r="C74" i="272"/>
  <c r="B74" i="272"/>
  <c r="A74" i="272"/>
  <c r="C73" i="272"/>
  <c r="B73" i="272"/>
  <c r="A73" i="272"/>
  <c r="C72" i="272"/>
  <c r="B72" i="272"/>
  <c r="A72" i="272"/>
  <c r="C71" i="272"/>
  <c r="B71" i="272"/>
  <c r="A71" i="272"/>
  <c r="C70" i="272"/>
  <c r="B70" i="272"/>
  <c r="A70" i="272"/>
  <c r="C69" i="272"/>
  <c r="B69" i="272"/>
  <c r="A69" i="272"/>
  <c r="C68" i="272"/>
  <c r="B68" i="272"/>
  <c r="A68" i="272"/>
  <c r="C67" i="272"/>
  <c r="B67" i="272"/>
  <c r="A67" i="272"/>
  <c r="C66" i="272"/>
  <c r="B66" i="272"/>
  <c r="A66" i="272"/>
  <c r="C65" i="272"/>
  <c r="B65" i="272"/>
  <c r="A65" i="272"/>
  <c r="C64" i="272"/>
  <c r="B64" i="272"/>
  <c r="A64" i="272"/>
  <c r="C63" i="272"/>
  <c r="B63" i="272"/>
  <c r="A63" i="272"/>
  <c r="C62" i="272"/>
  <c r="B62" i="272"/>
  <c r="A62" i="272"/>
  <c r="C61" i="272"/>
  <c r="B61" i="272"/>
  <c r="A61" i="272"/>
  <c r="C60" i="272"/>
  <c r="B60" i="272"/>
  <c r="A60" i="272"/>
  <c r="C59" i="272"/>
  <c r="B59" i="272"/>
  <c r="A59" i="272"/>
  <c r="C58" i="272"/>
  <c r="B58" i="272"/>
  <c r="A58" i="272"/>
  <c r="C57" i="272"/>
  <c r="B57" i="272"/>
  <c r="A57" i="272"/>
  <c r="C56" i="272"/>
  <c r="B56" i="272"/>
  <c r="A56" i="272"/>
  <c r="C55" i="272"/>
  <c r="B55" i="272"/>
  <c r="A55" i="272"/>
  <c r="C54" i="272"/>
  <c r="B54" i="272"/>
  <c r="A54" i="272"/>
  <c r="C53" i="272"/>
  <c r="B53" i="272"/>
  <c r="A53" i="272"/>
  <c r="C52" i="272"/>
  <c r="B52" i="272"/>
  <c r="A52" i="272"/>
  <c r="C51" i="272"/>
  <c r="B51" i="272"/>
  <c r="A51" i="272"/>
  <c r="C50" i="272"/>
  <c r="B50" i="272"/>
  <c r="A50" i="272"/>
  <c r="C49" i="272"/>
  <c r="B49" i="272"/>
  <c r="A49" i="272"/>
  <c r="C48" i="272"/>
  <c r="B48" i="272"/>
  <c r="A48" i="272"/>
  <c r="C47" i="272"/>
  <c r="B47" i="272"/>
  <c r="A47" i="272"/>
  <c r="C46" i="272"/>
  <c r="B46" i="272"/>
  <c r="A46" i="272"/>
  <c r="C45" i="272"/>
  <c r="B45" i="272"/>
  <c r="A45" i="272"/>
  <c r="C44" i="272"/>
  <c r="B44" i="272"/>
  <c r="A44" i="272"/>
  <c r="C43" i="272"/>
  <c r="B43" i="272"/>
  <c r="A43" i="272"/>
  <c r="C42" i="272"/>
  <c r="B42" i="272"/>
  <c r="A42" i="272"/>
  <c r="C41" i="272"/>
  <c r="B41" i="272"/>
  <c r="A41" i="272"/>
  <c r="C40" i="272"/>
  <c r="B40" i="272"/>
  <c r="A40" i="272"/>
  <c r="C39" i="272"/>
  <c r="B39" i="272"/>
  <c r="A39" i="272"/>
  <c r="C38" i="272"/>
  <c r="B38" i="272"/>
  <c r="A38" i="272"/>
  <c r="C37" i="272"/>
  <c r="B37" i="272"/>
  <c r="A37" i="272"/>
  <c r="C36" i="272"/>
  <c r="B36" i="272"/>
  <c r="A36" i="272"/>
  <c r="B35" i="272"/>
  <c r="C29" i="272"/>
  <c r="B29" i="272"/>
  <c r="A29" i="272"/>
  <c r="C28" i="272"/>
  <c r="B28" i="272"/>
  <c r="A28" i="272"/>
  <c r="C27" i="272"/>
  <c r="B27" i="272"/>
  <c r="A27" i="272"/>
  <c r="C26" i="272"/>
  <c r="B26" i="272"/>
  <c r="A26" i="272"/>
  <c r="C25" i="272"/>
  <c r="B25" i="272"/>
  <c r="A25" i="272"/>
  <c r="C24" i="272"/>
  <c r="B24" i="272"/>
  <c r="A24" i="272"/>
  <c r="C23" i="272"/>
  <c r="B23" i="272"/>
  <c r="A23" i="272"/>
  <c r="C22" i="272"/>
  <c r="B22" i="272"/>
  <c r="A22" i="272"/>
  <c r="C21" i="272"/>
  <c r="B21" i="272"/>
  <c r="A21" i="272"/>
  <c r="C20" i="272"/>
  <c r="B20" i="272"/>
  <c r="A20" i="272"/>
  <c r="C19" i="272"/>
  <c r="B19" i="272"/>
  <c r="A19" i="272"/>
  <c r="C18" i="272"/>
  <c r="B18" i="272"/>
  <c r="A18" i="272"/>
  <c r="C17" i="272"/>
  <c r="B17" i="272"/>
  <c r="A17" i="272"/>
  <c r="C16" i="272"/>
  <c r="A16" i="272"/>
  <c r="C15" i="272"/>
  <c r="B15" i="272"/>
  <c r="A15" i="272"/>
  <c r="C14" i="272"/>
  <c r="B14" i="272"/>
  <c r="A14" i="272"/>
  <c r="C13" i="272"/>
  <c r="B13" i="272"/>
  <c r="A13" i="272"/>
  <c r="C12" i="272"/>
  <c r="B12" i="272"/>
  <c r="A12" i="272"/>
  <c r="C11" i="272"/>
  <c r="B11" i="272"/>
  <c r="A11" i="272"/>
  <c r="O10" i="272"/>
  <c r="N10" i="272"/>
  <c r="M10" i="272"/>
  <c r="L10" i="272"/>
  <c r="K10" i="272"/>
  <c r="J10" i="272"/>
  <c r="I10" i="272"/>
  <c r="H10" i="272"/>
  <c r="G10" i="272"/>
  <c r="F10" i="272"/>
  <c r="E10" i="272"/>
  <c r="C10" i="272"/>
  <c r="B10" i="272"/>
  <c r="A10" i="272"/>
  <c r="O9" i="272"/>
  <c r="N9" i="272"/>
  <c r="M9" i="272"/>
  <c r="L9" i="272"/>
  <c r="K9" i="272"/>
  <c r="J9" i="272"/>
  <c r="I9" i="272"/>
  <c r="H9" i="272"/>
  <c r="G9" i="272"/>
  <c r="F9" i="272"/>
  <c r="E9" i="272"/>
  <c r="D13" i="272"/>
  <c r="C9" i="272"/>
  <c r="B9" i="272"/>
  <c r="A9" i="272"/>
  <c r="C8" i="272"/>
  <c r="B8" i="272"/>
  <c r="A8" i="272"/>
  <c r="C7" i="272"/>
  <c r="B7" i="272"/>
  <c r="A7" i="272"/>
  <c r="C6" i="272"/>
  <c r="B6" i="272"/>
  <c r="A6" i="272"/>
  <c r="C5" i="272"/>
  <c r="B5" i="272"/>
  <c r="A5" i="272"/>
  <c r="C4" i="272"/>
  <c r="A4" i="272"/>
  <c r="C3" i="272"/>
  <c r="B3" i="272"/>
  <c r="A3" i="272"/>
  <c r="C2" i="272"/>
  <c r="A2" i="272"/>
  <c r="C1" i="272"/>
  <c r="B1" i="272"/>
  <c r="A1" i="272"/>
  <c r="H7" i="102" l="1"/>
  <c r="I32" i="102"/>
  <c r="I31" i="102"/>
  <c r="Q33" i="102"/>
  <c r="I33" i="102"/>
  <c r="Q34" i="102"/>
  <c r="I34" i="102"/>
  <c r="H13" i="272"/>
  <c r="L13" i="272"/>
  <c r="G13" i="272"/>
  <c r="O13" i="272"/>
  <c r="K13" i="272"/>
  <c r="E13" i="272"/>
  <c r="I13" i="272"/>
  <c r="F13" i="272"/>
  <c r="M13" i="272"/>
  <c r="J13" i="272"/>
  <c r="N13" i="272"/>
  <c r="B97" i="235" l="1"/>
  <c r="A97" i="235"/>
  <c r="A96" i="235" l="1"/>
  <c r="A98" i="235"/>
  <c r="A94" i="235"/>
  <c r="A108" i="233"/>
  <c r="B95" i="235"/>
  <c r="C95" i="235"/>
  <c r="B96" i="235"/>
  <c r="C96" i="235"/>
  <c r="C94" i="235"/>
  <c r="B98" i="235"/>
  <c r="B94" i="235"/>
  <c r="B108" i="233"/>
  <c r="D20" i="142" l="1"/>
  <c r="D27" i="142" s="1"/>
  <c r="D21" i="142"/>
  <c r="D28" i="142" s="1"/>
  <c r="D22" i="142"/>
  <c r="D29" i="142" s="1"/>
  <c r="D23" i="142"/>
  <c r="D30" i="142" s="1"/>
  <c r="D20" i="215"/>
  <c r="D27" i="215" s="1"/>
  <c r="D21" i="215"/>
  <c r="D28" i="215" s="1"/>
  <c r="D22" i="215"/>
  <c r="D29" i="215" s="1"/>
  <c r="D23" i="215"/>
  <c r="D30" i="215" s="1"/>
  <c r="D20" i="216"/>
  <c r="D27" i="216" s="1"/>
  <c r="D21" i="216"/>
  <c r="D28" i="216" s="1"/>
  <c r="D22" i="216"/>
  <c r="D29" i="216" s="1"/>
  <c r="D23" i="216"/>
  <c r="D30" i="216" s="1"/>
  <c r="D20" i="217"/>
  <c r="D27" i="217" s="1"/>
  <c r="D21" i="217"/>
  <c r="D28" i="217" s="1"/>
  <c r="D22" i="217"/>
  <c r="D29" i="217" s="1"/>
  <c r="D23" i="217"/>
  <c r="D30" i="217" s="1"/>
  <c r="D20" i="218"/>
  <c r="D27" i="218" s="1"/>
  <c r="D21" i="218"/>
  <c r="D28" i="218" s="1"/>
  <c r="D22" i="218"/>
  <c r="D29" i="218" s="1"/>
  <c r="D23" i="218"/>
  <c r="D30" i="218" s="1"/>
  <c r="D20" i="236"/>
  <c r="D27" i="236" s="1"/>
  <c r="D21" i="236"/>
  <c r="D28" i="236" s="1"/>
  <c r="D22" i="236"/>
  <c r="D29" i="236" s="1"/>
  <c r="D23" i="236"/>
  <c r="D30" i="236" s="1"/>
  <c r="D20" i="222"/>
  <c r="D27" i="222" s="1"/>
  <c r="D21" i="222"/>
  <c r="D28" i="222" s="1"/>
  <c r="D22" i="222"/>
  <c r="D29" i="222" s="1"/>
  <c r="D23" i="222"/>
  <c r="D30" i="222" s="1"/>
  <c r="D20" i="224"/>
  <c r="D27" i="224" s="1"/>
  <c r="D21" i="224"/>
  <c r="D28" i="224" s="1"/>
  <c r="D22" i="224"/>
  <c r="D29" i="224" s="1"/>
  <c r="D23" i="224"/>
  <c r="D30" i="224" s="1"/>
  <c r="D20" i="113"/>
  <c r="D27" i="113" s="1"/>
  <c r="D21" i="113"/>
  <c r="D28" i="113" s="1"/>
  <c r="D22" i="113"/>
  <c r="D29" i="113" s="1"/>
  <c r="D23" i="113"/>
  <c r="D30" i="113" s="1"/>
  <c r="D20" i="120"/>
  <c r="D27" i="120" s="1"/>
  <c r="D21" i="120"/>
  <c r="D28" i="120" s="1"/>
  <c r="D22" i="120"/>
  <c r="D29" i="120" s="1"/>
  <c r="D23" i="120"/>
  <c r="D30" i="120" s="1"/>
  <c r="D20" i="135"/>
  <c r="D27" i="135" s="1"/>
  <c r="D21" i="135"/>
  <c r="D28" i="135" s="1"/>
  <c r="D22" i="135"/>
  <c r="D29" i="135" s="1"/>
  <c r="D23" i="135"/>
  <c r="D30" i="135" s="1"/>
  <c r="D20" i="114"/>
  <c r="D27" i="114" s="1"/>
  <c r="D21" i="114"/>
  <c r="D28" i="114" s="1"/>
  <c r="D22" i="114"/>
  <c r="D29" i="114" s="1"/>
  <c r="D23" i="114"/>
  <c r="D30" i="114" s="1"/>
  <c r="D20" i="121"/>
  <c r="D27" i="121" s="1"/>
  <c r="D21" i="121"/>
  <c r="D28" i="121" s="1"/>
  <c r="D22" i="121"/>
  <c r="D29" i="121" s="1"/>
  <c r="D23" i="121"/>
  <c r="D30" i="121" s="1"/>
  <c r="D20" i="136"/>
  <c r="D27" i="136" s="1"/>
  <c r="D21" i="136"/>
  <c r="D28" i="136" s="1"/>
  <c r="D22" i="136"/>
  <c r="D29" i="136" s="1"/>
  <c r="D23" i="136"/>
  <c r="D30" i="136" s="1"/>
  <c r="D20" i="116"/>
  <c r="D27" i="116" s="1"/>
  <c r="D21" i="116"/>
  <c r="D28" i="116" s="1"/>
  <c r="D22" i="116"/>
  <c r="D29" i="116" s="1"/>
  <c r="D23" i="116"/>
  <c r="D30" i="116" s="1"/>
  <c r="D20" i="123"/>
  <c r="D27" i="123" s="1"/>
  <c r="D21" i="123"/>
  <c r="D28" i="123" s="1"/>
  <c r="D22" i="123"/>
  <c r="D29" i="123" s="1"/>
  <c r="D23" i="123"/>
  <c r="D30" i="123" s="1"/>
  <c r="D20" i="139"/>
  <c r="D27" i="139" s="1"/>
  <c r="D21" i="139"/>
  <c r="D28" i="139" s="1"/>
  <c r="D22" i="139"/>
  <c r="D29" i="139" s="1"/>
  <c r="D23" i="139"/>
  <c r="D30" i="139" s="1"/>
  <c r="D20" i="115"/>
  <c r="D27" i="115" s="1"/>
  <c r="D21" i="115"/>
  <c r="D28" i="115" s="1"/>
  <c r="D22" i="115"/>
  <c r="D29" i="115" s="1"/>
  <c r="D23" i="115"/>
  <c r="D30" i="115" s="1"/>
  <c r="D20" i="122"/>
  <c r="D27" i="122" s="1"/>
  <c r="D21" i="122"/>
  <c r="D28" i="122" s="1"/>
  <c r="D22" i="122"/>
  <c r="D29" i="122" s="1"/>
  <c r="D23" i="122"/>
  <c r="D30" i="122" s="1"/>
  <c r="D20" i="138"/>
  <c r="D27" i="138" s="1"/>
  <c r="D21" i="138"/>
  <c r="D28" i="138" s="1"/>
  <c r="D22" i="138"/>
  <c r="D29" i="138" s="1"/>
  <c r="D23" i="138"/>
  <c r="D30" i="138" s="1"/>
  <c r="D20" i="117"/>
  <c r="D27" i="117" s="1"/>
  <c r="D21" i="117"/>
  <c r="D28" i="117" s="1"/>
  <c r="D22" i="117"/>
  <c r="D29" i="117" s="1"/>
  <c r="D23" i="117"/>
  <c r="D30" i="117" s="1"/>
  <c r="D20" i="124"/>
  <c r="D27" i="124" s="1"/>
  <c r="D21" i="124"/>
  <c r="D28" i="124" s="1"/>
  <c r="D22" i="124"/>
  <c r="D29" i="124" s="1"/>
  <c r="D23" i="124"/>
  <c r="D30" i="124" s="1"/>
  <c r="D20" i="140"/>
  <c r="D27" i="140" s="1"/>
  <c r="D21" i="140"/>
  <c r="D28" i="140" s="1"/>
  <c r="D22" i="140"/>
  <c r="D29" i="140" s="1"/>
  <c r="D23" i="140"/>
  <c r="D30" i="140" s="1"/>
  <c r="D20" i="118"/>
  <c r="D27" i="118" s="1"/>
  <c r="D21" i="118"/>
  <c r="D28" i="118" s="1"/>
  <c r="D22" i="118"/>
  <c r="D29" i="118" s="1"/>
  <c r="D23" i="118"/>
  <c r="D30" i="118" s="1"/>
  <c r="D20" i="126"/>
  <c r="D27" i="126" s="1"/>
  <c r="D21" i="126"/>
  <c r="D28" i="126" s="1"/>
  <c r="D22" i="126"/>
  <c r="D29" i="126" s="1"/>
  <c r="D23" i="126"/>
  <c r="D30" i="126" s="1"/>
  <c r="D20" i="141"/>
  <c r="D27" i="141" s="1"/>
  <c r="D21" i="141"/>
  <c r="D28" i="141" s="1"/>
  <c r="D22" i="141"/>
  <c r="D29" i="141" s="1"/>
  <c r="D23" i="141"/>
  <c r="D30" i="141" s="1"/>
  <c r="D20" i="173"/>
  <c r="D27" i="173" s="1"/>
  <c r="D21" i="173"/>
  <c r="D28" i="173" s="1"/>
  <c r="D22" i="173"/>
  <c r="D29" i="173" s="1"/>
  <c r="D23" i="173"/>
  <c r="D30" i="173" s="1"/>
  <c r="D20" i="176"/>
  <c r="D27" i="176" s="1"/>
  <c r="D21" i="176"/>
  <c r="D28" i="176" s="1"/>
  <c r="D22" i="176"/>
  <c r="D29" i="176" s="1"/>
  <c r="D23" i="176"/>
  <c r="D30" i="176" s="1"/>
  <c r="D20" i="182"/>
  <c r="D27" i="182" s="1"/>
  <c r="D21" i="182"/>
  <c r="D28" i="182" s="1"/>
  <c r="D22" i="182"/>
  <c r="D29" i="182" s="1"/>
  <c r="D23" i="182"/>
  <c r="D30" i="182" s="1"/>
  <c r="D20" i="172"/>
  <c r="D27" i="172" s="1"/>
  <c r="D21" i="172"/>
  <c r="D28" i="172" s="1"/>
  <c r="D22" i="172"/>
  <c r="D29" i="172" s="1"/>
  <c r="D23" i="172"/>
  <c r="D30" i="172" s="1"/>
  <c r="D20" i="175"/>
  <c r="D27" i="175" s="1"/>
  <c r="D21" i="175"/>
  <c r="D28" i="175" s="1"/>
  <c r="D22" i="175"/>
  <c r="D29" i="175" s="1"/>
  <c r="D23" i="175"/>
  <c r="D30" i="175" s="1"/>
  <c r="D20" i="181"/>
  <c r="D27" i="181" s="1"/>
  <c r="D21" i="181"/>
  <c r="D28" i="181" s="1"/>
  <c r="D22" i="181"/>
  <c r="D29" i="181" s="1"/>
  <c r="D23" i="181"/>
  <c r="D30" i="181" s="1"/>
  <c r="D20" i="174"/>
  <c r="D27" i="174" s="1"/>
  <c r="D21" i="174"/>
  <c r="D28" i="174" s="1"/>
  <c r="D22" i="174"/>
  <c r="D29" i="174" s="1"/>
  <c r="D23" i="174"/>
  <c r="D30" i="174" s="1"/>
  <c r="D20" i="177"/>
  <c r="D27" i="177" s="1"/>
  <c r="D21" i="177"/>
  <c r="D28" i="177" s="1"/>
  <c r="D22" i="177"/>
  <c r="D29" i="177" s="1"/>
  <c r="D23" i="177"/>
  <c r="D30" i="177" s="1"/>
  <c r="D20" i="183"/>
  <c r="D27" i="183" s="1"/>
  <c r="D21" i="183"/>
  <c r="D28" i="183" s="1"/>
  <c r="D22" i="183"/>
  <c r="D29" i="183" s="1"/>
  <c r="D23" i="183"/>
  <c r="D30" i="183" s="1"/>
  <c r="D20" i="212"/>
  <c r="D27" i="212" s="1"/>
  <c r="D21" i="212"/>
  <c r="D28" i="212" s="1"/>
  <c r="D22" i="212"/>
  <c r="D29" i="212" s="1"/>
  <c r="D23" i="212"/>
  <c r="D30" i="212" s="1"/>
  <c r="D20" i="213"/>
  <c r="D27" i="213" s="1"/>
  <c r="D21" i="213"/>
  <c r="D28" i="213" s="1"/>
  <c r="D22" i="213"/>
  <c r="D29" i="213" s="1"/>
  <c r="D23" i="213"/>
  <c r="D30" i="213" s="1"/>
  <c r="D20" i="214"/>
  <c r="D27" i="214" s="1"/>
  <c r="D21" i="214"/>
  <c r="D28" i="214" s="1"/>
  <c r="D22" i="214"/>
  <c r="D29" i="214" s="1"/>
  <c r="D23" i="214"/>
  <c r="D30" i="214" s="1"/>
  <c r="D20" i="207"/>
  <c r="D27" i="207" s="1"/>
  <c r="D21" i="207"/>
  <c r="D28" i="207" s="1"/>
  <c r="D22" i="207"/>
  <c r="D29" i="207" s="1"/>
  <c r="D23" i="207"/>
  <c r="D30" i="207" s="1"/>
  <c r="D19" i="142"/>
  <c r="D26" i="142" s="1"/>
  <c r="D19" i="215"/>
  <c r="D26" i="215" s="1"/>
  <c r="D19" i="216"/>
  <c r="D26" i="216" s="1"/>
  <c r="D19" i="217"/>
  <c r="D26" i="217" s="1"/>
  <c r="D19" i="218"/>
  <c r="D26" i="218" s="1"/>
  <c r="D19" i="236"/>
  <c r="D26" i="236" s="1"/>
  <c r="D19" i="222"/>
  <c r="D26" i="222" s="1"/>
  <c r="D19" i="224"/>
  <c r="D26" i="224" s="1"/>
  <c r="D19" i="113"/>
  <c r="D26" i="113" s="1"/>
  <c r="D19" i="120"/>
  <c r="D26" i="120" s="1"/>
  <c r="D19" i="135"/>
  <c r="D26" i="135" s="1"/>
  <c r="D19" i="114"/>
  <c r="D26" i="114" s="1"/>
  <c r="D19" i="121"/>
  <c r="D26" i="121" s="1"/>
  <c r="D19" i="136"/>
  <c r="D26" i="136" s="1"/>
  <c r="D19" i="116"/>
  <c r="D26" i="116" s="1"/>
  <c r="D19" i="123"/>
  <c r="D26" i="123" s="1"/>
  <c r="D19" i="139"/>
  <c r="D26" i="139" s="1"/>
  <c r="D19" i="115"/>
  <c r="D26" i="115" s="1"/>
  <c r="D19" i="122"/>
  <c r="D26" i="122" s="1"/>
  <c r="D19" i="138"/>
  <c r="D26" i="138" s="1"/>
  <c r="D19" i="117"/>
  <c r="D26" i="117" s="1"/>
  <c r="D19" i="124"/>
  <c r="D26" i="124" s="1"/>
  <c r="D19" i="140"/>
  <c r="D26" i="140" s="1"/>
  <c r="D19" i="118"/>
  <c r="D26" i="118" s="1"/>
  <c r="D19" i="126"/>
  <c r="D26" i="126" s="1"/>
  <c r="D19" i="141"/>
  <c r="D26" i="141" s="1"/>
  <c r="D19" i="173"/>
  <c r="D26" i="173" s="1"/>
  <c r="D19" i="176"/>
  <c r="D26" i="176" s="1"/>
  <c r="D19" i="182"/>
  <c r="D26" i="182" s="1"/>
  <c r="D19" i="172"/>
  <c r="D26" i="172" s="1"/>
  <c r="D19" i="175"/>
  <c r="D26" i="175" s="1"/>
  <c r="D19" i="181"/>
  <c r="D26" i="181" s="1"/>
  <c r="D19" i="174"/>
  <c r="D26" i="174" s="1"/>
  <c r="D19" i="177"/>
  <c r="D26" i="177" s="1"/>
  <c r="D19" i="183"/>
  <c r="D26" i="183" s="1"/>
  <c r="D19" i="212"/>
  <c r="D26" i="212" s="1"/>
  <c r="D19" i="213"/>
  <c r="D26" i="213" s="1"/>
  <c r="D19" i="214"/>
  <c r="D26" i="214" s="1"/>
  <c r="D19" i="207"/>
  <c r="D26" i="207" s="1"/>
  <c r="F18" i="142"/>
  <c r="F25" i="142" s="1"/>
  <c r="G18" i="142"/>
  <c r="G25" i="142" s="1"/>
  <c r="H18" i="142"/>
  <c r="H25" i="142" s="1"/>
  <c r="I18" i="142"/>
  <c r="I25" i="142" s="1"/>
  <c r="J18" i="142"/>
  <c r="J25" i="142" s="1"/>
  <c r="K18" i="142"/>
  <c r="K25" i="142" s="1"/>
  <c r="L18" i="142"/>
  <c r="L25" i="142" s="1"/>
  <c r="M18" i="142"/>
  <c r="M25" i="142" s="1"/>
  <c r="N18" i="142"/>
  <c r="N25" i="142" s="1"/>
  <c r="O18" i="142"/>
  <c r="O25" i="142" s="1"/>
  <c r="P18" i="142"/>
  <c r="P25" i="142" s="1"/>
  <c r="F18" i="215"/>
  <c r="F25" i="215" s="1"/>
  <c r="G18" i="215"/>
  <c r="G25" i="215" s="1"/>
  <c r="H18" i="215"/>
  <c r="H25" i="215" s="1"/>
  <c r="I18" i="215"/>
  <c r="I25" i="215" s="1"/>
  <c r="J18" i="215"/>
  <c r="J25" i="215" s="1"/>
  <c r="K18" i="215"/>
  <c r="K25" i="215" s="1"/>
  <c r="L18" i="215"/>
  <c r="L25" i="215" s="1"/>
  <c r="M18" i="215"/>
  <c r="M25" i="215" s="1"/>
  <c r="N18" i="215"/>
  <c r="N25" i="215" s="1"/>
  <c r="O18" i="215"/>
  <c r="O25" i="215" s="1"/>
  <c r="P18" i="215"/>
  <c r="P25" i="215" s="1"/>
  <c r="F18" i="216"/>
  <c r="F25" i="216" s="1"/>
  <c r="G18" i="216"/>
  <c r="G25" i="216" s="1"/>
  <c r="H18" i="216"/>
  <c r="I18" i="216"/>
  <c r="I25" i="216" s="1"/>
  <c r="J18" i="216"/>
  <c r="J25" i="216" s="1"/>
  <c r="K18" i="216"/>
  <c r="K25" i="216" s="1"/>
  <c r="L18" i="216"/>
  <c r="L25" i="216" s="1"/>
  <c r="M18" i="216"/>
  <c r="M25" i="216" s="1"/>
  <c r="N18" i="216"/>
  <c r="N25" i="216" s="1"/>
  <c r="O18" i="216"/>
  <c r="O25" i="216" s="1"/>
  <c r="P18" i="216"/>
  <c r="P25" i="216" s="1"/>
  <c r="F18" i="217"/>
  <c r="F25" i="217" s="1"/>
  <c r="G18" i="217"/>
  <c r="G25" i="217" s="1"/>
  <c r="H18" i="217"/>
  <c r="H25" i="217" s="1"/>
  <c r="I18" i="217"/>
  <c r="I25" i="217" s="1"/>
  <c r="J18" i="217"/>
  <c r="J25" i="217" s="1"/>
  <c r="K18" i="217"/>
  <c r="K25" i="217" s="1"/>
  <c r="L18" i="217"/>
  <c r="L25" i="217" s="1"/>
  <c r="M18" i="217"/>
  <c r="M25" i="217" s="1"/>
  <c r="N18" i="217"/>
  <c r="N25" i="217" s="1"/>
  <c r="O18" i="217"/>
  <c r="O25" i="217" s="1"/>
  <c r="P18" i="217"/>
  <c r="P25" i="217" s="1"/>
  <c r="F18" i="218"/>
  <c r="F25" i="218" s="1"/>
  <c r="G18" i="218"/>
  <c r="G25" i="218" s="1"/>
  <c r="H18" i="218"/>
  <c r="H25" i="218" s="1"/>
  <c r="I18" i="218"/>
  <c r="I25" i="218" s="1"/>
  <c r="J18" i="218"/>
  <c r="J25" i="218" s="1"/>
  <c r="K18" i="218"/>
  <c r="K25" i="218" s="1"/>
  <c r="L18" i="218"/>
  <c r="L25" i="218" s="1"/>
  <c r="M18" i="218"/>
  <c r="M25" i="218" s="1"/>
  <c r="N18" i="218"/>
  <c r="N25" i="218" s="1"/>
  <c r="O18" i="218"/>
  <c r="O25" i="218" s="1"/>
  <c r="P18" i="218"/>
  <c r="P25" i="218" s="1"/>
  <c r="F18" i="236"/>
  <c r="F25" i="236" s="1"/>
  <c r="G18" i="236"/>
  <c r="G25" i="236" s="1"/>
  <c r="H18" i="236"/>
  <c r="H25" i="236" s="1"/>
  <c r="I18" i="236"/>
  <c r="I25" i="236" s="1"/>
  <c r="J18" i="236"/>
  <c r="J25" i="236" s="1"/>
  <c r="K18" i="236"/>
  <c r="K25" i="236" s="1"/>
  <c r="L18" i="236"/>
  <c r="L25" i="236" s="1"/>
  <c r="M18" i="236"/>
  <c r="M25" i="236" s="1"/>
  <c r="N18" i="236"/>
  <c r="N25" i="236" s="1"/>
  <c r="O18" i="236"/>
  <c r="O25" i="236" s="1"/>
  <c r="P18" i="236"/>
  <c r="P25" i="236" s="1"/>
  <c r="F18" i="222"/>
  <c r="F25" i="222" s="1"/>
  <c r="G18" i="222"/>
  <c r="G25" i="222" s="1"/>
  <c r="H18" i="222"/>
  <c r="H25" i="222" s="1"/>
  <c r="I18" i="222"/>
  <c r="I25" i="222" s="1"/>
  <c r="J18" i="222"/>
  <c r="J25" i="222" s="1"/>
  <c r="K18" i="222"/>
  <c r="K25" i="222" s="1"/>
  <c r="L18" i="222"/>
  <c r="L25" i="222" s="1"/>
  <c r="M18" i="222"/>
  <c r="M25" i="222" s="1"/>
  <c r="N18" i="222"/>
  <c r="N25" i="222" s="1"/>
  <c r="O18" i="222"/>
  <c r="O25" i="222" s="1"/>
  <c r="P18" i="222"/>
  <c r="P25" i="222" s="1"/>
  <c r="F18" i="224"/>
  <c r="F25" i="224" s="1"/>
  <c r="G18" i="224"/>
  <c r="G25" i="224" s="1"/>
  <c r="H18" i="224"/>
  <c r="H25" i="224" s="1"/>
  <c r="I18" i="224"/>
  <c r="I25" i="224" s="1"/>
  <c r="J18" i="224"/>
  <c r="J25" i="224" s="1"/>
  <c r="K18" i="224"/>
  <c r="K25" i="224" s="1"/>
  <c r="L18" i="224"/>
  <c r="L25" i="224" s="1"/>
  <c r="M18" i="224"/>
  <c r="M25" i="224" s="1"/>
  <c r="N18" i="224"/>
  <c r="N25" i="224" s="1"/>
  <c r="O18" i="224"/>
  <c r="O25" i="224" s="1"/>
  <c r="P18" i="224"/>
  <c r="P25" i="224" s="1"/>
  <c r="F18" i="113"/>
  <c r="F25" i="113" s="1"/>
  <c r="G18" i="113"/>
  <c r="G25" i="113" s="1"/>
  <c r="H18" i="113"/>
  <c r="H25" i="113" s="1"/>
  <c r="I18" i="113"/>
  <c r="I25" i="113" s="1"/>
  <c r="J18" i="113"/>
  <c r="J25" i="113" s="1"/>
  <c r="K18" i="113"/>
  <c r="K25" i="113" s="1"/>
  <c r="L18" i="113"/>
  <c r="L25" i="113" s="1"/>
  <c r="M18" i="113"/>
  <c r="M25" i="113" s="1"/>
  <c r="N18" i="113"/>
  <c r="N25" i="113" s="1"/>
  <c r="O18" i="113"/>
  <c r="O25" i="113" s="1"/>
  <c r="P18" i="113"/>
  <c r="P25" i="113" s="1"/>
  <c r="F18" i="120"/>
  <c r="F25" i="120" s="1"/>
  <c r="G18" i="120"/>
  <c r="G25" i="120" s="1"/>
  <c r="H18" i="120"/>
  <c r="H25" i="120" s="1"/>
  <c r="I18" i="120"/>
  <c r="I25" i="120" s="1"/>
  <c r="J18" i="120"/>
  <c r="J25" i="120" s="1"/>
  <c r="K18" i="120"/>
  <c r="K25" i="120" s="1"/>
  <c r="L18" i="120"/>
  <c r="L25" i="120" s="1"/>
  <c r="M18" i="120"/>
  <c r="M25" i="120" s="1"/>
  <c r="N18" i="120"/>
  <c r="N25" i="120" s="1"/>
  <c r="O18" i="120"/>
  <c r="O25" i="120" s="1"/>
  <c r="P18" i="120"/>
  <c r="P25" i="120" s="1"/>
  <c r="F18" i="135"/>
  <c r="F25" i="135" s="1"/>
  <c r="G18" i="135"/>
  <c r="G25" i="135" s="1"/>
  <c r="H18" i="135"/>
  <c r="H25" i="135" s="1"/>
  <c r="I18" i="135"/>
  <c r="I25" i="135" s="1"/>
  <c r="J18" i="135"/>
  <c r="J25" i="135" s="1"/>
  <c r="K18" i="135"/>
  <c r="K25" i="135" s="1"/>
  <c r="L18" i="135"/>
  <c r="L25" i="135" s="1"/>
  <c r="M18" i="135"/>
  <c r="M25" i="135" s="1"/>
  <c r="N18" i="135"/>
  <c r="N25" i="135" s="1"/>
  <c r="O18" i="135"/>
  <c r="O25" i="135" s="1"/>
  <c r="P18" i="135"/>
  <c r="P25" i="135" s="1"/>
  <c r="F18" i="114"/>
  <c r="F25" i="114" s="1"/>
  <c r="G18" i="114"/>
  <c r="G25" i="114" s="1"/>
  <c r="H18" i="114"/>
  <c r="H25" i="114" s="1"/>
  <c r="I18" i="114"/>
  <c r="I25" i="114" s="1"/>
  <c r="J18" i="114"/>
  <c r="J25" i="114" s="1"/>
  <c r="K18" i="114"/>
  <c r="K25" i="114" s="1"/>
  <c r="L18" i="114"/>
  <c r="L25" i="114" s="1"/>
  <c r="M18" i="114"/>
  <c r="M25" i="114" s="1"/>
  <c r="N18" i="114"/>
  <c r="N25" i="114" s="1"/>
  <c r="O18" i="114"/>
  <c r="O25" i="114" s="1"/>
  <c r="P18" i="114"/>
  <c r="P25" i="114" s="1"/>
  <c r="F18" i="121"/>
  <c r="F25" i="121" s="1"/>
  <c r="G18" i="121"/>
  <c r="G25" i="121" s="1"/>
  <c r="H18" i="121"/>
  <c r="H25" i="121" s="1"/>
  <c r="I18" i="121"/>
  <c r="I25" i="121" s="1"/>
  <c r="J18" i="121"/>
  <c r="J25" i="121" s="1"/>
  <c r="K18" i="121"/>
  <c r="K25" i="121" s="1"/>
  <c r="L18" i="121"/>
  <c r="L25" i="121" s="1"/>
  <c r="M18" i="121"/>
  <c r="M25" i="121" s="1"/>
  <c r="N18" i="121"/>
  <c r="N25" i="121" s="1"/>
  <c r="O18" i="121"/>
  <c r="O25" i="121" s="1"/>
  <c r="P18" i="121"/>
  <c r="P25" i="121" s="1"/>
  <c r="F18" i="136"/>
  <c r="F25" i="136" s="1"/>
  <c r="G18" i="136"/>
  <c r="G25" i="136" s="1"/>
  <c r="H18" i="136"/>
  <c r="H25" i="136" s="1"/>
  <c r="I18" i="136"/>
  <c r="I25" i="136" s="1"/>
  <c r="J18" i="136"/>
  <c r="J25" i="136" s="1"/>
  <c r="K18" i="136"/>
  <c r="L18" i="136"/>
  <c r="L25" i="136" s="1"/>
  <c r="M18" i="136"/>
  <c r="M25" i="136" s="1"/>
  <c r="N18" i="136"/>
  <c r="N25" i="136" s="1"/>
  <c r="O18" i="136"/>
  <c r="O25" i="136" s="1"/>
  <c r="P18" i="136"/>
  <c r="P25" i="136" s="1"/>
  <c r="F18" i="116"/>
  <c r="F25" i="116" s="1"/>
  <c r="G18" i="116"/>
  <c r="G25" i="116" s="1"/>
  <c r="H18" i="116"/>
  <c r="H25" i="116" s="1"/>
  <c r="I18" i="116"/>
  <c r="I25" i="116" s="1"/>
  <c r="J18" i="116"/>
  <c r="J25" i="116" s="1"/>
  <c r="K18" i="116"/>
  <c r="K25" i="116" s="1"/>
  <c r="L18" i="116"/>
  <c r="L25" i="116" s="1"/>
  <c r="M18" i="116"/>
  <c r="M25" i="116" s="1"/>
  <c r="N18" i="116"/>
  <c r="N25" i="116" s="1"/>
  <c r="O18" i="116"/>
  <c r="O25" i="116" s="1"/>
  <c r="P18" i="116"/>
  <c r="P25" i="116" s="1"/>
  <c r="F18" i="123"/>
  <c r="F25" i="123" s="1"/>
  <c r="G18" i="123"/>
  <c r="G25" i="123" s="1"/>
  <c r="H18" i="123"/>
  <c r="H25" i="123" s="1"/>
  <c r="I18" i="123"/>
  <c r="I25" i="123" s="1"/>
  <c r="J18" i="123"/>
  <c r="J25" i="123" s="1"/>
  <c r="K18" i="123"/>
  <c r="K25" i="123" s="1"/>
  <c r="L18" i="123"/>
  <c r="L25" i="123" s="1"/>
  <c r="M18" i="123"/>
  <c r="M25" i="123" s="1"/>
  <c r="N18" i="123"/>
  <c r="N25" i="123" s="1"/>
  <c r="O18" i="123"/>
  <c r="O25" i="123" s="1"/>
  <c r="P18" i="123"/>
  <c r="P25" i="123" s="1"/>
  <c r="F18" i="139"/>
  <c r="F25" i="139" s="1"/>
  <c r="G18" i="139"/>
  <c r="G25" i="139" s="1"/>
  <c r="H18" i="139"/>
  <c r="H25" i="139" s="1"/>
  <c r="I18" i="139"/>
  <c r="I25" i="139" s="1"/>
  <c r="J18" i="139"/>
  <c r="J25" i="139" s="1"/>
  <c r="K18" i="139"/>
  <c r="K25" i="139" s="1"/>
  <c r="L18" i="139"/>
  <c r="L25" i="139" s="1"/>
  <c r="M18" i="139"/>
  <c r="M25" i="139" s="1"/>
  <c r="N18" i="139"/>
  <c r="N25" i="139" s="1"/>
  <c r="O18" i="139"/>
  <c r="O25" i="139" s="1"/>
  <c r="P18" i="139"/>
  <c r="P25" i="139" s="1"/>
  <c r="F18" i="115"/>
  <c r="F25" i="115" s="1"/>
  <c r="G18" i="115"/>
  <c r="G25" i="115" s="1"/>
  <c r="H18" i="115"/>
  <c r="H25" i="115" s="1"/>
  <c r="I18" i="115"/>
  <c r="I25" i="115" s="1"/>
  <c r="J18" i="115"/>
  <c r="J25" i="115" s="1"/>
  <c r="K18" i="115"/>
  <c r="K25" i="115" s="1"/>
  <c r="L18" i="115"/>
  <c r="L25" i="115" s="1"/>
  <c r="M18" i="115"/>
  <c r="M25" i="115" s="1"/>
  <c r="N18" i="115"/>
  <c r="N25" i="115" s="1"/>
  <c r="O18" i="115"/>
  <c r="O25" i="115" s="1"/>
  <c r="P18" i="115"/>
  <c r="P25" i="115" s="1"/>
  <c r="F18" i="122"/>
  <c r="F25" i="122" s="1"/>
  <c r="G18" i="122"/>
  <c r="G25" i="122" s="1"/>
  <c r="H18" i="122"/>
  <c r="H25" i="122" s="1"/>
  <c r="I18" i="122"/>
  <c r="I25" i="122" s="1"/>
  <c r="J18" i="122"/>
  <c r="J25" i="122" s="1"/>
  <c r="K18" i="122"/>
  <c r="K25" i="122" s="1"/>
  <c r="L18" i="122"/>
  <c r="L25" i="122" s="1"/>
  <c r="M18" i="122"/>
  <c r="M25" i="122" s="1"/>
  <c r="N18" i="122"/>
  <c r="N25" i="122" s="1"/>
  <c r="O18" i="122"/>
  <c r="O25" i="122" s="1"/>
  <c r="P18" i="122"/>
  <c r="P25" i="122" s="1"/>
  <c r="F18" i="138"/>
  <c r="F25" i="138" s="1"/>
  <c r="G18" i="138"/>
  <c r="G25" i="138" s="1"/>
  <c r="H18" i="138"/>
  <c r="H25" i="138" s="1"/>
  <c r="I18" i="138"/>
  <c r="I25" i="138" s="1"/>
  <c r="J18" i="138"/>
  <c r="J25" i="138" s="1"/>
  <c r="K18" i="138"/>
  <c r="K25" i="138" s="1"/>
  <c r="L18" i="138"/>
  <c r="L25" i="138" s="1"/>
  <c r="M18" i="138"/>
  <c r="M25" i="138" s="1"/>
  <c r="N18" i="138"/>
  <c r="N25" i="138" s="1"/>
  <c r="O18" i="138"/>
  <c r="O25" i="138" s="1"/>
  <c r="P18" i="138"/>
  <c r="P25" i="138" s="1"/>
  <c r="F18" i="117"/>
  <c r="F25" i="117" s="1"/>
  <c r="G18" i="117"/>
  <c r="G25" i="117" s="1"/>
  <c r="H18" i="117"/>
  <c r="H25" i="117" s="1"/>
  <c r="I18" i="117"/>
  <c r="I25" i="117" s="1"/>
  <c r="J18" i="117"/>
  <c r="J25" i="117" s="1"/>
  <c r="K18" i="117"/>
  <c r="K25" i="117" s="1"/>
  <c r="L18" i="117"/>
  <c r="L25" i="117" s="1"/>
  <c r="M18" i="117"/>
  <c r="M25" i="117" s="1"/>
  <c r="N18" i="117"/>
  <c r="N25" i="117" s="1"/>
  <c r="O18" i="117"/>
  <c r="O25" i="117" s="1"/>
  <c r="P18" i="117"/>
  <c r="P25" i="117" s="1"/>
  <c r="F18" i="124"/>
  <c r="F25" i="124" s="1"/>
  <c r="G18" i="124"/>
  <c r="G25" i="124" s="1"/>
  <c r="H18" i="124"/>
  <c r="H25" i="124" s="1"/>
  <c r="I18" i="124"/>
  <c r="I25" i="124" s="1"/>
  <c r="J18" i="124"/>
  <c r="J25" i="124" s="1"/>
  <c r="K18" i="124"/>
  <c r="K25" i="124" s="1"/>
  <c r="L18" i="124"/>
  <c r="L25" i="124" s="1"/>
  <c r="M18" i="124"/>
  <c r="M25" i="124" s="1"/>
  <c r="N18" i="124"/>
  <c r="N25" i="124" s="1"/>
  <c r="O18" i="124"/>
  <c r="O25" i="124" s="1"/>
  <c r="P18" i="124"/>
  <c r="P25" i="124" s="1"/>
  <c r="F18" i="140"/>
  <c r="F25" i="140" s="1"/>
  <c r="G18" i="140"/>
  <c r="G25" i="140" s="1"/>
  <c r="H18" i="140"/>
  <c r="H25" i="140" s="1"/>
  <c r="I18" i="140"/>
  <c r="I25" i="140" s="1"/>
  <c r="J18" i="140"/>
  <c r="J25" i="140" s="1"/>
  <c r="K18" i="140"/>
  <c r="K25" i="140" s="1"/>
  <c r="L18" i="140"/>
  <c r="L25" i="140" s="1"/>
  <c r="M18" i="140"/>
  <c r="M25" i="140" s="1"/>
  <c r="N18" i="140"/>
  <c r="N25" i="140" s="1"/>
  <c r="O18" i="140"/>
  <c r="O25" i="140" s="1"/>
  <c r="P18" i="140"/>
  <c r="P25" i="140" s="1"/>
  <c r="F18" i="118"/>
  <c r="F25" i="118" s="1"/>
  <c r="G18" i="118"/>
  <c r="G25" i="118" s="1"/>
  <c r="H18" i="118"/>
  <c r="H25" i="118" s="1"/>
  <c r="I18" i="118"/>
  <c r="I25" i="118" s="1"/>
  <c r="J18" i="118"/>
  <c r="J25" i="118" s="1"/>
  <c r="K18" i="118"/>
  <c r="K25" i="118" s="1"/>
  <c r="L18" i="118"/>
  <c r="L25" i="118" s="1"/>
  <c r="M18" i="118"/>
  <c r="M25" i="118" s="1"/>
  <c r="N18" i="118"/>
  <c r="N25" i="118" s="1"/>
  <c r="O18" i="118"/>
  <c r="O25" i="118" s="1"/>
  <c r="P18" i="118"/>
  <c r="P25" i="118" s="1"/>
  <c r="F18" i="126"/>
  <c r="F25" i="126" s="1"/>
  <c r="G18" i="126"/>
  <c r="G25" i="126" s="1"/>
  <c r="H18" i="126"/>
  <c r="H25" i="126" s="1"/>
  <c r="I18" i="126"/>
  <c r="I25" i="126" s="1"/>
  <c r="J18" i="126"/>
  <c r="J25" i="126" s="1"/>
  <c r="K18" i="126"/>
  <c r="K25" i="126" s="1"/>
  <c r="L18" i="126"/>
  <c r="L25" i="126" s="1"/>
  <c r="M18" i="126"/>
  <c r="M25" i="126" s="1"/>
  <c r="N18" i="126"/>
  <c r="N25" i="126" s="1"/>
  <c r="O18" i="126"/>
  <c r="O25" i="126" s="1"/>
  <c r="P18" i="126"/>
  <c r="P25" i="126" s="1"/>
  <c r="F18" i="141"/>
  <c r="F25" i="141" s="1"/>
  <c r="G18" i="141"/>
  <c r="G25" i="141" s="1"/>
  <c r="H18" i="141"/>
  <c r="H25" i="141" s="1"/>
  <c r="I18" i="141"/>
  <c r="I25" i="141" s="1"/>
  <c r="J18" i="141"/>
  <c r="J25" i="141" s="1"/>
  <c r="K18" i="141"/>
  <c r="K25" i="141" s="1"/>
  <c r="L18" i="141"/>
  <c r="L25" i="141" s="1"/>
  <c r="M18" i="141"/>
  <c r="M25" i="141" s="1"/>
  <c r="N18" i="141"/>
  <c r="N25" i="141" s="1"/>
  <c r="O18" i="141"/>
  <c r="O25" i="141" s="1"/>
  <c r="P18" i="141"/>
  <c r="P25" i="141" s="1"/>
  <c r="F18" i="173"/>
  <c r="F25" i="173" s="1"/>
  <c r="G18" i="173"/>
  <c r="G25" i="173" s="1"/>
  <c r="H18" i="173"/>
  <c r="H25" i="173" s="1"/>
  <c r="I18" i="173"/>
  <c r="I25" i="173" s="1"/>
  <c r="J18" i="173"/>
  <c r="J25" i="173" s="1"/>
  <c r="K18" i="173"/>
  <c r="K25" i="173" s="1"/>
  <c r="L18" i="173"/>
  <c r="L25" i="173" s="1"/>
  <c r="M18" i="173"/>
  <c r="M25" i="173" s="1"/>
  <c r="N18" i="173"/>
  <c r="N25" i="173" s="1"/>
  <c r="O18" i="173"/>
  <c r="O25" i="173" s="1"/>
  <c r="P18" i="173"/>
  <c r="P25" i="173" s="1"/>
  <c r="F18" i="176"/>
  <c r="F25" i="176" s="1"/>
  <c r="G18" i="176"/>
  <c r="G25" i="176" s="1"/>
  <c r="H18" i="176"/>
  <c r="H25" i="176" s="1"/>
  <c r="I18" i="176"/>
  <c r="I25" i="176" s="1"/>
  <c r="J18" i="176"/>
  <c r="J25" i="176" s="1"/>
  <c r="K18" i="176"/>
  <c r="K25" i="176" s="1"/>
  <c r="L18" i="176"/>
  <c r="L25" i="176" s="1"/>
  <c r="M18" i="176"/>
  <c r="M25" i="176" s="1"/>
  <c r="N18" i="176"/>
  <c r="N25" i="176" s="1"/>
  <c r="O18" i="176"/>
  <c r="O25" i="176" s="1"/>
  <c r="P18" i="176"/>
  <c r="P25" i="176" s="1"/>
  <c r="F18" i="182"/>
  <c r="F25" i="182" s="1"/>
  <c r="G18" i="182"/>
  <c r="G25" i="182" s="1"/>
  <c r="H18" i="182"/>
  <c r="H25" i="182" s="1"/>
  <c r="I18" i="182"/>
  <c r="I25" i="182" s="1"/>
  <c r="J18" i="182"/>
  <c r="J25" i="182" s="1"/>
  <c r="K18" i="182"/>
  <c r="K25" i="182" s="1"/>
  <c r="L18" i="182"/>
  <c r="L25" i="182" s="1"/>
  <c r="M18" i="182"/>
  <c r="M25" i="182" s="1"/>
  <c r="N18" i="182"/>
  <c r="N25" i="182" s="1"/>
  <c r="O18" i="182"/>
  <c r="O25" i="182" s="1"/>
  <c r="P18" i="182"/>
  <c r="P25" i="182" s="1"/>
  <c r="F18" i="172"/>
  <c r="F25" i="172" s="1"/>
  <c r="G18" i="172"/>
  <c r="G25" i="172" s="1"/>
  <c r="H18" i="172"/>
  <c r="H25" i="172" s="1"/>
  <c r="I18" i="172"/>
  <c r="I25" i="172" s="1"/>
  <c r="J18" i="172"/>
  <c r="J25" i="172" s="1"/>
  <c r="K18" i="172"/>
  <c r="K25" i="172" s="1"/>
  <c r="L18" i="172"/>
  <c r="L25" i="172" s="1"/>
  <c r="M18" i="172"/>
  <c r="M25" i="172" s="1"/>
  <c r="N18" i="172"/>
  <c r="N25" i="172" s="1"/>
  <c r="O18" i="172"/>
  <c r="O25" i="172" s="1"/>
  <c r="P18" i="172"/>
  <c r="P25" i="172" s="1"/>
  <c r="F18" i="175"/>
  <c r="F25" i="175" s="1"/>
  <c r="G18" i="175"/>
  <c r="G25" i="175" s="1"/>
  <c r="H18" i="175"/>
  <c r="H25" i="175" s="1"/>
  <c r="I18" i="175"/>
  <c r="I25" i="175" s="1"/>
  <c r="J18" i="175"/>
  <c r="J25" i="175" s="1"/>
  <c r="K18" i="175"/>
  <c r="K25" i="175" s="1"/>
  <c r="L18" i="175"/>
  <c r="L25" i="175" s="1"/>
  <c r="M18" i="175"/>
  <c r="M25" i="175" s="1"/>
  <c r="N18" i="175"/>
  <c r="N25" i="175" s="1"/>
  <c r="O18" i="175"/>
  <c r="O25" i="175" s="1"/>
  <c r="P18" i="175"/>
  <c r="P25" i="175" s="1"/>
  <c r="F18" i="181"/>
  <c r="F25" i="181" s="1"/>
  <c r="G18" i="181"/>
  <c r="G25" i="181" s="1"/>
  <c r="H18" i="181"/>
  <c r="H25" i="181" s="1"/>
  <c r="I18" i="181"/>
  <c r="I25" i="181" s="1"/>
  <c r="J18" i="181"/>
  <c r="J25" i="181" s="1"/>
  <c r="K18" i="181"/>
  <c r="K25" i="181" s="1"/>
  <c r="L18" i="181"/>
  <c r="L25" i="181" s="1"/>
  <c r="M18" i="181"/>
  <c r="M25" i="181" s="1"/>
  <c r="N18" i="181"/>
  <c r="N25" i="181" s="1"/>
  <c r="O18" i="181"/>
  <c r="O25" i="181" s="1"/>
  <c r="P18" i="181"/>
  <c r="P25" i="181" s="1"/>
  <c r="F18" i="174"/>
  <c r="F25" i="174" s="1"/>
  <c r="G18" i="174"/>
  <c r="G25" i="174" s="1"/>
  <c r="H18" i="174"/>
  <c r="H25" i="174" s="1"/>
  <c r="I18" i="174"/>
  <c r="I25" i="174" s="1"/>
  <c r="J18" i="174"/>
  <c r="J25" i="174" s="1"/>
  <c r="K18" i="174"/>
  <c r="K25" i="174" s="1"/>
  <c r="L18" i="174"/>
  <c r="L25" i="174" s="1"/>
  <c r="M18" i="174"/>
  <c r="M25" i="174" s="1"/>
  <c r="N18" i="174"/>
  <c r="N25" i="174" s="1"/>
  <c r="O18" i="174"/>
  <c r="O25" i="174" s="1"/>
  <c r="P18" i="174"/>
  <c r="P25" i="174" s="1"/>
  <c r="F18" i="177"/>
  <c r="F25" i="177" s="1"/>
  <c r="G18" i="177"/>
  <c r="G25" i="177" s="1"/>
  <c r="H18" i="177"/>
  <c r="H25" i="177" s="1"/>
  <c r="I18" i="177"/>
  <c r="I25" i="177" s="1"/>
  <c r="J18" i="177"/>
  <c r="J25" i="177" s="1"/>
  <c r="K18" i="177"/>
  <c r="K25" i="177" s="1"/>
  <c r="L18" i="177"/>
  <c r="L25" i="177" s="1"/>
  <c r="M18" i="177"/>
  <c r="M25" i="177" s="1"/>
  <c r="N18" i="177"/>
  <c r="N25" i="177" s="1"/>
  <c r="O18" i="177"/>
  <c r="O25" i="177" s="1"/>
  <c r="P18" i="177"/>
  <c r="P25" i="177" s="1"/>
  <c r="F18" i="183"/>
  <c r="F25" i="183" s="1"/>
  <c r="G18" i="183"/>
  <c r="G25" i="183" s="1"/>
  <c r="H18" i="183"/>
  <c r="H25" i="183" s="1"/>
  <c r="I18" i="183"/>
  <c r="I25" i="183" s="1"/>
  <c r="J18" i="183"/>
  <c r="J25" i="183" s="1"/>
  <c r="K18" i="183"/>
  <c r="K25" i="183" s="1"/>
  <c r="L18" i="183"/>
  <c r="L25" i="183" s="1"/>
  <c r="M18" i="183"/>
  <c r="M25" i="183" s="1"/>
  <c r="N18" i="183"/>
  <c r="N25" i="183" s="1"/>
  <c r="O18" i="183"/>
  <c r="O25" i="183" s="1"/>
  <c r="P18" i="183"/>
  <c r="P25" i="183" s="1"/>
  <c r="F18" i="212"/>
  <c r="F25" i="212" s="1"/>
  <c r="G18" i="212"/>
  <c r="G25" i="212" s="1"/>
  <c r="H18" i="212"/>
  <c r="H25" i="212" s="1"/>
  <c r="I18" i="212"/>
  <c r="I25" i="212" s="1"/>
  <c r="J18" i="212"/>
  <c r="J25" i="212" s="1"/>
  <c r="K18" i="212"/>
  <c r="L18" i="212"/>
  <c r="L25" i="212" s="1"/>
  <c r="M18" i="212"/>
  <c r="M25" i="212" s="1"/>
  <c r="N18" i="212"/>
  <c r="N25" i="212" s="1"/>
  <c r="O18" i="212"/>
  <c r="O25" i="212" s="1"/>
  <c r="P18" i="212"/>
  <c r="P25" i="212" s="1"/>
  <c r="F18" i="213"/>
  <c r="F25" i="213" s="1"/>
  <c r="G18" i="213"/>
  <c r="G25" i="213" s="1"/>
  <c r="H18" i="213"/>
  <c r="H25" i="213" s="1"/>
  <c r="I18" i="213"/>
  <c r="I25" i="213" s="1"/>
  <c r="J18" i="213"/>
  <c r="J25" i="213" s="1"/>
  <c r="K18" i="213"/>
  <c r="L18" i="213"/>
  <c r="L25" i="213" s="1"/>
  <c r="M18" i="213"/>
  <c r="M25" i="213" s="1"/>
  <c r="N18" i="213"/>
  <c r="N25" i="213" s="1"/>
  <c r="O18" i="213"/>
  <c r="O25" i="213" s="1"/>
  <c r="P18" i="213"/>
  <c r="P25" i="213" s="1"/>
  <c r="F18" i="214"/>
  <c r="F25" i="214" s="1"/>
  <c r="G18" i="214"/>
  <c r="G25" i="214" s="1"/>
  <c r="H18" i="214"/>
  <c r="H25" i="214" s="1"/>
  <c r="I18" i="214"/>
  <c r="I25" i="214" s="1"/>
  <c r="J18" i="214"/>
  <c r="J25" i="214" s="1"/>
  <c r="K18" i="214"/>
  <c r="K25" i="214" s="1"/>
  <c r="L18" i="214"/>
  <c r="L25" i="214" s="1"/>
  <c r="M18" i="214"/>
  <c r="M25" i="214" s="1"/>
  <c r="N18" i="214"/>
  <c r="N25" i="214" s="1"/>
  <c r="O18" i="214"/>
  <c r="O25" i="214" s="1"/>
  <c r="P18" i="214"/>
  <c r="P25" i="214" s="1"/>
  <c r="F18" i="207"/>
  <c r="F25" i="207" s="1"/>
  <c r="G18" i="207"/>
  <c r="G25" i="207" s="1"/>
  <c r="H18" i="207"/>
  <c r="H25" i="207" s="1"/>
  <c r="I18" i="207"/>
  <c r="I25" i="207" s="1"/>
  <c r="J18" i="207"/>
  <c r="J25" i="207" s="1"/>
  <c r="K18" i="207"/>
  <c r="K25" i="207" s="1"/>
  <c r="L18" i="207"/>
  <c r="L25" i="207" s="1"/>
  <c r="M18" i="207"/>
  <c r="M25" i="207" s="1"/>
  <c r="N18" i="207"/>
  <c r="N25" i="207" s="1"/>
  <c r="O18" i="207"/>
  <c r="O25" i="207" s="1"/>
  <c r="P18" i="207"/>
  <c r="P25" i="207" s="1"/>
  <c r="E18" i="142"/>
  <c r="E25" i="142" s="1"/>
  <c r="E18" i="215"/>
  <c r="E25" i="215" s="1"/>
  <c r="E18" i="216"/>
  <c r="E25" i="216" s="1"/>
  <c r="E18" i="217"/>
  <c r="E25" i="217" s="1"/>
  <c r="E18" i="218"/>
  <c r="E25" i="218" s="1"/>
  <c r="E18" i="236"/>
  <c r="E25" i="236" s="1"/>
  <c r="E18" i="222"/>
  <c r="E25" i="222" s="1"/>
  <c r="E18" i="224"/>
  <c r="E25" i="224" s="1"/>
  <c r="E18" i="113"/>
  <c r="E25" i="113" s="1"/>
  <c r="E18" i="120"/>
  <c r="E25" i="120" s="1"/>
  <c r="E18" i="135"/>
  <c r="E25" i="135" s="1"/>
  <c r="E18" i="114"/>
  <c r="E25" i="114" s="1"/>
  <c r="E18" i="121"/>
  <c r="E25" i="121" s="1"/>
  <c r="E18" i="136"/>
  <c r="E25" i="136" s="1"/>
  <c r="E18" i="116"/>
  <c r="E25" i="116" s="1"/>
  <c r="E18" i="123"/>
  <c r="E25" i="123" s="1"/>
  <c r="E18" i="139"/>
  <c r="E25" i="139" s="1"/>
  <c r="E18" i="115"/>
  <c r="E25" i="115" s="1"/>
  <c r="E18" i="122"/>
  <c r="E25" i="122" s="1"/>
  <c r="E18" i="138"/>
  <c r="E25" i="138" s="1"/>
  <c r="E18" i="117"/>
  <c r="E25" i="117" s="1"/>
  <c r="E18" i="124"/>
  <c r="E25" i="124" s="1"/>
  <c r="E18" i="140"/>
  <c r="E25" i="140" s="1"/>
  <c r="E18" i="118"/>
  <c r="E25" i="118" s="1"/>
  <c r="E18" i="126"/>
  <c r="E25" i="126" s="1"/>
  <c r="E18" i="141"/>
  <c r="E25" i="141" s="1"/>
  <c r="E18" i="173"/>
  <c r="E25" i="173" s="1"/>
  <c r="E18" i="176"/>
  <c r="E25" i="176" s="1"/>
  <c r="E18" i="182"/>
  <c r="E25" i="182" s="1"/>
  <c r="E18" i="172"/>
  <c r="E25" i="172" s="1"/>
  <c r="E18" i="175"/>
  <c r="E25" i="175" s="1"/>
  <c r="E18" i="181"/>
  <c r="E25" i="181" s="1"/>
  <c r="E18" i="174"/>
  <c r="E25" i="174" s="1"/>
  <c r="E18" i="177"/>
  <c r="E25" i="177" s="1"/>
  <c r="E18" i="183"/>
  <c r="E25" i="183" s="1"/>
  <c r="E18" i="212"/>
  <c r="E25" i="212" s="1"/>
  <c r="E18" i="213"/>
  <c r="E25" i="213" s="1"/>
  <c r="E18" i="214"/>
  <c r="E25" i="214" s="1"/>
  <c r="E18" i="207"/>
  <c r="E25" i="207" s="1"/>
  <c r="D22" i="233"/>
  <c r="K25" i="213" l="1"/>
  <c r="I1" i="213"/>
  <c r="H25" i="216"/>
  <c r="I1" i="216"/>
  <c r="K25" i="136"/>
  <c r="I1" i="136"/>
  <c r="K25" i="212"/>
  <c r="I1" i="212"/>
  <c r="E13" i="235"/>
  <c r="F13" i="235"/>
  <c r="G13" i="235"/>
  <c r="H13" i="235"/>
  <c r="I13" i="235"/>
  <c r="J13" i="235"/>
  <c r="K13" i="235"/>
  <c r="L13" i="235"/>
  <c r="M13" i="235"/>
  <c r="N13" i="235"/>
  <c r="O13" i="235"/>
  <c r="E22" i="233"/>
  <c r="F22" i="233"/>
  <c r="G22" i="233"/>
  <c r="H22" i="233"/>
  <c r="I22" i="233"/>
  <c r="J22" i="233"/>
  <c r="K22" i="233"/>
  <c r="L22" i="233"/>
  <c r="M22" i="233"/>
  <c r="N22" i="233"/>
  <c r="O22" i="233"/>
  <c r="D13" i="235"/>
  <c r="G23" i="102" l="1"/>
  <c r="H23" i="102" l="1"/>
  <c r="G14" i="102"/>
  <c r="H14" i="102"/>
  <c r="G12" i="102"/>
  <c r="H12" i="102"/>
  <c r="G13" i="102"/>
  <c r="H13" i="102"/>
  <c r="G10" i="102"/>
  <c r="H24" i="102"/>
  <c r="H10" i="102"/>
  <c r="G11" i="102"/>
  <c r="H11" i="102"/>
  <c r="G24" i="102"/>
  <c r="N23" i="102"/>
  <c r="N12" i="102"/>
  <c r="N10" i="102"/>
  <c r="N13" i="102" l="1"/>
  <c r="N24" i="102"/>
  <c r="N11" i="102"/>
  <c r="N14" i="102"/>
  <c r="M11" i="102"/>
  <c r="M10" i="102"/>
  <c r="M12" i="102"/>
  <c r="M13" i="102"/>
  <c r="M14" i="102"/>
  <c r="M24" i="102"/>
  <c r="M23" i="102"/>
  <c r="G98" i="102" l="1"/>
  <c r="H83" i="102"/>
  <c r="G80" i="102"/>
  <c r="E30" i="236"/>
  <c r="P21" i="236"/>
  <c r="K22" i="236"/>
  <c r="E26" i="236"/>
  <c r="N21" i="236"/>
  <c r="C2" i="236"/>
  <c r="R31" i="102" l="1"/>
  <c r="K21" i="236"/>
  <c r="L21" i="236"/>
  <c r="O21" i="236"/>
  <c r="N22" i="236"/>
  <c r="J21" i="236"/>
  <c r="G58" i="102"/>
  <c r="G97" i="102"/>
  <c r="G40" i="102"/>
  <c r="G52" i="102"/>
  <c r="H63" i="102"/>
  <c r="G26" i="102"/>
  <c r="G45" i="102"/>
  <c r="H21" i="236"/>
  <c r="G39" i="102"/>
  <c r="G46" i="102"/>
  <c r="H46" i="102"/>
  <c r="G64" i="102"/>
  <c r="G74" i="102"/>
  <c r="H74" i="102"/>
  <c r="G92" i="102"/>
  <c r="H92" i="102"/>
  <c r="G51" i="102"/>
  <c r="G79" i="102"/>
  <c r="G73" i="102"/>
  <c r="G85" i="102"/>
  <c r="H22" i="236"/>
  <c r="H64" i="102"/>
  <c r="H91" i="102"/>
  <c r="H85" i="102"/>
  <c r="H51" i="102"/>
  <c r="H45" i="102"/>
  <c r="H39" i="102"/>
  <c r="H18" i="102"/>
  <c r="H40" i="102"/>
  <c r="G57" i="102"/>
  <c r="H57" i="102"/>
  <c r="G86" i="102"/>
  <c r="H97" i="102"/>
  <c r="H58" i="102"/>
  <c r="F21" i="236"/>
  <c r="H73" i="102"/>
  <c r="H79" i="102"/>
  <c r="G91" i="102"/>
  <c r="H26" i="102"/>
  <c r="G63" i="102"/>
  <c r="I1" i="236"/>
  <c r="F22" i="236"/>
  <c r="O22" i="236"/>
  <c r="J22" i="236"/>
  <c r="E22" i="140"/>
  <c r="G22" i="236"/>
  <c r="P22" i="236"/>
  <c r="G21" i="236"/>
  <c r="L22" i="236"/>
  <c r="O27" i="236"/>
  <c r="M30" i="236"/>
  <c r="P30" i="236"/>
  <c r="I22" i="236"/>
  <c r="M22" i="236"/>
  <c r="P26" i="236"/>
  <c r="M26" i="236"/>
  <c r="I26" i="236"/>
  <c r="H27" i="236"/>
  <c r="P27" i="236"/>
  <c r="I30" i="236"/>
  <c r="E21" i="236"/>
  <c r="I21" i="236"/>
  <c r="M21" i="236"/>
  <c r="F26" i="236"/>
  <c r="J26" i="236"/>
  <c r="N26" i="236"/>
  <c r="E27" i="236"/>
  <c r="I27" i="236"/>
  <c r="M27" i="236"/>
  <c r="F30" i="236"/>
  <c r="J30" i="236"/>
  <c r="N30" i="236"/>
  <c r="L27" i="236"/>
  <c r="E22" i="236"/>
  <c r="G26" i="236"/>
  <c r="K26" i="236"/>
  <c r="O26" i="236"/>
  <c r="F27" i="236"/>
  <c r="J27" i="236"/>
  <c r="N27" i="236"/>
  <c r="G30" i="236"/>
  <c r="K30" i="236"/>
  <c r="O30" i="236"/>
  <c r="H26" i="236"/>
  <c r="L26" i="236"/>
  <c r="G27" i="236"/>
  <c r="K27" i="236"/>
  <c r="H30" i="236"/>
  <c r="L30" i="236"/>
  <c r="I1" i="197"/>
  <c r="C5" i="235"/>
  <c r="C6" i="235"/>
  <c r="C7" i="235"/>
  <c r="C8" i="235"/>
  <c r="C9" i="235"/>
  <c r="C10" i="235"/>
  <c r="C11" i="235"/>
  <c r="C12" i="235"/>
  <c r="C13" i="235"/>
  <c r="C14" i="235"/>
  <c r="C15" i="235"/>
  <c r="C16" i="235"/>
  <c r="C17" i="235"/>
  <c r="C18" i="235"/>
  <c r="C19" i="235"/>
  <c r="C20" i="235"/>
  <c r="C21" i="235"/>
  <c r="C22" i="235"/>
  <c r="C23" i="235"/>
  <c r="C24" i="235"/>
  <c r="C25" i="235"/>
  <c r="C26" i="235"/>
  <c r="C27" i="235"/>
  <c r="C28" i="235"/>
  <c r="C29" i="235"/>
  <c r="C30" i="235"/>
  <c r="C31" i="235"/>
  <c r="C32" i="235"/>
  <c r="C33" i="235"/>
  <c r="C34" i="235"/>
  <c r="C35" i="235"/>
  <c r="C36" i="235"/>
  <c r="C37" i="235"/>
  <c r="C38" i="235"/>
  <c r="C39" i="235"/>
  <c r="C40" i="235"/>
  <c r="C41" i="235"/>
  <c r="C42" i="235"/>
  <c r="C43" i="235"/>
  <c r="C44" i="235"/>
  <c r="C45" i="235"/>
  <c r="C46" i="235"/>
  <c r="C47" i="235"/>
  <c r="C48" i="235"/>
  <c r="C49" i="235"/>
  <c r="C50" i="235"/>
  <c r="C51" i="235"/>
  <c r="C52" i="235"/>
  <c r="C53" i="235"/>
  <c r="C54" i="235"/>
  <c r="C55" i="235"/>
  <c r="C56" i="235"/>
  <c r="C57" i="235"/>
  <c r="C58" i="235"/>
  <c r="C59" i="235"/>
  <c r="C60" i="235"/>
  <c r="C61" i="235"/>
  <c r="C62" i="235"/>
  <c r="C63" i="235"/>
  <c r="C64" i="235"/>
  <c r="C65" i="235"/>
  <c r="C66" i="235"/>
  <c r="C67" i="235"/>
  <c r="C68" i="235"/>
  <c r="C69" i="235"/>
  <c r="C70" i="235"/>
  <c r="C71" i="235"/>
  <c r="C72" i="235"/>
  <c r="C73" i="235"/>
  <c r="C74" i="235"/>
  <c r="C75" i="235"/>
  <c r="C76" i="235"/>
  <c r="C77" i="235"/>
  <c r="C78" i="235"/>
  <c r="C79" i="235"/>
  <c r="C80" i="235"/>
  <c r="C81" i="235"/>
  <c r="C82" i="235"/>
  <c r="C83" i="235"/>
  <c r="C84" i="235"/>
  <c r="C85" i="235"/>
  <c r="C86" i="235"/>
  <c r="C87" i="235"/>
  <c r="C88" i="235"/>
  <c r="C89" i="235"/>
  <c r="C90" i="235"/>
  <c r="C91" i="235"/>
  <c r="C92" i="235"/>
  <c r="C93" i="235"/>
  <c r="C97" i="235"/>
  <c r="C98" i="235"/>
  <c r="C99" i="235"/>
  <c r="C100" i="235"/>
  <c r="C101" i="235"/>
  <c r="C102" i="235"/>
  <c r="C103" i="235"/>
  <c r="C104" i="235"/>
  <c r="C105" i="235"/>
  <c r="C106" i="235"/>
  <c r="C107" i="235"/>
  <c r="C108" i="235"/>
  <c r="C109" i="235"/>
  <c r="C110" i="235"/>
  <c r="C111" i="235"/>
  <c r="C112" i="235"/>
  <c r="C113" i="235"/>
  <c r="C114" i="235"/>
  <c r="C115" i="235"/>
  <c r="C116" i="235"/>
  <c r="C117" i="235"/>
  <c r="C118" i="235"/>
  <c r="C119" i="235"/>
  <c r="C120" i="235"/>
  <c r="C121" i="235"/>
  <c r="C122" i="235"/>
  <c r="C123" i="235"/>
  <c r="C124" i="235"/>
  <c r="C125" i="235"/>
  <c r="C126" i="235"/>
  <c r="C127" i="235"/>
  <c r="C128" i="235"/>
  <c r="C129" i="235"/>
  <c r="C130" i="235"/>
  <c r="C131" i="235"/>
  <c r="C132" i="235"/>
  <c r="C133" i="235"/>
  <c r="C134" i="235"/>
  <c r="C135" i="235"/>
  <c r="C136" i="235"/>
  <c r="C137" i="235"/>
  <c r="C138" i="235"/>
  <c r="C139" i="235"/>
  <c r="C140" i="235"/>
  <c r="C141" i="235"/>
  <c r="C142" i="235"/>
  <c r="C143" i="235"/>
  <c r="C144" i="235"/>
  <c r="C145" i="235"/>
  <c r="C146" i="235"/>
  <c r="C147" i="235"/>
  <c r="C148" i="235"/>
  <c r="C149" i="235"/>
  <c r="C150" i="235"/>
  <c r="C151" i="235"/>
  <c r="C152" i="235"/>
  <c r="C153" i="235"/>
  <c r="C154" i="235"/>
  <c r="C155" i="235"/>
  <c r="C156" i="235"/>
  <c r="C157" i="235"/>
  <c r="C158" i="235"/>
  <c r="C14" i="233"/>
  <c r="C15" i="233"/>
  <c r="C16" i="233"/>
  <c r="C17" i="233"/>
  <c r="C18" i="233"/>
  <c r="C19" i="233"/>
  <c r="C20" i="233"/>
  <c r="C21" i="233"/>
  <c r="C22" i="233"/>
  <c r="C23" i="233"/>
  <c r="C24" i="233"/>
  <c r="C25" i="233"/>
  <c r="C26" i="233"/>
  <c r="C27" i="233"/>
  <c r="C28" i="233"/>
  <c r="C29" i="233"/>
  <c r="C30" i="233"/>
  <c r="C31" i="233"/>
  <c r="C32" i="233"/>
  <c r="C33" i="233"/>
  <c r="C34" i="233"/>
  <c r="C35" i="233"/>
  <c r="C36" i="233"/>
  <c r="C37" i="233"/>
  <c r="C38" i="233"/>
  <c r="C45" i="233"/>
  <c r="C46" i="233"/>
  <c r="C47" i="233"/>
  <c r="C48" i="233"/>
  <c r="C49" i="233"/>
  <c r="C50" i="233"/>
  <c r="C51" i="233"/>
  <c r="C52" i="233"/>
  <c r="C53" i="233"/>
  <c r="C54" i="233"/>
  <c r="C55" i="233"/>
  <c r="C56" i="233"/>
  <c r="C57" i="233"/>
  <c r="C58" i="233"/>
  <c r="C59" i="233"/>
  <c r="C60" i="233"/>
  <c r="C61" i="233"/>
  <c r="C62" i="233"/>
  <c r="C63" i="233"/>
  <c r="C64" i="233"/>
  <c r="C65" i="233"/>
  <c r="C66" i="233"/>
  <c r="C67" i="233"/>
  <c r="C68" i="233"/>
  <c r="C69" i="233"/>
  <c r="C70" i="233"/>
  <c r="C71" i="233"/>
  <c r="C78" i="233"/>
  <c r="C79" i="233"/>
  <c r="C80" i="233"/>
  <c r="C81" i="233"/>
  <c r="C82" i="233"/>
  <c r="C83" i="233"/>
  <c r="C84" i="233"/>
  <c r="C85" i="233"/>
  <c r="C86" i="233"/>
  <c r="C87" i="233"/>
  <c r="C88" i="233"/>
  <c r="C89" i="233"/>
  <c r="C90" i="233"/>
  <c r="C91" i="233"/>
  <c r="C92" i="233"/>
  <c r="C93" i="233"/>
  <c r="C94" i="233"/>
  <c r="C95" i="233"/>
  <c r="C96" i="233"/>
  <c r="C97" i="233"/>
  <c r="C98" i="233"/>
  <c r="C99" i="233"/>
  <c r="C100" i="233"/>
  <c r="C101" i="233"/>
  <c r="C102" i="233"/>
  <c r="C103" i="233"/>
  <c r="C104" i="233"/>
  <c r="C105" i="233"/>
  <c r="C106" i="233"/>
  <c r="C107" i="233"/>
  <c r="C128" i="233"/>
  <c r="C129" i="233"/>
  <c r="C130" i="233"/>
  <c r="C131" i="233"/>
  <c r="C132" i="233"/>
  <c r="C133" i="233"/>
  <c r="C134" i="233"/>
  <c r="C135" i="233"/>
  <c r="C136" i="233"/>
  <c r="C137" i="233"/>
  <c r="C138" i="233"/>
  <c r="C139" i="233"/>
  <c r="C140" i="233"/>
  <c r="C141" i="233"/>
  <c r="C142" i="233"/>
  <c r="C143" i="233"/>
  <c r="C144" i="233"/>
  <c r="C145" i="233"/>
  <c r="C146" i="233"/>
  <c r="C147" i="233"/>
  <c r="C148" i="233"/>
  <c r="C149" i="233"/>
  <c r="C150" i="233"/>
  <c r="C151" i="233"/>
  <c r="C152" i="233"/>
  <c r="C153" i="233"/>
  <c r="C154" i="233"/>
  <c r="C155" i="233"/>
  <c r="C156" i="233"/>
  <c r="C157" i="233"/>
  <c r="C158" i="233"/>
  <c r="C159" i="233"/>
  <c r="C160" i="233"/>
  <c r="C161" i="233"/>
  <c r="C162" i="233"/>
  <c r="C163" i="233"/>
  <c r="C164" i="233"/>
  <c r="C165" i="233"/>
  <c r="C166" i="233"/>
  <c r="C167" i="233"/>
  <c r="C168" i="233"/>
  <c r="C169" i="233"/>
  <c r="C170" i="233"/>
  <c r="C171" i="233"/>
  <c r="C172" i="233"/>
  <c r="C173" i="233"/>
  <c r="C174" i="233"/>
  <c r="C175" i="233"/>
  <c r="C176" i="233"/>
  <c r="C4" i="235"/>
  <c r="C4" i="233"/>
  <c r="C2" i="235"/>
  <c r="C3" i="235"/>
  <c r="C2" i="233"/>
  <c r="C3" i="233"/>
  <c r="B3" i="235"/>
  <c r="B4" i="235"/>
  <c r="B5" i="235"/>
  <c r="B6" i="235"/>
  <c r="B7" i="235"/>
  <c r="B8" i="235"/>
  <c r="B9" i="235"/>
  <c r="B10" i="235"/>
  <c r="B11" i="235"/>
  <c r="B12" i="235"/>
  <c r="B13" i="235"/>
  <c r="B14" i="235"/>
  <c r="B15" i="235"/>
  <c r="B16" i="235"/>
  <c r="B17" i="235"/>
  <c r="B18" i="235"/>
  <c r="B19" i="235"/>
  <c r="B20" i="235"/>
  <c r="B21" i="235"/>
  <c r="B22" i="235"/>
  <c r="B23" i="235"/>
  <c r="B24" i="235"/>
  <c r="B25" i="235"/>
  <c r="B26" i="235"/>
  <c r="B27" i="235"/>
  <c r="B28" i="235"/>
  <c r="B29" i="235"/>
  <c r="B30" i="235"/>
  <c r="B31" i="235"/>
  <c r="B32" i="235"/>
  <c r="B33" i="235"/>
  <c r="B34" i="235"/>
  <c r="B35" i="235"/>
  <c r="B36" i="235"/>
  <c r="B37" i="235"/>
  <c r="B38" i="235"/>
  <c r="B39" i="235"/>
  <c r="B40" i="235"/>
  <c r="B41" i="235"/>
  <c r="B42" i="235"/>
  <c r="B43" i="235"/>
  <c r="B44" i="235"/>
  <c r="B45" i="235"/>
  <c r="B46" i="235"/>
  <c r="B47" i="235"/>
  <c r="B48" i="235"/>
  <c r="B49" i="235"/>
  <c r="B50" i="235"/>
  <c r="B51" i="235"/>
  <c r="B52" i="235"/>
  <c r="B53" i="235"/>
  <c r="B54" i="235"/>
  <c r="B55" i="235"/>
  <c r="B56" i="235"/>
  <c r="B57" i="235"/>
  <c r="B58" i="235"/>
  <c r="B59" i="235"/>
  <c r="B60" i="235"/>
  <c r="B61" i="235"/>
  <c r="B62" i="235"/>
  <c r="B63" i="235"/>
  <c r="B64" i="235"/>
  <c r="B65" i="235"/>
  <c r="B66" i="235"/>
  <c r="B67" i="235"/>
  <c r="B68" i="235"/>
  <c r="B69" i="235"/>
  <c r="B70" i="235"/>
  <c r="B71" i="235"/>
  <c r="B72" i="235"/>
  <c r="B73" i="235"/>
  <c r="B74" i="235"/>
  <c r="B75" i="235"/>
  <c r="B76" i="235"/>
  <c r="B77" i="235"/>
  <c r="B78" i="235"/>
  <c r="B79" i="235"/>
  <c r="B80" i="235"/>
  <c r="B81" i="235"/>
  <c r="B82" i="235"/>
  <c r="B83" i="235"/>
  <c r="B84" i="235"/>
  <c r="B85" i="235"/>
  <c r="B86" i="235"/>
  <c r="B87" i="235"/>
  <c r="B88" i="235"/>
  <c r="B89" i="235"/>
  <c r="B90" i="235"/>
  <c r="B91" i="235"/>
  <c r="B92" i="235"/>
  <c r="B93" i="235"/>
  <c r="B99" i="235"/>
  <c r="B100" i="235"/>
  <c r="B101" i="235"/>
  <c r="B102" i="235"/>
  <c r="B103" i="235"/>
  <c r="B104" i="235"/>
  <c r="B105" i="235"/>
  <c r="B106" i="235"/>
  <c r="B107" i="235"/>
  <c r="B108" i="235"/>
  <c r="B109" i="235"/>
  <c r="B110" i="235"/>
  <c r="B111" i="235"/>
  <c r="B112" i="235"/>
  <c r="B113" i="235"/>
  <c r="B114" i="235"/>
  <c r="B115" i="235"/>
  <c r="B116" i="235"/>
  <c r="B117" i="235"/>
  <c r="B118" i="235"/>
  <c r="B119" i="235"/>
  <c r="B120" i="235"/>
  <c r="B121" i="235"/>
  <c r="B122" i="235"/>
  <c r="B123" i="235"/>
  <c r="B124" i="235"/>
  <c r="B125" i="235"/>
  <c r="B126" i="235"/>
  <c r="B127" i="235"/>
  <c r="B128" i="235"/>
  <c r="B129" i="235"/>
  <c r="B130" i="235"/>
  <c r="B131" i="235"/>
  <c r="B132" i="235"/>
  <c r="B133" i="235"/>
  <c r="B134" i="235"/>
  <c r="B135" i="235"/>
  <c r="B136" i="235"/>
  <c r="B137" i="235"/>
  <c r="B138" i="235"/>
  <c r="B139" i="235"/>
  <c r="B140" i="235"/>
  <c r="B141" i="235"/>
  <c r="B142" i="235"/>
  <c r="B143" i="235"/>
  <c r="B144" i="235"/>
  <c r="B145" i="235"/>
  <c r="B146" i="235"/>
  <c r="B147" i="235"/>
  <c r="B148" i="235"/>
  <c r="B149" i="235"/>
  <c r="B150" i="235"/>
  <c r="B151" i="235"/>
  <c r="B152" i="235"/>
  <c r="B153" i="235"/>
  <c r="B154" i="235"/>
  <c r="B155" i="235"/>
  <c r="B156" i="235"/>
  <c r="B157" i="235"/>
  <c r="B158" i="235"/>
  <c r="B3" i="233"/>
  <c r="B4" i="233"/>
  <c r="B14" i="233"/>
  <c r="B15" i="233"/>
  <c r="B16" i="233"/>
  <c r="B17" i="233"/>
  <c r="B18" i="233"/>
  <c r="B19" i="233"/>
  <c r="B20" i="233"/>
  <c r="B21" i="233"/>
  <c r="B22" i="233"/>
  <c r="B23" i="233"/>
  <c r="B24" i="233"/>
  <c r="B25" i="233"/>
  <c r="B26" i="233"/>
  <c r="B27" i="233"/>
  <c r="B28" i="233"/>
  <c r="B29" i="233"/>
  <c r="B30" i="233"/>
  <c r="B31" i="233"/>
  <c r="B32" i="233"/>
  <c r="B33" i="233"/>
  <c r="B34" i="233"/>
  <c r="B35" i="233"/>
  <c r="B36" i="233"/>
  <c r="B37" i="233"/>
  <c r="B38" i="233"/>
  <c r="B44" i="233"/>
  <c r="B45" i="233"/>
  <c r="B46" i="233"/>
  <c r="B47" i="233"/>
  <c r="B48" i="233"/>
  <c r="B49" i="233"/>
  <c r="B50" i="233"/>
  <c r="B51" i="233"/>
  <c r="B52" i="233"/>
  <c r="B53" i="233"/>
  <c r="B54" i="233"/>
  <c r="B55" i="233"/>
  <c r="B56" i="233"/>
  <c r="B57" i="233"/>
  <c r="B58" i="233"/>
  <c r="B59" i="233"/>
  <c r="B60" i="233"/>
  <c r="B61" i="233"/>
  <c r="B62" i="233"/>
  <c r="B63" i="233"/>
  <c r="B64" i="233"/>
  <c r="B65" i="233"/>
  <c r="B66" i="233"/>
  <c r="B67" i="233"/>
  <c r="B68" i="233"/>
  <c r="B69" i="233"/>
  <c r="B70" i="233"/>
  <c r="B71" i="233"/>
  <c r="B72" i="233"/>
  <c r="B73" i="233"/>
  <c r="B78" i="233"/>
  <c r="B79" i="233"/>
  <c r="B80" i="233"/>
  <c r="B81" i="233"/>
  <c r="B82" i="233"/>
  <c r="B83" i="233"/>
  <c r="B84" i="233"/>
  <c r="B85" i="233"/>
  <c r="B86" i="233"/>
  <c r="B87" i="233"/>
  <c r="B88" i="233"/>
  <c r="B89" i="233"/>
  <c r="B90" i="233"/>
  <c r="B91" i="233"/>
  <c r="B92" i="233"/>
  <c r="B93" i="233"/>
  <c r="B94" i="233"/>
  <c r="B95" i="233"/>
  <c r="B96" i="233"/>
  <c r="B97" i="233"/>
  <c r="B98" i="233"/>
  <c r="B99" i="233"/>
  <c r="B100" i="233"/>
  <c r="B101" i="233"/>
  <c r="B102" i="233"/>
  <c r="B103" i="233"/>
  <c r="B104" i="233"/>
  <c r="B105" i="233"/>
  <c r="B106" i="233"/>
  <c r="B107" i="233"/>
  <c r="B128" i="233"/>
  <c r="B129" i="233"/>
  <c r="B130" i="233"/>
  <c r="B131" i="233"/>
  <c r="B132" i="233"/>
  <c r="B133" i="233"/>
  <c r="B134" i="233"/>
  <c r="B135" i="233"/>
  <c r="B136" i="233"/>
  <c r="B137" i="233"/>
  <c r="B138" i="233"/>
  <c r="B139" i="233"/>
  <c r="B140" i="233"/>
  <c r="B141" i="233"/>
  <c r="B142" i="233"/>
  <c r="B143" i="233"/>
  <c r="B144" i="233"/>
  <c r="B145" i="233"/>
  <c r="B146" i="233"/>
  <c r="B147" i="233"/>
  <c r="B148" i="233"/>
  <c r="B149" i="233"/>
  <c r="B150" i="233"/>
  <c r="B151" i="233"/>
  <c r="B152" i="233"/>
  <c r="B153" i="233"/>
  <c r="B154" i="233"/>
  <c r="B155" i="233"/>
  <c r="B156" i="233"/>
  <c r="B157" i="233"/>
  <c r="B158" i="233"/>
  <c r="B159" i="233"/>
  <c r="B160" i="233"/>
  <c r="B161" i="233"/>
  <c r="B162" i="233"/>
  <c r="B163" i="233"/>
  <c r="B164" i="233"/>
  <c r="B165" i="233"/>
  <c r="B166" i="233"/>
  <c r="B167" i="233"/>
  <c r="B168" i="233"/>
  <c r="B169" i="233"/>
  <c r="B170" i="233"/>
  <c r="B171" i="233"/>
  <c r="B172" i="233"/>
  <c r="B173" i="233"/>
  <c r="B174" i="233"/>
  <c r="B175" i="233"/>
  <c r="B176" i="233"/>
  <c r="B1" i="235"/>
  <c r="B1" i="233"/>
  <c r="A2" i="235"/>
  <c r="A3" i="235"/>
  <c r="A4" i="235"/>
  <c r="A5" i="235"/>
  <c r="A6" i="235"/>
  <c r="A7" i="235"/>
  <c r="A8" i="235"/>
  <c r="A9" i="235"/>
  <c r="A10" i="235"/>
  <c r="A11" i="235"/>
  <c r="A12" i="235"/>
  <c r="A13" i="235"/>
  <c r="A14" i="235"/>
  <c r="A15" i="235"/>
  <c r="A16" i="235"/>
  <c r="A17" i="235"/>
  <c r="A18" i="235"/>
  <c r="A19" i="235"/>
  <c r="A20" i="235"/>
  <c r="A21" i="235"/>
  <c r="A22" i="235"/>
  <c r="A23" i="235"/>
  <c r="A24" i="235"/>
  <c r="A25" i="235"/>
  <c r="A26" i="235"/>
  <c r="A27" i="235"/>
  <c r="A28" i="235"/>
  <c r="A29" i="235"/>
  <c r="A30" i="235"/>
  <c r="A31" i="235"/>
  <c r="A32" i="235"/>
  <c r="A33" i="235"/>
  <c r="A34" i="235"/>
  <c r="A35" i="235"/>
  <c r="A36" i="235"/>
  <c r="A37" i="235"/>
  <c r="A38" i="235"/>
  <c r="A39" i="235"/>
  <c r="A40" i="235"/>
  <c r="A41" i="235"/>
  <c r="A42" i="235"/>
  <c r="A43" i="235"/>
  <c r="A44" i="235"/>
  <c r="A45" i="235"/>
  <c r="A46" i="235"/>
  <c r="A47" i="235"/>
  <c r="A48" i="235"/>
  <c r="A49" i="235"/>
  <c r="A50" i="235"/>
  <c r="A51" i="235"/>
  <c r="A52" i="235"/>
  <c r="A53" i="235"/>
  <c r="A54" i="235"/>
  <c r="A55" i="235"/>
  <c r="A56" i="235"/>
  <c r="A57" i="235"/>
  <c r="A58" i="235"/>
  <c r="A59" i="235"/>
  <c r="A60" i="235"/>
  <c r="A61" i="235"/>
  <c r="A62" i="235"/>
  <c r="A63" i="235"/>
  <c r="A64" i="235"/>
  <c r="A65" i="235"/>
  <c r="A66" i="235"/>
  <c r="A67" i="235"/>
  <c r="A68" i="235"/>
  <c r="A69" i="235"/>
  <c r="A70" i="235"/>
  <c r="A71" i="235"/>
  <c r="A72" i="235"/>
  <c r="A73" i="235"/>
  <c r="A74" i="235"/>
  <c r="A75" i="235"/>
  <c r="A76" i="235"/>
  <c r="A77" i="235"/>
  <c r="A78" i="235"/>
  <c r="A79" i="235"/>
  <c r="A80" i="235"/>
  <c r="A81" i="235"/>
  <c r="A82" i="235"/>
  <c r="A83" i="235"/>
  <c r="A84" i="235"/>
  <c r="A85" i="235"/>
  <c r="A86" i="235"/>
  <c r="A87" i="235"/>
  <c r="A88" i="235"/>
  <c r="A89" i="235"/>
  <c r="A90" i="235"/>
  <c r="A91" i="235"/>
  <c r="A92" i="235"/>
  <c r="A93" i="235"/>
  <c r="A95" i="235"/>
  <c r="A99" i="235"/>
  <c r="A100" i="235"/>
  <c r="A101" i="235"/>
  <c r="A102" i="235"/>
  <c r="A103" i="235"/>
  <c r="A104" i="235"/>
  <c r="A105" i="235"/>
  <c r="A106" i="235"/>
  <c r="A107" i="235"/>
  <c r="A108" i="235"/>
  <c r="A109" i="235"/>
  <c r="A110" i="235"/>
  <c r="A111" i="235"/>
  <c r="A112" i="235"/>
  <c r="A113" i="235"/>
  <c r="A114" i="235"/>
  <c r="A115" i="235"/>
  <c r="A116" i="235"/>
  <c r="A117" i="235"/>
  <c r="A118" i="235"/>
  <c r="A119" i="235"/>
  <c r="A120" i="235"/>
  <c r="A121" i="235"/>
  <c r="A122" i="235"/>
  <c r="A123" i="235"/>
  <c r="A124" i="235"/>
  <c r="A125" i="235"/>
  <c r="A126" i="235"/>
  <c r="A127" i="235"/>
  <c r="A128" i="235"/>
  <c r="A129" i="235"/>
  <c r="A130" i="235"/>
  <c r="A131" i="235"/>
  <c r="A132" i="235"/>
  <c r="A133" i="235"/>
  <c r="A134" i="235"/>
  <c r="A135" i="235"/>
  <c r="A136" i="235"/>
  <c r="A137" i="235"/>
  <c r="A138" i="235"/>
  <c r="A139" i="235"/>
  <c r="A140" i="235"/>
  <c r="A141" i="235"/>
  <c r="A142" i="235"/>
  <c r="A143" i="235"/>
  <c r="A144" i="235"/>
  <c r="A145" i="235"/>
  <c r="A146" i="235"/>
  <c r="A147" i="235"/>
  <c r="A148" i="235"/>
  <c r="A149" i="235"/>
  <c r="A150" i="235"/>
  <c r="A151" i="235"/>
  <c r="A152" i="235"/>
  <c r="A153" i="235"/>
  <c r="A154" i="235"/>
  <c r="A155" i="235"/>
  <c r="A156" i="235"/>
  <c r="A157" i="235"/>
  <c r="A158" i="235"/>
  <c r="A2" i="233"/>
  <c r="A3" i="233"/>
  <c r="A4" i="233"/>
  <c r="A14" i="233"/>
  <c r="A15" i="233"/>
  <c r="A16" i="233"/>
  <c r="A17" i="233"/>
  <c r="A18" i="233"/>
  <c r="A19" i="233"/>
  <c r="A20" i="233"/>
  <c r="A21" i="233"/>
  <c r="A22" i="233"/>
  <c r="A23" i="233"/>
  <c r="A24" i="233"/>
  <c r="A25" i="233"/>
  <c r="A26" i="233"/>
  <c r="A27" i="233"/>
  <c r="A28" i="233"/>
  <c r="A29" i="233"/>
  <c r="A30" i="233"/>
  <c r="A31" i="233"/>
  <c r="A32" i="233"/>
  <c r="A33" i="233"/>
  <c r="A34" i="233"/>
  <c r="A35" i="233"/>
  <c r="A36" i="233"/>
  <c r="A37" i="233"/>
  <c r="A38" i="233"/>
  <c r="A45" i="233"/>
  <c r="A46" i="233"/>
  <c r="A47" i="233"/>
  <c r="A48" i="233"/>
  <c r="A49" i="233"/>
  <c r="A50" i="233"/>
  <c r="A51" i="233"/>
  <c r="A52" i="233"/>
  <c r="A53" i="233"/>
  <c r="A54" i="233"/>
  <c r="A55" i="233"/>
  <c r="A56" i="233"/>
  <c r="A57" i="233"/>
  <c r="A58" i="233"/>
  <c r="A59" i="233"/>
  <c r="A60" i="233"/>
  <c r="A61" i="233"/>
  <c r="A62" i="233"/>
  <c r="A63" i="233"/>
  <c r="A64" i="233"/>
  <c r="A65" i="233"/>
  <c r="A66" i="233"/>
  <c r="A67" i="233"/>
  <c r="A68" i="233"/>
  <c r="A69" i="233"/>
  <c r="A70" i="233"/>
  <c r="A71" i="233"/>
  <c r="A78" i="233"/>
  <c r="A79" i="233"/>
  <c r="A80" i="233"/>
  <c r="A81" i="233"/>
  <c r="A82" i="233"/>
  <c r="A83" i="233"/>
  <c r="A84" i="233"/>
  <c r="A85" i="233"/>
  <c r="A86" i="233"/>
  <c r="A87" i="233"/>
  <c r="A88" i="233"/>
  <c r="A89" i="233"/>
  <c r="A90" i="233"/>
  <c r="A91" i="233"/>
  <c r="A92" i="233"/>
  <c r="A93" i="233"/>
  <c r="A94" i="233"/>
  <c r="A95" i="233"/>
  <c r="A96" i="233"/>
  <c r="A97" i="233"/>
  <c r="A98" i="233"/>
  <c r="A99" i="233"/>
  <c r="A100" i="233"/>
  <c r="A101" i="233"/>
  <c r="A102" i="233"/>
  <c r="A103" i="233"/>
  <c r="A104" i="233"/>
  <c r="A105" i="233"/>
  <c r="A106" i="233"/>
  <c r="A107" i="233"/>
  <c r="A128" i="233"/>
  <c r="A129" i="233"/>
  <c r="A130" i="233"/>
  <c r="A131" i="233"/>
  <c r="A132" i="233"/>
  <c r="A133" i="233"/>
  <c r="A134" i="233"/>
  <c r="A135" i="233"/>
  <c r="A136" i="233"/>
  <c r="A137" i="233"/>
  <c r="A138" i="233"/>
  <c r="A139" i="233"/>
  <c r="A140" i="233"/>
  <c r="A141" i="233"/>
  <c r="A142" i="233"/>
  <c r="A143" i="233"/>
  <c r="A144" i="233"/>
  <c r="A145" i="233"/>
  <c r="A146" i="233"/>
  <c r="A147" i="233"/>
  <c r="A148" i="233"/>
  <c r="A149" i="233"/>
  <c r="A150" i="233"/>
  <c r="A151" i="233"/>
  <c r="A152" i="233"/>
  <c r="A153" i="233"/>
  <c r="A154" i="233"/>
  <c r="A155" i="233"/>
  <c r="A156" i="233"/>
  <c r="A157" i="233"/>
  <c r="A158" i="233"/>
  <c r="A159" i="233"/>
  <c r="A160" i="233"/>
  <c r="A161" i="233"/>
  <c r="A162" i="233"/>
  <c r="A163" i="233"/>
  <c r="A164" i="233"/>
  <c r="A165" i="233"/>
  <c r="A166" i="233"/>
  <c r="A167" i="233"/>
  <c r="A168" i="233"/>
  <c r="A169" i="233"/>
  <c r="A170" i="233"/>
  <c r="A171" i="233"/>
  <c r="A172" i="233"/>
  <c r="A173" i="233"/>
  <c r="A174" i="233"/>
  <c r="A175" i="233"/>
  <c r="A176" i="233"/>
  <c r="A1" i="235"/>
  <c r="A1" i="233"/>
  <c r="C1" i="235"/>
  <c r="C1" i="233"/>
  <c r="S4" i="287" l="1"/>
  <c r="N34" i="102"/>
  <c r="L29" i="287"/>
  <c r="L28" i="287"/>
  <c r="O28" i="287"/>
  <c r="O29" i="287"/>
  <c r="J29" i="287"/>
  <c r="J28" i="287"/>
  <c r="I29" i="287"/>
  <c r="I28" i="287"/>
  <c r="N29" i="287"/>
  <c r="N28" i="287"/>
  <c r="H29" i="287"/>
  <c r="H28" i="287"/>
  <c r="K29" i="287"/>
  <c r="K28" i="287"/>
  <c r="F29" i="287"/>
  <c r="F28" i="287"/>
  <c r="M29" i="287"/>
  <c r="M28" i="287"/>
  <c r="E29" i="287"/>
  <c r="E28" i="287"/>
  <c r="S5" i="287"/>
  <c r="S6" i="287" s="1"/>
  <c r="M34" i="102"/>
  <c r="G29" i="287"/>
  <c r="G28" i="287"/>
  <c r="P29" i="287"/>
  <c r="P28" i="287"/>
  <c r="O31" i="102"/>
  <c r="M86" i="102"/>
  <c r="N57" i="102"/>
  <c r="M57" i="102"/>
  <c r="M91" i="102"/>
  <c r="M64" i="102"/>
  <c r="M85" i="102"/>
  <c r="M98" i="102"/>
  <c r="N80" i="102"/>
  <c r="N86" i="102"/>
  <c r="M73" i="102"/>
  <c r="M74" i="102"/>
  <c r="M63" i="102"/>
  <c r="N51" i="102"/>
  <c r="M58" i="102"/>
  <c r="N74" i="102"/>
  <c r="M80" i="102"/>
  <c r="M79" i="102"/>
  <c r="M97" i="102"/>
  <c r="N98" i="102"/>
  <c r="N85" i="102"/>
  <c r="N79" i="102"/>
  <c r="M92" i="102"/>
  <c r="N97" i="102"/>
  <c r="N92" i="102"/>
  <c r="N91" i="102"/>
  <c r="N73" i="102"/>
  <c r="N64" i="102"/>
  <c r="N63" i="102"/>
  <c r="N58" i="102"/>
  <c r="N52" i="102"/>
  <c r="N46" i="102"/>
  <c r="N39" i="102"/>
  <c r="G8" i="102"/>
  <c r="M46" i="102"/>
  <c r="N26" i="102"/>
  <c r="I92" i="102"/>
  <c r="M40" i="102"/>
  <c r="M51" i="102"/>
  <c r="M45" i="102"/>
  <c r="M39" i="102"/>
  <c r="M52" i="102"/>
  <c r="N45" i="102"/>
  <c r="H8" i="102"/>
  <c r="O28" i="236"/>
  <c r="N40" i="102"/>
  <c r="H98" i="102"/>
  <c r="O29" i="236"/>
  <c r="H86" i="102"/>
  <c r="S5" i="236"/>
  <c r="S6" i="236" s="1"/>
  <c r="M26" i="102"/>
  <c r="H52" i="102"/>
  <c r="G29" i="236"/>
  <c r="G28" i="236"/>
  <c r="F28" i="236"/>
  <c r="F29" i="236"/>
  <c r="H29" i="236"/>
  <c r="H28" i="236"/>
  <c r="L29" i="236"/>
  <c r="L28" i="236"/>
  <c r="M29" i="236"/>
  <c r="M28" i="236"/>
  <c r="N28" i="236"/>
  <c r="S4" i="236"/>
  <c r="N29" i="236"/>
  <c r="I29" i="236"/>
  <c r="I28" i="236"/>
  <c r="K28" i="236"/>
  <c r="K29" i="236"/>
  <c r="J28" i="236"/>
  <c r="J29" i="236"/>
  <c r="E29" i="236"/>
  <c r="E28" i="236"/>
  <c r="P29" i="236"/>
  <c r="P28" i="236"/>
  <c r="H80" i="102" l="1"/>
  <c r="N21" i="215"/>
  <c r="P21" i="215"/>
  <c r="K21" i="215"/>
  <c r="J21" i="215"/>
  <c r="J22" i="215"/>
  <c r="N22" i="215" l="1"/>
  <c r="M22" i="215"/>
  <c r="K22" i="215"/>
  <c r="F21" i="215"/>
  <c r="G22" i="215"/>
  <c r="L22" i="215"/>
  <c r="P22" i="215"/>
  <c r="O22" i="215"/>
  <c r="O21" i="215"/>
  <c r="L21" i="215"/>
  <c r="I21" i="215"/>
  <c r="I22" i="215"/>
  <c r="M21" i="215"/>
  <c r="F22" i="215" l="1"/>
  <c r="G21" i="215"/>
  <c r="H21" i="215"/>
  <c r="H22" i="215"/>
  <c r="I1" i="224" l="1"/>
  <c r="I1" i="222"/>
  <c r="I1" i="218"/>
  <c r="I1" i="217"/>
  <c r="C2" i="215" l="1"/>
  <c r="I1" i="215" l="1"/>
  <c r="Q26" i="102" l="1"/>
  <c r="G17" i="102"/>
  <c r="Q17" i="102" s="1"/>
  <c r="H17" i="102"/>
  <c r="P30" i="215"/>
  <c r="L30" i="215"/>
  <c r="H30" i="215"/>
  <c r="N30" i="215"/>
  <c r="I30" i="215"/>
  <c r="O30" i="215"/>
  <c r="G30" i="215"/>
  <c r="M30" i="215"/>
  <c r="F30" i="215"/>
  <c r="K30" i="215"/>
  <c r="E30" i="215"/>
  <c r="J30" i="215"/>
  <c r="O27" i="215"/>
  <c r="K27" i="215"/>
  <c r="G27" i="215"/>
  <c r="P27" i="215"/>
  <c r="J27" i="215"/>
  <c r="E27" i="215"/>
  <c r="E21" i="215"/>
  <c r="L27" i="215"/>
  <c r="I27" i="215"/>
  <c r="E22" i="215"/>
  <c r="N27" i="215"/>
  <c r="H27" i="215"/>
  <c r="F27" i="215"/>
  <c r="M27" i="215"/>
  <c r="P26" i="215"/>
  <c r="L26" i="215"/>
  <c r="H26" i="215"/>
  <c r="M26" i="215"/>
  <c r="G26" i="215"/>
  <c r="J26" i="215"/>
  <c r="O26" i="215"/>
  <c r="I26" i="215"/>
  <c r="N26" i="215"/>
  <c r="F26" i="215"/>
  <c r="K26" i="215"/>
  <c r="E26" i="215"/>
  <c r="I21" i="222" l="1"/>
  <c r="E27" i="216"/>
  <c r="P21" i="217"/>
  <c r="E30" i="216"/>
  <c r="P21" i="222"/>
  <c r="R24" i="102"/>
  <c r="M21" i="217"/>
  <c r="J21" i="222"/>
  <c r="E30" i="217"/>
  <c r="R26" i="102"/>
  <c r="I26" i="102"/>
  <c r="S5" i="215"/>
  <c r="S6" i="215" s="1"/>
  <c r="M17" i="102"/>
  <c r="R17" i="102" s="1"/>
  <c r="N17" i="102"/>
  <c r="I17" i="102"/>
  <c r="G29" i="215"/>
  <c r="G28" i="215"/>
  <c r="H28" i="215"/>
  <c r="H29" i="215"/>
  <c r="L28" i="215"/>
  <c r="L29" i="215"/>
  <c r="P29" i="215"/>
  <c r="P28" i="215"/>
  <c r="N28" i="215"/>
  <c r="N29" i="215"/>
  <c r="M29" i="215"/>
  <c r="M28" i="215"/>
  <c r="E29" i="215"/>
  <c r="S4" i="215"/>
  <c r="E28" i="215"/>
  <c r="K29" i="215"/>
  <c r="K28" i="215"/>
  <c r="F28" i="215"/>
  <c r="F29" i="215"/>
  <c r="I29" i="215"/>
  <c r="I28" i="215"/>
  <c r="J28" i="215"/>
  <c r="J29" i="215"/>
  <c r="O28" i="215"/>
  <c r="O29" i="215"/>
  <c r="H22" i="102" l="1"/>
  <c r="Q98" i="102"/>
  <c r="K21" i="216"/>
  <c r="P22" i="217"/>
  <c r="H21" i="102"/>
  <c r="G22" i="102"/>
  <c r="N22" i="222"/>
  <c r="K30" i="217"/>
  <c r="M22" i="217"/>
  <c r="R98" i="102"/>
  <c r="K21" i="222"/>
  <c r="M27" i="222"/>
  <c r="H22" i="222"/>
  <c r="Q24" i="102"/>
  <c r="N21" i="217"/>
  <c r="F22" i="217"/>
  <c r="F22" i="216"/>
  <c r="F27" i="216"/>
  <c r="G27" i="216"/>
  <c r="L21" i="217"/>
  <c r="L21" i="216"/>
  <c r="J21" i="216"/>
  <c r="J21" i="217"/>
  <c r="N21" i="222"/>
  <c r="I22" i="216"/>
  <c r="J22" i="216"/>
  <c r="Q23" i="102"/>
  <c r="G21" i="222"/>
  <c r="P30" i="217"/>
  <c r="M22" i="222"/>
  <c r="M21" i="222"/>
  <c r="H21" i="217"/>
  <c r="P22" i="222"/>
  <c r="L21" i="222"/>
  <c r="J30" i="216"/>
  <c r="K30" i="216"/>
  <c r="L22" i="222"/>
  <c r="M21" i="216"/>
  <c r="G22" i="222"/>
  <c r="H27" i="216"/>
  <c r="I27" i="216"/>
  <c r="G30" i="216"/>
  <c r="K30" i="222"/>
  <c r="L30" i="216"/>
  <c r="I30" i="216"/>
  <c r="H30" i="216"/>
  <c r="P21" i="216"/>
  <c r="F30" i="216"/>
  <c r="F21" i="216"/>
  <c r="F21" i="222"/>
  <c r="F22" i="222"/>
  <c r="G21" i="102"/>
  <c r="O30" i="222"/>
  <c r="M30" i="222"/>
  <c r="P30" i="222"/>
  <c r="I30" i="222"/>
  <c r="H30" i="222"/>
  <c r="F26" i="222"/>
  <c r="N27" i="222"/>
  <c r="J30" i="222"/>
  <c r="L30" i="222"/>
  <c r="F30" i="222"/>
  <c r="E30" i="222"/>
  <c r="M30" i="216"/>
  <c r="N30" i="222"/>
  <c r="G30" i="222"/>
  <c r="G26" i="222"/>
  <c r="E26" i="222"/>
  <c r="H27" i="102"/>
  <c r="H21" i="222"/>
  <c r="H26" i="222"/>
  <c r="I27" i="222"/>
  <c r="H21" i="216"/>
  <c r="G18" i="102"/>
  <c r="Q18" i="102" s="1"/>
  <c r="E27" i="217"/>
  <c r="E27" i="218" s="1"/>
  <c r="E21" i="216"/>
  <c r="E26" i="216"/>
  <c r="E29" i="216" s="1"/>
  <c r="P22" i="216"/>
  <c r="L30" i="217"/>
  <c r="N30" i="217"/>
  <c r="H22" i="216"/>
  <c r="O21" i="218"/>
  <c r="H22" i="217"/>
  <c r="K21" i="218"/>
  <c r="F26" i="216"/>
  <c r="E22" i="216"/>
  <c r="I30" i="217"/>
  <c r="H27" i="217"/>
  <c r="H27" i="218" s="1"/>
  <c r="J30" i="217"/>
  <c r="M30" i="217"/>
  <c r="H30" i="217"/>
  <c r="F30" i="217"/>
  <c r="G19" i="102"/>
  <c r="Q19" i="102" s="1"/>
  <c r="L26" i="216"/>
  <c r="I26" i="216"/>
  <c r="G26" i="216"/>
  <c r="N26" i="216"/>
  <c r="P26" i="216"/>
  <c r="O17" i="102"/>
  <c r="M26" i="216"/>
  <c r="J26" i="216"/>
  <c r="O26" i="102"/>
  <c r="O26" i="216"/>
  <c r="H26" i="216"/>
  <c r="G22" i="216"/>
  <c r="K26" i="216"/>
  <c r="F26" i="217"/>
  <c r="F26" i="218" s="1"/>
  <c r="E26" i="217"/>
  <c r="E21" i="217"/>
  <c r="E22" i="217"/>
  <c r="R32" i="102" l="1"/>
  <c r="O21" i="222"/>
  <c r="G27" i="102"/>
  <c r="Q27" i="102" s="1"/>
  <c r="G30" i="217"/>
  <c r="G27" i="217"/>
  <c r="G27" i="218" s="1"/>
  <c r="G21" i="217"/>
  <c r="F27" i="217"/>
  <c r="P21" i="218"/>
  <c r="F21" i="217"/>
  <c r="H19" i="102"/>
  <c r="I19" i="102" s="1"/>
  <c r="G22" i="217"/>
  <c r="O22" i="222"/>
  <c r="K22" i="222"/>
  <c r="I21" i="102"/>
  <c r="L21" i="218"/>
  <c r="M27" i="216"/>
  <c r="M28" i="216" s="1"/>
  <c r="I21" i="216"/>
  <c r="M22" i="216"/>
  <c r="L22" i="216"/>
  <c r="I21" i="224"/>
  <c r="I21" i="217"/>
  <c r="I22" i="217"/>
  <c r="I22" i="102"/>
  <c r="Q22" i="102"/>
  <c r="M21" i="218"/>
  <c r="I22" i="222"/>
  <c r="N27" i="216"/>
  <c r="N28" i="216" s="1"/>
  <c r="K21" i="217"/>
  <c r="J27" i="216"/>
  <c r="J29" i="216" s="1"/>
  <c r="G21" i="216"/>
  <c r="E27" i="222"/>
  <c r="E28" i="222" s="1"/>
  <c r="I26" i="222"/>
  <c r="I28" i="222" s="1"/>
  <c r="H27" i="222"/>
  <c r="K27" i="222"/>
  <c r="K22" i="216"/>
  <c r="K27" i="216"/>
  <c r="K29" i="216" s="1"/>
  <c r="L27" i="216"/>
  <c r="L29" i="216" s="1"/>
  <c r="N21" i="216"/>
  <c r="I23" i="102"/>
  <c r="N22" i="217"/>
  <c r="L27" i="222"/>
  <c r="O27" i="222"/>
  <c r="J27" i="222"/>
  <c r="G27" i="222"/>
  <c r="G29" i="222" s="1"/>
  <c r="J27" i="217"/>
  <c r="J27" i="218" s="1"/>
  <c r="J22" i="224"/>
  <c r="P27" i="222"/>
  <c r="N26" i="222"/>
  <c r="N29" i="222" s="1"/>
  <c r="L26" i="222"/>
  <c r="F27" i="222"/>
  <c r="F28" i="222" s="1"/>
  <c r="M26" i="222"/>
  <c r="M29" i="222" s="1"/>
  <c r="N30" i="216"/>
  <c r="P26" i="222"/>
  <c r="I24" i="102"/>
  <c r="J26" i="222"/>
  <c r="N22" i="216"/>
  <c r="G28" i="216"/>
  <c r="F28" i="216"/>
  <c r="R23" i="102"/>
  <c r="K26" i="222"/>
  <c r="O26" i="222"/>
  <c r="J22" i="222"/>
  <c r="O21" i="216"/>
  <c r="O22" i="216"/>
  <c r="I21" i="218"/>
  <c r="H22" i="224"/>
  <c r="P30" i="216"/>
  <c r="L22" i="217"/>
  <c r="O30" i="217"/>
  <c r="P27" i="216"/>
  <c r="P29" i="216" s="1"/>
  <c r="O30" i="216"/>
  <c r="I26" i="217"/>
  <c r="I26" i="218" s="1"/>
  <c r="I27" i="217"/>
  <c r="I27" i="218" s="1"/>
  <c r="O27" i="216"/>
  <c r="O29" i="216" s="1"/>
  <c r="P26" i="217"/>
  <c r="P26" i="218" s="1"/>
  <c r="J22" i="217"/>
  <c r="N26" i="217"/>
  <c r="N26" i="218" s="1"/>
  <c r="K26" i="217"/>
  <c r="K26" i="218" s="1"/>
  <c r="I28" i="216"/>
  <c r="H26" i="217"/>
  <c r="H26" i="218" s="1"/>
  <c r="J26" i="217"/>
  <c r="J26" i="218" s="1"/>
  <c r="Q21" i="102"/>
  <c r="J21" i="218"/>
  <c r="N22" i="224"/>
  <c r="M26" i="217"/>
  <c r="M26" i="218" s="1"/>
  <c r="G26" i="217"/>
  <c r="G26" i="218" s="1"/>
  <c r="O26" i="217"/>
  <c r="O26" i="218" s="1"/>
  <c r="L26" i="217"/>
  <c r="L26" i="218" s="1"/>
  <c r="H29" i="216"/>
  <c r="K22" i="217"/>
  <c r="O24" i="102"/>
  <c r="H21" i="218"/>
  <c r="H29" i="102"/>
  <c r="G20" i="102"/>
  <c r="Q20" i="102" s="1"/>
  <c r="I18" i="102"/>
  <c r="E28" i="216"/>
  <c r="E22" i="218"/>
  <c r="K22" i="218"/>
  <c r="F21" i="218"/>
  <c r="N22" i="218"/>
  <c r="E21" i="218"/>
  <c r="S5" i="216"/>
  <c r="S6" i="216" s="1"/>
  <c r="F29" i="216"/>
  <c r="M18" i="102"/>
  <c r="R18" i="102" s="1"/>
  <c r="H22" i="218"/>
  <c r="E26" i="218"/>
  <c r="N21" i="218"/>
  <c r="F22" i="218"/>
  <c r="O22" i="218"/>
  <c r="H20" i="102"/>
  <c r="G29" i="102"/>
  <c r="G29" i="216"/>
  <c r="I29" i="216"/>
  <c r="H28" i="216"/>
  <c r="L22" i="224"/>
  <c r="L21" i="224"/>
  <c r="M22" i="224"/>
  <c r="M21" i="224"/>
  <c r="O21" i="224"/>
  <c r="O22" i="224"/>
  <c r="P21" i="224"/>
  <c r="P22" i="224"/>
  <c r="G22" i="224"/>
  <c r="G21" i="224"/>
  <c r="E22" i="224"/>
  <c r="E21" i="224"/>
  <c r="K21" i="224"/>
  <c r="K22" i="224"/>
  <c r="I30" i="218"/>
  <c r="M30" i="218"/>
  <c r="E30" i="218"/>
  <c r="G30" i="218"/>
  <c r="O30" i="218"/>
  <c r="F30" i="218"/>
  <c r="J30" i="218"/>
  <c r="N30" i="218"/>
  <c r="K30" i="218"/>
  <c r="H30" i="218"/>
  <c r="L30" i="218"/>
  <c r="P30" i="218"/>
  <c r="E28" i="217"/>
  <c r="E29" i="217"/>
  <c r="E29" i="222" l="1"/>
  <c r="O32" i="102"/>
  <c r="R33" i="102"/>
  <c r="R34" i="102"/>
  <c r="I29" i="222"/>
  <c r="G28" i="222"/>
  <c r="N29" i="216"/>
  <c r="N28" i="222"/>
  <c r="F28" i="217"/>
  <c r="F27" i="218"/>
  <c r="F28" i="218" s="1"/>
  <c r="F29" i="217"/>
  <c r="J28" i="216"/>
  <c r="M28" i="222"/>
  <c r="N27" i="102"/>
  <c r="L28" i="216"/>
  <c r="K29" i="222"/>
  <c r="M27" i="102"/>
  <c r="R27" i="102" s="1"/>
  <c r="I27" i="102"/>
  <c r="I28" i="102"/>
  <c r="J29" i="222"/>
  <c r="J21" i="224"/>
  <c r="N21" i="102"/>
  <c r="P22" i="218"/>
  <c r="N27" i="217"/>
  <c r="P27" i="217"/>
  <c r="L27" i="217"/>
  <c r="O28" i="216"/>
  <c r="K27" i="217"/>
  <c r="M27" i="217"/>
  <c r="K28" i="216"/>
  <c r="L22" i="218"/>
  <c r="M22" i="218"/>
  <c r="M29" i="216"/>
  <c r="I22" i="218"/>
  <c r="S4" i="222"/>
  <c r="H29" i="222"/>
  <c r="O29" i="222"/>
  <c r="H21" i="224"/>
  <c r="I22" i="224"/>
  <c r="F29" i="222"/>
  <c r="S4" i="216"/>
  <c r="N21" i="224"/>
  <c r="N22" i="102"/>
  <c r="N18" i="102"/>
  <c r="O18" i="102" s="1"/>
  <c r="L29" i="222"/>
  <c r="M19" i="102"/>
  <c r="H28" i="222"/>
  <c r="J28" i="217"/>
  <c r="O27" i="217"/>
  <c r="O23" i="102"/>
  <c r="P29" i="222"/>
  <c r="I28" i="217"/>
  <c r="S5" i="222"/>
  <c r="S6" i="222" s="1"/>
  <c r="M21" i="102"/>
  <c r="R21" i="102" s="1"/>
  <c r="I29" i="218"/>
  <c r="O28" i="222"/>
  <c r="I29" i="217"/>
  <c r="J28" i="222"/>
  <c r="P28" i="216"/>
  <c r="K28" i="222"/>
  <c r="P28" i="222"/>
  <c r="L28" i="222"/>
  <c r="R28" i="102"/>
  <c r="J22" i="218"/>
  <c r="Q28" i="102"/>
  <c r="G21" i="218"/>
  <c r="M22" i="102"/>
  <c r="R22" i="102" s="1"/>
  <c r="O21" i="217"/>
  <c r="O22" i="217"/>
  <c r="G22" i="218"/>
  <c r="H29" i="217"/>
  <c r="H29" i="218"/>
  <c r="H28" i="217"/>
  <c r="J29" i="217"/>
  <c r="S5" i="217"/>
  <c r="S6" i="217" s="1"/>
  <c r="F21" i="224"/>
  <c r="F22" i="224"/>
  <c r="G28" i="218"/>
  <c r="O28" i="224"/>
  <c r="G28" i="217"/>
  <c r="G29" i="217"/>
  <c r="I20" i="102"/>
  <c r="I29" i="102"/>
  <c r="Q29" i="102"/>
  <c r="M20" i="102"/>
  <c r="S5" i="218"/>
  <c r="S6" i="218" s="1"/>
  <c r="E29" i="218"/>
  <c r="E28" i="218"/>
  <c r="E28" i="224" l="1"/>
  <c r="O33" i="102"/>
  <c r="F29" i="218"/>
  <c r="O27" i="102"/>
  <c r="J29" i="224"/>
  <c r="H29" i="224"/>
  <c r="M29" i="224"/>
  <c r="K28" i="224"/>
  <c r="F28" i="224"/>
  <c r="G28" i="224"/>
  <c r="I28" i="224"/>
  <c r="N29" i="224"/>
  <c r="L28" i="217"/>
  <c r="L27" i="218"/>
  <c r="L29" i="218" s="1"/>
  <c r="M28" i="217"/>
  <c r="M27" i="218"/>
  <c r="M28" i="218" s="1"/>
  <c r="P29" i="217"/>
  <c r="P27" i="218"/>
  <c r="P28" i="218" s="1"/>
  <c r="K29" i="217"/>
  <c r="K27" i="218"/>
  <c r="K28" i="218" s="1"/>
  <c r="N28" i="217"/>
  <c r="N27" i="218"/>
  <c r="N28" i="218" s="1"/>
  <c r="O28" i="217"/>
  <c r="O27" i="218"/>
  <c r="O29" i="218" s="1"/>
  <c r="I28" i="218"/>
  <c r="M29" i="217"/>
  <c r="L29" i="217"/>
  <c r="O28" i="102"/>
  <c r="S4" i="217"/>
  <c r="N19" i="102"/>
  <c r="O19" i="102" s="1"/>
  <c r="N29" i="217"/>
  <c r="K28" i="217"/>
  <c r="P28" i="217"/>
  <c r="O29" i="217"/>
  <c r="R19" i="102"/>
  <c r="S5" i="224"/>
  <c r="S6" i="224" s="1"/>
  <c r="O21" i="102"/>
  <c r="M29" i="102"/>
  <c r="O22" i="102"/>
  <c r="H28" i="218"/>
  <c r="J28" i="218"/>
  <c r="J29" i="218"/>
  <c r="O29" i="224"/>
  <c r="G29" i="218"/>
  <c r="P29" i="224"/>
  <c r="P28" i="224"/>
  <c r="R20" i="102"/>
  <c r="E29" i="224" l="1"/>
  <c r="O34" i="102"/>
  <c r="N20" i="102"/>
  <c r="O20" i="102" s="1"/>
  <c r="S4" i="218"/>
  <c r="N29" i="102"/>
  <c r="O29" i="102" s="1"/>
  <c r="S4" i="224"/>
  <c r="M28" i="224"/>
  <c r="K29" i="224"/>
  <c r="H28" i="224"/>
  <c r="M29" i="218"/>
  <c r="K29" i="218"/>
  <c r="L29" i="224"/>
  <c r="L28" i="224"/>
  <c r="G29" i="224"/>
  <c r="J28" i="224"/>
  <c r="N28" i="224"/>
  <c r="I29" i="224"/>
  <c r="F29" i="224"/>
  <c r="N29" i="218"/>
  <c r="P29" i="218"/>
  <c r="O28" i="218"/>
  <c r="L28" i="218"/>
  <c r="R29" i="102"/>
  <c r="I1" i="214" l="1"/>
  <c r="D27" i="197" l="1"/>
  <c r="D28" i="197"/>
  <c r="D29" i="197"/>
  <c r="D30" i="197"/>
  <c r="I1" i="207" l="1"/>
  <c r="B2" i="102" l="1"/>
  <c r="B2" i="304" s="1"/>
  <c r="I1" i="182"/>
  <c r="I1" i="183"/>
  <c r="I1" i="139"/>
  <c r="I1" i="140"/>
  <c r="I1" i="141"/>
  <c r="I1" i="142"/>
  <c r="I1" i="181"/>
  <c r="I1" i="138"/>
  <c r="I1" i="135"/>
  <c r="Q25" i="122"/>
  <c r="F25" i="197"/>
  <c r="G25" i="197"/>
  <c r="H25" i="197"/>
  <c r="I25" i="197"/>
  <c r="J25" i="197"/>
  <c r="K25" i="197"/>
  <c r="L25" i="197"/>
  <c r="M25" i="197"/>
  <c r="N25" i="197"/>
  <c r="O25" i="197"/>
  <c r="P25" i="197"/>
  <c r="E25" i="197"/>
  <c r="C2" i="197"/>
  <c r="B2" i="272" l="1"/>
  <c r="B2" i="288"/>
  <c r="B2" i="233"/>
  <c r="B2" i="235"/>
  <c r="R92" i="102"/>
  <c r="R86" i="102"/>
  <c r="R80" i="102"/>
  <c r="R74" i="102"/>
  <c r="R64" i="102"/>
  <c r="R58" i="102"/>
  <c r="R52" i="102"/>
  <c r="R46" i="102"/>
  <c r="I1" i="114" l="1"/>
  <c r="R40" i="102" l="1"/>
  <c r="C2" i="114" l="1"/>
  <c r="C2" i="113"/>
  <c r="Q64" i="102" l="1"/>
  <c r="Q74" i="102"/>
  <c r="Q40" i="102"/>
  <c r="Q46" i="102"/>
  <c r="Q80" i="102"/>
  <c r="Q58" i="102"/>
  <c r="Q86" i="102" l="1"/>
  <c r="Q92" i="102"/>
  <c r="Q52" i="102"/>
  <c r="F30" i="207" l="1"/>
  <c r="G30" i="207"/>
  <c r="L30" i="207"/>
  <c r="H30" i="207"/>
  <c r="E30" i="207"/>
  <c r="I30" i="207"/>
  <c r="M30" i="207"/>
  <c r="P30" i="207"/>
  <c r="K30" i="207"/>
  <c r="J30" i="207"/>
  <c r="N30" i="207"/>
  <c r="O30" i="207"/>
  <c r="I74" i="102" l="1"/>
  <c r="O92" i="102"/>
  <c r="O86" i="102"/>
  <c r="I46" i="102"/>
  <c r="O52" i="102"/>
  <c r="I86" i="102" l="1"/>
  <c r="O74" i="102"/>
  <c r="I40" i="102"/>
  <c r="O40" i="102"/>
  <c r="I52" i="102"/>
  <c r="O46" i="102"/>
  <c r="I64" i="102"/>
  <c r="O64" i="102"/>
  <c r="I80" i="102"/>
  <c r="O80" i="102"/>
  <c r="I58" i="102"/>
  <c r="O58" i="102"/>
  <c r="I98" i="102"/>
  <c r="O98" i="102"/>
  <c r="O21" i="212" l="1"/>
  <c r="K30" i="212"/>
  <c r="P21" i="212"/>
  <c r="E27" i="113"/>
  <c r="I21" i="212"/>
  <c r="J21" i="113"/>
  <c r="P22" i="212"/>
  <c r="K21" i="113"/>
  <c r="N21" i="212"/>
  <c r="K21" i="213"/>
  <c r="J4" i="213"/>
  <c r="F21" i="212"/>
  <c r="J27" i="212"/>
  <c r="L21" i="212"/>
  <c r="G94" i="102"/>
  <c r="Q94" i="102" s="1"/>
  <c r="H21" i="212"/>
  <c r="J21" i="212"/>
  <c r="I26" i="212"/>
  <c r="E26" i="207"/>
  <c r="I21" i="113"/>
  <c r="G21" i="212"/>
  <c r="M21" i="212"/>
  <c r="M21" i="213"/>
  <c r="G21" i="213"/>
  <c r="M26" i="212"/>
  <c r="L30" i="212"/>
  <c r="K26" i="212"/>
  <c r="I22" i="212" l="1"/>
  <c r="K27" i="213"/>
  <c r="H94" i="102"/>
  <c r="I94" i="102" s="1"/>
  <c r="G22" i="212"/>
  <c r="P30" i="212"/>
  <c r="N21" i="213"/>
  <c r="F26" i="212"/>
  <c r="E21" i="212"/>
  <c r="E27" i="212"/>
  <c r="I21" i="207"/>
  <c r="M22" i="213"/>
  <c r="M30" i="212"/>
  <c r="F27" i="113"/>
  <c r="H27" i="113"/>
  <c r="I30" i="212"/>
  <c r="G27" i="113"/>
  <c r="F30" i="213"/>
  <c r="O21" i="213"/>
  <c r="J30" i="212"/>
  <c r="L27" i="212"/>
  <c r="M27" i="212"/>
  <c r="L22" i="212"/>
  <c r="H26" i="212"/>
  <c r="J21" i="207"/>
  <c r="K22" i="212"/>
  <c r="F30" i="212"/>
  <c r="K22" i="213"/>
  <c r="N27" i="212"/>
  <c r="K21" i="212"/>
  <c r="N26" i="212"/>
  <c r="G26" i="212"/>
  <c r="P22" i="213"/>
  <c r="I27" i="212"/>
  <c r="K27" i="212"/>
  <c r="M22" i="212"/>
  <c r="F22" i="212"/>
  <c r="L26" i="212"/>
  <c r="J26" i="212"/>
  <c r="M21" i="207"/>
  <c r="P27" i="212"/>
  <c r="G30" i="212"/>
  <c r="J22" i="212"/>
  <c r="O26" i="212"/>
  <c r="H30" i="212"/>
  <c r="F27" i="212"/>
  <c r="N22" i="212"/>
  <c r="H27" i="212"/>
  <c r="J27" i="113"/>
  <c r="N30" i="212"/>
  <c r="E30" i="212"/>
  <c r="G95" i="102"/>
  <c r="Q95" i="102" s="1"/>
  <c r="E26" i="212"/>
  <c r="O27" i="212"/>
  <c r="O30" i="212"/>
  <c r="K27" i="113"/>
  <c r="P26" i="212"/>
  <c r="I27" i="113"/>
  <c r="G27" i="212"/>
  <c r="H22" i="212"/>
  <c r="O22" i="212"/>
  <c r="E22" i="212"/>
  <c r="J21" i="213"/>
  <c r="G22" i="213"/>
  <c r="H21" i="213"/>
  <c r="F27" i="207"/>
  <c r="L22" i="213"/>
  <c r="P21" i="207"/>
  <c r="L21" i="213"/>
  <c r="O21" i="207"/>
  <c r="J26" i="213"/>
  <c r="K21" i="207"/>
  <c r="G27" i="213"/>
  <c r="E21" i="213"/>
  <c r="J27" i="213"/>
  <c r="J27" i="214" s="1"/>
  <c r="E21" i="207"/>
  <c r="E27" i="207"/>
  <c r="E22" i="207"/>
  <c r="I21" i="213"/>
  <c r="I22" i="213"/>
  <c r="P21" i="213"/>
  <c r="F21" i="213"/>
  <c r="H95" i="102"/>
  <c r="J28" i="212" l="1"/>
  <c r="F29" i="212"/>
  <c r="F30" i="275"/>
  <c r="J27" i="278"/>
  <c r="J29" i="278" s="1"/>
  <c r="J27" i="281"/>
  <c r="J29" i="281" s="1"/>
  <c r="H28" i="212"/>
  <c r="G27" i="278"/>
  <c r="G27" i="281"/>
  <c r="K28" i="212"/>
  <c r="K27" i="278"/>
  <c r="K27" i="281"/>
  <c r="I29" i="212"/>
  <c r="M28" i="212"/>
  <c r="F28" i="212"/>
  <c r="N29" i="212"/>
  <c r="G27" i="214"/>
  <c r="O28" i="212"/>
  <c r="N28" i="212"/>
  <c r="G28" i="212"/>
  <c r="E28" i="212"/>
  <c r="M94" i="102"/>
  <c r="R94" i="102" s="1"/>
  <c r="P28" i="212"/>
  <c r="L28" i="212"/>
  <c r="J29" i="212"/>
  <c r="J26" i="214"/>
  <c r="F30" i="214"/>
  <c r="K27" i="214"/>
  <c r="I28" i="212"/>
  <c r="J22" i="214"/>
  <c r="O27" i="213"/>
  <c r="O27" i="214" s="1"/>
  <c r="I95" i="102"/>
  <c r="J30" i="213"/>
  <c r="J30" i="214" s="1"/>
  <c r="E30" i="213"/>
  <c r="E30" i="214" s="1"/>
  <c r="J22" i="213"/>
  <c r="G30" i="213"/>
  <c r="G30" i="214" s="1"/>
  <c r="H27" i="213"/>
  <c r="H27" i="214" s="1"/>
  <c r="N27" i="213"/>
  <c r="S4" i="294" s="1"/>
  <c r="E27" i="213"/>
  <c r="E27" i="214" s="1"/>
  <c r="F27" i="213"/>
  <c r="F27" i="214" s="1"/>
  <c r="P27" i="213"/>
  <c r="P27" i="214" s="1"/>
  <c r="K26" i="213"/>
  <c r="L30" i="213"/>
  <c r="P30" i="213"/>
  <c r="P30" i="214" s="1"/>
  <c r="O22" i="213"/>
  <c r="M27" i="213"/>
  <c r="M27" i="214" s="1"/>
  <c r="L27" i="213"/>
  <c r="L27" i="214" s="1"/>
  <c r="I27" i="213"/>
  <c r="I27" i="214" s="1"/>
  <c r="H30" i="213"/>
  <c r="H30" i="214" s="1"/>
  <c r="E22" i="213"/>
  <c r="S5" i="212"/>
  <c r="S6" i="212" s="1"/>
  <c r="M29" i="212"/>
  <c r="N21" i="207"/>
  <c r="O27" i="207"/>
  <c r="P27" i="207"/>
  <c r="N26" i="213"/>
  <c r="M27" i="207"/>
  <c r="G29" i="212"/>
  <c r="H22" i="213"/>
  <c r="P29" i="212"/>
  <c r="L29" i="212"/>
  <c r="G27" i="207"/>
  <c r="L27" i="207"/>
  <c r="P26" i="213"/>
  <c r="P26" i="214" s="1"/>
  <c r="K29" i="212"/>
  <c r="K27" i="207"/>
  <c r="L26" i="213"/>
  <c r="L26" i="214" s="1"/>
  <c r="N22" i="213"/>
  <c r="I30" i="213"/>
  <c r="I30" i="214" s="1"/>
  <c r="E29" i="212"/>
  <c r="F22" i="213"/>
  <c r="N27" i="207"/>
  <c r="O26" i="213"/>
  <c r="O26" i="214" s="1"/>
  <c r="M26" i="213"/>
  <c r="J27" i="207"/>
  <c r="L22" i="214"/>
  <c r="H27" i="207"/>
  <c r="I27" i="207"/>
  <c r="H26" i="213"/>
  <c r="H26" i="214" s="1"/>
  <c r="O30" i="213"/>
  <c r="O30" i="214" s="1"/>
  <c r="L21" i="207"/>
  <c r="S4" i="212"/>
  <c r="M30" i="213"/>
  <c r="M30" i="214" s="1"/>
  <c r="O29" i="212"/>
  <c r="K30" i="213"/>
  <c r="E26" i="213"/>
  <c r="E26" i="214" s="1"/>
  <c r="F26" i="213"/>
  <c r="F26" i="214" s="1"/>
  <c r="N94" i="102"/>
  <c r="H29" i="212"/>
  <c r="N30" i="213"/>
  <c r="N30" i="214" s="1"/>
  <c r="I26" i="213"/>
  <c r="G26" i="213"/>
  <c r="G28" i="213" s="1"/>
  <c r="G21" i="214"/>
  <c r="L21" i="214"/>
  <c r="J21" i="214"/>
  <c r="N21" i="214"/>
  <c r="M21" i="214"/>
  <c r="M22" i="214"/>
  <c r="F22" i="214"/>
  <c r="H21" i="214"/>
  <c r="K21" i="214"/>
  <c r="K22" i="214"/>
  <c r="N27" i="214" l="1"/>
  <c r="M26" i="214"/>
  <c r="R112" i="102"/>
  <c r="I26" i="214"/>
  <c r="S5" i="294"/>
  <c r="S6" i="294" s="1"/>
  <c r="N26" i="214"/>
  <c r="K30" i="214"/>
  <c r="K30" i="275"/>
  <c r="P30" i="275"/>
  <c r="N30" i="275"/>
  <c r="E30" i="275"/>
  <c r="L30" i="214"/>
  <c r="L30" i="275"/>
  <c r="M30" i="275"/>
  <c r="J30" i="275"/>
  <c r="O30" i="275"/>
  <c r="J28" i="278"/>
  <c r="H30" i="275"/>
  <c r="G30" i="275"/>
  <c r="I30" i="275"/>
  <c r="J28" i="281"/>
  <c r="O27" i="281"/>
  <c r="O29" i="281" s="1"/>
  <c r="E27" i="278"/>
  <c r="E28" i="278" s="1"/>
  <c r="L27" i="278"/>
  <c r="L29" i="278" s="1"/>
  <c r="H27" i="281"/>
  <c r="H28" i="281" s="1"/>
  <c r="P27" i="278"/>
  <c r="P28" i="278" s="1"/>
  <c r="O27" i="278"/>
  <c r="O28" i="278" s="1"/>
  <c r="I27" i="281"/>
  <c r="I28" i="281" s="1"/>
  <c r="F27" i="278"/>
  <c r="F28" i="278" s="1"/>
  <c r="N27" i="278"/>
  <c r="N29" i="278" s="1"/>
  <c r="E27" i="281"/>
  <c r="E28" i="281" s="1"/>
  <c r="I27" i="278"/>
  <c r="I29" i="278" s="1"/>
  <c r="F27" i="281"/>
  <c r="F29" i="281" s="1"/>
  <c r="H27" i="278"/>
  <c r="H28" i="278" s="1"/>
  <c r="N27" i="281"/>
  <c r="N28" i="281" s="1"/>
  <c r="M27" i="278"/>
  <c r="M28" i="278" s="1"/>
  <c r="M27" i="281"/>
  <c r="M29" i="281" s="1"/>
  <c r="L27" i="281"/>
  <c r="L29" i="281" s="1"/>
  <c r="P27" i="281"/>
  <c r="P29" i="281" s="1"/>
  <c r="K28" i="281"/>
  <c r="K29" i="281"/>
  <c r="G29" i="278"/>
  <c r="G28" i="278"/>
  <c r="K29" i="278"/>
  <c r="K28" i="278"/>
  <c r="G28" i="281"/>
  <c r="G29" i="281"/>
  <c r="O94" i="102"/>
  <c r="K29" i="213"/>
  <c r="K26" i="214"/>
  <c r="G26" i="214"/>
  <c r="I29" i="213"/>
  <c r="N8" i="102"/>
  <c r="I28" i="213"/>
  <c r="P28" i="213"/>
  <c r="L28" i="213"/>
  <c r="M28" i="213"/>
  <c r="N28" i="213"/>
  <c r="O28" i="213"/>
  <c r="K28" i="213"/>
  <c r="O29" i="213"/>
  <c r="N29" i="213"/>
  <c r="L29" i="213"/>
  <c r="O21" i="214"/>
  <c r="H29" i="213"/>
  <c r="P29" i="213"/>
  <c r="S4" i="207"/>
  <c r="S5" i="213"/>
  <c r="S6" i="213" s="1"/>
  <c r="M95" i="102"/>
  <c r="R95" i="102" s="1"/>
  <c r="H22" i="214"/>
  <c r="G22" i="214"/>
  <c r="M21" i="116"/>
  <c r="O21" i="197"/>
  <c r="O21" i="117"/>
  <c r="E26" i="120"/>
  <c r="J21" i="174"/>
  <c r="N21" i="174"/>
  <c r="O21" i="123"/>
  <c r="M21" i="115"/>
  <c r="O21" i="118"/>
  <c r="E30" i="118"/>
  <c r="J4" i="175"/>
  <c r="M21" i="172"/>
  <c r="M21" i="174"/>
  <c r="N21" i="172"/>
  <c r="L21" i="173"/>
  <c r="E26" i="115"/>
  <c r="I21" i="173"/>
  <c r="J22" i="174"/>
  <c r="J21" i="118"/>
  <c r="K21" i="114"/>
  <c r="K21" i="118"/>
  <c r="M21" i="173"/>
  <c r="P21" i="117"/>
  <c r="E27" i="174"/>
  <c r="K22" i="113"/>
  <c r="M21" i="118"/>
  <c r="I22" i="113"/>
  <c r="J4" i="126"/>
  <c r="E27" i="118"/>
  <c r="E26" i="118"/>
  <c r="E26" i="124"/>
  <c r="K21" i="174"/>
  <c r="P21" i="174"/>
  <c r="L21" i="172"/>
  <c r="M21" i="176"/>
  <c r="E30" i="117"/>
  <c r="P21" i="114"/>
  <c r="I21" i="172"/>
  <c r="N21" i="113"/>
  <c r="E26" i="173"/>
  <c r="L21" i="124"/>
  <c r="J4" i="176"/>
  <c r="E27" i="122"/>
  <c r="G22" i="174"/>
  <c r="O22" i="113"/>
  <c r="J21" i="117"/>
  <c r="K21" i="172"/>
  <c r="L21" i="114"/>
  <c r="K21" i="117"/>
  <c r="L21" i="113"/>
  <c r="E27" i="126"/>
  <c r="P21" i="115"/>
  <c r="L21" i="116"/>
  <c r="O21" i="177"/>
  <c r="I21" i="118"/>
  <c r="K21" i="173"/>
  <c r="J22" i="207"/>
  <c r="P21" i="118"/>
  <c r="P21" i="116"/>
  <c r="F26" i="117"/>
  <c r="I21" i="115"/>
  <c r="M21" i="114"/>
  <c r="I21" i="114"/>
  <c r="E30" i="116"/>
  <c r="I22" i="207"/>
  <c r="J4" i="124"/>
  <c r="P21" i="173"/>
  <c r="O21" i="173"/>
  <c r="M21" i="113"/>
  <c r="O21" i="174"/>
  <c r="E26" i="113"/>
  <c r="E26" i="172"/>
  <c r="O21" i="114"/>
  <c r="J21" i="115"/>
  <c r="L21" i="115"/>
  <c r="O21" i="116"/>
  <c r="I21" i="116"/>
  <c r="J4" i="122"/>
  <c r="M21" i="117"/>
  <c r="J4" i="177"/>
  <c r="J21" i="116"/>
  <c r="O21" i="172"/>
  <c r="E22" i="117"/>
  <c r="F21" i="197"/>
  <c r="J21" i="197"/>
  <c r="E26" i="197"/>
  <c r="E26" i="142" s="1"/>
  <c r="H21" i="113"/>
  <c r="K21" i="126"/>
  <c r="G15" i="102"/>
  <c r="M29" i="213"/>
  <c r="G29" i="213"/>
  <c r="H28" i="213"/>
  <c r="N95" i="102"/>
  <c r="S4" i="213"/>
  <c r="J28" i="213"/>
  <c r="J29" i="213"/>
  <c r="F28" i="213"/>
  <c r="F29" i="213"/>
  <c r="E28" i="213"/>
  <c r="E29" i="213"/>
  <c r="E29" i="207"/>
  <c r="E28" i="207"/>
  <c r="M21" i="124"/>
  <c r="F21" i="214"/>
  <c r="H96" i="102"/>
  <c r="R67" i="102" l="1"/>
  <c r="E29" i="278"/>
  <c r="R113" i="102"/>
  <c r="R114" i="102"/>
  <c r="F29" i="278"/>
  <c r="E29" i="281"/>
  <c r="N110" i="102"/>
  <c r="O110" i="102" s="1"/>
  <c r="S4" i="278"/>
  <c r="N106" i="102"/>
  <c r="O106" i="102" s="1"/>
  <c r="N28" i="278"/>
  <c r="F28" i="281"/>
  <c r="O28" i="281"/>
  <c r="S4" i="281"/>
  <c r="P29" i="278"/>
  <c r="H29" i="281"/>
  <c r="L28" i="278"/>
  <c r="M28" i="281"/>
  <c r="M29" i="278"/>
  <c r="N29" i="281"/>
  <c r="O29" i="278"/>
  <c r="P28" i="281"/>
  <c r="I29" i="281"/>
  <c r="H29" i="278"/>
  <c r="I28" i="278"/>
  <c r="L28" i="281"/>
  <c r="E26" i="135"/>
  <c r="E27" i="141"/>
  <c r="G28" i="214"/>
  <c r="K29" i="214"/>
  <c r="N22" i="214"/>
  <c r="G96" i="102"/>
  <c r="Q96" i="102" s="1"/>
  <c r="E22" i="172"/>
  <c r="M96" i="102"/>
  <c r="R96" i="102" s="1"/>
  <c r="Q51" i="102"/>
  <c r="M28" i="214"/>
  <c r="O22" i="214"/>
  <c r="J29" i="214"/>
  <c r="O95" i="102"/>
  <c r="K22" i="116"/>
  <c r="G42" i="102"/>
  <c r="Q42" i="102" s="1"/>
  <c r="F29" i="214"/>
  <c r="P28" i="214"/>
  <c r="P22" i="116"/>
  <c r="Q63" i="102"/>
  <c r="P22" i="117"/>
  <c r="Q85" i="102"/>
  <c r="M21" i="175"/>
  <c r="G70" i="102"/>
  <c r="Q70" i="102" s="1"/>
  <c r="Q39" i="102"/>
  <c r="G60" i="102"/>
  <c r="Q60" i="102" s="1"/>
  <c r="Q57" i="102"/>
  <c r="Q79" i="102"/>
  <c r="Q73" i="102"/>
  <c r="S5" i="214"/>
  <c r="S6" i="214" s="1"/>
  <c r="O29" i="214"/>
  <c r="G76" i="102"/>
  <c r="Q76" i="102" s="1"/>
  <c r="Q97" i="102"/>
  <c r="Q45" i="102"/>
  <c r="H70" i="102"/>
  <c r="Q91" i="102"/>
  <c r="H60" i="102"/>
  <c r="G37" i="102"/>
  <c r="Q37" i="102" s="1"/>
  <c r="G82" i="102"/>
  <c r="Q82" i="102" s="1"/>
  <c r="G88" i="102"/>
  <c r="Q88" i="102" s="1"/>
  <c r="G48" i="102"/>
  <c r="Q48" i="102" s="1"/>
  <c r="P21" i="113"/>
  <c r="H36" i="102"/>
  <c r="M22" i="174"/>
  <c r="I26" i="116"/>
  <c r="P30" i="174"/>
  <c r="L22" i="124"/>
  <c r="F21" i="118"/>
  <c r="E27" i="172"/>
  <c r="E21" i="172"/>
  <c r="H21" i="174"/>
  <c r="E27" i="117"/>
  <c r="E21" i="117"/>
  <c r="H42" i="102"/>
  <c r="H22" i="114"/>
  <c r="N22" i="115"/>
  <c r="R97" i="102"/>
  <c r="H26" i="116"/>
  <c r="H22" i="172"/>
  <c r="H21" i="172"/>
  <c r="G21" i="207"/>
  <c r="Q13" i="102"/>
  <c r="R13" i="102"/>
  <c r="F22" i="113"/>
  <c r="J22" i="173"/>
  <c r="J21" i="173"/>
  <c r="G36" i="102"/>
  <c r="Q36" i="102" s="1"/>
  <c r="M22" i="207"/>
  <c r="F30" i="117"/>
  <c r="N21" i="115"/>
  <c r="H22" i="174"/>
  <c r="G21" i="174"/>
  <c r="N22" i="172"/>
  <c r="E30" i="177"/>
  <c r="G21" i="118"/>
  <c r="F26" i="124"/>
  <c r="F26" i="140" s="1"/>
  <c r="K22" i="115"/>
  <c r="R39" i="102"/>
  <c r="I21" i="122"/>
  <c r="I22" i="114"/>
  <c r="L26" i="174"/>
  <c r="J21" i="121"/>
  <c r="K22" i="120"/>
  <c r="R85" i="102"/>
  <c r="P21" i="175"/>
  <c r="P22" i="174"/>
  <c r="K22" i="123"/>
  <c r="J30" i="197"/>
  <c r="J30" i="303" s="1"/>
  <c r="L22" i="117"/>
  <c r="L21" i="175"/>
  <c r="O21" i="176"/>
  <c r="K26" i="173"/>
  <c r="K21" i="177"/>
  <c r="M27" i="117"/>
  <c r="F21" i="173"/>
  <c r="F22" i="173"/>
  <c r="M22" i="114"/>
  <c r="F26" i="197"/>
  <c r="E26" i="117"/>
  <c r="H26" i="113"/>
  <c r="H21" i="114"/>
  <c r="L21" i="117"/>
  <c r="F21" i="113"/>
  <c r="J26" i="113"/>
  <c r="M22" i="117"/>
  <c r="H82" i="102"/>
  <c r="F21" i="117"/>
  <c r="J21" i="142"/>
  <c r="P22" i="114"/>
  <c r="H15" i="102"/>
  <c r="I15" i="102" s="1"/>
  <c r="E21" i="214"/>
  <c r="E22" i="214"/>
  <c r="K21" i="176"/>
  <c r="F26" i="113"/>
  <c r="P21" i="177"/>
  <c r="F26" i="116"/>
  <c r="F27" i="114"/>
  <c r="J22" i="122"/>
  <c r="I21" i="124"/>
  <c r="M21" i="122"/>
  <c r="O21" i="121"/>
  <c r="I22" i="118"/>
  <c r="L21" i="176"/>
  <c r="M30" i="117"/>
  <c r="J30" i="173"/>
  <c r="G49" i="102"/>
  <c r="Q49" i="102" s="1"/>
  <c r="I21" i="177"/>
  <c r="M26" i="116"/>
  <c r="J21" i="177"/>
  <c r="I26" i="174"/>
  <c r="J30" i="115"/>
  <c r="P22" i="118"/>
  <c r="O22" i="118"/>
  <c r="M22" i="120"/>
  <c r="F21" i="172"/>
  <c r="L26" i="172"/>
  <c r="L21" i="174"/>
  <c r="L22" i="174"/>
  <c r="N21" i="118"/>
  <c r="N22" i="118"/>
  <c r="N22" i="116"/>
  <c r="N21" i="116"/>
  <c r="G54" i="102"/>
  <c r="Q54" i="102" s="1"/>
  <c r="I26" i="115"/>
  <c r="M30" i="118"/>
  <c r="H22" i="115"/>
  <c r="P22" i="197"/>
  <c r="P21" i="197"/>
  <c r="E26" i="114"/>
  <c r="N26" i="114"/>
  <c r="O27" i="116"/>
  <c r="H27" i="116"/>
  <c r="N27" i="116"/>
  <c r="E21" i="116"/>
  <c r="F27" i="116"/>
  <c r="H30" i="114"/>
  <c r="E30" i="113"/>
  <c r="F30" i="113"/>
  <c r="L22" i="173"/>
  <c r="P27" i="197"/>
  <c r="P27" i="142" s="1"/>
  <c r="O21" i="142"/>
  <c r="I21" i="117"/>
  <c r="I22" i="117"/>
  <c r="O26" i="118"/>
  <c r="K22" i="118"/>
  <c r="G26" i="174"/>
  <c r="G22" i="172"/>
  <c r="E30" i="174"/>
  <c r="K30" i="174"/>
  <c r="I30" i="116"/>
  <c r="E30" i="197"/>
  <c r="E30" i="303" s="1"/>
  <c r="O30" i="197"/>
  <c r="O30" i="303" s="1"/>
  <c r="G30" i="197"/>
  <c r="G30" i="303" s="1"/>
  <c r="E27" i="115"/>
  <c r="E27" i="138" s="1"/>
  <c r="J27" i="115"/>
  <c r="F27" i="115"/>
  <c r="F21" i="174"/>
  <c r="P27" i="174"/>
  <c r="R79" i="102"/>
  <c r="L26" i="173"/>
  <c r="J27" i="116"/>
  <c r="H21" i="116"/>
  <c r="H22" i="116"/>
  <c r="M26" i="173"/>
  <c r="L22" i="115"/>
  <c r="N30" i="116"/>
  <c r="M30" i="174"/>
  <c r="P30" i="115"/>
  <c r="P26" i="118"/>
  <c r="N22" i="174"/>
  <c r="I30" i="174"/>
  <c r="P26" i="173"/>
  <c r="G22" i="114"/>
  <c r="J27" i="114"/>
  <c r="N26" i="113"/>
  <c r="L21" i="118"/>
  <c r="L22" i="118"/>
  <c r="O27" i="114"/>
  <c r="G27" i="114"/>
  <c r="G30" i="113"/>
  <c r="P30" i="113"/>
  <c r="M27" i="173"/>
  <c r="E27" i="173"/>
  <c r="E21" i="124"/>
  <c r="I21" i="174"/>
  <c r="I22" i="174"/>
  <c r="O30" i="172"/>
  <c r="N22" i="120"/>
  <c r="N21" i="117"/>
  <c r="N22" i="117"/>
  <c r="N27" i="117"/>
  <c r="L27" i="117"/>
  <c r="K30" i="117"/>
  <c r="I26" i="117"/>
  <c r="N26" i="117"/>
  <c r="G26" i="117"/>
  <c r="P21" i="120"/>
  <c r="G22" i="175"/>
  <c r="M30" i="173"/>
  <c r="J27" i="118"/>
  <c r="P27" i="118"/>
  <c r="I27" i="117"/>
  <c r="O30" i="115"/>
  <c r="O26" i="116"/>
  <c r="N26" i="174"/>
  <c r="H48" i="102"/>
  <c r="H22" i="173"/>
  <c r="P26" i="114"/>
  <c r="G21" i="172"/>
  <c r="R91" i="102"/>
  <c r="F26" i="114"/>
  <c r="M22" i="176"/>
  <c r="N22" i="121"/>
  <c r="G27" i="197"/>
  <c r="I22" i="123"/>
  <c r="G30" i="172"/>
  <c r="J30" i="113"/>
  <c r="I26" i="118"/>
  <c r="F30" i="116"/>
  <c r="N30" i="173"/>
  <c r="I21" i="176"/>
  <c r="I22" i="116"/>
  <c r="G22" i="115"/>
  <c r="H30" i="115"/>
  <c r="K22" i="126"/>
  <c r="P22" i="122"/>
  <c r="O26" i="115"/>
  <c r="J30" i="114"/>
  <c r="O30" i="118"/>
  <c r="I27" i="172"/>
  <c r="M26" i="114"/>
  <c r="G22" i="116"/>
  <c r="G27" i="173"/>
  <c r="N26" i="172"/>
  <c r="K22" i="117"/>
  <c r="L27" i="118"/>
  <c r="K30" i="118"/>
  <c r="G27" i="174"/>
  <c r="O22" i="174"/>
  <c r="K27" i="116"/>
  <c r="L22" i="113"/>
  <c r="M22" i="116"/>
  <c r="M26" i="174"/>
  <c r="L30" i="174"/>
  <c r="M27" i="113"/>
  <c r="N27" i="118"/>
  <c r="P27" i="173"/>
  <c r="R73" i="102"/>
  <c r="L21" i="126"/>
  <c r="H30" i="118"/>
  <c r="G21" i="117"/>
  <c r="O27" i="172"/>
  <c r="K22" i="173"/>
  <c r="R45" i="102"/>
  <c r="G21" i="116"/>
  <c r="N30" i="117"/>
  <c r="I27" i="118"/>
  <c r="H30" i="117"/>
  <c r="M30" i="172"/>
  <c r="I30" i="118"/>
  <c r="E30" i="115"/>
  <c r="F30" i="118"/>
  <c r="G26" i="116"/>
  <c r="K27" i="117"/>
  <c r="P26" i="113"/>
  <c r="J26" i="115"/>
  <c r="L26" i="116"/>
  <c r="L30" i="115"/>
  <c r="O30" i="116"/>
  <c r="N27" i="172"/>
  <c r="P30" i="173"/>
  <c r="K26" i="120"/>
  <c r="N30" i="115"/>
  <c r="M26" i="117"/>
  <c r="O30" i="173"/>
  <c r="H26" i="117"/>
  <c r="M27" i="116"/>
  <c r="K21" i="115"/>
  <c r="I30" i="117"/>
  <c r="F21" i="115"/>
  <c r="O27" i="113"/>
  <c r="K26" i="113"/>
  <c r="N22" i="113"/>
  <c r="L22" i="207"/>
  <c r="E21" i="118"/>
  <c r="J26" i="173"/>
  <c r="F30" i="115"/>
  <c r="L27" i="172"/>
  <c r="O27" i="174"/>
  <c r="H26" i="173"/>
  <c r="G26" i="115"/>
  <c r="L22" i="114"/>
  <c r="K22" i="114"/>
  <c r="H76" i="102"/>
  <c r="E22" i="113"/>
  <c r="H26" i="120"/>
  <c r="L22" i="116"/>
  <c r="F30" i="174"/>
  <c r="O30" i="113"/>
  <c r="H30" i="174"/>
  <c r="O30" i="174"/>
  <c r="M30" i="116"/>
  <c r="J22" i="113"/>
  <c r="H21" i="173"/>
  <c r="E21" i="115"/>
  <c r="I26" i="114"/>
  <c r="G26" i="120"/>
  <c r="L26" i="120"/>
  <c r="I27" i="116"/>
  <c r="J21" i="176"/>
  <c r="I30" i="114"/>
  <c r="H21" i="115"/>
  <c r="O21" i="124"/>
  <c r="R51" i="102"/>
  <c r="G21" i="114"/>
  <c r="G22" i="118"/>
  <c r="R57" i="102"/>
  <c r="J22" i="116"/>
  <c r="O22" i="116"/>
  <c r="P22" i="115"/>
  <c r="E30" i="124"/>
  <c r="R63" i="102"/>
  <c r="O21" i="175"/>
  <c r="E22" i="122"/>
  <c r="P21" i="123"/>
  <c r="F27" i="117"/>
  <c r="F28" i="117" s="1"/>
  <c r="M27" i="115"/>
  <c r="J22" i="197"/>
  <c r="H27" i="173"/>
  <c r="F30" i="197"/>
  <c r="F30" i="303" s="1"/>
  <c r="O26" i="120"/>
  <c r="P30" i="118"/>
  <c r="L30" i="118"/>
  <c r="M22" i="113"/>
  <c r="F26" i="120"/>
  <c r="H21" i="117"/>
  <c r="G30" i="174"/>
  <c r="L27" i="113"/>
  <c r="K27" i="197"/>
  <c r="K27" i="142" s="1"/>
  <c r="G21" i="121"/>
  <c r="P30" i="172"/>
  <c r="G30" i="173"/>
  <c r="G27" i="115"/>
  <c r="I22" i="115"/>
  <c r="N30" i="174"/>
  <c r="K26" i="117"/>
  <c r="G27" i="118"/>
  <c r="N30" i="114"/>
  <c r="N29" i="214"/>
  <c r="H27" i="172"/>
  <c r="H30" i="197"/>
  <c r="H30" i="303" s="1"/>
  <c r="K26" i="114"/>
  <c r="K30" i="173"/>
  <c r="F22" i="117"/>
  <c r="P26" i="174"/>
  <c r="K26" i="116"/>
  <c r="H27" i="174"/>
  <c r="I27" i="173"/>
  <c r="O26" i="172"/>
  <c r="P27" i="115"/>
  <c r="P26" i="120"/>
  <c r="E22" i="116"/>
  <c r="P30" i="116"/>
  <c r="K27" i="174"/>
  <c r="E21" i="197"/>
  <c r="G30" i="118"/>
  <c r="L26" i="118"/>
  <c r="M27" i="114"/>
  <c r="O27" i="173"/>
  <c r="G26" i="197"/>
  <c r="F22" i="174"/>
  <c r="J27" i="197"/>
  <c r="J27" i="142" s="1"/>
  <c r="I27" i="174"/>
  <c r="M22" i="118"/>
  <c r="G26" i="118"/>
  <c r="F22" i="115"/>
  <c r="K30" i="115"/>
  <c r="P27" i="172"/>
  <c r="O30" i="114"/>
  <c r="O26" i="173"/>
  <c r="F26" i="172"/>
  <c r="G27" i="172"/>
  <c r="H21" i="118"/>
  <c r="L27" i="115"/>
  <c r="K26" i="172"/>
  <c r="I22" i="173"/>
  <c r="P22" i="113"/>
  <c r="E22" i="173"/>
  <c r="F27" i="173"/>
  <c r="J30" i="174"/>
  <c r="O27" i="115"/>
  <c r="I22" i="172"/>
  <c r="K30" i="172"/>
  <c r="M22" i="172"/>
  <c r="H30" i="172"/>
  <c r="E22" i="115"/>
  <c r="K22" i="174"/>
  <c r="E21" i="113"/>
  <c r="G22" i="197"/>
  <c r="I51" i="102"/>
  <c r="N21" i="176"/>
  <c r="I21" i="214"/>
  <c r="I22" i="214"/>
  <c r="G22" i="113"/>
  <c r="G21" i="113"/>
  <c r="F26" i="118"/>
  <c r="E26" i="174"/>
  <c r="F26" i="174"/>
  <c r="J21" i="172"/>
  <c r="J22" i="172"/>
  <c r="O22" i="115"/>
  <c r="O21" i="115"/>
  <c r="K27" i="172"/>
  <c r="L27" i="116"/>
  <c r="I26" i="113"/>
  <c r="K26" i="174"/>
  <c r="N27" i="197"/>
  <c r="N27" i="142" s="1"/>
  <c r="O27" i="197"/>
  <c r="O27" i="142" s="1"/>
  <c r="O26" i="114"/>
  <c r="L30" i="116"/>
  <c r="P26" i="117"/>
  <c r="G27" i="116"/>
  <c r="I27" i="197"/>
  <c r="I27" i="142" s="1"/>
  <c r="I27" i="114"/>
  <c r="L30" i="173"/>
  <c r="M30" i="114"/>
  <c r="H26" i="114"/>
  <c r="N27" i="113"/>
  <c r="P27" i="114"/>
  <c r="H27" i="114"/>
  <c r="G30" i="116"/>
  <c r="L27" i="114"/>
  <c r="I26" i="172"/>
  <c r="L30" i="197"/>
  <c r="L30" i="303" s="1"/>
  <c r="N30" i="172"/>
  <c r="J27" i="174"/>
  <c r="O22" i="197"/>
  <c r="N26" i="118"/>
  <c r="I30" i="115"/>
  <c r="K26" i="115"/>
  <c r="G26" i="172"/>
  <c r="F26" i="173"/>
  <c r="J26" i="172"/>
  <c r="I30" i="197"/>
  <c r="I30" i="303" s="1"/>
  <c r="G27" i="117"/>
  <c r="P27" i="117"/>
  <c r="P26" i="116"/>
  <c r="J26" i="117"/>
  <c r="P27" i="116"/>
  <c r="J30" i="117"/>
  <c r="L27" i="173"/>
  <c r="K27" i="115"/>
  <c r="K27" i="114"/>
  <c r="J27" i="117"/>
  <c r="K30" i="197"/>
  <c r="K30" i="303" s="1"/>
  <c r="E22" i="118"/>
  <c r="P27" i="113"/>
  <c r="M26" i="118"/>
  <c r="M26" i="113"/>
  <c r="G30" i="114"/>
  <c r="O27" i="118"/>
  <c r="N26" i="173"/>
  <c r="M26" i="172"/>
  <c r="M30" i="115"/>
  <c r="H22" i="113"/>
  <c r="F27" i="172"/>
  <c r="P30" i="117"/>
  <c r="N26" i="120"/>
  <c r="M26" i="115"/>
  <c r="G26" i="114"/>
  <c r="J26" i="174"/>
  <c r="G21" i="115"/>
  <c r="J22" i="117"/>
  <c r="O22" i="172"/>
  <c r="G21" i="197"/>
  <c r="J26" i="120"/>
  <c r="I26" i="120"/>
  <c r="H30" i="113"/>
  <c r="G26" i="113"/>
  <c r="K21" i="116"/>
  <c r="H26" i="174"/>
  <c r="J30" i="116"/>
  <c r="N30" i="118"/>
  <c r="L30" i="172"/>
  <c r="L30" i="113"/>
  <c r="F21" i="114"/>
  <c r="I30" i="113"/>
  <c r="F22" i="114"/>
  <c r="J22" i="118"/>
  <c r="H26" i="172"/>
  <c r="E21" i="173"/>
  <c r="F22" i="197"/>
  <c r="I22" i="121"/>
  <c r="I30" i="172"/>
  <c r="P22" i="173"/>
  <c r="L22" i="172"/>
  <c r="P21" i="172"/>
  <c r="P22" i="172"/>
  <c r="N21" i="173"/>
  <c r="N22" i="173"/>
  <c r="O22" i="173"/>
  <c r="M22" i="173"/>
  <c r="P22" i="214"/>
  <c r="P21" i="214"/>
  <c r="F27" i="197"/>
  <c r="E27" i="197"/>
  <c r="E27" i="142" s="1"/>
  <c r="N21" i="114"/>
  <c r="N22" i="114"/>
  <c r="F30" i="172"/>
  <c r="E30" i="172"/>
  <c r="E30" i="173"/>
  <c r="F30" i="173"/>
  <c r="F22" i="118"/>
  <c r="F30" i="114"/>
  <c r="E30" i="114"/>
  <c r="H30" i="116"/>
  <c r="H54" i="102"/>
  <c r="H30" i="173"/>
  <c r="O22" i="114"/>
  <c r="K30" i="114"/>
  <c r="J30" i="118"/>
  <c r="P30" i="197"/>
  <c r="P30" i="303" s="1"/>
  <c r="L26" i="113"/>
  <c r="I27" i="115"/>
  <c r="L26" i="117"/>
  <c r="L26" i="115"/>
  <c r="H22" i="118"/>
  <c r="N27" i="114"/>
  <c r="F26" i="115"/>
  <c r="O21" i="139"/>
  <c r="N26" i="116"/>
  <c r="M22" i="115"/>
  <c r="E26" i="116"/>
  <c r="H27" i="115"/>
  <c r="O26" i="117"/>
  <c r="M27" i="118"/>
  <c r="J22" i="115"/>
  <c r="J26" i="116"/>
  <c r="M27" i="174"/>
  <c r="P26" i="172"/>
  <c r="N26" i="115"/>
  <c r="O30" i="117"/>
  <c r="K30" i="116"/>
  <c r="J26" i="114"/>
  <c r="P26" i="115"/>
  <c r="F27" i="118"/>
  <c r="L27" i="197"/>
  <c r="L27" i="142" s="1"/>
  <c r="H26" i="118"/>
  <c r="N30" i="197"/>
  <c r="N30" i="303" s="1"/>
  <c r="F27" i="174"/>
  <c r="H27" i="197"/>
  <c r="H27" i="142" s="1"/>
  <c r="E27" i="116"/>
  <c r="L30" i="117"/>
  <c r="J27" i="173"/>
  <c r="N27" i="115"/>
  <c r="H27" i="117"/>
  <c r="M30" i="197"/>
  <c r="M30" i="303" s="1"/>
  <c r="M27" i="172"/>
  <c r="I30" i="173"/>
  <c r="M27" i="197"/>
  <c r="M27" i="142" s="1"/>
  <c r="O21" i="113"/>
  <c r="L27" i="174"/>
  <c r="G26" i="173"/>
  <c r="K27" i="118"/>
  <c r="L30" i="114"/>
  <c r="P30" i="114"/>
  <c r="I26" i="173"/>
  <c r="F22" i="172"/>
  <c r="G30" i="115"/>
  <c r="J27" i="172"/>
  <c r="K26" i="118"/>
  <c r="M26" i="120"/>
  <c r="O26" i="113"/>
  <c r="H27" i="118"/>
  <c r="N27" i="174"/>
  <c r="H26" i="115"/>
  <c r="L26" i="114"/>
  <c r="O26" i="174"/>
  <c r="M30" i="113"/>
  <c r="K30" i="113"/>
  <c r="O22" i="117"/>
  <c r="N30" i="113"/>
  <c r="G30" i="117"/>
  <c r="J26" i="118"/>
  <c r="K22" i="172"/>
  <c r="G22" i="117"/>
  <c r="N27" i="173"/>
  <c r="K27" i="173"/>
  <c r="H22" i="117"/>
  <c r="E21" i="174"/>
  <c r="O27" i="117"/>
  <c r="J30" i="172"/>
  <c r="E22" i="174"/>
  <c r="G22" i="173"/>
  <c r="G21" i="173"/>
  <c r="E22" i="121"/>
  <c r="F22" i="116"/>
  <c r="F21" i="116"/>
  <c r="J21" i="124"/>
  <c r="J21" i="114"/>
  <c r="J22" i="114"/>
  <c r="R12" i="102"/>
  <c r="E22" i="114"/>
  <c r="E21" i="114"/>
  <c r="E27" i="114"/>
  <c r="E21" i="175"/>
  <c r="E27" i="175"/>
  <c r="E28" i="113"/>
  <c r="E29" i="113"/>
  <c r="Q15" i="102"/>
  <c r="J21" i="122"/>
  <c r="E29" i="118"/>
  <c r="F30" i="126"/>
  <c r="E30" i="121"/>
  <c r="E22" i="126"/>
  <c r="E26" i="126"/>
  <c r="E29" i="126" s="1"/>
  <c r="E21" i="126"/>
  <c r="E27" i="123"/>
  <c r="L21" i="120"/>
  <c r="L22" i="120"/>
  <c r="E26" i="176"/>
  <c r="E26" i="182" s="1"/>
  <c r="L21" i="121"/>
  <c r="E28" i="118"/>
  <c r="L21" i="123"/>
  <c r="N22" i="207"/>
  <c r="M29" i="214"/>
  <c r="N28" i="214"/>
  <c r="J28" i="214"/>
  <c r="F22" i="207"/>
  <c r="F21" i="207"/>
  <c r="F26" i="207"/>
  <c r="L28" i="214"/>
  <c r="L29" i="214"/>
  <c r="N96" i="102"/>
  <c r="I29" i="214"/>
  <c r="I28" i="214"/>
  <c r="F30" i="142" l="1"/>
  <c r="F30" i="300"/>
  <c r="I30" i="142"/>
  <c r="I30" i="300"/>
  <c r="L30" i="142"/>
  <c r="L30" i="300"/>
  <c r="H30" i="142"/>
  <c r="H30" i="300"/>
  <c r="N30" i="142"/>
  <c r="N30" i="300"/>
  <c r="K30" i="142"/>
  <c r="K30" i="300"/>
  <c r="J30" i="142"/>
  <c r="J30" i="300"/>
  <c r="P30" i="142"/>
  <c r="P30" i="300"/>
  <c r="G30" i="142"/>
  <c r="G30" i="300"/>
  <c r="O30" i="142"/>
  <c r="O30" i="300"/>
  <c r="M30" i="142"/>
  <c r="M30" i="300"/>
  <c r="E30" i="142"/>
  <c r="E30" i="300"/>
  <c r="F27" i="142"/>
  <c r="E26" i="140"/>
  <c r="N28" i="115"/>
  <c r="G27" i="142"/>
  <c r="G29" i="197"/>
  <c r="G28" i="174"/>
  <c r="J28" i="172"/>
  <c r="O26" i="135"/>
  <c r="L26" i="135"/>
  <c r="O29" i="115"/>
  <c r="M28" i="174"/>
  <c r="L28" i="172"/>
  <c r="E30" i="183"/>
  <c r="I28" i="117"/>
  <c r="E27" i="139"/>
  <c r="E30" i="136"/>
  <c r="G28" i="113"/>
  <c r="G26" i="135"/>
  <c r="I28" i="113"/>
  <c r="I26" i="135"/>
  <c r="K29" i="113"/>
  <c r="K26" i="135"/>
  <c r="J28" i="113"/>
  <c r="J26" i="135"/>
  <c r="F26" i="142"/>
  <c r="E28" i="174"/>
  <c r="F30" i="141"/>
  <c r="J28" i="116"/>
  <c r="H26" i="135"/>
  <c r="M26" i="135"/>
  <c r="P26" i="135"/>
  <c r="E29" i="172"/>
  <c r="E27" i="181"/>
  <c r="E26" i="141"/>
  <c r="E28" i="141" s="1"/>
  <c r="N26" i="135"/>
  <c r="F28" i="113"/>
  <c r="F26" i="135"/>
  <c r="F29" i="117"/>
  <c r="S5" i="114"/>
  <c r="S6" i="114" s="1"/>
  <c r="F28" i="214"/>
  <c r="G29" i="214"/>
  <c r="O28" i="214"/>
  <c r="K28" i="214"/>
  <c r="I85" i="102"/>
  <c r="I96" i="102"/>
  <c r="O96" i="102"/>
  <c r="O29" i="117"/>
  <c r="N54" i="102"/>
  <c r="N7" i="102"/>
  <c r="Q11" i="102"/>
  <c r="N76" i="102"/>
  <c r="I91" i="102"/>
  <c r="I57" i="102"/>
  <c r="I70" i="102"/>
  <c r="I39" i="102"/>
  <c r="I88" i="102"/>
  <c r="I60" i="102"/>
  <c r="I48" i="102"/>
  <c r="I63" i="102"/>
  <c r="I97" i="102"/>
  <c r="O28" i="115"/>
  <c r="S5" i="174"/>
  <c r="S6" i="174" s="1"/>
  <c r="G44" i="102"/>
  <c r="Q44" i="102" s="1"/>
  <c r="I42" i="102"/>
  <c r="I79" i="102"/>
  <c r="P22" i="120"/>
  <c r="S5" i="115"/>
  <c r="S6" i="115" s="1"/>
  <c r="M70" i="102"/>
  <c r="R70" i="102" s="1"/>
  <c r="N22" i="176"/>
  <c r="F22" i="177"/>
  <c r="K22" i="122"/>
  <c r="P29" i="214"/>
  <c r="S4" i="214"/>
  <c r="S5" i="173"/>
  <c r="S6" i="173" s="1"/>
  <c r="M29" i="116"/>
  <c r="F29" i="116"/>
  <c r="I73" i="102"/>
  <c r="F28" i="116"/>
  <c r="I45" i="102"/>
  <c r="M21" i="120"/>
  <c r="M21" i="138"/>
  <c r="I76" i="102"/>
  <c r="I82" i="102"/>
  <c r="H43" i="102"/>
  <c r="H61" i="102"/>
  <c r="H29" i="214"/>
  <c r="H28" i="214"/>
  <c r="F27" i="121"/>
  <c r="F27" i="136" s="1"/>
  <c r="J22" i="120"/>
  <c r="G29" i="173"/>
  <c r="O22" i="121"/>
  <c r="F28" i="114"/>
  <c r="G27" i="126"/>
  <c r="G27" i="141" s="1"/>
  <c r="S4" i="113"/>
  <c r="N36" i="102"/>
  <c r="S5" i="120"/>
  <c r="S6" i="120" s="1"/>
  <c r="G38" i="102"/>
  <c r="Q38" i="102" s="1"/>
  <c r="N48" i="102"/>
  <c r="M36" i="102"/>
  <c r="R36" i="102" s="1"/>
  <c r="H49" i="102"/>
  <c r="I49" i="102" s="1"/>
  <c r="G22" i="207"/>
  <c r="P22" i="123"/>
  <c r="S5" i="117"/>
  <c r="S6" i="117" s="1"/>
  <c r="M48" i="102"/>
  <c r="R48" i="102" s="1"/>
  <c r="N42" i="102"/>
  <c r="G77" i="102"/>
  <c r="Q77" i="102" s="1"/>
  <c r="F26" i="176"/>
  <c r="F26" i="182" s="1"/>
  <c r="R11" i="102"/>
  <c r="J21" i="135"/>
  <c r="S5" i="116"/>
  <c r="S6" i="116" s="1"/>
  <c r="J30" i="175"/>
  <c r="J30" i="181" s="1"/>
  <c r="N22" i="123"/>
  <c r="G71" i="102"/>
  <c r="Q71" i="102" s="1"/>
  <c r="P21" i="122"/>
  <c r="O21" i="136"/>
  <c r="J29" i="172"/>
  <c r="M22" i="182"/>
  <c r="J21" i="120"/>
  <c r="J21" i="136"/>
  <c r="O85" i="102"/>
  <c r="O22" i="177"/>
  <c r="H29" i="116"/>
  <c r="L21" i="122"/>
  <c r="O22" i="123"/>
  <c r="P28" i="174"/>
  <c r="I29" i="116"/>
  <c r="H21" i="177"/>
  <c r="S4" i="115"/>
  <c r="H89" i="102"/>
  <c r="K28" i="173"/>
  <c r="J22" i="142"/>
  <c r="G26" i="175"/>
  <c r="G26" i="181" s="1"/>
  <c r="E22" i="176"/>
  <c r="K21" i="124"/>
  <c r="J22" i="183"/>
  <c r="G22" i="124"/>
  <c r="L28" i="115"/>
  <c r="K28" i="174"/>
  <c r="J29" i="173"/>
  <c r="P22" i="175"/>
  <c r="L29" i="174"/>
  <c r="O73" i="102"/>
  <c r="O13" i="102"/>
  <c r="I36" i="102"/>
  <c r="N15" i="102"/>
  <c r="J27" i="177"/>
  <c r="J27" i="183" s="1"/>
  <c r="G26" i="126"/>
  <c r="I29" i="115"/>
  <c r="M29" i="113"/>
  <c r="G26" i="207"/>
  <c r="G28" i="207" s="1"/>
  <c r="N21" i="122"/>
  <c r="J27" i="123"/>
  <c r="J27" i="139" s="1"/>
  <c r="N21" i="124"/>
  <c r="M60" i="102"/>
  <c r="R60" i="102" s="1"/>
  <c r="F27" i="123"/>
  <c r="F27" i="139" s="1"/>
  <c r="G27" i="123"/>
  <c r="G27" i="139" s="1"/>
  <c r="I30" i="175"/>
  <c r="I30" i="181" s="1"/>
  <c r="H21" i="123"/>
  <c r="E28" i="172"/>
  <c r="K22" i="175"/>
  <c r="M29" i="117"/>
  <c r="F21" i="124"/>
  <c r="P22" i="207"/>
  <c r="O28" i="116"/>
  <c r="F22" i="124"/>
  <c r="H30" i="122"/>
  <c r="H30" i="138" s="1"/>
  <c r="G22" i="126"/>
  <c r="G30" i="122"/>
  <c r="G30" i="138" s="1"/>
  <c r="H26" i="126"/>
  <c r="H26" i="141" s="1"/>
  <c r="G26" i="124"/>
  <c r="G26" i="140" s="1"/>
  <c r="F21" i="140"/>
  <c r="F22" i="120"/>
  <c r="O27" i="124"/>
  <c r="O27" i="140" s="1"/>
  <c r="J26" i="140"/>
  <c r="K21" i="182"/>
  <c r="I13" i="102"/>
  <c r="F28" i="173"/>
  <c r="I28" i="174"/>
  <c r="K29" i="117"/>
  <c r="O97" i="102"/>
  <c r="E29" i="117"/>
  <c r="I27" i="123"/>
  <c r="I27" i="139" s="1"/>
  <c r="N29" i="117"/>
  <c r="O51" i="102"/>
  <c r="J21" i="126"/>
  <c r="K21" i="123"/>
  <c r="E28" i="117"/>
  <c r="I21" i="123"/>
  <c r="K28" i="113"/>
  <c r="K21" i="120"/>
  <c r="N22" i="122"/>
  <c r="P21" i="126"/>
  <c r="O22" i="176"/>
  <c r="F29" i="113"/>
  <c r="P21" i="181"/>
  <c r="N21" i="120"/>
  <c r="L29" i="114"/>
  <c r="L28" i="174"/>
  <c r="I22" i="122"/>
  <c r="P29" i="117"/>
  <c r="P28" i="114"/>
  <c r="O91" i="102"/>
  <c r="H26" i="124"/>
  <c r="H26" i="140" s="1"/>
  <c r="O79" i="102"/>
  <c r="G28" i="114"/>
  <c r="F28" i="172"/>
  <c r="K28" i="114"/>
  <c r="O27" i="177"/>
  <c r="O27" i="183" s="1"/>
  <c r="K29" i="173"/>
  <c r="J29" i="113"/>
  <c r="H27" i="121"/>
  <c r="H27" i="136" s="1"/>
  <c r="F22" i="123"/>
  <c r="S4" i="114"/>
  <c r="J27" i="121"/>
  <c r="J27" i="136" s="1"/>
  <c r="O21" i="182"/>
  <c r="K27" i="124"/>
  <c r="K27" i="140" s="1"/>
  <c r="I21" i="183"/>
  <c r="L21" i="140"/>
  <c r="F21" i="123"/>
  <c r="L22" i="126"/>
  <c r="I29" i="174"/>
  <c r="K22" i="176"/>
  <c r="J22" i="124"/>
  <c r="N29" i="114"/>
  <c r="H22" i="123"/>
  <c r="O39" i="102"/>
  <c r="F27" i="176"/>
  <c r="P29" i="174"/>
  <c r="N29" i="118"/>
  <c r="M29" i="114"/>
  <c r="O29" i="116"/>
  <c r="N27" i="177"/>
  <c r="N27" i="183" s="1"/>
  <c r="G28" i="117"/>
  <c r="P28" i="173"/>
  <c r="J29" i="116"/>
  <c r="H22" i="177"/>
  <c r="F28" i="115"/>
  <c r="H30" i="175"/>
  <c r="H30" i="181" s="1"/>
  <c r="I22" i="176"/>
  <c r="P29" i="115"/>
  <c r="G22" i="177"/>
  <c r="L27" i="122"/>
  <c r="L27" i="138" s="1"/>
  <c r="P21" i="176"/>
  <c r="N28" i="114"/>
  <c r="I28" i="115"/>
  <c r="P28" i="115"/>
  <c r="G89" i="102"/>
  <c r="G30" i="120"/>
  <c r="G30" i="135" s="1"/>
  <c r="I30" i="120"/>
  <c r="I30" i="135" s="1"/>
  <c r="M29" i="172"/>
  <c r="M21" i="126"/>
  <c r="F21" i="139"/>
  <c r="F21" i="120"/>
  <c r="M42" i="102"/>
  <c r="R42" i="102" s="1"/>
  <c r="I27" i="177"/>
  <c r="I27" i="183" s="1"/>
  <c r="I22" i="124"/>
  <c r="H30" i="121"/>
  <c r="H30" i="136" s="1"/>
  <c r="K27" i="123"/>
  <c r="K27" i="139" s="1"/>
  <c r="F29" i="115"/>
  <c r="E27" i="124"/>
  <c r="F27" i="124"/>
  <c r="F27" i="140" s="1"/>
  <c r="F29" i="140" s="1"/>
  <c r="E30" i="175"/>
  <c r="E30" i="181" s="1"/>
  <c r="H21" i="121"/>
  <c r="E22" i="124"/>
  <c r="K29" i="114"/>
  <c r="G29" i="117"/>
  <c r="J28" i="174"/>
  <c r="L21" i="182"/>
  <c r="J22" i="126"/>
  <c r="J26" i="177"/>
  <c r="J26" i="183" s="1"/>
  <c r="J29" i="114"/>
  <c r="L29" i="173"/>
  <c r="J21" i="123"/>
  <c r="O21" i="126"/>
  <c r="O22" i="126"/>
  <c r="L22" i="122"/>
  <c r="P21" i="121"/>
  <c r="E22" i="175"/>
  <c r="L22" i="176"/>
  <c r="I21" i="182"/>
  <c r="L27" i="124"/>
  <c r="L27" i="140" s="1"/>
  <c r="F30" i="121"/>
  <c r="F30" i="136" s="1"/>
  <c r="S4" i="197"/>
  <c r="M54" i="102"/>
  <c r="G43" i="102"/>
  <c r="Q43" i="102" s="1"/>
  <c r="H22" i="121"/>
  <c r="E26" i="175"/>
  <c r="E28" i="175" s="1"/>
  <c r="G21" i="139"/>
  <c r="H27" i="123"/>
  <c r="H27" i="139" s="1"/>
  <c r="L27" i="123"/>
  <c r="L27" i="139" s="1"/>
  <c r="O29" i="174"/>
  <c r="F29" i="118"/>
  <c r="L28" i="117"/>
  <c r="M22" i="177"/>
  <c r="M22" i="121"/>
  <c r="P29" i="113"/>
  <c r="J29" i="117"/>
  <c r="K28" i="115"/>
  <c r="P28" i="116"/>
  <c r="G29" i="116"/>
  <c r="P22" i="121"/>
  <c r="G21" i="177"/>
  <c r="P22" i="138"/>
  <c r="K29" i="172"/>
  <c r="E30" i="122"/>
  <c r="E30" i="138" s="1"/>
  <c r="E21" i="121"/>
  <c r="G27" i="121"/>
  <c r="G27" i="136" s="1"/>
  <c r="P22" i="177"/>
  <c r="M15" i="102"/>
  <c r="R15" i="102" s="1"/>
  <c r="L26" i="126"/>
  <c r="L26" i="141" s="1"/>
  <c r="G29" i="174"/>
  <c r="L29" i="118"/>
  <c r="G28" i="173"/>
  <c r="G21" i="124"/>
  <c r="N21" i="177"/>
  <c r="N22" i="177"/>
  <c r="E28" i="173"/>
  <c r="E29" i="173"/>
  <c r="H28" i="113"/>
  <c r="H29" i="113"/>
  <c r="S5" i="113"/>
  <c r="S6" i="113" s="1"/>
  <c r="M28" i="117"/>
  <c r="M28" i="116"/>
  <c r="M22" i="124"/>
  <c r="E27" i="177"/>
  <c r="E27" i="183" s="1"/>
  <c r="M27" i="177"/>
  <c r="M27" i="183" s="1"/>
  <c r="F27" i="175"/>
  <c r="F27" i="181" s="1"/>
  <c r="G26" i="176"/>
  <c r="G26" i="182" s="1"/>
  <c r="I26" i="176"/>
  <c r="I26" i="182" s="1"/>
  <c r="F22" i="176"/>
  <c r="H27" i="124"/>
  <c r="H27" i="140" s="1"/>
  <c r="M27" i="124"/>
  <c r="M27" i="140" s="1"/>
  <c r="I27" i="124"/>
  <c r="I27" i="140" s="1"/>
  <c r="G21" i="126"/>
  <c r="I26" i="124"/>
  <c r="I26" i="140" s="1"/>
  <c r="O22" i="139"/>
  <c r="J28" i="118"/>
  <c r="M28" i="118"/>
  <c r="L28" i="113"/>
  <c r="O22" i="122"/>
  <c r="M28" i="115"/>
  <c r="I29" i="172"/>
  <c r="N29" i="113"/>
  <c r="P28" i="117"/>
  <c r="O45" i="102"/>
  <c r="P29" i="173"/>
  <c r="G21" i="123"/>
  <c r="P29" i="114"/>
  <c r="N29" i="174"/>
  <c r="I27" i="175"/>
  <c r="I27" i="181" s="1"/>
  <c r="N28" i="117"/>
  <c r="H29" i="117"/>
  <c r="N60" i="102"/>
  <c r="R10" i="102"/>
  <c r="L29" i="116"/>
  <c r="L28" i="116"/>
  <c r="K21" i="121"/>
  <c r="K22" i="121"/>
  <c r="P26" i="176"/>
  <c r="P26" i="182" s="1"/>
  <c r="J26" i="176"/>
  <c r="J26" i="182" s="1"/>
  <c r="K26" i="176"/>
  <c r="K26" i="182" s="1"/>
  <c r="L29" i="117"/>
  <c r="H77" i="102"/>
  <c r="H21" i="176"/>
  <c r="H22" i="176"/>
  <c r="P28" i="118"/>
  <c r="P29" i="118"/>
  <c r="M28" i="173"/>
  <c r="M29" i="173"/>
  <c r="E29" i="115"/>
  <c r="E28" i="115"/>
  <c r="L28" i="173"/>
  <c r="G83" i="102"/>
  <c r="H21" i="175"/>
  <c r="H22" i="175"/>
  <c r="F26" i="175"/>
  <c r="F26" i="181" s="1"/>
  <c r="I26" i="175"/>
  <c r="I26" i="181" s="1"/>
  <c r="O26" i="175"/>
  <c r="O26" i="181" s="1"/>
  <c r="M27" i="121"/>
  <c r="M27" i="136" s="1"/>
  <c r="P22" i="126"/>
  <c r="H26" i="175"/>
  <c r="H26" i="181" s="1"/>
  <c r="P27" i="176"/>
  <c r="P27" i="182" s="1"/>
  <c r="G22" i="123"/>
  <c r="N88" i="102"/>
  <c r="S4" i="174"/>
  <c r="H29" i="174"/>
  <c r="S4" i="172"/>
  <c r="N82" i="102"/>
  <c r="S4" i="173"/>
  <c r="H29" i="173"/>
  <c r="I22" i="120"/>
  <c r="I21" i="120"/>
  <c r="G27" i="122"/>
  <c r="G27" i="138" s="1"/>
  <c r="F27" i="122"/>
  <c r="F27" i="138" s="1"/>
  <c r="O27" i="122"/>
  <c r="O27" i="138" s="1"/>
  <c r="H26" i="177"/>
  <c r="H26" i="183" s="1"/>
  <c r="F26" i="177"/>
  <c r="F26" i="183" s="1"/>
  <c r="E21" i="177"/>
  <c r="G26" i="177"/>
  <c r="G26" i="183" s="1"/>
  <c r="M26" i="177"/>
  <c r="M26" i="183" s="1"/>
  <c r="N28" i="172"/>
  <c r="N29" i="172"/>
  <c r="I22" i="175"/>
  <c r="N22" i="124"/>
  <c r="N28" i="116"/>
  <c r="N29" i="116"/>
  <c r="E21" i="123"/>
  <c r="E22" i="123"/>
  <c r="J26" i="123"/>
  <c r="J26" i="139" s="1"/>
  <c r="I26" i="123"/>
  <c r="I26" i="139" s="1"/>
  <c r="S4" i="118"/>
  <c r="N70" i="102"/>
  <c r="J27" i="175"/>
  <c r="J27" i="181" s="1"/>
  <c r="K27" i="175"/>
  <c r="K27" i="181" s="1"/>
  <c r="G27" i="120"/>
  <c r="H27" i="120"/>
  <c r="I27" i="120"/>
  <c r="N27" i="120"/>
  <c r="F28" i="197"/>
  <c r="F29" i="197"/>
  <c r="P30" i="123"/>
  <c r="P30" i="139" s="1"/>
  <c r="I30" i="123"/>
  <c r="I30" i="139" s="1"/>
  <c r="M30" i="123"/>
  <c r="M30" i="139" s="1"/>
  <c r="N30" i="123"/>
  <c r="N30" i="139" s="1"/>
  <c r="G29" i="114"/>
  <c r="P30" i="120"/>
  <c r="P30" i="135" s="1"/>
  <c r="L30" i="121"/>
  <c r="L30" i="136" s="1"/>
  <c r="P30" i="121"/>
  <c r="P30" i="136" s="1"/>
  <c r="K30" i="121"/>
  <c r="K30" i="136" s="1"/>
  <c r="M30" i="121"/>
  <c r="M30" i="136" s="1"/>
  <c r="G30" i="121"/>
  <c r="G30" i="136" s="1"/>
  <c r="I29" i="118"/>
  <c r="I28" i="118"/>
  <c r="N30" i="122"/>
  <c r="N30" i="138" s="1"/>
  <c r="N26" i="126"/>
  <c r="N26" i="141" s="1"/>
  <c r="K26" i="175"/>
  <c r="K26" i="181" s="1"/>
  <c r="G26" i="123"/>
  <c r="G26" i="139" s="1"/>
  <c r="L30" i="120"/>
  <c r="L30" i="135" s="1"/>
  <c r="F26" i="123"/>
  <c r="M22" i="139"/>
  <c r="L22" i="175"/>
  <c r="G29" i="118"/>
  <c r="G28" i="118"/>
  <c r="I29" i="117"/>
  <c r="F26" i="122"/>
  <c r="F26" i="138" s="1"/>
  <c r="E21" i="122"/>
  <c r="M26" i="122"/>
  <c r="M26" i="138" s="1"/>
  <c r="I26" i="122"/>
  <c r="I26" i="138" s="1"/>
  <c r="E26" i="122"/>
  <c r="G26" i="122"/>
  <c r="G26" i="138" s="1"/>
  <c r="E30" i="176"/>
  <c r="E30" i="182" s="1"/>
  <c r="M30" i="176"/>
  <c r="M30" i="182" s="1"/>
  <c r="G30" i="176"/>
  <c r="G30" i="182" s="1"/>
  <c r="H30" i="176"/>
  <c r="H30" i="182" s="1"/>
  <c r="O30" i="176"/>
  <c r="O30" i="182" s="1"/>
  <c r="H21" i="126"/>
  <c r="H27" i="126"/>
  <c r="H27" i="141" s="1"/>
  <c r="O22" i="135"/>
  <c r="J28" i="115"/>
  <c r="J29" i="115"/>
  <c r="O26" i="124"/>
  <c r="O26" i="140" s="1"/>
  <c r="M26" i="176"/>
  <c r="M26" i="182" s="1"/>
  <c r="O29" i="113"/>
  <c r="O29" i="118"/>
  <c r="N28" i="118"/>
  <c r="E28" i="126"/>
  <c r="F30" i="122"/>
  <c r="F30" i="138" s="1"/>
  <c r="P27" i="123"/>
  <c r="P27" i="139" s="1"/>
  <c r="H28" i="114"/>
  <c r="K29" i="174"/>
  <c r="L28" i="118"/>
  <c r="O26" i="126"/>
  <c r="O26" i="141" s="1"/>
  <c r="M30" i="124"/>
  <c r="P26" i="126"/>
  <c r="P26" i="141" s="1"/>
  <c r="G22" i="121"/>
  <c r="N30" i="124"/>
  <c r="J27" i="124"/>
  <c r="J27" i="140" s="1"/>
  <c r="J26" i="126"/>
  <c r="J26" i="141" s="1"/>
  <c r="H26" i="176"/>
  <c r="H26" i="182" s="1"/>
  <c r="N30" i="175"/>
  <c r="N30" i="181" s="1"/>
  <c r="G27" i="176"/>
  <c r="G27" i="182" s="1"/>
  <c r="I27" i="121"/>
  <c r="I27" i="136" s="1"/>
  <c r="N26" i="176"/>
  <c r="N26" i="182" s="1"/>
  <c r="G29" i="113"/>
  <c r="G27" i="124"/>
  <c r="N27" i="124"/>
  <c r="N27" i="140" s="1"/>
  <c r="F30" i="120"/>
  <c r="F30" i="135" s="1"/>
  <c r="N28" i="113"/>
  <c r="H30" i="120"/>
  <c r="H30" i="135" s="1"/>
  <c r="J28" i="114"/>
  <c r="J27" i="126"/>
  <c r="J27" i="141" s="1"/>
  <c r="H28" i="172"/>
  <c r="H28" i="174"/>
  <c r="F29" i="172"/>
  <c r="M28" i="113"/>
  <c r="G28" i="172"/>
  <c r="K28" i="172"/>
  <c r="O29" i="173"/>
  <c r="O28" i="172"/>
  <c r="F21" i="182"/>
  <c r="M29" i="115"/>
  <c r="N30" i="126"/>
  <c r="N30" i="141" s="1"/>
  <c r="J22" i="176"/>
  <c r="I29" i="114"/>
  <c r="G29" i="115"/>
  <c r="K28" i="117"/>
  <c r="P21" i="141"/>
  <c r="G21" i="175"/>
  <c r="F29" i="114"/>
  <c r="N21" i="121"/>
  <c r="I54" i="102"/>
  <c r="P27" i="121"/>
  <c r="P27" i="136" s="1"/>
  <c r="H29" i="114"/>
  <c r="P21" i="142"/>
  <c r="O26" i="176"/>
  <c r="O26" i="182" s="1"/>
  <c r="P22" i="176"/>
  <c r="M26" i="126"/>
  <c r="M26" i="141" s="1"/>
  <c r="O27" i="175"/>
  <c r="O27" i="181" s="1"/>
  <c r="L26" i="176"/>
  <c r="L26" i="182" s="1"/>
  <c r="S4" i="116"/>
  <c r="I26" i="126"/>
  <c r="I26" i="141" s="1"/>
  <c r="F21" i="176"/>
  <c r="E27" i="121"/>
  <c r="E27" i="136" s="1"/>
  <c r="L30" i="175"/>
  <c r="L30" i="181" s="1"/>
  <c r="K30" i="175"/>
  <c r="K30" i="181" s="1"/>
  <c r="H28" i="116"/>
  <c r="K26" i="126"/>
  <c r="K26" i="141" s="1"/>
  <c r="F26" i="126"/>
  <c r="F26" i="141" s="1"/>
  <c r="J22" i="177"/>
  <c r="K26" i="123"/>
  <c r="K26" i="139" s="1"/>
  <c r="H26" i="122"/>
  <c r="H26" i="138" s="1"/>
  <c r="N29" i="173"/>
  <c r="N28" i="174"/>
  <c r="E29" i="116"/>
  <c r="L29" i="115"/>
  <c r="O27" i="126"/>
  <c r="O27" i="141" s="1"/>
  <c r="L28" i="114"/>
  <c r="O28" i="114"/>
  <c r="F29" i="173"/>
  <c r="P28" i="172"/>
  <c r="G28" i="197"/>
  <c r="M28" i="114"/>
  <c r="I29" i="173"/>
  <c r="O57" i="102"/>
  <c r="O63" i="102"/>
  <c r="J28" i="173"/>
  <c r="G27" i="177"/>
  <c r="G27" i="183" s="1"/>
  <c r="K29" i="116"/>
  <c r="N21" i="126"/>
  <c r="N22" i="126"/>
  <c r="H27" i="122"/>
  <c r="H27" i="138" s="1"/>
  <c r="O30" i="124"/>
  <c r="G30" i="177"/>
  <c r="G30" i="183" s="1"/>
  <c r="O30" i="123"/>
  <c r="O30" i="139" s="1"/>
  <c r="I30" i="124"/>
  <c r="J30" i="124"/>
  <c r="P30" i="175"/>
  <c r="P30" i="181" s="1"/>
  <c r="N26" i="122"/>
  <c r="N26" i="138" s="1"/>
  <c r="E30" i="126"/>
  <c r="E30" i="141" s="1"/>
  <c r="K30" i="177"/>
  <c r="K30" i="183" s="1"/>
  <c r="M27" i="176"/>
  <c r="M27" i="182" s="1"/>
  <c r="J29" i="174"/>
  <c r="L26" i="122"/>
  <c r="L26" i="138" s="1"/>
  <c r="N26" i="124"/>
  <c r="N26" i="140" s="1"/>
  <c r="I30" i="126"/>
  <c r="I30" i="141" s="1"/>
  <c r="F22" i="121"/>
  <c r="M22" i="175"/>
  <c r="F30" i="124"/>
  <c r="H21" i="122"/>
  <c r="O22" i="142"/>
  <c r="M22" i="123"/>
  <c r="M21" i="123"/>
  <c r="L21" i="177"/>
  <c r="G30" i="175"/>
  <c r="G30" i="181" s="1"/>
  <c r="O27" i="121"/>
  <c r="O27" i="136" s="1"/>
  <c r="M27" i="122"/>
  <c r="O28" i="173"/>
  <c r="F22" i="122"/>
  <c r="G21" i="122"/>
  <c r="K27" i="122"/>
  <c r="K27" i="138" s="1"/>
  <c r="J29" i="118"/>
  <c r="K30" i="122"/>
  <c r="K30" i="138" s="1"/>
  <c r="P27" i="124"/>
  <c r="P27" i="140" s="1"/>
  <c r="L30" i="122"/>
  <c r="L30" i="138" s="1"/>
  <c r="M30" i="177"/>
  <c r="M30" i="183" s="1"/>
  <c r="I22" i="177"/>
  <c r="O28" i="118"/>
  <c r="J30" i="120"/>
  <c r="J30" i="135" s="1"/>
  <c r="H26" i="123"/>
  <c r="H26" i="139" s="1"/>
  <c r="L27" i="177"/>
  <c r="L27" i="183" s="1"/>
  <c r="N30" i="177"/>
  <c r="N30" i="183" s="1"/>
  <c r="P30" i="124"/>
  <c r="N27" i="175"/>
  <c r="N27" i="181" s="1"/>
  <c r="G28" i="116"/>
  <c r="O30" i="121"/>
  <c r="O30" i="136" s="1"/>
  <c r="F30" i="177"/>
  <c r="F30" i="183" s="1"/>
  <c r="P27" i="175"/>
  <c r="P27" i="181" s="1"/>
  <c r="K27" i="177"/>
  <c r="K27" i="183" s="1"/>
  <c r="K30" i="124"/>
  <c r="I27" i="126"/>
  <c r="I27" i="141" s="1"/>
  <c r="I28" i="116"/>
  <c r="M28" i="172"/>
  <c r="N27" i="121"/>
  <c r="N27" i="136" s="1"/>
  <c r="P29" i="172"/>
  <c r="H28" i="117"/>
  <c r="P26" i="177"/>
  <c r="P26" i="183" s="1"/>
  <c r="O27" i="120"/>
  <c r="J30" i="121"/>
  <c r="J30" i="136" s="1"/>
  <c r="P27" i="120"/>
  <c r="P27" i="135" s="1"/>
  <c r="J30" i="126"/>
  <c r="J30" i="141" s="1"/>
  <c r="O26" i="121"/>
  <c r="O26" i="136" s="1"/>
  <c r="K28" i="116"/>
  <c r="K30" i="120"/>
  <c r="K30" i="135" s="1"/>
  <c r="H28" i="118"/>
  <c r="O30" i="175"/>
  <c r="O30" i="181" s="1"/>
  <c r="L22" i="177"/>
  <c r="J26" i="175"/>
  <c r="J26" i="181" s="1"/>
  <c r="L26" i="175"/>
  <c r="L26" i="181" s="1"/>
  <c r="E30" i="123"/>
  <c r="E30" i="139" s="1"/>
  <c r="M30" i="175"/>
  <c r="M30" i="181" s="1"/>
  <c r="I27" i="176"/>
  <c r="I27" i="182" s="1"/>
  <c r="L27" i="121"/>
  <c r="L27" i="136" s="1"/>
  <c r="L26" i="123"/>
  <c r="L26" i="139" s="1"/>
  <c r="O29" i="172"/>
  <c r="O28" i="174"/>
  <c r="M26" i="175"/>
  <c r="M26" i="181" s="1"/>
  <c r="L29" i="172"/>
  <c r="L29" i="113"/>
  <c r="F22" i="136"/>
  <c r="M37" i="102"/>
  <c r="R37" i="102" s="1"/>
  <c r="P26" i="124"/>
  <c r="P26" i="140" s="1"/>
  <c r="K30" i="123"/>
  <c r="K30" i="139" s="1"/>
  <c r="L27" i="175"/>
  <c r="L27" i="181" s="1"/>
  <c r="O22" i="124"/>
  <c r="K26" i="124"/>
  <c r="K26" i="140" s="1"/>
  <c r="F21" i="175"/>
  <c r="G30" i="124"/>
  <c r="F27" i="126"/>
  <c r="F30" i="175"/>
  <c r="F30" i="181" s="1"/>
  <c r="L27" i="176"/>
  <c r="O27" i="123"/>
  <c r="O27" i="139" s="1"/>
  <c r="O28" i="117"/>
  <c r="K29" i="118"/>
  <c r="I28" i="173"/>
  <c r="P27" i="122"/>
  <c r="P27" i="138" s="1"/>
  <c r="N26" i="177"/>
  <c r="N26" i="183" s="1"/>
  <c r="P29" i="116"/>
  <c r="E22" i="177"/>
  <c r="H55" i="102"/>
  <c r="J22" i="121"/>
  <c r="H71" i="102"/>
  <c r="H22" i="126"/>
  <c r="O22" i="120"/>
  <c r="O21" i="120"/>
  <c r="E26" i="177"/>
  <c r="E26" i="183" s="1"/>
  <c r="F28" i="174"/>
  <c r="J27" i="122"/>
  <c r="J27" i="138" s="1"/>
  <c r="H30" i="124"/>
  <c r="N26" i="123"/>
  <c r="N26" i="139" s="1"/>
  <c r="H30" i="126"/>
  <c r="H30" i="141" s="1"/>
  <c r="M30" i="122"/>
  <c r="M30" i="138" s="1"/>
  <c r="P30" i="176"/>
  <c r="P30" i="182" s="1"/>
  <c r="F30" i="123"/>
  <c r="F30" i="139" s="1"/>
  <c r="N28" i="173"/>
  <c r="H30" i="123"/>
  <c r="H30" i="139" s="1"/>
  <c r="G28" i="115"/>
  <c r="M26" i="124"/>
  <c r="M26" i="140" s="1"/>
  <c r="J22" i="123"/>
  <c r="M27" i="123"/>
  <c r="M27" i="139" s="1"/>
  <c r="I27" i="122"/>
  <c r="I27" i="138" s="1"/>
  <c r="M27" i="120"/>
  <c r="O30" i="122"/>
  <c r="O30" i="138" s="1"/>
  <c r="G22" i="122"/>
  <c r="S4" i="117"/>
  <c r="M29" i="118"/>
  <c r="J30" i="123"/>
  <c r="J30" i="139" s="1"/>
  <c r="N30" i="121"/>
  <c r="N30" i="136" s="1"/>
  <c r="N27" i="122"/>
  <c r="N27" i="138" s="1"/>
  <c r="M27" i="126"/>
  <c r="M27" i="141" s="1"/>
  <c r="M27" i="175"/>
  <c r="M27" i="181" s="1"/>
  <c r="P26" i="121"/>
  <c r="P26" i="136" s="1"/>
  <c r="G30" i="123"/>
  <c r="G30" i="139" s="1"/>
  <c r="K27" i="126"/>
  <c r="K27" i="141" s="1"/>
  <c r="N27" i="126"/>
  <c r="N27" i="141" s="1"/>
  <c r="P27" i="177"/>
  <c r="P27" i="183" s="1"/>
  <c r="J28" i="117"/>
  <c r="L30" i="124"/>
  <c r="K27" i="120"/>
  <c r="E21" i="176"/>
  <c r="G30" i="126"/>
  <c r="G30" i="141" s="1"/>
  <c r="H29" i="118"/>
  <c r="K27" i="176"/>
  <c r="K27" i="182" s="1"/>
  <c r="L30" i="123"/>
  <c r="L30" i="139" s="1"/>
  <c r="P26" i="175"/>
  <c r="P26" i="181" s="1"/>
  <c r="L26" i="177"/>
  <c r="L26" i="183" s="1"/>
  <c r="K27" i="121"/>
  <c r="K27" i="136" s="1"/>
  <c r="M22" i="126"/>
  <c r="M29" i="174"/>
  <c r="N30" i="176"/>
  <c r="N30" i="182" s="1"/>
  <c r="I30" i="121"/>
  <c r="I30" i="136" s="1"/>
  <c r="N26" i="175"/>
  <c r="N26" i="181" s="1"/>
  <c r="H28" i="173"/>
  <c r="H26" i="121"/>
  <c r="H26" i="136" s="1"/>
  <c r="I26" i="177"/>
  <c r="I26" i="183" s="1"/>
  <c r="H27" i="175"/>
  <c r="H27" i="181" s="1"/>
  <c r="G27" i="175"/>
  <c r="G27" i="181" s="1"/>
  <c r="F22" i="175"/>
  <c r="O22" i="175"/>
  <c r="M76" i="102"/>
  <c r="R76" i="102" s="1"/>
  <c r="I30" i="176"/>
  <c r="I30" i="182" s="1"/>
  <c r="N29" i="115"/>
  <c r="E29" i="174"/>
  <c r="I28" i="114"/>
  <c r="L30" i="176"/>
  <c r="L30" i="182" s="1"/>
  <c r="K21" i="122"/>
  <c r="E29" i="114"/>
  <c r="E28" i="114"/>
  <c r="O12" i="102"/>
  <c r="E21" i="142"/>
  <c r="I21" i="126"/>
  <c r="I22" i="126"/>
  <c r="M82" i="102"/>
  <c r="R82" i="102" s="1"/>
  <c r="S5" i="172"/>
  <c r="S6" i="172" s="1"/>
  <c r="L22" i="123"/>
  <c r="N21" i="182"/>
  <c r="I30" i="122"/>
  <c r="I30" i="138" s="1"/>
  <c r="F21" i="122"/>
  <c r="K29" i="115"/>
  <c r="N27" i="123"/>
  <c r="N27" i="139" s="1"/>
  <c r="J27" i="120"/>
  <c r="L26" i="121"/>
  <c r="L26" i="136" s="1"/>
  <c r="I26" i="121"/>
  <c r="I26" i="136" s="1"/>
  <c r="O30" i="177"/>
  <c r="O30" i="183" s="1"/>
  <c r="O26" i="123"/>
  <c r="O26" i="139" s="1"/>
  <c r="M26" i="123"/>
  <c r="M26" i="139" s="1"/>
  <c r="M30" i="120"/>
  <c r="M30" i="135" s="1"/>
  <c r="K26" i="121"/>
  <c r="K26" i="136" s="1"/>
  <c r="O29" i="114"/>
  <c r="J26" i="121"/>
  <c r="O27" i="176"/>
  <c r="O27" i="182" s="1"/>
  <c r="L30" i="126"/>
  <c r="L30" i="141" s="1"/>
  <c r="O30" i="126"/>
  <c r="O30" i="141" s="1"/>
  <c r="N26" i="121"/>
  <c r="N26" i="136" s="1"/>
  <c r="P28" i="113"/>
  <c r="N27" i="176"/>
  <c r="N27" i="182" s="1"/>
  <c r="P26" i="123"/>
  <c r="P26" i="139" s="1"/>
  <c r="P30" i="122"/>
  <c r="P30" i="138" s="1"/>
  <c r="J30" i="177"/>
  <c r="J30" i="183" s="1"/>
  <c r="H29" i="115"/>
  <c r="L30" i="177"/>
  <c r="L30" i="183" s="1"/>
  <c r="S5" i="118"/>
  <c r="S6" i="118" s="1"/>
  <c r="P30" i="126"/>
  <c r="P30" i="141" s="1"/>
  <c r="O28" i="113"/>
  <c r="H28" i="115"/>
  <c r="M88" i="102"/>
  <c r="R88" i="102" s="1"/>
  <c r="F21" i="121"/>
  <c r="F22" i="140"/>
  <c r="Q12" i="102"/>
  <c r="I12" i="102"/>
  <c r="H37" i="102"/>
  <c r="I37" i="102" s="1"/>
  <c r="H21" i="120"/>
  <c r="H22" i="120"/>
  <c r="E26" i="123"/>
  <c r="E28" i="123" s="1"/>
  <c r="K28" i="118"/>
  <c r="F29" i="174"/>
  <c r="E28" i="116"/>
  <c r="K30" i="176"/>
  <c r="K30" i="182" s="1"/>
  <c r="J21" i="175"/>
  <c r="J22" i="175"/>
  <c r="E29" i="197"/>
  <c r="E28" i="197"/>
  <c r="K22" i="124"/>
  <c r="M21" i="177"/>
  <c r="I21" i="121"/>
  <c r="F21" i="126"/>
  <c r="F22" i="126"/>
  <c r="I21" i="175"/>
  <c r="M21" i="121"/>
  <c r="G61" i="102"/>
  <c r="H22" i="124"/>
  <c r="H21" i="124"/>
  <c r="G22" i="176"/>
  <c r="N21" i="123"/>
  <c r="F26" i="121"/>
  <c r="F26" i="136" s="1"/>
  <c r="E26" i="121"/>
  <c r="E26" i="136" s="1"/>
  <c r="G55" i="102"/>
  <c r="E27" i="120"/>
  <c r="E27" i="135" s="1"/>
  <c r="E21" i="120"/>
  <c r="E22" i="120"/>
  <c r="E29" i="214"/>
  <c r="E28" i="214"/>
  <c r="O21" i="122"/>
  <c r="P21" i="124"/>
  <c r="P22" i="124"/>
  <c r="K22" i="177"/>
  <c r="M26" i="207"/>
  <c r="M28" i="207" s="1"/>
  <c r="H22" i="122"/>
  <c r="J30" i="122"/>
  <c r="J30" i="138" s="1"/>
  <c r="I28" i="172"/>
  <c r="H29" i="172"/>
  <c r="L27" i="120"/>
  <c r="G29" i="172"/>
  <c r="M26" i="121"/>
  <c r="M26" i="136" s="1"/>
  <c r="L27" i="126"/>
  <c r="P27" i="126"/>
  <c r="P27" i="141" s="1"/>
  <c r="F27" i="120"/>
  <c r="I29" i="113"/>
  <c r="O26" i="122"/>
  <c r="O26" i="138" s="1"/>
  <c r="J26" i="122"/>
  <c r="J26" i="138" s="1"/>
  <c r="K26" i="122"/>
  <c r="K26" i="138" s="1"/>
  <c r="M30" i="126"/>
  <c r="M30" i="141" s="1"/>
  <c r="O30" i="120"/>
  <c r="O30" i="135" s="1"/>
  <c r="H27" i="176"/>
  <c r="H27" i="182" s="1"/>
  <c r="F28" i="118"/>
  <c r="K30" i="126"/>
  <c r="K30" i="141" s="1"/>
  <c r="J27" i="176"/>
  <c r="J27" i="182" s="1"/>
  <c r="P30" i="177"/>
  <c r="P30" i="183" s="1"/>
  <c r="O26" i="177"/>
  <c r="O26" i="183" s="1"/>
  <c r="H30" i="177"/>
  <c r="H30" i="183" s="1"/>
  <c r="I30" i="177"/>
  <c r="I30" i="183" s="1"/>
  <c r="P26" i="122"/>
  <c r="P26" i="138" s="1"/>
  <c r="G26" i="121"/>
  <c r="G26" i="136" s="1"/>
  <c r="K26" i="177"/>
  <c r="K26" i="183" s="1"/>
  <c r="L26" i="124"/>
  <c r="L26" i="140" s="1"/>
  <c r="N30" i="120"/>
  <c r="N30" i="135" s="1"/>
  <c r="F30" i="176"/>
  <c r="F30" i="182" s="1"/>
  <c r="F21" i="177"/>
  <c r="M22" i="122"/>
  <c r="L22" i="121"/>
  <c r="G21" i="120"/>
  <c r="G22" i="120"/>
  <c r="E30" i="120"/>
  <c r="E30" i="135" s="1"/>
  <c r="N21" i="175"/>
  <c r="N22" i="175"/>
  <c r="K21" i="175"/>
  <c r="F22" i="142"/>
  <c r="E27" i="176"/>
  <c r="E28" i="176" s="1"/>
  <c r="G21" i="176"/>
  <c r="J30" i="176"/>
  <c r="J30" i="182" s="1"/>
  <c r="F27" i="177"/>
  <c r="F27" i="183" s="1"/>
  <c r="H27" i="177"/>
  <c r="H27" i="183" s="1"/>
  <c r="M22" i="135"/>
  <c r="K22" i="207"/>
  <c r="M21" i="140"/>
  <c r="O21" i="141"/>
  <c r="O21" i="183"/>
  <c r="G72" i="102"/>
  <c r="Q72" i="102" s="1"/>
  <c r="F21" i="136"/>
  <c r="P22" i="139"/>
  <c r="N21" i="138"/>
  <c r="H56" i="102"/>
  <c r="G78" i="102"/>
  <c r="Q78" i="102" s="1"/>
  <c r="G22" i="138"/>
  <c r="G21" i="138"/>
  <c r="G84" i="102"/>
  <c r="Q84" i="102" s="1"/>
  <c r="M21" i="182"/>
  <c r="G50" i="102"/>
  <c r="F28" i="207"/>
  <c r="F29" i="207"/>
  <c r="K22" i="182"/>
  <c r="P21" i="138"/>
  <c r="O21" i="135"/>
  <c r="E29" i="124" l="1"/>
  <c r="O67" i="102"/>
  <c r="R66" i="102"/>
  <c r="O66" i="102"/>
  <c r="R68" i="102"/>
  <c r="F28" i="123"/>
  <c r="G29" i="126"/>
  <c r="J29" i="121"/>
  <c r="E27" i="140"/>
  <c r="O68" i="102" s="1"/>
  <c r="F26" i="139"/>
  <c r="J26" i="136"/>
  <c r="G26" i="141"/>
  <c r="E26" i="139"/>
  <c r="E28" i="122"/>
  <c r="E26" i="138"/>
  <c r="E28" i="138" s="1"/>
  <c r="E29" i="175"/>
  <c r="E26" i="181"/>
  <c r="E27" i="182"/>
  <c r="G26" i="142"/>
  <c r="G29" i="142" s="1"/>
  <c r="L28" i="176"/>
  <c r="L27" i="182"/>
  <c r="L28" i="182" s="1"/>
  <c r="F28" i="176"/>
  <c r="F27" i="182"/>
  <c r="F28" i="182" s="1"/>
  <c r="L28" i="126"/>
  <c r="L27" i="141"/>
  <c r="F28" i="126"/>
  <c r="F27" i="141"/>
  <c r="G29" i="124"/>
  <c r="G27" i="140"/>
  <c r="G28" i="140" s="1"/>
  <c r="M28" i="122"/>
  <c r="M27" i="138"/>
  <c r="M28" i="120"/>
  <c r="M27" i="135"/>
  <c r="M29" i="135" s="1"/>
  <c r="N28" i="120"/>
  <c r="N27" i="135"/>
  <c r="N29" i="135" s="1"/>
  <c r="I28" i="120"/>
  <c r="I27" i="135"/>
  <c r="F29" i="120"/>
  <c r="F27" i="135"/>
  <c r="F29" i="135" s="1"/>
  <c r="J28" i="120"/>
  <c r="J27" i="135"/>
  <c r="H28" i="120"/>
  <c r="H27" i="135"/>
  <c r="L28" i="120"/>
  <c r="L27" i="135"/>
  <c r="K28" i="120"/>
  <c r="K27" i="135"/>
  <c r="K29" i="135" s="1"/>
  <c r="O28" i="120"/>
  <c r="O27" i="135"/>
  <c r="G29" i="120"/>
  <c r="G27" i="135"/>
  <c r="P28" i="176"/>
  <c r="G28" i="126"/>
  <c r="N28" i="124"/>
  <c r="M61" i="102"/>
  <c r="R61" i="102" s="1"/>
  <c r="H29" i="124"/>
  <c r="I28" i="121"/>
  <c r="P29" i="177"/>
  <c r="N28" i="175"/>
  <c r="G22" i="181"/>
  <c r="S4" i="175"/>
  <c r="M28" i="124"/>
  <c r="I77" i="102"/>
  <c r="S5" i="175"/>
  <c r="S6" i="175" s="1"/>
  <c r="S5" i="176"/>
  <c r="S6" i="176" s="1"/>
  <c r="M21" i="181"/>
  <c r="J29" i="120"/>
  <c r="F29" i="121"/>
  <c r="O29" i="121"/>
  <c r="M22" i="138"/>
  <c r="I11" i="102"/>
  <c r="I71" i="102"/>
  <c r="O36" i="102"/>
  <c r="Q14" i="102"/>
  <c r="J22" i="135"/>
  <c r="F22" i="182"/>
  <c r="N28" i="177"/>
  <c r="P28" i="124"/>
  <c r="F29" i="122"/>
  <c r="O70" i="102"/>
  <c r="H9" i="102"/>
  <c r="K28" i="122"/>
  <c r="O29" i="176"/>
  <c r="I21" i="140"/>
  <c r="M28" i="121"/>
  <c r="G28" i="181"/>
  <c r="I22" i="183"/>
  <c r="O11" i="102"/>
  <c r="G22" i="140"/>
  <c r="J28" i="123"/>
  <c r="M71" i="102"/>
  <c r="R71" i="102" s="1"/>
  <c r="G90" i="102"/>
  <c r="Q90" i="102" s="1"/>
  <c r="E22" i="142"/>
  <c r="F29" i="176"/>
  <c r="J22" i="138"/>
  <c r="G28" i="121"/>
  <c r="F28" i="181"/>
  <c r="O22" i="136"/>
  <c r="G28" i="124"/>
  <c r="S5" i="135"/>
  <c r="S6" i="135" s="1"/>
  <c r="H29" i="126"/>
  <c r="M83" i="102"/>
  <c r="R83" i="102" s="1"/>
  <c r="N61" i="102"/>
  <c r="S5" i="124"/>
  <c r="S6" i="124" s="1"/>
  <c r="O48" i="102"/>
  <c r="J29" i="123"/>
  <c r="S4" i="142"/>
  <c r="G28" i="120"/>
  <c r="K28" i="124"/>
  <c r="H29" i="123"/>
  <c r="S4" i="121"/>
  <c r="H21" i="139"/>
  <c r="S5" i="121"/>
  <c r="S6" i="121" s="1"/>
  <c r="N55" i="102"/>
  <c r="S5" i="122"/>
  <c r="S6" i="122" s="1"/>
  <c r="J29" i="175"/>
  <c r="M28" i="177"/>
  <c r="J28" i="177"/>
  <c r="O42" i="102"/>
  <c r="P28" i="175"/>
  <c r="E29" i="121"/>
  <c r="I21" i="139"/>
  <c r="S4" i="122"/>
  <c r="N37" i="102"/>
  <c r="O37" i="102" s="1"/>
  <c r="K29" i="176"/>
  <c r="J22" i="136"/>
  <c r="K26" i="207"/>
  <c r="N49" i="102"/>
  <c r="K22" i="135"/>
  <c r="L29" i="177"/>
  <c r="G29" i="207"/>
  <c r="I28" i="123"/>
  <c r="L22" i="182"/>
  <c r="N28" i="126"/>
  <c r="I29" i="175"/>
  <c r="J28" i="122"/>
  <c r="K29" i="126"/>
  <c r="O10" i="102"/>
  <c r="M29" i="175"/>
  <c r="M29" i="177"/>
  <c r="K29" i="120"/>
  <c r="E28" i="142"/>
  <c r="K28" i="121"/>
  <c r="H22" i="139"/>
  <c r="M21" i="139"/>
  <c r="N9" i="102"/>
  <c r="M38" i="102"/>
  <c r="R38" i="102" s="1"/>
  <c r="I28" i="175"/>
  <c r="S5" i="126"/>
  <c r="S6" i="126" s="1"/>
  <c r="F29" i="126"/>
  <c r="H29" i="176"/>
  <c r="O28" i="121"/>
  <c r="K29" i="177"/>
  <c r="J29" i="126"/>
  <c r="J28" i="124"/>
  <c r="F28" i="122"/>
  <c r="O28" i="175"/>
  <c r="E28" i="124"/>
  <c r="I29" i="126"/>
  <c r="P29" i="121"/>
  <c r="I29" i="123"/>
  <c r="J29" i="177"/>
  <c r="I28" i="177"/>
  <c r="I22" i="182"/>
  <c r="G21" i="181"/>
  <c r="E29" i="142"/>
  <c r="O29" i="120"/>
  <c r="K28" i="176"/>
  <c r="P29" i="124"/>
  <c r="P22" i="141"/>
  <c r="F29" i="123"/>
  <c r="O28" i="124"/>
  <c r="G28" i="123"/>
  <c r="F28" i="175"/>
  <c r="O60" i="102"/>
  <c r="J28" i="121"/>
  <c r="M29" i="126"/>
  <c r="G22" i="139"/>
  <c r="O29" i="124"/>
  <c r="F22" i="139"/>
  <c r="G29" i="123"/>
  <c r="M28" i="175"/>
  <c r="H28" i="175"/>
  <c r="O22" i="182"/>
  <c r="L22" i="140"/>
  <c r="S4" i="124"/>
  <c r="J29" i="124"/>
  <c r="K29" i="124"/>
  <c r="N29" i="123"/>
  <c r="O15" i="102"/>
  <c r="O28" i="126"/>
  <c r="P29" i="126"/>
  <c r="N43" i="102"/>
  <c r="E29" i="123"/>
  <c r="G21" i="136"/>
  <c r="I29" i="177"/>
  <c r="I43" i="102"/>
  <c r="E29" i="122"/>
  <c r="N22" i="183"/>
  <c r="N83" i="102"/>
  <c r="H28" i="124"/>
  <c r="O29" i="177"/>
  <c r="O28" i="123"/>
  <c r="L29" i="175"/>
  <c r="P28" i="177"/>
  <c r="J28" i="126"/>
  <c r="M28" i="176"/>
  <c r="O29" i="122"/>
  <c r="G29" i="176"/>
  <c r="F21" i="138"/>
  <c r="G29" i="139"/>
  <c r="L28" i="122"/>
  <c r="L29" i="122"/>
  <c r="Q89" i="102"/>
  <c r="I89" i="102"/>
  <c r="L29" i="176"/>
  <c r="J28" i="175"/>
  <c r="G28" i="122"/>
  <c r="G29" i="122"/>
  <c r="L29" i="123"/>
  <c r="L28" i="123"/>
  <c r="J21" i="139"/>
  <c r="F28" i="124"/>
  <c r="F29" i="124"/>
  <c r="I28" i="176"/>
  <c r="I29" i="176"/>
  <c r="G29" i="177"/>
  <c r="G28" i="177"/>
  <c r="K28" i="177"/>
  <c r="R54" i="102"/>
  <c r="O54" i="102"/>
  <c r="K28" i="123"/>
  <c r="K29" i="123"/>
  <c r="P28" i="121"/>
  <c r="I29" i="121"/>
  <c r="G29" i="175"/>
  <c r="G28" i="175"/>
  <c r="M28" i="126"/>
  <c r="P28" i="120"/>
  <c r="P29" i="120"/>
  <c r="M49" i="102"/>
  <c r="R49" i="102" s="1"/>
  <c r="S5" i="123"/>
  <c r="S6" i="123" s="1"/>
  <c r="L21" i="138"/>
  <c r="L22" i="138"/>
  <c r="S4" i="126"/>
  <c r="H28" i="126"/>
  <c r="N71" i="102"/>
  <c r="Q83" i="102"/>
  <c r="I83" i="102"/>
  <c r="I28" i="124"/>
  <c r="I29" i="124"/>
  <c r="S4" i="123"/>
  <c r="H28" i="123"/>
  <c r="L28" i="124"/>
  <c r="P28" i="123"/>
  <c r="N28" i="121"/>
  <c r="L28" i="175"/>
  <c r="M29" i="124"/>
  <c r="P29" i="175"/>
  <c r="N28" i="122"/>
  <c r="G28" i="176"/>
  <c r="M29" i="121"/>
  <c r="J29" i="176"/>
  <c r="P29" i="122"/>
  <c r="O28" i="122"/>
  <c r="N29" i="176"/>
  <c r="M28" i="123"/>
  <c r="N28" i="123"/>
  <c r="E28" i="177"/>
  <c r="O29" i="123"/>
  <c r="I28" i="126"/>
  <c r="M29" i="122"/>
  <c r="N29" i="124"/>
  <c r="M29" i="176"/>
  <c r="E28" i="121"/>
  <c r="I28" i="122"/>
  <c r="K28" i="175"/>
  <c r="O29" i="175"/>
  <c r="H29" i="175"/>
  <c r="M89" i="102"/>
  <c r="R89" i="102" s="1"/>
  <c r="S5" i="177"/>
  <c r="S6" i="177" s="1"/>
  <c r="P22" i="142"/>
  <c r="G28" i="138"/>
  <c r="O28" i="176"/>
  <c r="J28" i="176"/>
  <c r="N29" i="175"/>
  <c r="N29" i="177"/>
  <c r="H28" i="121"/>
  <c r="F28" i="138"/>
  <c r="M77" i="102"/>
  <c r="R77" i="102" s="1"/>
  <c r="K29" i="175"/>
  <c r="N29" i="122"/>
  <c r="M55" i="102"/>
  <c r="R55" i="102" s="1"/>
  <c r="N29" i="126"/>
  <c r="I29" i="122"/>
  <c r="F29" i="175"/>
  <c r="M72" i="102"/>
  <c r="L28" i="121"/>
  <c r="L28" i="177"/>
  <c r="P21" i="182"/>
  <c r="P22" i="182"/>
  <c r="I29" i="120"/>
  <c r="O29" i="126"/>
  <c r="K28" i="126"/>
  <c r="N28" i="176"/>
  <c r="L29" i="120"/>
  <c r="N29" i="120"/>
  <c r="P28" i="126"/>
  <c r="M29" i="123"/>
  <c r="H22" i="136"/>
  <c r="H21" i="136"/>
  <c r="H29" i="120"/>
  <c r="S4" i="120"/>
  <c r="P29" i="176"/>
  <c r="G21" i="140"/>
  <c r="Q10" i="102"/>
  <c r="I10" i="102"/>
  <c r="K21" i="138"/>
  <c r="O22" i="207"/>
  <c r="K29" i="121"/>
  <c r="O28" i="177"/>
  <c r="O22" i="183"/>
  <c r="M21" i="135"/>
  <c r="N22" i="182"/>
  <c r="K29" i="122"/>
  <c r="N28" i="182"/>
  <c r="E22" i="138"/>
  <c r="L29" i="121"/>
  <c r="H29" i="121"/>
  <c r="P28" i="122"/>
  <c r="G28" i="136"/>
  <c r="N29" i="121"/>
  <c r="R14" i="102"/>
  <c r="H28" i="176"/>
  <c r="O22" i="140"/>
  <c r="F28" i="121"/>
  <c r="H29" i="122"/>
  <c r="O76" i="102"/>
  <c r="L21" i="183"/>
  <c r="M29" i="120"/>
  <c r="H28" i="122"/>
  <c r="L29" i="124"/>
  <c r="L29" i="126"/>
  <c r="M43" i="102"/>
  <c r="R43" i="102" s="1"/>
  <c r="J29" i="122"/>
  <c r="E22" i="183"/>
  <c r="E29" i="177"/>
  <c r="F28" i="177"/>
  <c r="F29" i="177"/>
  <c r="H21" i="207"/>
  <c r="H22" i="207"/>
  <c r="J26" i="207"/>
  <c r="H26" i="207"/>
  <c r="I26" i="207"/>
  <c r="E29" i="176"/>
  <c r="E21" i="183"/>
  <c r="F28" i="120"/>
  <c r="L26" i="207"/>
  <c r="E22" i="139"/>
  <c r="G29" i="121"/>
  <c r="I28" i="181"/>
  <c r="F28" i="142"/>
  <c r="O26" i="207"/>
  <c r="F21" i="142"/>
  <c r="H29" i="177"/>
  <c r="H28" i="177"/>
  <c r="N89" i="102"/>
  <c r="S4" i="177"/>
  <c r="E22" i="182"/>
  <c r="H62" i="102"/>
  <c r="N77" i="102"/>
  <c r="S4" i="176"/>
  <c r="I8" i="102"/>
  <c r="Q8" i="102"/>
  <c r="Q55" i="102"/>
  <c r="I55" i="102"/>
  <c r="E21" i="136"/>
  <c r="F29" i="136"/>
  <c r="Q61" i="102"/>
  <c r="I61" i="102"/>
  <c r="H50" i="102"/>
  <c r="I50" i="102" s="1"/>
  <c r="K22" i="183"/>
  <c r="K21" i="183"/>
  <c r="O22" i="141"/>
  <c r="H84" i="102"/>
  <c r="I84" i="102" s="1"/>
  <c r="L22" i="181"/>
  <c r="L21" i="181"/>
  <c r="N26" i="207"/>
  <c r="S4" i="136"/>
  <c r="P29" i="123"/>
  <c r="L28" i="136"/>
  <c r="O88" i="102"/>
  <c r="P26" i="207"/>
  <c r="S4" i="181"/>
  <c r="G22" i="142"/>
  <c r="G21" i="142"/>
  <c r="E29" i="120"/>
  <c r="E28" i="120"/>
  <c r="K28" i="140"/>
  <c r="K21" i="141"/>
  <c r="K22" i="141"/>
  <c r="O82" i="102"/>
  <c r="J21" i="183"/>
  <c r="P22" i="181"/>
  <c r="M22" i="140"/>
  <c r="F29" i="142"/>
  <c r="H22" i="181"/>
  <c r="H21" i="183"/>
  <c r="E22" i="141"/>
  <c r="H22" i="183"/>
  <c r="E21" i="141"/>
  <c r="M29" i="207"/>
  <c r="E29" i="141"/>
  <c r="H21" i="181"/>
  <c r="P21" i="139"/>
  <c r="J21" i="138"/>
  <c r="M22" i="181"/>
  <c r="G28" i="139"/>
  <c r="I22" i="140"/>
  <c r="P22" i="135"/>
  <c r="P21" i="135"/>
  <c r="K21" i="140"/>
  <c r="K22" i="140"/>
  <c r="L21" i="135"/>
  <c r="L22" i="135"/>
  <c r="N21" i="140"/>
  <c r="N22" i="140"/>
  <c r="I21" i="135"/>
  <c r="I22" i="135"/>
  <c r="K21" i="139"/>
  <c r="K22" i="139"/>
  <c r="J22" i="141"/>
  <c r="J21" i="141"/>
  <c r="L21" i="139"/>
  <c r="L22" i="139"/>
  <c r="I22" i="139"/>
  <c r="N22" i="138"/>
  <c r="L21" i="136"/>
  <c r="L22" i="136"/>
  <c r="F21" i="135"/>
  <c r="F22" i="135"/>
  <c r="Q50" i="102"/>
  <c r="G29" i="138"/>
  <c r="N78" i="102" l="1"/>
  <c r="E28" i="182"/>
  <c r="O61" i="102"/>
  <c r="P29" i="207"/>
  <c r="O28" i="207"/>
  <c r="K28" i="207"/>
  <c r="P28" i="207"/>
  <c r="M8" i="102"/>
  <c r="R8" i="102" s="1"/>
  <c r="H28" i="181"/>
  <c r="H28" i="136"/>
  <c r="G29" i="181"/>
  <c r="O83" i="102"/>
  <c r="S4" i="138"/>
  <c r="I28" i="138"/>
  <c r="H44" i="102"/>
  <c r="I44" i="102" s="1"/>
  <c r="N29" i="140"/>
  <c r="I28" i="183"/>
  <c r="N44" i="102"/>
  <c r="S5" i="182"/>
  <c r="S6" i="182" s="1"/>
  <c r="S5" i="141"/>
  <c r="S6" i="141" s="1"/>
  <c r="N84" i="102"/>
  <c r="F29" i="182"/>
  <c r="M50" i="102"/>
  <c r="R50" i="102" s="1"/>
  <c r="H29" i="182"/>
  <c r="O29" i="141"/>
  <c r="H90" i="102"/>
  <c r="I90" i="102" s="1"/>
  <c r="K29" i="207"/>
  <c r="O29" i="136"/>
  <c r="F28" i="183"/>
  <c r="M78" i="102"/>
  <c r="R78" i="102" s="1"/>
  <c r="I14" i="102"/>
  <c r="G29" i="140"/>
  <c r="O71" i="102"/>
  <c r="F29" i="181"/>
  <c r="O29" i="181"/>
  <c r="E29" i="138"/>
  <c r="O28" i="139"/>
  <c r="J22" i="139"/>
  <c r="J29" i="136"/>
  <c r="N29" i="183"/>
  <c r="K29" i="181"/>
  <c r="I29" i="138"/>
  <c r="M28" i="181"/>
  <c r="K29" i="141"/>
  <c r="P28" i="135"/>
  <c r="K21" i="135"/>
  <c r="N28" i="139"/>
  <c r="K28" i="181"/>
  <c r="K28" i="136"/>
  <c r="L29" i="139"/>
  <c r="L21" i="141"/>
  <c r="L22" i="141"/>
  <c r="I28" i="182"/>
  <c r="L29" i="182"/>
  <c r="P28" i="139"/>
  <c r="N28" i="138"/>
  <c r="H29" i="136"/>
  <c r="G28" i="142"/>
  <c r="G28" i="182"/>
  <c r="P28" i="182"/>
  <c r="O28" i="135"/>
  <c r="M29" i="140"/>
  <c r="O29" i="182"/>
  <c r="I29" i="182"/>
  <c r="K29" i="136"/>
  <c r="G29" i="182"/>
  <c r="G22" i="136"/>
  <c r="I29" i="141"/>
  <c r="I29" i="140"/>
  <c r="F29" i="141"/>
  <c r="M28" i="139"/>
  <c r="L29" i="181"/>
  <c r="J28" i="140"/>
  <c r="O28" i="181"/>
  <c r="I29" i="139"/>
  <c r="M29" i="182"/>
  <c r="O14" i="102"/>
  <c r="I21" i="138"/>
  <c r="I22" i="138"/>
  <c r="L28" i="139"/>
  <c r="I28" i="141"/>
  <c r="N29" i="181"/>
  <c r="N29" i="136"/>
  <c r="O89" i="102"/>
  <c r="J28" i="183"/>
  <c r="P29" i="138"/>
  <c r="I28" i="140"/>
  <c r="F28" i="141"/>
  <c r="I28" i="139"/>
  <c r="I29" i="136"/>
  <c r="F28" i="140"/>
  <c r="F28" i="136"/>
  <c r="H28" i="135"/>
  <c r="S5" i="139"/>
  <c r="S6" i="139" s="1"/>
  <c r="I29" i="183"/>
  <c r="N21" i="183"/>
  <c r="N28" i="140"/>
  <c r="O29" i="139"/>
  <c r="O77" i="102"/>
  <c r="S4" i="182"/>
  <c r="K28" i="141"/>
  <c r="P28" i="181"/>
  <c r="L28" i="181"/>
  <c r="E29" i="182"/>
  <c r="J28" i="136"/>
  <c r="H29" i="139"/>
  <c r="H29" i="181"/>
  <c r="O28" i="141"/>
  <c r="O29" i="207"/>
  <c r="J22" i="182"/>
  <c r="M28" i="182"/>
  <c r="P21" i="183"/>
  <c r="P22" i="183"/>
  <c r="M29" i="141"/>
  <c r="F22" i="138"/>
  <c r="I28" i="135"/>
  <c r="J29" i="183"/>
  <c r="G28" i="135"/>
  <c r="L29" i="183"/>
  <c r="K29" i="183"/>
  <c r="O28" i="138"/>
  <c r="I28" i="136"/>
  <c r="L29" i="138"/>
  <c r="M29" i="136"/>
  <c r="O29" i="140"/>
  <c r="P28" i="140"/>
  <c r="P29" i="182"/>
  <c r="J29" i="139"/>
  <c r="N29" i="182"/>
  <c r="P21" i="136"/>
  <c r="P22" i="136"/>
  <c r="H78" i="102"/>
  <c r="I78" i="102" s="1"/>
  <c r="H21" i="182"/>
  <c r="H22" i="182"/>
  <c r="O28" i="182"/>
  <c r="J28" i="181"/>
  <c r="M28" i="141"/>
  <c r="J21" i="182"/>
  <c r="K28" i="138"/>
  <c r="K29" i="182"/>
  <c r="N28" i="183"/>
  <c r="P28" i="136"/>
  <c r="P29" i="181"/>
  <c r="M84" i="102"/>
  <c r="R84" i="102" s="1"/>
  <c r="F22" i="181"/>
  <c r="F21" i="181"/>
  <c r="N62" i="102"/>
  <c r="E22" i="181"/>
  <c r="E21" i="181"/>
  <c r="E21" i="140"/>
  <c r="P28" i="138"/>
  <c r="H29" i="135"/>
  <c r="L29" i="140"/>
  <c r="O43" i="102"/>
  <c r="M28" i="183"/>
  <c r="K28" i="139"/>
  <c r="J28" i="139"/>
  <c r="N29" i="141"/>
  <c r="K21" i="136"/>
  <c r="K22" i="136"/>
  <c r="M21" i="141"/>
  <c r="M22" i="141"/>
  <c r="G21" i="183"/>
  <c r="G22" i="183"/>
  <c r="G21" i="141"/>
  <c r="G22" i="141"/>
  <c r="O49" i="102"/>
  <c r="N22" i="135"/>
  <c r="N21" i="135"/>
  <c r="J28" i="135"/>
  <c r="P29" i="139"/>
  <c r="K28" i="183"/>
  <c r="K29" i="138"/>
  <c r="M28" i="140"/>
  <c r="F29" i="138"/>
  <c r="P29" i="136"/>
  <c r="E22" i="136"/>
  <c r="K28" i="182"/>
  <c r="K28" i="135"/>
  <c r="N28" i="141"/>
  <c r="O55" i="102"/>
  <c r="M28" i="138"/>
  <c r="O28" i="140"/>
  <c r="N21" i="136"/>
  <c r="N22" i="136"/>
  <c r="H21" i="141"/>
  <c r="H72" i="102"/>
  <c r="I72" i="102" s="1"/>
  <c r="H22" i="141"/>
  <c r="P28" i="183"/>
  <c r="G29" i="136"/>
  <c r="P29" i="140"/>
  <c r="J29" i="140"/>
  <c r="N29" i="139"/>
  <c r="P29" i="141"/>
  <c r="E21" i="138"/>
  <c r="N28" i="181"/>
  <c r="L22" i="183"/>
  <c r="L28" i="138"/>
  <c r="O28" i="183"/>
  <c r="N29" i="138"/>
  <c r="M28" i="136"/>
  <c r="N28" i="136"/>
  <c r="O29" i="183"/>
  <c r="L28" i="183"/>
  <c r="O28" i="136"/>
  <c r="M29" i="138"/>
  <c r="L29" i="136"/>
  <c r="N56" i="102"/>
  <c r="I29" i="181"/>
  <c r="J29" i="141"/>
  <c r="J29" i="181"/>
  <c r="O21" i="140"/>
  <c r="M29" i="183"/>
  <c r="N22" i="141"/>
  <c r="N21" i="141"/>
  <c r="M90" i="102"/>
  <c r="R90" i="102" s="1"/>
  <c r="O21" i="181"/>
  <c r="O22" i="181"/>
  <c r="J21" i="140"/>
  <c r="J22" i="140"/>
  <c r="F29" i="183"/>
  <c r="H28" i="182"/>
  <c r="J29" i="138"/>
  <c r="K22" i="138"/>
  <c r="K29" i="140"/>
  <c r="L29" i="141"/>
  <c r="O29" i="138"/>
  <c r="E21" i="139"/>
  <c r="J21" i="181"/>
  <c r="J22" i="181"/>
  <c r="I28" i="207"/>
  <c r="I29" i="207"/>
  <c r="F28" i="135"/>
  <c r="H38" i="102"/>
  <c r="I38" i="102" s="1"/>
  <c r="H21" i="135"/>
  <c r="H22" i="135"/>
  <c r="K22" i="181"/>
  <c r="K21" i="181"/>
  <c r="O21" i="138"/>
  <c r="O22" i="138"/>
  <c r="P21" i="140"/>
  <c r="P22" i="140"/>
  <c r="E21" i="182"/>
  <c r="H28" i="207"/>
  <c r="S5" i="207"/>
  <c r="S6" i="207" s="1"/>
  <c r="H29" i="207"/>
  <c r="H21" i="140"/>
  <c r="G62" i="102"/>
  <c r="H22" i="140"/>
  <c r="E22" i="135"/>
  <c r="E21" i="135"/>
  <c r="N28" i="135"/>
  <c r="M28" i="135"/>
  <c r="H29" i="138"/>
  <c r="F21" i="141"/>
  <c r="F22" i="141"/>
  <c r="N22" i="181"/>
  <c r="N21" i="181"/>
  <c r="M44" i="102"/>
  <c r="I22" i="136"/>
  <c r="I21" i="136"/>
  <c r="J28" i="207"/>
  <c r="J29" i="207"/>
  <c r="G28" i="141"/>
  <c r="G29" i="141"/>
  <c r="M29" i="139"/>
  <c r="M29" i="181"/>
  <c r="K29" i="139"/>
  <c r="I21" i="141"/>
  <c r="I22" i="141"/>
  <c r="M21" i="136"/>
  <c r="M22" i="136"/>
  <c r="G22" i="182"/>
  <c r="G21" i="182"/>
  <c r="N28" i="207"/>
  <c r="N29" i="207"/>
  <c r="G22" i="135"/>
  <c r="G21" i="135"/>
  <c r="N21" i="139"/>
  <c r="N22" i="139"/>
  <c r="M21" i="183"/>
  <c r="M22" i="183"/>
  <c r="L28" i="135"/>
  <c r="L29" i="135"/>
  <c r="L29" i="207"/>
  <c r="L28" i="207"/>
  <c r="I21" i="181"/>
  <c r="I22" i="181"/>
  <c r="H22" i="138"/>
  <c r="G56" i="102"/>
  <c r="H21" i="138"/>
  <c r="F21" i="183"/>
  <c r="F22" i="183"/>
  <c r="J28" i="138"/>
  <c r="S4" i="139"/>
  <c r="N50" i="102"/>
  <c r="E29" i="139"/>
  <c r="E28" i="139"/>
  <c r="R72" i="102"/>
  <c r="O8" i="102" l="1"/>
  <c r="S5" i="136"/>
  <c r="S6" i="136" s="1"/>
  <c r="S4" i="140"/>
  <c r="S5" i="181"/>
  <c r="S6" i="181" s="1"/>
  <c r="S5" i="183"/>
  <c r="S6" i="183" s="1"/>
  <c r="H28" i="139"/>
  <c r="P29" i="135"/>
  <c r="O78" i="102"/>
  <c r="O50" i="102"/>
  <c r="O84" i="102"/>
  <c r="P28" i="141"/>
  <c r="S4" i="135"/>
  <c r="P29" i="183"/>
  <c r="N38" i="102"/>
  <c r="O38" i="102" s="1"/>
  <c r="L28" i="140"/>
  <c r="O29" i="135"/>
  <c r="J28" i="141"/>
  <c r="J29" i="135"/>
  <c r="G29" i="135"/>
  <c r="I29" i="135"/>
  <c r="L28" i="141"/>
  <c r="R44" i="102"/>
  <c r="O44" i="102"/>
  <c r="H28" i="138"/>
  <c r="E29" i="140"/>
  <c r="E28" i="140"/>
  <c r="E28" i="181"/>
  <c r="E29" i="181"/>
  <c r="J29" i="182"/>
  <c r="J28" i="182"/>
  <c r="E28" i="183"/>
  <c r="E29" i="183"/>
  <c r="F28" i="139"/>
  <c r="F29" i="139"/>
  <c r="Q56" i="102"/>
  <c r="I56" i="102"/>
  <c r="E28" i="135"/>
  <c r="E29" i="135"/>
  <c r="M56" i="102"/>
  <c r="S5" i="138"/>
  <c r="S6" i="138" s="1"/>
  <c r="H28" i="140"/>
  <c r="S5" i="140"/>
  <c r="S6" i="140" s="1"/>
  <c r="M62" i="102"/>
  <c r="H29" i="140"/>
  <c r="Q62" i="102"/>
  <c r="I62" i="102"/>
  <c r="N72" i="102"/>
  <c r="O72" i="102" s="1"/>
  <c r="H29" i="141"/>
  <c r="S4" i="141"/>
  <c r="H28" i="141"/>
  <c r="S4" i="183"/>
  <c r="H28" i="183"/>
  <c r="N90" i="102"/>
  <c r="O90" i="102" s="1"/>
  <c r="H29" i="183"/>
  <c r="G28" i="183"/>
  <c r="G29" i="183"/>
  <c r="E29" i="136"/>
  <c r="E28" i="136"/>
  <c r="O62" i="102" l="1"/>
  <c r="R62" i="102"/>
  <c r="R56" i="102"/>
  <c r="O56" i="102"/>
  <c r="D26" i="197" l="1"/>
  <c r="M19" i="197"/>
  <c r="M22" i="197" s="1"/>
  <c r="L19" i="197"/>
  <c r="L21" i="197" s="1"/>
  <c r="K19" i="197"/>
  <c r="I19" i="197"/>
  <c r="I22" i="197" s="1"/>
  <c r="L17" i="233"/>
  <c r="M19" i="142" s="1"/>
  <c r="L11" i="233"/>
  <c r="N19" i="197"/>
  <c r="N21" i="197" s="1"/>
  <c r="M11" i="233"/>
  <c r="M17" i="233"/>
  <c r="N19" i="142" s="1"/>
  <c r="J11" i="233"/>
  <c r="J17" i="233"/>
  <c r="K19" i="142" s="1"/>
  <c r="G17" i="233"/>
  <c r="H19" i="142" s="1"/>
  <c r="H22" i="142" s="1"/>
  <c r="H11" i="233"/>
  <c r="H17" i="233"/>
  <c r="I19" i="142" s="1"/>
  <c r="G11" i="233"/>
  <c r="H19" i="197"/>
  <c r="K11" i="233"/>
  <c r="K17" i="233"/>
  <c r="L19" i="142" s="1"/>
  <c r="L22" i="142" s="1"/>
  <c r="K21" i="142" l="1"/>
  <c r="G9" i="102"/>
  <c r="K22" i="197"/>
  <c r="G7" i="102"/>
  <c r="M19" i="302"/>
  <c r="M22" i="302" s="1"/>
  <c r="L6" i="233"/>
  <c r="J6" i="233"/>
  <c r="L19" i="302"/>
  <c r="L22" i="302" s="1"/>
  <c r="K6" i="233"/>
  <c r="I19" i="302"/>
  <c r="I21" i="302" s="1"/>
  <c r="H6" i="233"/>
  <c r="H19" i="302"/>
  <c r="H26" i="302" s="1"/>
  <c r="G6" i="233"/>
  <c r="N19" i="302"/>
  <c r="N22" i="302" s="1"/>
  <c r="M6" i="233"/>
  <c r="M21" i="197"/>
  <c r="H21" i="142"/>
  <c r="N22" i="197"/>
  <c r="K21" i="197"/>
  <c r="I21" i="197"/>
  <c r="K19" i="302"/>
  <c r="L21" i="142"/>
  <c r="L21" i="302"/>
  <c r="N21" i="302"/>
  <c r="M21" i="302"/>
  <c r="K21" i="303"/>
  <c r="I21" i="303"/>
  <c r="J26" i="197"/>
  <c r="M26" i="197"/>
  <c r="H26" i="197"/>
  <c r="L26" i="197"/>
  <c r="P26" i="197"/>
  <c r="H22" i="197"/>
  <c r="N26" i="197"/>
  <c r="I26" i="197"/>
  <c r="O26" i="197"/>
  <c r="H21" i="197"/>
  <c r="K26" i="197"/>
  <c r="H21" i="303"/>
  <c r="I26" i="302"/>
  <c r="H21" i="302"/>
  <c r="I22" i="142"/>
  <c r="I21" i="142"/>
  <c r="N21" i="142"/>
  <c r="N22" i="142"/>
  <c r="M21" i="142"/>
  <c r="M22" i="142"/>
  <c r="K22" i="142"/>
  <c r="L22" i="197"/>
  <c r="M21" i="303"/>
  <c r="Q7" i="102" l="1"/>
  <c r="I7" i="102"/>
  <c r="Q9" i="102"/>
  <c r="I9" i="102"/>
  <c r="I22" i="302"/>
  <c r="J26" i="302"/>
  <c r="H22" i="302"/>
  <c r="L26" i="302"/>
  <c r="L29" i="302" s="1"/>
  <c r="O26" i="302"/>
  <c r="O29" i="302" s="1"/>
  <c r="M10" i="233"/>
  <c r="M8" i="233"/>
  <c r="N19" i="300" s="1"/>
  <c r="N22" i="300" s="1"/>
  <c r="N19" i="298"/>
  <c r="N22" i="298" s="1"/>
  <c r="H10" i="233"/>
  <c r="I19" i="298"/>
  <c r="H8" i="233"/>
  <c r="I19" i="300" s="1"/>
  <c r="J10" i="233"/>
  <c r="K19" i="298"/>
  <c r="J8" i="233"/>
  <c r="K19" i="300" s="1"/>
  <c r="G10" i="233"/>
  <c r="H19" i="298"/>
  <c r="H21" i="298" s="1"/>
  <c r="G8" i="233"/>
  <c r="H19" i="300" s="1"/>
  <c r="H21" i="300" s="1"/>
  <c r="K10" i="233"/>
  <c r="L19" i="298"/>
  <c r="L22" i="298" s="1"/>
  <c r="K8" i="233"/>
  <c r="L19" i="300" s="1"/>
  <c r="L22" i="300" s="1"/>
  <c r="L10" i="233"/>
  <c r="M19" i="298"/>
  <c r="M22" i="298" s="1"/>
  <c r="L8" i="233"/>
  <c r="M19" i="300" s="1"/>
  <c r="M22" i="300" s="1"/>
  <c r="K26" i="302"/>
  <c r="K29" i="302" s="1"/>
  <c r="N26" i="302"/>
  <c r="N29" i="302" s="1"/>
  <c r="M26" i="302"/>
  <c r="M28" i="302" s="1"/>
  <c r="P26" i="302"/>
  <c r="P28" i="302" s="1"/>
  <c r="K21" i="302"/>
  <c r="K22" i="302"/>
  <c r="M29" i="197"/>
  <c r="M28" i="197"/>
  <c r="M26" i="142"/>
  <c r="O28" i="197"/>
  <c r="O26" i="142"/>
  <c r="O29" i="197"/>
  <c r="J28" i="197"/>
  <c r="J26" i="142"/>
  <c r="J29" i="197"/>
  <c r="L21" i="303"/>
  <c r="J29" i="302"/>
  <c r="J28" i="302"/>
  <c r="I28" i="197"/>
  <c r="I26" i="142"/>
  <c r="I29" i="197"/>
  <c r="H28" i="302"/>
  <c r="H29" i="302"/>
  <c r="P26" i="142"/>
  <c r="P28" i="197"/>
  <c r="S5" i="197"/>
  <c r="S6" i="197" s="1"/>
  <c r="P29" i="197"/>
  <c r="M7" i="102"/>
  <c r="N21" i="303"/>
  <c r="L28" i="302"/>
  <c r="K28" i="302"/>
  <c r="L26" i="142"/>
  <c r="L29" i="197"/>
  <c r="L28" i="197"/>
  <c r="N28" i="302"/>
  <c r="I29" i="302"/>
  <c r="I28" i="302"/>
  <c r="K29" i="197"/>
  <c r="K28" i="197"/>
  <c r="K26" i="142"/>
  <c r="N28" i="197"/>
  <c r="N29" i="197"/>
  <c r="N26" i="142"/>
  <c r="H26" i="142"/>
  <c r="H28" i="197"/>
  <c r="H29" i="197"/>
  <c r="I22" i="300" l="1"/>
  <c r="I21" i="300"/>
  <c r="O28" i="302"/>
  <c r="K22" i="298"/>
  <c r="K21" i="298"/>
  <c r="M29" i="302"/>
  <c r="I22" i="298"/>
  <c r="I21" i="298"/>
  <c r="K22" i="300"/>
  <c r="K21" i="300"/>
  <c r="M19" i="301"/>
  <c r="L12" i="233"/>
  <c r="M19" i="303" s="1"/>
  <c r="M22" i="303" s="1"/>
  <c r="K26" i="300"/>
  <c r="P26" i="300"/>
  <c r="H26" i="300"/>
  <c r="N26" i="300"/>
  <c r="N29" i="300" s="1"/>
  <c r="J26" i="300"/>
  <c r="M26" i="300"/>
  <c r="M29" i="300" s="1"/>
  <c r="I26" i="300"/>
  <c r="L26" i="300"/>
  <c r="L29" i="300" s="1"/>
  <c r="O26" i="300"/>
  <c r="O29" i="300" s="1"/>
  <c r="H22" i="300"/>
  <c r="I19" i="301"/>
  <c r="H12" i="233"/>
  <c r="I19" i="303" s="1"/>
  <c r="I22" i="303" s="1"/>
  <c r="H22" i="298"/>
  <c r="I26" i="298"/>
  <c r="N26" i="298"/>
  <c r="J26" i="298"/>
  <c r="K26" i="298"/>
  <c r="L26" i="298"/>
  <c r="O26" i="298"/>
  <c r="M26" i="298"/>
  <c r="P26" i="298"/>
  <c r="P28" i="298" s="1"/>
  <c r="H26" i="298"/>
  <c r="K19" i="301"/>
  <c r="J12" i="233"/>
  <c r="K19" i="303" s="1"/>
  <c r="K22" i="303" s="1"/>
  <c r="H19" i="301"/>
  <c r="G12" i="233"/>
  <c r="H19" i="303" s="1"/>
  <c r="L19" i="301"/>
  <c r="K12" i="233"/>
  <c r="L19" i="303" s="1"/>
  <c r="L22" i="303" s="1"/>
  <c r="N19" i="301"/>
  <c r="N22" i="301" s="1"/>
  <c r="M12" i="233"/>
  <c r="N19" i="303" s="1"/>
  <c r="N22" i="303" s="1"/>
  <c r="P29" i="302"/>
  <c r="S5" i="302"/>
  <c r="S6" i="302" s="1"/>
  <c r="M28" i="142"/>
  <c r="M29" i="142"/>
  <c r="N29" i="142"/>
  <c r="N28" i="142"/>
  <c r="J28" i="142"/>
  <c r="J29" i="142"/>
  <c r="L28" i="142"/>
  <c r="L29" i="142"/>
  <c r="H28" i="142"/>
  <c r="H29" i="142"/>
  <c r="K28" i="142"/>
  <c r="K29" i="142"/>
  <c r="O28" i="142"/>
  <c r="O29" i="142"/>
  <c r="R7" i="102"/>
  <c r="O7" i="102"/>
  <c r="P28" i="142"/>
  <c r="P29" i="142"/>
  <c r="M9" i="102"/>
  <c r="S5" i="142"/>
  <c r="S6" i="142" s="1"/>
  <c r="I29" i="142"/>
  <c r="I28" i="142"/>
  <c r="J29" i="300" l="1"/>
  <c r="J28" i="300"/>
  <c r="M29" i="298"/>
  <c r="M28" i="298"/>
  <c r="O29" i="298"/>
  <c r="O28" i="298"/>
  <c r="I22" i="301"/>
  <c r="I21" i="301"/>
  <c r="H29" i="300"/>
  <c r="H28" i="300"/>
  <c r="K29" i="298"/>
  <c r="K28" i="298"/>
  <c r="K29" i="300"/>
  <c r="K28" i="300"/>
  <c r="J29" i="298"/>
  <c r="J28" i="298"/>
  <c r="N29" i="298"/>
  <c r="N28" i="298"/>
  <c r="I29" i="300"/>
  <c r="I28" i="300"/>
  <c r="L29" i="298"/>
  <c r="L28" i="298"/>
  <c r="H29" i="298"/>
  <c r="H28" i="298"/>
  <c r="I29" i="298"/>
  <c r="I28" i="298"/>
  <c r="H22" i="303"/>
  <c r="J26" i="303"/>
  <c r="J29" i="303" s="1"/>
  <c r="N26" i="303"/>
  <c r="N29" i="303" s="1"/>
  <c r="L26" i="303"/>
  <c r="L29" i="303" s="1"/>
  <c r="O26" i="303"/>
  <c r="O29" i="303" s="1"/>
  <c r="I26" i="303"/>
  <c r="I29" i="303" s="1"/>
  <c r="H26" i="303"/>
  <c r="H29" i="303" s="1"/>
  <c r="K26" i="303"/>
  <c r="K29" i="303" s="1"/>
  <c r="P26" i="303"/>
  <c r="M26" i="303"/>
  <c r="M29" i="303" s="1"/>
  <c r="S5" i="300"/>
  <c r="S6" i="300" s="1"/>
  <c r="P29" i="300"/>
  <c r="H21" i="301"/>
  <c r="H22" i="301"/>
  <c r="I26" i="301"/>
  <c r="P26" i="301"/>
  <c r="P28" i="301" s="1"/>
  <c r="J26" i="301"/>
  <c r="M26" i="301"/>
  <c r="K26" i="301"/>
  <c r="N26" i="301"/>
  <c r="O26" i="301"/>
  <c r="H26" i="301"/>
  <c r="L26" i="301"/>
  <c r="S5" i="298"/>
  <c r="S6" i="298" s="1"/>
  <c r="P29" i="298"/>
  <c r="L21" i="301"/>
  <c r="L22" i="301"/>
  <c r="K21" i="301"/>
  <c r="K22" i="301"/>
  <c r="M22" i="301"/>
  <c r="R9" i="102"/>
  <c r="O9" i="102"/>
  <c r="I29" i="301" l="1"/>
  <c r="I28" i="301"/>
  <c r="N29" i="301"/>
  <c r="N28" i="301"/>
  <c r="H29" i="301"/>
  <c r="H28" i="301"/>
  <c r="K29" i="301"/>
  <c r="K28" i="301"/>
  <c r="M29" i="301"/>
  <c r="M28" i="301"/>
  <c r="J29" i="301"/>
  <c r="J28" i="301"/>
  <c r="L29" i="301"/>
  <c r="L28" i="301"/>
  <c r="O28" i="301"/>
  <c r="O29" i="301"/>
  <c r="S5" i="301"/>
  <c r="S6" i="301" s="1"/>
  <c r="P29" i="301"/>
  <c r="S5" i="303"/>
  <c r="S6" i="303" s="1"/>
  <c r="P29" i="303"/>
</calcChain>
</file>

<file path=xl/comments1.xml><?xml version="1.0" encoding="utf-8"?>
<comments xmlns="http://schemas.openxmlformats.org/spreadsheetml/2006/main">
  <authors>
    <author>Data Analyst</author>
  </authors>
  <commentList>
    <comment ref="B10" authorId="0" shapeId="0">
      <text>
        <r>
          <rPr>
            <b/>
            <sz val="9"/>
            <color indexed="81"/>
            <rFont val="Tahoma"/>
            <family val="2"/>
          </rPr>
          <t>Data Analyst:</t>
        </r>
        <r>
          <rPr>
            <sz val="9"/>
            <color indexed="81"/>
            <rFont val="Tahoma"/>
            <family val="2"/>
          </rPr>
          <t xml:space="preserve">
active: any connection that receives a bill.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<sst xmlns="http://schemas.openxmlformats.org/spreadsheetml/2006/main" count="2480" uniqueCount="212">
  <si>
    <t>Total</t>
  </si>
  <si>
    <t>%</t>
  </si>
  <si>
    <t>Actual</t>
  </si>
  <si>
    <t>CUMULATIVE</t>
  </si>
  <si>
    <t>KPI</t>
  </si>
  <si>
    <t>l</t>
  </si>
  <si>
    <t>Comments</t>
  </si>
  <si>
    <t>Difference</t>
  </si>
  <si>
    <t>% realisation</t>
  </si>
  <si>
    <t>MONTHLY</t>
  </si>
  <si>
    <t>Actual month:</t>
  </si>
  <si>
    <t>General</t>
  </si>
  <si>
    <t>Actual month</t>
  </si>
  <si>
    <t>Actions</t>
  </si>
  <si>
    <t>Unit</t>
  </si>
  <si>
    <t>m3</t>
  </si>
  <si>
    <t>Percentage volume sewerage of water</t>
  </si>
  <si>
    <t>Monthly</t>
  </si>
  <si>
    <t>Cumulative</t>
  </si>
  <si>
    <t>Target</t>
  </si>
  <si>
    <t>details</t>
  </si>
  <si>
    <t>Dashboard</t>
  </si>
  <si>
    <t>% real.</t>
  </si>
  <si>
    <t>H</t>
  </si>
  <si>
    <t>L</t>
  </si>
  <si>
    <t>actual</t>
  </si>
  <si>
    <t>target</t>
  </si>
  <si>
    <t>cum</t>
  </si>
  <si>
    <t>month</t>
  </si>
  <si>
    <t xml:space="preserve">   </t>
  </si>
  <si>
    <t>may</t>
  </si>
  <si>
    <t>days in a month</t>
  </si>
  <si>
    <t>m3 to litres</t>
  </si>
  <si>
    <t>Volume Water Supplied</t>
  </si>
  <si>
    <t>Maintenance, repair and operational cost</t>
  </si>
  <si>
    <t>KES</t>
  </si>
  <si>
    <t>Volume Water Sold</t>
  </si>
  <si>
    <t>NRW</t>
  </si>
  <si>
    <t xml:space="preserve">Amount Billed </t>
  </si>
  <si>
    <t>KIHOTO</t>
  </si>
  <si>
    <t>KAYOLE</t>
  </si>
  <si>
    <t>V</t>
  </si>
  <si>
    <t>Number of Active water Connections</t>
  </si>
  <si>
    <t>NO.</t>
  </si>
  <si>
    <t>Number of Active sewer Connections</t>
  </si>
  <si>
    <t>DISTRIBUTION SUMMARY</t>
  </si>
  <si>
    <t>Volume Water Available For Sale</t>
  </si>
  <si>
    <t>Amount Water Billed</t>
  </si>
  <si>
    <t>Global NRW</t>
  </si>
  <si>
    <t>Water volume supplied - CCCR</t>
  </si>
  <si>
    <t>Water volume supplied - Kabati</t>
  </si>
  <si>
    <t>Water volume supplied- kihoto</t>
  </si>
  <si>
    <t>103 (2)</t>
  </si>
  <si>
    <t>103 (3)</t>
  </si>
  <si>
    <t>103 (4)</t>
  </si>
  <si>
    <t>water volume supplied- kayole</t>
  </si>
  <si>
    <t>Water volume supplied - Lakeview</t>
  </si>
  <si>
    <t>Water volume supplied - Site &amp; Services</t>
  </si>
  <si>
    <t>Water volume sold - CCCR</t>
  </si>
  <si>
    <t>Water volume sold - Kabati</t>
  </si>
  <si>
    <t>110 (2)</t>
  </si>
  <si>
    <t>Water Volume sold - Kihoto</t>
  </si>
  <si>
    <t>110 (3)</t>
  </si>
  <si>
    <t>110 (4)</t>
  </si>
  <si>
    <t>Water Volume sold - Kayole</t>
  </si>
  <si>
    <t>Water volume sold - Lakeview</t>
  </si>
  <si>
    <t>Water volume sold - Site &amp; Services</t>
  </si>
  <si>
    <t>NRW - CCCR</t>
  </si>
  <si>
    <t>NRW - Kabati</t>
  </si>
  <si>
    <t>124 (2)</t>
  </si>
  <si>
    <t>NRW- Kihoto</t>
  </si>
  <si>
    <t>123 (3)</t>
  </si>
  <si>
    <t>124(4)</t>
  </si>
  <si>
    <t>NRW- Kayole</t>
  </si>
  <si>
    <t>NRW - Lakeview</t>
  </si>
  <si>
    <t>NRW - Site &amp; Services</t>
  </si>
  <si>
    <t>Number of Connections</t>
  </si>
  <si>
    <t>Number of In-active Sewer Connections</t>
  </si>
  <si>
    <t>Number of In-active Water Connections</t>
  </si>
  <si>
    <t>Volume water available for sale</t>
  </si>
  <si>
    <t>NAIVAWASS DISTRIBUTION DASHBOARD - NON-REVENUE WATER &amp; ZONAL PERFORMANCE</t>
  </si>
  <si>
    <t>ZONE - CBD</t>
  </si>
  <si>
    <t>ZONE - CCCR</t>
  </si>
  <si>
    <t>ZONE - LAKEVIEW</t>
  </si>
  <si>
    <t>ZONE - KABATI</t>
  </si>
  <si>
    <t>ZONE - SITE AND SERVICES</t>
  </si>
  <si>
    <t>ZONE - KAMERE</t>
  </si>
  <si>
    <t>GLOBAL NRW</t>
  </si>
  <si>
    <t>128a</t>
  </si>
  <si>
    <t>Volume Water Billed</t>
  </si>
  <si>
    <t>Amount Billed Water</t>
  </si>
  <si>
    <t>MAI-MAHIU</t>
  </si>
  <si>
    <t>103 (5)</t>
  </si>
  <si>
    <t>water volume supplied- Mai Mahiu</t>
  </si>
  <si>
    <t>110 (5)</t>
  </si>
  <si>
    <t>Water Volume sold - Mai Mahiu</t>
  </si>
  <si>
    <t>ZONE - HELLS GATE</t>
  </si>
  <si>
    <t>Actual Billing 86,843. Prisosns over estimation</t>
  </si>
  <si>
    <t>Actual NRW 33.33% Prisons Over Estimation.</t>
  </si>
  <si>
    <t>REGIONAL PERFORMANCE</t>
  </si>
  <si>
    <t>DTI REGION: CBD,CCCR,KABATI,SITE,KIHOTO</t>
  </si>
  <si>
    <t>RA</t>
  </si>
  <si>
    <t>RA2</t>
  </si>
  <si>
    <t>RA3</t>
  </si>
  <si>
    <t>Amount Billed Sewer</t>
  </si>
  <si>
    <t>KARATI REGION: KAYOLE,KAMERE,HELLSGATE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</si>
  <si>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</si>
  <si>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</si>
  <si>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</si>
  <si>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</si>
  <si>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</si>
  <si>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</si>
  <si>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</si>
  <si>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</si>
  <si>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</si>
  <si>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</si>
  <si>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jun</t>
  </si>
  <si>
    <t>Water volume Billed - KARATI REGION</t>
  </si>
  <si>
    <t>Water volume supplied - KAMERE</t>
  </si>
  <si>
    <t>Water volume sold - KAMERE</t>
  </si>
  <si>
    <t>NRW - KAMERE</t>
  </si>
  <si>
    <t>water volume supplied - HELLSGATE</t>
  </si>
  <si>
    <t>Water Volume sold- HELLSGATE</t>
  </si>
  <si>
    <t>NRW-HELLSGATE</t>
  </si>
  <si>
    <t>NRW- MAI MAHIU</t>
  </si>
  <si>
    <t xml:space="preserve">SOCIAL CONNECTION </t>
  </si>
  <si>
    <t>Amount billed_social connection</t>
  </si>
  <si>
    <t>Number of social connections billed</t>
  </si>
  <si>
    <t>Amount collected_social connection</t>
  </si>
  <si>
    <t>KSH</t>
  </si>
  <si>
    <t>Water Volume sold - Biashara</t>
  </si>
  <si>
    <t>NRW- Biashara</t>
  </si>
  <si>
    <t>KINUNGI</t>
  </si>
  <si>
    <t>GONDI</t>
  </si>
  <si>
    <t>Volume Water Supplied-kinungi</t>
  </si>
  <si>
    <t>Volume Water Sold-kinungi</t>
  </si>
  <si>
    <t>Volume Water Supplied-Gondi</t>
  </si>
  <si>
    <t>Volume Water Sold-Gondi</t>
  </si>
  <si>
    <t>NYONJORO</t>
  </si>
  <si>
    <t>Volume Water Supplied-NJONJORO</t>
  </si>
  <si>
    <t>Volume Water Sold-NYONJORO</t>
  </si>
  <si>
    <t>CENTRAL REGION: CBD,CCCR,KABATI,SITE,KIHOTO,LAKEVIEW</t>
  </si>
  <si>
    <t>SOUTHERN REGION: MAI MAHIU,KAMERE,HELLSGATE</t>
  </si>
  <si>
    <t>EASTERN REGION: KAYOLE,GONDI, KINUNGI,NJONJORO</t>
  </si>
  <si>
    <t>RA4</t>
  </si>
  <si>
    <t>RA6 (B)</t>
  </si>
  <si>
    <t>RB2</t>
  </si>
  <si>
    <t>RB3 (2)</t>
  </si>
  <si>
    <t>RB4</t>
  </si>
  <si>
    <t>RB3 (3)</t>
  </si>
  <si>
    <t>124 (3)</t>
  </si>
  <si>
    <t>124 (4)</t>
  </si>
  <si>
    <t>124 (5)</t>
  </si>
  <si>
    <t>Y</t>
  </si>
  <si>
    <t>z</t>
  </si>
  <si>
    <t>K</t>
  </si>
  <si>
    <t>Y (2)</t>
  </si>
  <si>
    <t>z (2)</t>
  </si>
  <si>
    <t>K (2)</t>
  </si>
  <si>
    <t>Y (3)</t>
  </si>
  <si>
    <t>z (3)</t>
  </si>
  <si>
    <t>K (3)</t>
  </si>
  <si>
    <t>RA6 (B) (2)</t>
  </si>
  <si>
    <t>RB2 (3)</t>
  </si>
  <si>
    <t>RB4 (2)</t>
  </si>
  <si>
    <t>Water volume Billed -SOUTHERN</t>
  </si>
  <si>
    <t xml:space="preserve">Water volume supplied - CBD </t>
  </si>
  <si>
    <t>Water volume sold - CBD</t>
  </si>
  <si>
    <t>NRW - CBD</t>
  </si>
  <si>
    <t>Water volume supplied - CENTRAL REGION</t>
  </si>
  <si>
    <t>Water volume supplied - SOUTHERN REGION</t>
  </si>
  <si>
    <t>Water volume supplied - EASTERN REGION</t>
  </si>
  <si>
    <t>Water volume Billed - EASTERN REGION</t>
  </si>
  <si>
    <t>NRW EASTERN region (M3)</t>
  </si>
  <si>
    <t>NRW SOUTHERN region (M3)</t>
  </si>
  <si>
    <t>NRW SOUTHERN region (%)</t>
  </si>
  <si>
    <t>Water volume Billed - CENTRAL REGION</t>
  </si>
  <si>
    <t>NRW CENTRALregion (M3)</t>
  </si>
  <si>
    <t>NRW CENTRAL region (%)</t>
  </si>
  <si>
    <t>including upcoming factory at ICD</t>
  </si>
  <si>
    <t>IHINDU</t>
  </si>
  <si>
    <t>103 (6)</t>
  </si>
  <si>
    <t>110 (6)</t>
  </si>
  <si>
    <t>124 (6)</t>
  </si>
  <si>
    <t>water volume supplied- Ihindu</t>
  </si>
  <si>
    <t>Water Volume sold - IHINDU</t>
  </si>
  <si>
    <t>NRW- IHINDU</t>
  </si>
  <si>
    <t>LONGONOT</t>
  </si>
  <si>
    <t>103 (7)</t>
  </si>
  <si>
    <t>110 (7)</t>
  </si>
  <si>
    <t>124 (7)</t>
  </si>
  <si>
    <t>Water Volume sold - Longonot</t>
  </si>
  <si>
    <t>water volume supplied- Longonot</t>
  </si>
  <si>
    <t>NRW- Longonot</t>
  </si>
  <si>
    <t>ZONE - HOPEWELL</t>
  </si>
  <si>
    <t>105B</t>
  </si>
  <si>
    <t>112B</t>
  </si>
  <si>
    <t>126B</t>
  </si>
  <si>
    <t>Water volume supplied - Hope well</t>
  </si>
  <si>
    <t>Water volume sold - Hope Well</t>
  </si>
  <si>
    <t>NRW - Hope well</t>
  </si>
  <si>
    <t>GLOBAL PERFORMNCE</t>
  </si>
  <si>
    <t>REGIONAL  NRW</t>
  </si>
  <si>
    <t>Regional NRW</t>
  </si>
  <si>
    <t>VOLUME WATER BILLED(CUSTOMERS-M3)</t>
  </si>
  <si>
    <t>WATER AVAILABLE FOR SALES- REGIONS</t>
  </si>
  <si>
    <t>Volume water available for sale (Production M3)</t>
  </si>
  <si>
    <t>Water Available for Sale Regions</t>
  </si>
  <si>
    <t>Transmission Loss</t>
  </si>
  <si>
    <t>Budget 2025/26</t>
  </si>
  <si>
    <t>Actual 2025/26</t>
  </si>
  <si>
    <t>Actual 2024/25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</si>
</sst>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-* #,##0.00_-;\-* #,##0.00_-;_-* &quot;-&quot;??_-;_-@_-"/>
    <numFmt numFmtId="165" formatCode="0.0%"/>
    <numFmt numFmtId="166" formatCode="_(* #,##0_);_(* \(#,##0\);_(* &quot;-&quot;??_);_(@_)"/>
    <numFmt numFmtId="167" formatCode="0.000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8"/>
      <name val="Wingdings"/>
      <charset val="2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Wingdings"/>
      <charset val="2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9"/>
      <color theme="1"/>
      <name val="Verdan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indexed="8"/>
      <name val="Arial"/>
      <family val="2"/>
    </font>
    <font>
      <b/>
      <sz val="10"/>
      <name val="Calibri"/>
      <family val="2"/>
      <scheme val="minor"/>
    </font>
    <font>
      <sz val="11"/>
      <color theme="1"/>
      <name val="Times New Roman"/>
      <family val="1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/>
    <xf numFmtId="0" fontId="9" fillId="0" borderId="0"/>
    <xf numFmtId="164" fontId="1" fillId="0" borderId="0" applyFont="0" applyFill="0" applyBorder="0" applyAlignment="0" applyProtection="0"/>
    <xf numFmtId="0" fontId="12" fillId="0" borderId="0">
      <alignment vertical="top"/>
    </xf>
    <xf numFmtId="43" fontId="1" fillId="0" borderId="0" applyFont="0" applyFill="0" applyBorder="0" applyAlignment="0" applyProtection="0"/>
  </cellStyleXfs>
  <cellXfs count="144">
    <xf numFmtId="0" fontId="0" fillId="0" borderId="0" xfId="0"/>
    <xf numFmtId="0" fontId="3" fillId="3" borderId="0" xfId="0" applyFont="1" applyFill="1" applyAlignment="1">
      <alignment horizontal="center" vertical="center"/>
    </xf>
    <xf numFmtId="9" fontId="0" fillId="0" borderId="0" xfId="0" applyNumberFormat="1"/>
    <xf numFmtId="0" fontId="0" fillId="4" borderId="0" xfId="0" applyFill="1"/>
    <xf numFmtId="0" fontId="4" fillId="4" borderId="0" xfId="0" applyFont="1" applyFill="1"/>
    <xf numFmtId="3" fontId="0" fillId="4" borderId="0" xfId="0" applyNumberFormat="1" applyFill="1"/>
    <xf numFmtId="9" fontId="0" fillId="4" borderId="0" xfId="0" applyNumberFormat="1" applyFill="1"/>
    <xf numFmtId="0" fontId="2" fillId="4" borderId="0" xfId="0" applyFont="1" applyFill="1"/>
    <xf numFmtId="0" fontId="0" fillId="4" borderId="0" xfId="0" applyFill="1" applyAlignment="1">
      <alignment horizontal="right"/>
    </xf>
    <xf numFmtId="9" fontId="0" fillId="4" borderId="0" xfId="1" applyFont="1" applyFill="1"/>
    <xf numFmtId="0" fontId="0" fillId="4" borderId="0" xfId="0" applyFill="1" applyAlignment="1">
      <alignment vertical="top" wrapText="1"/>
    </xf>
    <xf numFmtId="17" fontId="0" fillId="4" borderId="0" xfId="0" applyNumberFormat="1" applyFill="1" applyAlignment="1">
      <alignment horizontal="right"/>
    </xf>
    <xf numFmtId="17" fontId="5" fillId="4" borderId="0" xfId="0" applyNumberFormat="1" applyFont="1" applyFill="1" applyAlignment="1">
      <alignment horizontal="right"/>
    </xf>
    <xf numFmtId="0" fontId="0" fillId="4" borderId="0" xfId="0" applyFill="1" applyAlignment="1">
      <alignment horizontal="center"/>
    </xf>
    <xf numFmtId="0" fontId="7" fillId="4" borderId="0" xfId="2" applyFill="1" applyAlignment="1">
      <alignment horizontal="center"/>
    </xf>
    <xf numFmtId="0" fontId="7" fillId="4" borderId="0" xfId="2" applyFill="1"/>
    <xf numFmtId="3" fontId="0" fillId="4" borderId="3" xfId="0" applyNumberFormat="1" applyFill="1" applyBorder="1"/>
    <xf numFmtId="0" fontId="0" fillId="4" borderId="3" xfId="0" applyFill="1" applyBorder="1"/>
    <xf numFmtId="0" fontId="5" fillId="5" borderId="14" xfId="0" applyFont="1" applyFill="1" applyBorder="1" applyAlignment="1">
      <alignment horizontal="centerContinuous"/>
    </xf>
    <xf numFmtId="0" fontId="5" fillId="5" borderId="15" xfId="0" applyFont="1" applyFill="1" applyBorder="1" applyAlignment="1">
      <alignment horizontal="centerContinuous"/>
    </xf>
    <xf numFmtId="0" fontId="6" fillId="3" borderId="3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3" fontId="0" fillId="4" borderId="16" xfId="0" applyNumberFormat="1" applyFill="1" applyBorder="1"/>
    <xf numFmtId="9" fontId="0" fillId="4" borderId="17" xfId="1" applyFont="1" applyFill="1" applyBorder="1"/>
    <xf numFmtId="0" fontId="7" fillId="4" borderId="0" xfId="2" quotePrefix="1" applyFill="1" applyAlignment="1">
      <alignment horizontal="center"/>
    </xf>
    <xf numFmtId="3" fontId="0" fillId="4" borderId="18" xfId="0" applyNumberFormat="1" applyFill="1" applyBorder="1"/>
    <xf numFmtId="3" fontId="0" fillId="4" borderId="12" xfId="0" applyNumberFormat="1" applyFill="1" applyBorder="1"/>
    <xf numFmtId="9" fontId="0" fillId="4" borderId="19" xfId="1" applyFont="1" applyFill="1" applyBorder="1"/>
    <xf numFmtId="0" fontId="0" fillId="4" borderId="8" xfId="0" applyFill="1" applyBorder="1"/>
    <xf numFmtId="17" fontId="0" fillId="4" borderId="0" xfId="0" applyNumberFormat="1" applyFill="1" applyAlignment="1">
      <alignment horizontal="left"/>
    </xf>
    <xf numFmtId="17" fontId="0" fillId="4" borderId="0" xfId="0" applyNumberFormat="1" applyFill="1" applyAlignment="1">
      <alignment horizontal="center"/>
    </xf>
    <xf numFmtId="0" fontId="0" fillId="4" borderId="9" xfId="0" applyFill="1" applyBorder="1"/>
    <xf numFmtId="0" fontId="0" fillId="4" borderId="20" xfId="0" applyFill="1" applyBorder="1" applyAlignment="1">
      <alignment horizontal="center"/>
    </xf>
    <xf numFmtId="0" fontId="0" fillId="4" borderId="21" xfId="0" applyFill="1" applyBorder="1" applyAlignment="1">
      <alignment horizontal="right"/>
    </xf>
    <xf numFmtId="0" fontId="0" fillId="4" borderId="22" xfId="0" applyFill="1" applyBorder="1" applyAlignment="1">
      <alignment horizontal="right"/>
    </xf>
    <xf numFmtId="0" fontId="0" fillId="4" borderId="23" xfId="0" applyFill="1" applyBorder="1" applyAlignment="1">
      <alignment horizontal="right"/>
    </xf>
    <xf numFmtId="0" fontId="0" fillId="4" borderId="18" xfId="0" applyFill="1" applyBorder="1"/>
    <xf numFmtId="0" fontId="6" fillId="3" borderId="12" xfId="0" applyFont="1" applyFill="1" applyBorder="1" applyAlignment="1">
      <alignment horizontal="center" vertical="center"/>
    </xf>
    <xf numFmtId="0" fontId="0" fillId="4" borderId="12" xfId="0" applyFill="1" applyBorder="1"/>
    <xf numFmtId="0" fontId="0" fillId="2" borderId="14" xfId="0" applyFill="1" applyBorder="1" applyAlignment="1">
      <alignment horizontal="center"/>
    </xf>
    <xf numFmtId="0" fontId="0" fillId="2" borderId="14" xfId="0" applyFill="1" applyBorder="1" applyAlignment="1">
      <alignment horizontal="right"/>
    </xf>
    <xf numFmtId="0" fontId="0" fillId="2" borderId="15" xfId="0" applyFill="1" applyBorder="1" applyAlignment="1">
      <alignment horizontal="right"/>
    </xf>
    <xf numFmtId="3" fontId="0" fillId="4" borderId="0" xfId="1" applyNumberFormat="1" applyFont="1" applyFill="1"/>
    <xf numFmtId="0" fontId="2" fillId="2" borderId="14" xfId="0" applyFont="1" applyFill="1" applyBorder="1"/>
    <xf numFmtId="0" fontId="0" fillId="2" borderId="13" xfId="0" applyFill="1" applyBorder="1"/>
    <xf numFmtId="165" fontId="0" fillId="4" borderId="0" xfId="1" applyNumberFormat="1" applyFont="1" applyFill="1"/>
    <xf numFmtId="9" fontId="0" fillId="4" borderId="16" xfId="1" applyFont="1" applyFill="1" applyBorder="1"/>
    <xf numFmtId="9" fontId="0" fillId="4" borderId="3" xfId="1" applyFont="1" applyFill="1" applyBorder="1"/>
    <xf numFmtId="9" fontId="0" fillId="4" borderId="12" xfId="1" applyFont="1" applyFill="1" applyBorder="1"/>
    <xf numFmtId="0" fontId="7" fillId="4" borderId="0" xfId="2" applyFill="1" applyBorder="1"/>
    <xf numFmtId="0" fontId="0" fillId="0" borderId="16" xfId="0" applyBorder="1"/>
    <xf numFmtId="0" fontId="0" fillId="0" borderId="3" xfId="0" applyBorder="1"/>
    <xf numFmtId="0" fontId="0" fillId="0" borderId="1" xfId="0" applyBorder="1" applyAlignment="1">
      <alignment horizontal="center"/>
    </xf>
    <xf numFmtId="0" fontId="0" fillId="0" borderId="12" xfId="0" applyBorder="1"/>
    <xf numFmtId="0" fontId="2" fillId="0" borderId="3" xfId="0" applyFont="1" applyBorder="1"/>
    <xf numFmtId="0" fontId="0" fillId="0" borderId="0" xfId="0" quotePrefix="1"/>
    <xf numFmtId="0" fontId="0" fillId="6" borderId="0" xfId="0" applyFill="1"/>
    <xf numFmtId="9" fontId="0" fillId="0" borderId="0" xfId="1" applyFont="1" applyFill="1"/>
    <xf numFmtId="43" fontId="0" fillId="0" borderId="0" xfId="7" applyFont="1" applyFill="1"/>
    <xf numFmtId="43" fontId="0" fillId="6" borderId="0" xfId="7" applyFont="1" applyFill="1"/>
    <xf numFmtId="9" fontId="0" fillId="6" borderId="0" xfId="1" applyFont="1" applyFill="1"/>
    <xf numFmtId="166" fontId="0" fillId="0" borderId="0" xfId="0" applyNumberFormat="1"/>
    <xf numFmtId="1" fontId="0" fillId="0" borderId="0" xfId="0" applyNumberFormat="1"/>
    <xf numFmtId="166" fontId="0" fillId="7" borderId="0" xfId="0" applyNumberFormat="1" applyFill="1"/>
    <xf numFmtId="43" fontId="0" fillId="7" borderId="0" xfId="7" applyFont="1" applyFill="1"/>
    <xf numFmtId="43" fontId="0" fillId="0" borderId="0" xfId="0" applyNumberFormat="1"/>
    <xf numFmtId="166" fontId="0" fillId="0" borderId="0" xfId="7" applyNumberFormat="1" applyFont="1" applyFill="1"/>
    <xf numFmtId="0" fontId="0" fillId="4" borderId="21" xfId="0" applyFill="1" applyBorder="1"/>
    <xf numFmtId="0" fontId="0" fillId="2" borderId="3" xfId="0" applyFill="1" applyBorder="1"/>
    <xf numFmtId="165" fontId="0" fillId="0" borderId="0" xfId="1" applyNumberFormat="1" applyFont="1" applyFill="1"/>
    <xf numFmtId="17" fontId="13" fillId="2" borderId="0" xfId="0" applyNumberFormat="1" applyFont="1" applyFill="1"/>
    <xf numFmtId="43" fontId="0" fillId="0" borderId="0" xfId="1" applyNumberFormat="1" applyFont="1" applyFill="1"/>
    <xf numFmtId="43" fontId="0" fillId="6" borderId="0" xfId="0" applyNumberFormat="1" applyFill="1"/>
    <xf numFmtId="166" fontId="14" fillId="0" borderId="3" xfId="7" applyNumberFormat="1" applyFont="1" applyFill="1" applyBorder="1"/>
    <xf numFmtId="43" fontId="0" fillId="4" borderId="0" xfId="1" applyNumberFormat="1" applyFont="1" applyFill="1"/>
    <xf numFmtId="0" fontId="0" fillId="4" borderId="24" xfId="0" applyFill="1" applyBorder="1"/>
    <xf numFmtId="0" fontId="0" fillId="4" borderId="25" xfId="0" applyFill="1" applyBorder="1" applyAlignment="1">
      <alignment horizontal="center"/>
    </xf>
    <xf numFmtId="0" fontId="6" fillId="3" borderId="22" xfId="0" applyFont="1" applyFill="1" applyBorder="1" applyAlignment="1">
      <alignment horizontal="center" vertical="center"/>
    </xf>
    <xf numFmtId="9" fontId="0" fillId="4" borderId="26" xfId="1" applyFont="1" applyFill="1" applyBorder="1"/>
    <xf numFmtId="9" fontId="0" fillId="4" borderId="22" xfId="1" applyFont="1" applyFill="1" applyBorder="1"/>
    <xf numFmtId="9" fontId="0" fillId="4" borderId="27" xfId="1" applyFont="1" applyFill="1" applyBorder="1"/>
    <xf numFmtId="0" fontId="2" fillId="2" borderId="28" xfId="0" applyFont="1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29" xfId="0" applyFont="1" applyFill="1" applyBorder="1"/>
    <xf numFmtId="43" fontId="0" fillId="8" borderId="0" xfId="7" applyFont="1" applyFill="1"/>
    <xf numFmtId="2" fontId="0" fillId="0" borderId="0" xfId="1" applyNumberFormat="1" applyFont="1" applyFill="1"/>
    <xf numFmtId="0" fontId="7" fillId="5" borderId="13" xfId="2" applyFill="1" applyBorder="1" applyAlignment="1">
      <alignment horizontal="centerContinuous"/>
    </xf>
    <xf numFmtId="43" fontId="0" fillId="2" borderId="0" xfId="7" applyFont="1" applyFill="1"/>
    <xf numFmtId="165" fontId="0" fillId="0" borderId="0" xfId="1" applyNumberFormat="1" applyFont="1"/>
    <xf numFmtId="43" fontId="13" fillId="2" borderId="0" xfId="7" applyFont="1" applyFill="1"/>
    <xf numFmtId="43" fontId="13" fillId="0" borderId="0" xfId="7" applyFont="1" applyFill="1"/>
    <xf numFmtId="0" fontId="0" fillId="9" borderId="0" xfId="0" applyFill="1"/>
    <xf numFmtId="17" fontId="13" fillId="9" borderId="0" xfId="0" applyNumberFormat="1" applyFont="1" applyFill="1"/>
    <xf numFmtId="43" fontId="13" fillId="9" borderId="0" xfId="7" applyFont="1" applyFill="1"/>
    <xf numFmtId="165" fontId="0" fillId="9" borderId="0" xfId="1" applyNumberFormat="1" applyFont="1" applyFill="1"/>
    <xf numFmtId="43" fontId="0" fillId="9" borderId="0" xfId="7" applyFont="1" applyFill="1"/>
    <xf numFmtId="43" fontId="0" fillId="9" borderId="0" xfId="0" applyNumberFormat="1" applyFill="1"/>
    <xf numFmtId="166" fontId="0" fillId="9" borderId="0" xfId="0" applyNumberFormat="1" applyFill="1"/>
    <xf numFmtId="1" fontId="0" fillId="9" borderId="0" xfId="0" applyNumberFormat="1" applyFill="1"/>
    <xf numFmtId="9" fontId="0" fillId="9" borderId="0" xfId="1" applyFont="1" applyFill="1"/>
    <xf numFmtId="166" fontId="0" fillId="9" borderId="0" xfId="7" applyNumberFormat="1" applyFont="1" applyFill="1"/>
    <xf numFmtId="2" fontId="0" fillId="9" borderId="0" xfId="1" applyNumberFormat="1" applyFont="1" applyFill="1"/>
    <xf numFmtId="167" fontId="0" fillId="0" borderId="0" xfId="1" applyNumberFormat="1" applyFont="1" applyFill="1"/>
    <xf numFmtId="43" fontId="15" fillId="10" borderId="0" xfId="0" applyNumberFormat="1" applyFont="1" applyFill="1"/>
    <xf numFmtId="43" fontId="0" fillId="6" borderId="0" xfId="7" applyFont="1" applyFill="1" applyProtection="1"/>
    <xf numFmtId="43" fontId="13" fillId="2" borderId="0" xfId="7" applyFont="1" applyFill="1" applyProtection="1"/>
    <xf numFmtId="165" fontId="0" fillId="2" borderId="0" xfId="1" applyNumberFormat="1" applyFont="1" applyFill="1" applyProtection="1"/>
    <xf numFmtId="43" fontId="0" fillId="0" borderId="0" xfId="7" applyFont="1" applyFill="1" applyProtection="1"/>
    <xf numFmtId="43" fontId="0" fillId="2" borderId="0" xfId="7" applyFont="1" applyFill="1" applyProtection="1"/>
    <xf numFmtId="167" fontId="0" fillId="2" borderId="0" xfId="1" applyNumberFormat="1" applyFont="1" applyFill="1" applyProtection="1"/>
    <xf numFmtId="166" fontId="14" fillId="0" borderId="3" xfId="7" applyNumberFormat="1" applyFont="1" applyFill="1" applyBorder="1" applyProtection="1"/>
    <xf numFmtId="2" fontId="0" fillId="0" borderId="0" xfId="1" applyNumberFormat="1" applyFont="1" applyFill="1" applyProtection="1"/>
    <xf numFmtId="9" fontId="0" fillId="2" borderId="0" xfId="1" applyFont="1" applyFill="1" applyProtection="1"/>
    <xf numFmtId="43" fontId="0" fillId="2" borderId="0" xfId="1" applyNumberFormat="1" applyFont="1" applyFill="1" applyProtection="1"/>
    <xf numFmtId="43" fontId="0" fillId="2" borderId="0" xfId="0" applyNumberFormat="1" applyFill="1"/>
    <xf numFmtId="0" fontId="0" fillId="2" borderId="0" xfId="0" applyFill="1"/>
    <xf numFmtId="0" fontId="0" fillId="4" borderId="13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5" fillId="5" borderId="13" xfId="0" applyFont="1" applyFill="1" applyBorder="1" applyAlignment="1">
      <alignment horizontal="center"/>
    </xf>
    <xf numFmtId="0" fontId="5" fillId="5" borderId="14" xfId="0" applyFont="1" applyFill="1" applyBorder="1" applyAlignment="1">
      <alignment horizontal="center"/>
    </xf>
    <xf numFmtId="0" fontId="5" fillId="5" borderId="15" xfId="0" applyFont="1" applyFill="1" applyBorder="1" applyAlignment="1">
      <alignment horizontal="center"/>
    </xf>
    <xf numFmtId="0" fontId="4" fillId="4" borderId="0" xfId="0" applyFont="1" applyFill="1" applyAlignment="1">
      <alignment horizontal="left" wrapText="1"/>
    </xf>
    <xf numFmtId="0" fontId="0" fillId="4" borderId="5" xfId="0" applyFill="1" applyBorder="1" applyAlignment="1" applyProtection="1">
      <alignment horizontal="left" vertical="top" wrapText="1"/>
      <protection locked="0"/>
    </xf>
    <xf numFmtId="0" fontId="0" fillId="4" borderId="6" xfId="0" applyFill="1" applyBorder="1" applyAlignment="1" applyProtection="1">
      <alignment horizontal="left" vertical="top" wrapText="1"/>
      <protection locked="0"/>
    </xf>
    <xf numFmtId="0" fontId="0" fillId="4" borderId="7" xfId="0" applyFill="1" applyBorder="1" applyAlignment="1" applyProtection="1">
      <alignment horizontal="left" vertical="top" wrapText="1"/>
      <protection locked="0"/>
    </xf>
    <xf numFmtId="0" fontId="0" fillId="4" borderId="8" xfId="0" applyFill="1" applyBorder="1" applyAlignment="1" applyProtection="1">
      <alignment horizontal="left" vertical="top" wrapText="1"/>
      <protection locked="0"/>
    </xf>
    <xf numFmtId="0" fontId="0" fillId="4" borderId="0" xfId="0" applyFill="1" applyAlignment="1" applyProtection="1">
      <alignment horizontal="left" vertical="top" wrapText="1"/>
      <protection locked="0"/>
    </xf>
    <xf numFmtId="0" fontId="0" fillId="4" borderId="9" xfId="0" applyFill="1" applyBorder="1" applyAlignment="1" applyProtection="1">
      <alignment horizontal="left" vertical="top" wrapText="1"/>
      <protection locked="0"/>
    </xf>
    <xf numFmtId="0" fontId="0" fillId="4" borderId="10" xfId="0" applyFill="1" applyBorder="1" applyAlignment="1" applyProtection="1">
      <alignment horizontal="left" vertical="top" wrapText="1"/>
      <protection locked="0"/>
    </xf>
    <xf numFmtId="0" fontId="0" fillId="4" borderId="4" xfId="0" applyFill="1" applyBorder="1" applyAlignment="1" applyProtection="1">
      <alignment horizontal="left" vertical="top" wrapText="1"/>
      <protection locked="0"/>
    </xf>
    <xf numFmtId="0" fontId="0" fillId="4" borderId="11" xfId="0" applyFill="1" applyBorder="1" applyAlignment="1" applyProtection="1">
      <alignment horizontal="left" vertical="top" wrapText="1"/>
      <protection locked="0"/>
    </xf>
    <xf numFmtId="0" fontId="0" fillId="4" borderId="5" xfId="0" applyFill="1" applyBorder="1" applyAlignment="1">
      <alignment horizontal="left" vertical="top" wrapText="1"/>
    </xf>
    <xf numFmtId="0" fontId="0" fillId="4" borderId="6" xfId="0" applyFill="1" applyBorder="1" applyAlignment="1">
      <alignment horizontal="left" vertical="top" wrapText="1"/>
    </xf>
    <xf numFmtId="0" fontId="0" fillId="4" borderId="7" xfId="0" applyFill="1" applyBorder="1" applyAlignment="1">
      <alignment horizontal="left" vertical="top" wrapText="1"/>
    </xf>
    <xf numFmtId="0" fontId="0" fillId="4" borderId="8" xfId="0" applyFill="1" applyBorder="1" applyAlignment="1">
      <alignment horizontal="left" vertical="top" wrapText="1"/>
    </xf>
    <xf numFmtId="0" fontId="0" fillId="4" borderId="0" xfId="0" applyFill="1" applyAlignment="1">
      <alignment horizontal="left" vertical="top" wrapText="1"/>
    </xf>
    <xf numFmtId="0" fontId="0" fillId="4" borderId="9" xfId="0" applyFill="1" applyBorder="1" applyAlignment="1">
      <alignment horizontal="left" vertical="top" wrapText="1"/>
    </xf>
    <xf numFmtId="0" fontId="0" fillId="4" borderId="10" xfId="0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0" fillId="4" borderId="11" xfId="0" applyFill="1" applyBorder="1" applyAlignment="1">
      <alignment horizontal="left" vertical="top" wrapText="1"/>
    </xf>
    <xf numFmtId="43" fontId="4" fillId="4" borderId="0" xfId="0" applyNumberFormat="1" applyFont="1" applyFill="1" applyAlignment="1">
      <alignment horizontal="left" wrapText="1"/>
    </xf>
  </cellXfs>
  <cellStyles count="8">
    <cellStyle name="Comma" xfId="7" builtinId="3"/>
    <cellStyle name="Comma 2" xfId="5"/>
    <cellStyle name="Hyperlink" xfId="2" builtinId="8"/>
    <cellStyle name="Normal" xfId="0" builtinId="0"/>
    <cellStyle name="Normal 2" xfId="4"/>
    <cellStyle name="Normal 2 2" xfId="6"/>
    <cellStyle name="Percent" xfId="1" builtinId="5"/>
    <cellStyle name="Standaard 2" xfId="3"/>
  </cellStyles>
  <dxfs count="540"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</dxfs>
  <tableStyles count="0" defaultTableStyle="TableStyleMedium9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customXml" Target="../customXml/item1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sheetMetadata" Target="metadata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100'!$D$20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100'!$E$18:$P$18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100'!$E$20:$P$20</c:f>
              <c:numCache>
                <c:formatCode>#,##0</c:formatCode>
                <c:ptCount val="12"/>
                <c:pt idx="0">
                  <c:v>203624</c:v>
                </c:pt>
                <c:pt idx="1">
                  <c:v>229218</c:v>
                </c:pt>
                <c:pt idx="2">
                  <c:v>194924</c:v>
                </c:pt>
                <c:pt idx="3">
                  <c:v>247237</c:v>
                </c:pt>
                <c:pt idx="4">
                  <c:v>181647</c:v>
                </c:pt>
                <c:pt idx="5">
                  <c:v>180291</c:v>
                </c:pt>
                <c:pt idx="6">
                  <c:v>258170</c:v>
                </c:pt>
                <c:pt idx="7">
                  <c:v>222543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A1-455E-BBCF-AF6CD02AD716}"/>
            </c:ext>
          </c:extLst>
        </c:ser>
        <c:ser>
          <c:idx val="4"/>
          <c:order val="2"/>
          <c:tx>
            <c:strRef>
              <c:f>'KPI 100'!$D$23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100'!$E$18:$P$18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100'!$E$23:$P$23</c:f>
              <c:numCache>
                <c:formatCode>#,##0</c:formatCode>
                <c:ptCount val="12"/>
                <c:pt idx="0">
                  <c:v>179812</c:v>
                </c:pt>
                <c:pt idx="1">
                  <c:v>218591</c:v>
                </c:pt>
                <c:pt idx="2">
                  <c:v>206801</c:v>
                </c:pt>
                <c:pt idx="3">
                  <c:v>217593</c:v>
                </c:pt>
                <c:pt idx="4">
                  <c:v>230368</c:v>
                </c:pt>
                <c:pt idx="5">
                  <c:v>151401</c:v>
                </c:pt>
                <c:pt idx="6">
                  <c:v>267445</c:v>
                </c:pt>
                <c:pt idx="7">
                  <c:v>216809</c:v>
                </c:pt>
                <c:pt idx="8">
                  <c:v>230236</c:v>
                </c:pt>
                <c:pt idx="9">
                  <c:v>175341</c:v>
                </c:pt>
                <c:pt idx="10">
                  <c:v>207719</c:v>
                </c:pt>
                <c:pt idx="11">
                  <c:v>224235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A1-455E-BBCF-AF6CD02AD7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8207104"/>
        <c:axId val="188208640"/>
      </c:barChart>
      <c:lineChart>
        <c:grouping val="standard"/>
        <c:varyColors val="0"/>
        <c:ser>
          <c:idx val="0"/>
          <c:order val="0"/>
          <c:tx>
            <c:strRef>
              <c:f>'KPI 100'!$D$19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100'!$E$18:$P$18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100'!$E$19:$P$19</c:f>
              <c:numCache>
                <c:formatCode>#,##0</c:formatCode>
                <c:ptCount val="12"/>
                <c:pt idx="0">
                  <c:v>214810.56914782134</c:v>
                </c:pt>
                <c:pt idx="1">
                  <c:v>215882.83666165808</c:v>
                </c:pt>
                <c:pt idx="2">
                  <c:v>217038.89692224737</c:v>
                </c:pt>
                <c:pt idx="3">
                  <c:v>220378.22782870446</c:v>
                </c:pt>
                <c:pt idx="4">
                  <c:v>223369.42690525271</c:v>
                </c:pt>
                <c:pt idx="5">
                  <c:v>226152.02068992931</c:v>
                </c:pt>
                <c:pt idx="6">
                  <c:v>228481.92458352185</c:v>
                </c:pt>
                <c:pt idx="7">
                  <c:v>230597.54382175682</c:v>
                </c:pt>
                <c:pt idx="8">
                  <c:v>232389.43623022985</c:v>
                </c:pt>
                <c:pt idx="9">
                  <c:v>233508.46181669243</c:v>
                </c:pt>
                <c:pt idx="10">
                  <c:v>234597.58058775531</c:v>
                </c:pt>
                <c:pt idx="11">
                  <c:v>235619.07480443019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A1-455E-BBCF-AF6CD02AD716}"/>
            </c:ext>
          </c:extLst>
        </c:ser>
        <c:ser>
          <c:idx val="2"/>
          <c:order val="3"/>
          <c:tx>
            <c:strRef>
              <c:f>'KPI 101'!#REF!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101'!#REF!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A1-455E-BBCF-AF6CD02AD7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207104"/>
        <c:axId val="188208640"/>
      </c:lineChart>
      <c:dateAx>
        <c:axId val="18820710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88208640"/>
        <c:crosses val="autoZero"/>
        <c:auto val="1"/>
        <c:lblOffset val="100"/>
        <c:baseTimeUnit val="months"/>
      </c:dateAx>
      <c:valAx>
        <c:axId val="18820864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88207104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100'!$D$20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100'!$E$18:$P$18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100'!$E$20:$P$20</c:f>
              <c:numCache>
                <c:formatCode>#,##0</c:formatCode>
                <c:ptCount val="12"/>
                <c:pt idx="0">
                  <c:v>203624</c:v>
                </c:pt>
                <c:pt idx="1">
                  <c:v>229218</c:v>
                </c:pt>
                <c:pt idx="2">
                  <c:v>194924</c:v>
                </c:pt>
                <c:pt idx="3">
                  <c:v>247237</c:v>
                </c:pt>
                <c:pt idx="4">
                  <c:v>181647</c:v>
                </c:pt>
                <c:pt idx="5">
                  <c:v>180291</c:v>
                </c:pt>
                <c:pt idx="6">
                  <c:v>258170</c:v>
                </c:pt>
                <c:pt idx="7">
                  <c:v>222543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40-410C-AC28-13AEDC9B5BB9}"/>
            </c:ext>
          </c:extLst>
        </c:ser>
        <c:ser>
          <c:idx val="4"/>
          <c:order val="2"/>
          <c:tx>
            <c:strRef>
              <c:f>'KPI 100'!$D$23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100'!$E$18:$P$18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100'!$E$23:$P$23</c:f>
              <c:numCache>
                <c:formatCode>#,##0</c:formatCode>
                <c:ptCount val="12"/>
                <c:pt idx="0">
                  <c:v>179812</c:v>
                </c:pt>
                <c:pt idx="1">
                  <c:v>218591</c:v>
                </c:pt>
                <c:pt idx="2">
                  <c:v>206801</c:v>
                </c:pt>
                <c:pt idx="3">
                  <c:v>217593</c:v>
                </c:pt>
                <c:pt idx="4">
                  <c:v>230368</c:v>
                </c:pt>
                <c:pt idx="5">
                  <c:v>151401</c:v>
                </c:pt>
                <c:pt idx="6">
                  <c:v>267445</c:v>
                </c:pt>
                <c:pt idx="7">
                  <c:v>216809</c:v>
                </c:pt>
                <c:pt idx="8">
                  <c:v>230236</c:v>
                </c:pt>
                <c:pt idx="9">
                  <c:v>175341</c:v>
                </c:pt>
                <c:pt idx="10">
                  <c:v>207719</c:v>
                </c:pt>
                <c:pt idx="11">
                  <c:v>224235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40-410C-AC28-13AEDC9B5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8207104"/>
        <c:axId val="188208640"/>
      </c:barChart>
      <c:lineChart>
        <c:grouping val="standard"/>
        <c:varyColors val="0"/>
        <c:ser>
          <c:idx val="0"/>
          <c:order val="0"/>
          <c:tx>
            <c:strRef>
              <c:f>'KPI 100'!$D$19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100'!$E$18:$P$18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100'!$E$19:$P$19</c:f>
              <c:numCache>
                <c:formatCode>#,##0</c:formatCode>
                <c:ptCount val="12"/>
                <c:pt idx="0">
                  <c:v>214810.56914782134</c:v>
                </c:pt>
                <c:pt idx="1">
                  <c:v>215882.83666165808</c:v>
                </c:pt>
                <c:pt idx="2">
                  <c:v>217038.89692224737</c:v>
                </c:pt>
                <c:pt idx="3">
                  <c:v>220378.22782870446</c:v>
                </c:pt>
                <c:pt idx="4">
                  <c:v>223369.42690525271</c:v>
                </c:pt>
                <c:pt idx="5">
                  <c:v>226152.02068992931</c:v>
                </c:pt>
                <c:pt idx="6">
                  <c:v>228481.92458352185</c:v>
                </c:pt>
                <c:pt idx="7">
                  <c:v>230597.54382175682</c:v>
                </c:pt>
                <c:pt idx="8">
                  <c:v>232389.43623022985</c:v>
                </c:pt>
                <c:pt idx="9">
                  <c:v>233508.46181669243</c:v>
                </c:pt>
                <c:pt idx="10">
                  <c:v>234597.58058775531</c:v>
                </c:pt>
                <c:pt idx="11">
                  <c:v>235619.07480443019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E40-410C-AC28-13AEDC9B5BB9}"/>
            </c:ext>
          </c:extLst>
        </c:ser>
        <c:ser>
          <c:idx val="2"/>
          <c:order val="3"/>
          <c:tx>
            <c:strRef>
              <c:f>'KPI 101'!#REF!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101'!#REF!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E40-410C-AC28-13AEDC9B5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207104"/>
        <c:axId val="188208640"/>
      </c:lineChart>
      <c:dateAx>
        <c:axId val="18820710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88208640"/>
        <c:crosses val="autoZero"/>
        <c:auto val="1"/>
        <c:lblOffset val="100"/>
        <c:baseTimeUnit val="months"/>
      </c:dateAx>
      <c:valAx>
        <c:axId val="18820864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88207104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100'!$D$20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100'!$E$18:$P$18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100'!$E$20:$P$20</c:f>
              <c:numCache>
                <c:formatCode>#,##0</c:formatCode>
                <c:ptCount val="12"/>
                <c:pt idx="0">
                  <c:v>203624</c:v>
                </c:pt>
                <c:pt idx="1">
                  <c:v>229218</c:v>
                </c:pt>
                <c:pt idx="2">
                  <c:v>194924</c:v>
                </c:pt>
                <c:pt idx="3">
                  <c:v>247237</c:v>
                </c:pt>
                <c:pt idx="4">
                  <c:v>181647</c:v>
                </c:pt>
                <c:pt idx="5">
                  <c:v>180291</c:v>
                </c:pt>
                <c:pt idx="6">
                  <c:v>258170</c:v>
                </c:pt>
                <c:pt idx="7">
                  <c:v>222543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40-410C-AC28-13AEDC9B5BB9}"/>
            </c:ext>
          </c:extLst>
        </c:ser>
        <c:ser>
          <c:idx val="4"/>
          <c:order val="2"/>
          <c:tx>
            <c:strRef>
              <c:f>'KPI 100'!$D$23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100'!$E$18:$P$18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100'!$E$23:$P$23</c:f>
              <c:numCache>
                <c:formatCode>#,##0</c:formatCode>
                <c:ptCount val="12"/>
                <c:pt idx="0">
                  <c:v>179812</c:v>
                </c:pt>
                <c:pt idx="1">
                  <c:v>218591</c:v>
                </c:pt>
                <c:pt idx="2">
                  <c:v>206801</c:v>
                </c:pt>
                <c:pt idx="3">
                  <c:v>217593</c:v>
                </c:pt>
                <c:pt idx="4">
                  <c:v>230368</c:v>
                </c:pt>
                <c:pt idx="5">
                  <c:v>151401</c:v>
                </c:pt>
                <c:pt idx="6">
                  <c:v>267445</c:v>
                </c:pt>
                <c:pt idx="7">
                  <c:v>216809</c:v>
                </c:pt>
                <c:pt idx="8">
                  <c:v>230236</c:v>
                </c:pt>
                <c:pt idx="9">
                  <c:v>175341</c:v>
                </c:pt>
                <c:pt idx="10">
                  <c:v>207719</c:v>
                </c:pt>
                <c:pt idx="11">
                  <c:v>224235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40-410C-AC28-13AEDC9B5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231424"/>
        <c:axId val="96232960"/>
      </c:barChart>
      <c:lineChart>
        <c:grouping val="standard"/>
        <c:varyColors val="0"/>
        <c:ser>
          <c:idx val="0"/>
          <c:order val="0"/>
          <c:tx>
            <c:strRef>
              <c:f>'KPI 100'!$D$19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100'!$E$18:$P$18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100'!$E$19:$P$19</c:f>
              <c:numCache>
                <c:formatCode>#,##0</c:formatCode>
                <c:ptCount val="12"/>
                <c:pt idx="0">
                  <c:v>214810.56914782134</c:v>
                </c:pt>
                <c:pt idx="1">
                  <c:v>215882.83666165808</c:v>
                </c:pt>
                <c:pt idx="2">
                  <c:v>217038.89692224737</c:v>
                </c:pt>
                <c:pt idx="3">
                  <c:v>220378.22782870446</c:v>
                </c:pt>
                <c:pt idx="4">
                  <c:v>223369.42690525271</c:v>
                </c:pt>
                <c:pt idx="5">
                  <c:v>226152.02068992931</c:v>
                </c:pt>
                <c:pt idx="6">
                  <c:v>228481.92458352185</c:v>
                </c:pt>
                <c:pt idx="7">
                  <c:v>230597.54382175682</c:v>
                </c:pt>
                <c:pt idx="8">
                  <c:v>232389.43623022985</c:v>
                </c:pt>
                <c:pt idx="9">
                  <c:v>233508.46181669243</c:v>
                </c:pt>
                <c:pt idx="10">
                  <c:v>234597.58058775531</c:v>
                </c:pt>
                <c:pt idx="11">
                  <c:v>235619.07480443019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E40-410C-AC28-13AEDC9B5BB9}"/>
            </c:ext>
          </c:extLst>
        </c:ser>
        <c:ser>
          <c:idx val="2"/>
          <c:order val="3"/>
          <c:tx>
            <c:strRef>
              <c:f>'KPI 101'!#REF!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101'!#REF!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E40-410C-AC28-13AEDC9B5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231424"/>
        <c:axId val="96232960"/>
      </c:lineChart>
      <c:dateAx>
        <c:axId val="9623142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96232960"/>
        <c:crosses val="autoZero"/>
        <c:auto val="1"/>
        <c:lblOffset val="100"/>
        <c:baseTimeUnit val="months"/>
      </c:dateAx>
      <c:valAx>
        <c:axId val="9623296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96231424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128a'!$D$20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128a'!$E$18:$P$18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128a'!$E$20:$P$20</c:f>
              <c:numCache>
                <c:formatCode>#,##0</c:formatCode>
                <c:ptCount val="12"/>
                <c:pt idx="0">
                  <c:v>146435</c:v>
                </c:pt>
                <c:pt idx="1">
                  <c:v>173295</c:v>
                </c:pt>
                <c:pt idx="2">
                  <c:v>145984</c:v>
                </c:pt>
                <c:pt idx="3">
                  <c:v>171125</c:v>
                </c:pt>
                <c:pt idx="4">
                  <c:v>135132</c:v>
                </c:pt>
                <c:pt idx="5">
                  <c:v>131036</c:v>
                </c:pt>
                <c:pt idx="6">
                  <c:v>200570</c:v>
                </c:pt>
                <c:pt idx="7">
                  <c:v>172266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89-4174-AF35-615CFD9DA19C}"/>
            </c:ext>
          </c:extLst>
        </c:ser>
        <c:ser>
          <c:idx val="4"/>
          <c:order val="2"/>
          <c:tx>
            <c:strRef>
              <c:f>'KPI 128a'!$D$23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128a'!$E$18:$P$18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128a'!$E$23:$P$23</c:f>
              <c:numCache>
                <c:formatCode>#,##0</c:formatCode>
                <c:ptCount val="12"/>
                <c:pt idx="0">
                  <c:v>141416</c:v>
                </c:pt>
                <c:pt idx="1">
                  <c:v>168508</c:v>
                </c:pt>
                <c:pt idx="2">
                  <c:v>163668</c:v>
                </c:pt>
                <c:pt idx="3">
                  <c:v>160893</c:v>
                </c:pt>
                <c:pt idx="4">
                  <c:v>179892</c:v>
                </c:pt>
                <c:pt idx="5">
                  <c:v>116560</c:v>
                </c:pt>
                <c:pt idx="6">
                  <c:v>184451</c:v>
                </c:pt>
                <c:pt idx="7">
                  <c:v>165475</c:v>
                </c:pt>
                <c:pt idx="8">
                  <c:v>175998</c:v>
                </c:pt>
                <c:pt idx="9">
                  <c:v>135488</c:v>
                </c:pt>
                <c:pt idx="10">
                  <c:v>153695</c:v>
                </c:pt>
                <c:pt idx="11">
                  <c:v>164911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89-4174-AF35-615CFD9DA1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5657216"/>
        <c:axId val="188092800"/>
      </c:barChart>
      <c:lineChart>
        <c:grouping val="standard"/>
        <c:varyColors val="0"/>
        <c:ser>
          <c:idx val="0"/>
          <c:order val="0"/>
          <c:tx>
            <c:strRef>
              <c:f>'KPI 128a'!$D$19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128a'!$E$18:$P$18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128a'!$E$19:$P$19</c:f>
              <c:numCache>
                <c:formatCode>#,##0</c:formatCode>
                <c:ptCount val="12"/>
                <c:pt idx="0">
                  <c:v>162967.7442335966</c:v>
                </c:pt>
                <c:pt idx="1">
                  <c:v>164996.22762758762</c:v>
                </c:pt>
                <c:pt idx="2">
                  <c:v>167133.6122432423</c:v>
                </c:pt>
                <c:pt idx="3">
                  <c:v>170794.2475474836</c:v>
                </c:pt>
                <c:pt idx="4">
                  <c:v>174251.4018390667</c:v>
                </c:pt>
                <c:pt idx="5">
                  <c:v>177638.11139871617</c:v>
                </c:pt>
                <c:pt idx="6">
                  <c:v>180823.43914382733</c:v>
                </c:pt>
                <c:pt idx="7">
                  <c:v>183888.91262962579</c:v>
                </c:pt>
                <c:pt idx="8">
                  <c:v>186764.48642215956</c:v>
                </c:pt>
                <c:pt idx="9">
                  <c:v>189206.27401245051</c:v>
                </c:pt>
                <c:pt idx="10">
                  <c:v>191648.06160274139</c:v>
                </c:pt>
                <c:pt idx="11">
                  <c:v>194059.95820076609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F89-4174-AF35-615CFD9DA19C}"/>
            </c:ext>
          </c:extLst>
        </c:ser>
        <c:ser>
          <c:idx val="2"/>
          <c:order val="3"/>
          <c:tx>
            <c:strRef>
              <c:f>'KPI 108'!#REF!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108'!#REF!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F89-4174-AF35-615CFD9DA1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657216"/>
        <c:axId val="188092800"/>
      </c:lineChart>
      <c:dateAx>
        <c:axId val="16565721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88092800"/>
        <c:crosses val="autoZero"/>
        <c:auto val="1"/>
        <c:lblOffset val="100"/>
        <c:baseTimeUnit val="months"/>
      </c:dateAx>
      <c:valAx>
        <c:axId val="18809280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65657216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128a'!$D$20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128a'!$E$18:$P$18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128a'!$E$20:$P$20</c:f>
              <c:numCache>
                <c:formatCode>#,##0</c:formatCode>
                <c:ptCount val="12"/>
                <c:pt idx="0">
                  <c:v>146435</c:v>
                </c:pt>
                <c:pt idx="1">
                  <c:v>173295</c:v>
                </c:pt>
                <c:pt idx="2">
                  <c:v>145984</c:v>
                </c:pt>
                <c:pt idx="3">
                  <c:v>171125</c:v>
                </c:pt>
                <c:pt idx="4">
                  <c:v>135132</c:v>
                </c:pt>
                <c:pt idx="5">
                  <c:v>131036</c:v>
                </c:pt>
                <c:pt idx="6">
                  <c:v>200570</c:v>
                </c:pt>
                <c:pt idx="7">
                  <c:v>172266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8D-40CE-BD14-A840E91DDEDF}"/>
            </c:ext>
          </c:extLst>
        </c:ser>
        <c:ser>
          <c:idx val="4"/>
          <c:order val="2"/>
          <c:tx>
            <c:strRef>
              <c:f>'KPI 128a'!$D$23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128a'!$E$18:$P$18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128a'!$E$23:$P$23</c:f>
              <c:numCache>
                <c:formatCode>#,##0</c:formatCode>
                <c:ptCount val="12"/>
                <c:pt idx="0">
                  <c:v>141416</c:v>
                </c:pt>
                <c:pt idx="1">
                  <c:v>168508</c:v>
                </c:pt>
                <c:pt idx="2">
                  <c:v>163668</c:v>
                </c:pt>
                <c:pt idx="3">
                  <c:v>160893</c:v>
                </c:pt>
                <c:pt idx="4">
                  <c:v>179892</c:v>
                </c:pt>
                <c:pt idx="5">
                  <c:v>116560</c:v>
                </c:pt>
                <c:pt idx="6">
                  <c:v>184451</c:v>
                </c:pt>
                <c:pt idx="7">
                  <c:v>165475</c:v>
                </c:pt>
                <c:pt idx="8">
                  <c:v>175998</c:v>
                </c:pt>
                <c:pt idx="9">
                  <c:v>135488</c:v>
                </c:pt>
                <c:pt idx="10">
                  <c:v>153695</c:v>
                </c:pt>
                <c:pt idx="11">
                  <c:v>164911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8D-40CE-BD14-A840E91DDE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5657216"/>
        <c:axId val="188092800"/>
      </c:barChart>
      <c:lineChart>
        <c:grouping val="standard"/>
        <c:varyColors val="0"/>
        <c:ser>
          <c:idx val="0"/>
          <c:order val="0"/>
          <c:tx>
            <c:strRef>
              <c:f>'KPI 128a'!$D$19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128a'!$E$18:$P$18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128a'!$E$19:$P$19</c:f>
              <c:numCache>
                <c:formatCode>#,##0</c:formatCode>
                <c:ptCount val="12"/>
                <c:pt idx="0">
                  <c:v>162967.7442335966</c:v>
                </c:pt>
                <c:pt idx="1">
                  <c:v>164996.22762758762</c:v>
                </c:pt>
                <c:pt idx="2">
                  <c:v>167133.6122432423</c:v>
                </c:pt>
                <c:pt idx="3">
                  <c:v>170794.2475474836</c:v>
                </c:pt>
                <c:pt idx="4">
                  <c:v>174251.4018390667</c:v>
                </c:pt>
                <c:pt idx="5">
                  <c:v>177638.11139871617</c:v>
                </c:pt>
                <c:pt idx="6">
                  <c:v>180823.43914382733</c:v>
                </c:pt>
                <c:pt idx="7">
                  <c:v>183888.91262962579</c:v>
                </c:pt>
                <c:pt idx="8">
                  <c:v>186764.48642215956</c:v>
                </c:pt>
                <c:pt idx="9">
                  <c:v>189206.27401245051</c:v>
                </c:pt>
                <c:pt idx="10">
                  <c:v>191648.06160274139</c:v>
                </c:pt>
                <c:pt idx="11">
                  <c:v>194059.95820076609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78D-40CE-BD14-A840E91DDEDF}"/>
            </c:ext>
          </c:extLst>
        </c:ser>
        <c:ser>
          <c:idx val="2"/>
          <c:order val="3"/>
          <c:tx>
            <c:strRef>
              <c:f>'KPI 108'!#REF!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108'!#REF!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78D-40CE-BD14-A840E91DDE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657216"/>
        <c:axId val="188092800"/>
      </c:lineChart>
      <c:dateAx>
        <c:axId val="16565721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88092800"/>
        <c:crosses val="autoZero"/>
        <c:auto val="1"/>
        <c:lblOffset val="100"/>
        <c:baseTimeUnit val="months"/>
      </c:dateAx>
      <c:valAx>
        <c:axId val="18809280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65657216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128a'!$D$20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128a'!$E$18:$P$18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128a'!$E$20:$P$20</c:f>
              <c:numCache>
                <c:formatCode>#,##0</c:formatCode>
                <c:ptCount val="12"/>
                <c:pt idx="0">
                  <c:v>146435</c:v>
                </c:pt>
                <c:pt idx="1">
                  <c:v>173295</c:v>
                </c:pt>
                <c:pt idx="2">
                  <c:v>145984</c:v>
                </c:pt>
                <c:pt idx="3">
                  <c:v>171125</c:v>
                </c:pt>
                <c:pt idx="4">
                  <c:v>135132</c:v>
                </c:pt>
                <c:pt idx="5">
                  <c:v>131036</c:v>
                </c:pt>
                <c:pt idx="6">
                  <c:v>200570</c:v>
                </c:pt>
                <c:pt idx="7">
                  <c:v>172266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8D-40CE-BD14-A840E91DDEDF}"/>
            </c:ext>
          </c:extLst>
        </c:ser>
        <c:ser>
          <c:idx val="4"/>
          <c:order val="2"/>
          <c:tx>
            <c:strRef>
              <c:f>'KPI 128a'!$D$23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128a'!$E$18:$P$18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128a'!$E$23:$P$23</c:f>
              <c:numCache>
                <c:formatCode>#,##0</c:formatCode>
                <c:ptCount val="12"/>
                <c:pt idx="0">
                  <c:v>141416</c:v>
                </c:pt>
                <c:pt idx="1">
                  <c:v>168508</c:v>
                </c:pt>
                <c:pt idx="2">
                  <c:v>163668</c:v>
                </c:pt>
                <c:pt idx="3">
                  <c:v>160893</c:v>
                </c:pt>
                <c:pt idx="4">
                  <c:v>179892</c:v>
                </c:pt>
                <c:pt idx="5">
                  <c:v>116560</c:v>
                </c:pt>
                <c:pt idx="6">
                  <c:v>184451</c:v>
                </c:pt>
                <c:pt idx="7">
                  <c:v>165475</c:v>
                </c:pt>
                <c:pt idx="8">
                  <c:v>175998</c:v>
                </c:pt>
                <c:pt idx="9">
                  <c:v>135488</c:v>
                </c:pt>
                <c:pt idx="10">
                  <c:v>153695</c:v>
                </c:pt>
                <c:pt idx="11">
                  <c:v>164911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8D-40CE-BD14-A840E91DDE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495872"/>
        <c:axId val="96505856"/>
      </c:barChart>
      <c:lineChart>
        <c:grouping val="standard"/>
        <c:varyColors val="0"/>
        <c:ser>
          <c:idx val="0"/>
          <c:order val="0"/>
          <c:tx>
            <c:strRef>
              <c:f>'KPI 128a'!$D$19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128a'!$E$18:$P$18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128a'!$E$19:$P$19</c:f>
              <c:numCache>
                <c:formatCode>#,##0</c:formatCode>
                <c:ptCount val="12"/>
                <c:pt idx="0">
                  <c:v>162967.7442335966</c:v>
                </c:pt>
                <c:pt idx="1">
                  <c:v>164996.22762758762</c:v>
                </c:pt>
                <c:pt idx="2">
                  <c:v>167133.6122432423</c:v>
                </c:pt>
                <c:pt idx="3">
                  <c:v>170794.2475474836</c:v>
                </c:pt>
                <c:pt idx="4">
                  <c:v>174251.4018390667</c:v>
                </c:pt>
                <c:pt idx="5">
                  <c:v>177638.11139871617</c:v>
                </c:pt>
                <c:pt idx="6">
                  <c:v>180823.43914382733</c:v>
                </c:pt>
                <c:pt idx="7">
                  <c:v>183888.91262962579</c:v>
                </c:pt>
                <c:pt idx="8">
                  <c:v>186764.48642215956</c:v>
                </c:pt>
                <c:pt idx="9">
                  <c:v>189206.27401245051</c:v>
                </c:pt>
                <c:pt idx="10">
                  <c:v>191648.06160274139</c:v>
                </c:pt>
                <c:pt idx="11">
                  <c:v>194059.95820076609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78D-40CE-BD14-A840E91DDEDF}"/>
            </c:ext>
          </c:extLst>
        </c:ser>
        <c:ser>
          <c:idx val="2"/>
          <c:order val="3"/>
          <c:tx>
            <c:strRef>
              <c:f>'KPI 108'!#REF!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108'!#REF!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78D-40CE-BD14-A840E91DDE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495872"/>
        <c:axId val="96505856"/>
      </c:lineChart>
      <c:dateAx>
        <c:axId val="9649587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96505856"/>
        <c:crosses val="autoZero"/>
        <c:auto val="1"/>
        <c:lblOffset val="100"/>
        <c:baseTimeUnit val="months"/>
      </c:dateAx>
      <c:valAx>
        <c:axId val="9650585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96495872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128'!$D$20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128'!$E$18:$P$18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128'!$E$20:$P$20</c:f>
              <c:numCache>
                <c:formatCode>0%</c:formatCode>
                <c:ptCount val="12"/>
                <c:pt idx="0">
                  <c:v>0.28085589125054022</c:v>
                </c:pt>
                <c:pt idx="1">
                  <c:v>0.24397298641467949</c:v>
                </c:pt>
                <c:pt idx="2">
                  <c:v>0.25107221275984487</c:v>
                </c:pt>
                <c:pt idx="3">
                  <c:v>0.30785036220306833</c:v>
                </c:pt>
                <c:pt idx="4">
                  <c:v>0.25607359328808071</c:v>
                </c:pt>
                <c:pt idx="5">
                  <c:v>0.27319722004980834</c:v>
                </c:pt>
                <c:pt idx="6">
                  <c:v>0.22310880427625207</c:v>
                </c:pt>
                <c:pt idx="7">
                  <c:v>0.2259203839258031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0F-4BD5-BBDD-8B3B14A810CB}"/>
            </c:ext>
          </c:extLst>
        </c:ser>
        <c:ser>
          <c:idx val="4"/>
          <c:order val="2"/>
          <c:tx>
            <c:strRef>
              <c:f>'KPI 128'!$D$23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128'!$E$18:$P$18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128'!$E$23:$P$23</c:f>
              <c:numCache>
                <c:formatCode>0%</c:formatCode>
                <c:ptCount val="12"/>
                <c:pt idx="0">
                  <c:v>0.21353413565279292</c:v>
                </c:pt>
                <c:pt idx="1">
                  <c:v>0.22911739275633489</c:v>
                </c:pt>
                <c:pt idx="2">
                  <c:v>0.20857249239607159</c:v>
                </c:pt>
                <c:pt idx="3">
                  <c:v>0.26057823551309095</c:v>
                </c:pt>
                <c:pt idx="4">
                  <c:v>0.21911029309626337</c:v>
                </c:pt>
                <c:pt idx="5">
                  <c:v>0.23012397540306867</c:v>
                </c:pt>
                <c:pt idx="6">
                  <c:v>0.31032174839686666</c:v>
                </c:pt>
                <c:pt idx="7">
                  <c:v>0.2367706137660337</c:v>
                </c:pt>
                <c:pt idx="8">
                  <c:v>0.23557567018190032</c:v>
                </c:pt>
                <c:pt idx="9">
                  <c:v>0.2272885406151442</c:v>
                </c:pt>
                <c:pt idx="10">
                  <c:v>0.26008213018549098</c:v>
                </c:pt>
                <c:pt idx="11">
                  <c:v>0.26456173211140099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0F-4BD5-BBDD-8B3B14A810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0036096"/>
        <c:axId val="90037632"/>
      </c:barChart>
      <c:lineChart>
        <c:grouping val="standard"/>
        <c:varyColors val="0"/>
        <c:ser>
          <c:idx val="0"/>
          <c:order val="0"/>
          <c:tx>
            <c:strRef>
              <c:f>'KPI 128'!$D$19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128'!$E$18:$P$18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128'!$E$19:$P$19</c:f>
              <c:numCache>
                <c:formatCode>0%</c:formatCode>
                <c:ptCount val="12"/>
                <c:pt idx="0">
                  <c:v>0.24134205835351252</c:v>
                </c:pt>
                <c:pt idx="1">
                  <c:v>0.23571400960337752</c:v>
                </c:pt>
                <c:pt idx="2">
                  <c:v>0.22993705454042773</c:v>
                </c:pt>
                <c:pt idx="3">
                  <c:v>0.2249949133802886</c:v>
                </c:pt>
                <c:pt idx="4">
                  <c:v>0.21989591747943441</c:v>
                </c:pt>
                <c:pt idx="5">
                  <c:v>0.21451901753170363</c:v>
                </c:pt>
                <c:pt idx="6">
                  <c:v>0.20858755250143604</c:v>
                </c:pt>
                <c:pt idx="7">
                  <c:v>0.20255476453918794</c:v>
                </c:pt>
                <c:pt idx="8">
                  <c:v>0.19632970649693959</c:v>
                </c:pt>
                <c:pt idx="9">
                  <c:v>0.18972412159958379</c:v>
                </c:pt>
                <c:pt idx="10">
                  <c:v>0.18307741655906762</c:v>
                </c:pt>
                <c:pt idx="11">
                  <c:v>0.17638264914739699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0F-4BD5-BBDD-8B3B14A810CB}"/>
            </c:ext>
          </c:extLst>
        </c:ser>
        <c:ser>
          <c:idx val="2"/>
          <c:order val="3"/>
          <c:tx>
            <c:strRef>
              <c:f>'KPI 128'!#REF!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128'!#REF!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B0F-4BD5-BBDD-8B3B14A810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036096"/>
        <c:axId val="90037632"/>
      </c:lineChart>
      <c:dateAx>
        <c:axId val="9003609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90037632"/>
        <c:crosses val="autoZero"/>
        <c:auto val="1"/>
        <c:lblOffset val="100"/>
        <c:baseTimeUnit val="months"/>
      </c:dateAx>
      <c:valAx>
        <c:axId val="90037632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90036096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128'!$D$20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128'!$E$18:$P$18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128'!$E$20:$P$20</c:f>
              <c:numCache>
                <c:formatCode>0%</c:formatCode>
                <c:ptCount val="12"/>
                <c:pt idx="0">
                  <c:v>0.28085589125054022</c:v>
                </c:pt>
                <c:pt idx="1">
                  <c:v>0.24397298641467949</c:v>
                </c:pt>
                <c:pt idx="2">
                  <c:v>0.25107221275984487</c:v>
                </c:pt>
                <c:pt idx="3">
                  <c:v>0.30785036220306833</c:v>
                </c:pt>
                <c:pt idx="4">
                  <c:v>0.25607359328808071</c:v>
                </c:pt>
                <c:pt idx="5">
                  <c:v>0.27319722004980834</c:v>
                </c:pt>
                <c:pt idx="6">
                  <c:v>0.22310880427625207</c:v>
                </c:pt>
                <c:pt idx="7">
                  <c:v>0.2259203839258031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8E-4DDD-A3F3-9DA86CE04F66}"/>
            </c:ext>
          </c:extLst>
        </c:ser>
        <c:ser>
          <c:idx val="4"/>
          <c:order val="2"/>
          <c:tx>
            <c:strRef>
              <c:f>'KPI 128'!$D$23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128'!$E$18:$P$18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128'!$E$23:$P$23</c:f>
              <c:numCache>
                <c:formatCode>0%</c:formatCode>
                <c:ptCount val="12"/>
                <c:pt idx="0">
                  <c:v>0.21353413565279292</c:v>
                </c:pt>
                <c:pt idx="1">
                  <c:v>0.22911739275633489</c:v>
                </c:pt>
                <c:pt idx="2">
                  <c:v>0.20857249239607159</c:v>
                </c:pt>
                <c:pt idx="3">
                  <c:v>0.26057823551309095</c:v>
                </c:pt>
                <c:pt idx="4">
                  <c:v>0.21911029309626337</c:v>
                </c:pt>
                <c:pt idx="5">
                  <c:v>0.23012397540306867</c:v>
                </c:pt>
                <c:pt idx="6">
                  <c:v>0.31032174839686666</c:v>
                </c:pt>
                <c:pt idx="7">
                  <c:v>0.2367706137660337</c:v>
                </c:pt>
                <c:pt idx="8">
                  <c:v>0.23557567018190032</c:v>
                </c:pt>
                <c:pt idx="9">
                  <c:v>0.2272885406151442</c:v>
                </c:pt>
                <c:pt idx="10">
                  <c:v>0.26008213018549098</c:v>
                </c:pt>
                <c:pt idx="11">
                  <c:v>0.26456173211140099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8E-4DDD-A3F3-9DA86CE04F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0036096"/>
        <c:axId val="90037632"/>
      </c:barChart>
      <c:lineChart>
        <c:grouping val="standard"/>
        <c:varyColors val="0"/>
        <c:ser>
          <c:idx val="0"/>
          <c:order val="0"/>
          <c:tx>
            <c:strRef>
              <c:f>'KPI 128'!$D$19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128'!$E$18:$P$18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128'!$E$19:$P$19</c:f>
              <c:numCache>
                <c:formatCode>0%</c:formatCode>
                <c:ptCount val="12"/>
                <c:pt idx="0">
                  <c:v>0.24134205835351252</c:v>
                </c:pt>
                <c:pt idx="1">
                  <c:v>0.23571400960337752</c:v>
                </c:pt>
                <c:pt idx="2">
                  <c:v>0.22993705454042773</c:v>
                </c:pt>
                <c:pt idx="3">
                  <c:v>0.2249949133802886</c:v>
                </c:pt>
                <c:pt idx="4">
                  <c:v>0.21989591747943441</c:v>
                </c:pt>
                <c:pt idx="5">
                  <c:v>0.21451901753170363</c:v>
                </c:pt>
                <c:pt idx="6">
                  <c:v>0.20858755250143604</c:v>
                </c:pt>
                <c:pt idx="7">
                  <c:v>0.20255476453918794</c:v>
                </c:pt>
                <c:pt idx="8">
                  <c:v>0.19632970649693959</c:v>
                </c:pt>
                <c:pt idx="9">
                  <c:v>0.18972412159958379</c:v>
                </c:pt>
                <c:pt idx="10">
                  <c:v>0.18307741655906762</c:v>
                </c:pt>
                <c:pt idx="11">
                  <c:v>0.17638264914739699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8E-4DDD-A3F3-9DA86CE04F66}"/>
            </c:ext>
          </c:extLst>
        </c:ser>
        <c:ser>
          <c:idx val="2"/>
          <c:order val="3"/>
          <c:tx>
            <c:strRef>
              <c:f>'KPI 128'!#REF!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128'!#REF!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D8E-4DDD-A3F3-9DA86CE04F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036096"/>
        <c:axId val="90037632"/>
      </c:lineChart>
      <c:dateAx>
        <c:axId val="9003609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90037632"/>
        <c:crosses val="autoZero"/>
        <c:auto val="1"/>
        <c:lblOffset val="100"/>
        <c:baseTimeUnit val="months"/>
      </c:dateAx>
      <c:valAx>
        <c:axId val="90037632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90036096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128'!$D$20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128'!$E$18:$P$18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128'!$E$20:$P$20</c:f>
              <c:numCache>
                <c:formatCode>0%</c:formatCode>
                <c:ptCount val="12"/>
                <c:pt idx="0">
                  <c:v>0.28085589125054022</c:v>
                </c:pt>
                <c:pt idx="1">
                  <c:v>0.24397298641467949</c:v>
                </c:pt>
                <c:pt idx="2">
                  <c:v>0.25107221275984487</c:v>
                </c:pt>
                <c:pt idx="3">
                  <c:v>0.30785036220306833</c:v>
                </c:pt>
                <c:pt idx="4">
                  <c:v>0.25607359328808071</c:v>
                </c:pt>
                <c:pt idx="5">
                  <c:v>0.27319722004980834</c:v>
                </c:pt>
                <c:pt idx="6">
                  <c:v>0.22310880427625207</c:v>
                </c:pt>
                <c:pt idx="7">
                  <c:v>0.2259203839258031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8E-4DDD-A3F3-9DA86CE04F66}"/>
            </c:ext>
          </c:extLst>
        </c:ser>
        <c:ser>
          <c:idx val="4"/>
          <c:order val="2"/>
          <c:tx>
            <c:strRef>
              <c:f>'KPI 128'!$D$23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128'!$E$18:$P$18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128'!$E$23:$P$23</c:f>
              <c:numCache>
                <c:formatCode>0%</c:formatCode>
                <c:ptCount val="12"/>
                <c:pt idx="0">
                  <c:v>0.21353413565279292</c:v>
                </c:pt>
                <c:pt idx="1">
                  <c:v>0.22911739275633489</c:v>
                </c:pt>
                <c:pt idx="2">
                  <c:v>0.20857249239607159</c:v>
                </c:pt>
                <c:pt idx="3">
                  <c:v>0.26057823551309095</c:v>
                </c:pt>
                <c:pt idx="4">
                  <c:v>0.21911029309626337</c:v>
                </c:pt>
                <c:pt idx="5">
                  <c:v>0.23012397540306867</c:v>
                </c:pt>
                <c:pt idx="6">
                  <c:v>0.31032174839686666</c:v>
                </c:pt>
                <c:pt idx="7">
                  <c:v>0.2367706137660337</c:v>
                </c:pt>
                <c:pt idx="8">
                  <c:v>0.23557567018190032</c:v>
                </c:pt>
                <c:pt idx="9">
                  <c:v>0.2272885406151442</c:v>
                </c:pt>
                <c:pt idx="10">
                  <c:v>0.26008213018549098</c:v>
                </c:pt>
                <c:pt idx="11">
                  <c:v>0.26456173211140099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8E-4DDD-A3F3-9DA86CE04F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916224"/>
        <c:axId val="96917760"/>
      </c:barChart>
      <c:lineChart>
        <c:grouping val="standard"/>
        <c:varyColors val="0"/>
        <c:ser>
          <c:idx val="0"/>
          <c:order val="0"/>
          <c:tx>
            <c:strRef>
              <c:f>'KPI 128'!$D$19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128'!$E$18:$P$18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128'!$E$19:$P$19</c:f>
              <c:numCache>
                <c:formatCode>0%</c:formatCode>
                <c:ptCount val="12"/>
                <c:pt idx="0">
                  <c:v>0.24134205835351252</c:v>
                </c:pt>
                <c:pt idx="1">
                  <c:v>0.23571400960337752</c:v>
                </c:pt>
                <c:pt idx="2">
                  <c:v>0.22993705454042773</c:v>
                </c:pt>
                <c:pt idx="3">
                  <c:v>0.2249949133802886</c:v>
                </c:pt>
                <c:pt idx="4">
                  <c:v>0.21989591747943441</c:v>
                </c:pt>
                <c:pt idx="5">
                  <c:v>0.21451901753170363</c:v>
                </c:pt>
                <c:pt idx="6">
                  <c:v>0.20858755250143604</c:v>
                </c:pt>
                <c:pt idx="7">
                  <c:v>0.20255476453918794</c:v>
                </c:pt>
                <c:pt idx="8">
                  <c:v>0.19632970649693959</c:v>
                </c:pt>
                <c:pt idx="9">
                  <c:v>0.18972412159958379</c:v>
                </c:pt>
                <c:pt idx="10">
                  <c:v>0.18307741655906762</c:v>
                </c:pt>
                <c:pt idx="11">
                  <c:v>0.17638264914739699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8E-4DDD-A3F3-9DA86CE04F66}"/>
            </c:ext>
          </c:extLst>
        </c:ser>
        <c:ser>
          <c:idx val="2"/>
          <c:order val="3"/>
          <c:tx>
            <c:strRef>
              <c:f>'KPI 128'!#REF!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128'!#REF!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D8E-4DDD-A3F3-9DA86CE04F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916224"/>
        <c:axId val="96917760"/>
      </c:lineChart>
      <c:dateAx>
        <c:axId val="9691622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96917760"/>
        <c:crosses val="autoZero"/>
        <c:auto val="1"/>
        <c:lblOffset val="100"/>
        <c:baseTimeUnit val="months"/>
      </c:dateAx>
      <c:valAx>
        <c:axId val="9691776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96916224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RA'!$D$20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RA'!$E$18:$P$18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RA'!$E$20:$P$20</c:f>
              <c:numCache>
                <c:formatCode>#,##0</c:formatCode>
                <c:ptCount val="12"/>
                <c:pt idx="0">
                  <c:v>99588</c:v>
                </c:pt>
                <c:pt idx="1">
                  <c:v>104217</c:v>
                </c:pt>
                <c:pt idx="2">
                  <c:v>100946</c:v>
                </c:pt>
                <c:pt idx="3">
                  <c:v>110522</c:v>
                </c:pt>
                <c:pt idx="4">
                  <c:v>92662</c:v>
                </c:pt>
                <c:pt idx="5">
                  <c:v>84151</c:v>
                </c:pt>
                <c:pt idx="6">
                  <c:v>126366</c:v>
                </c:pt>
                <c:pt idx="7">
                  <c:v>101836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89-4F71-ACEB-86D7559CFFC2}"/>
            </c:ext>
          </c:extLst>
        </c:ser>
        <c:ser>
          <c:idx val="4"/>
          <c:order val="2"/>
          <c:tx>
            <c:strRef>
              <c:f>'KPI RA'!$D$23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RA'!$E$18:$P$18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RA'!$E$23:$P$23</c:f>
              <c:numCache>
                <c:formatCode>#,##0</c:formatCode>
                <c:ptCount val="12"/>
                <c:pt idx="0">
                  <c:v>92367</c:v>
                </c:pt>
                <c:pt idx="1">
                  <c:v>114426</c:v>
                </c:pt>
                <c:pt idx="2">
                  <c:v>101553</c:v>
                </c:pt>
                <c:pt idx="3">
                  <c:v>107597</c:v>
                </c:pt>
                <c:pt idx="4">
                  <c:v>106133</c:v>
                </c:pt>
                <c:pt idx="5">
                  <c:v>74176</c:v>
                </c:pt>
                <c:pt idx="6">
                  <c:v>141121</c:v>
                </c:pt>
                <c:pt idx="7">
                  <c:v>105690</c:v>
                </c:pt>
                <c:pt idx="8">
                  <c:v>115420</c:v>
                </c:pt>
                <c:pt idx="9">
                  <c:v>87092</c:v>
                </c:pt>
                <c:pt idx="10">
                  <c:v>99548</c:v>
                </c:pt>
                <c:pt idx="11">
                  <c:v>108927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89-4F71-ACEB-86D7559CFF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192960"/>
        <c:axId val="97202944"/>
      </c:barChart>
      <c:lineChart>
        <c:grouping val="standard"/>
        <c:varyColors val="0"/>
        <c:ser>
          <c:idx val="0"/>
          <c:order val="0"/>
          <c:tx>
            <c:strRef>
              <c:f>'KPI RA'!$D$19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RA'!$E$18:$P$18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RA'!$E$19:$P$19</c:f>
              <c:numCache>
                <c:formatCode>#,##0</c:formatCode>
                <c:ptCount val="12"/>
                <c:pt idx="0">
                  <c:v>105295.52330913652</c:v>
                </c:pt>
                <c:pt idx="1">
                  <c:v>105074.89002119715</c:v>
                </c:pt>
                <c:pt idx="2">
                  <c:v>104857.32806093279</c:v>
                </c:pt>
                <c:pt idx="3">
                  <c:v>104642.77044606405</c:v>
                </c:pt>
                <c:pt idx="4">
                  <c:v>104431.15222982681</c:v>
                </c:pt>
                <c:pt idx="5">
                  <c:v>104222.41042037289</c:v>
                </c:pt>
                <c:pt idx="6">
                  <c:v>104016.48390414237</c:v>
                </c:pt>
                <c:pt idx="7">
                  <c:v>103813.31337297201</c:v>
                </c:pt>
                <c:pt idx="8">
                  <c:v>103612.84125472172</c:v>
                </c:pt>
                <c:pt idx="9">
                  <c:v>103415.0116472142</c:v>
                </c:pt>
                <c:pt idx="10">
                  <c:v>103219.77025529805</c:v>
                </c:pt>
                <c:pt idx="11">
                  <c:v>103027.06433085726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589-4F71-ACEB-86D7559CFFC2}"/>
            </c:ext>
          </c:extLst>
        </c:ser>
        <c:ser>
          <c:idx val="2"/>
          <c:order val="3"/>
          <c:tx>
            <c:strRef>
              <c:f>'KPI 101'!#REF!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101'!#REF!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589-4F71-ACEB-86D7559CFF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192960"/>
        <c:axId val="97202944"/>
      </c:lineChart>
      <c:dateAx>
        <c:axId val="9719296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97202944"/>
        <c:crosses val="autoZero"/>
        <c:auto val="1"/>
        <c:lblOffset val="100"/>
        <c:baseTimeUnit val="months"/>
      </c:dateAx>
      <c:valAx>
        <c:axId val="9720294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97192960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RA2'!$D$20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RA2'!$E$18:$P$18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RA2'!$E$20:$P$20</c:f>
              <c:numCache>
                <c:formatCode>#,##0</c:formatCode>
                <c:ptCount val="12"/>
                <c:pt idx="0">
                  <c:v>72362</c:v>
                </c:pt>
                <c:pt idx="1">
                  <c:v>84589</c:v>
                </c:pt>
                <c:pt idx="2">
                  <c:v>79590</c:v>
                </c:pt>
                <c:pt idx="3">
                  <c:v>86302</c:v>
                </c:pt>
                <c:pt idx="4">
                  <c:v>71945</c:v>
                </c:pt>
                <c:pt idx="5">
                  <c:v>63233</c:v>
                </c:pt>
                <c:pt idx="6">
                  <c:v>105898</c:v>
                </c:pt>
                <c:pt idx="7">
                  <c:v>83599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83-488C-B088-305F9EA4E291}"/>
            </c:ext>
          </c:extLst>
        </c:ser>
        <c:ser>
          <c:idx val="4"/>
          <c:order val="2"/>
          <c:tx>
            <c:strRef>
              <c:f>'KPI RA2'!$D$23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RA2'!$E$18:$P$18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RA2'!$E$23:$P$23</c:f>
              <c:numCache>
                <c:formatCode>#,##0</c:formatCode>
                <c:ptCount val="12"/>
                <c:pt idx="0">
                  <c:v>73301</c:v>
                </c:pt>
                <c:pt idx="1">
                  <c:v>93670</c:v>
                </c:pt>
                <c:pt idx="2">
                  <c:v>81216</c:v>
                </c:pt>
                <c:pt idx="3">
                  <c:v>82720</c:v>
                </c:pt>
                <c:pt idx="4">
                  <c:v>87303</c:v>
                </c:pt>
                <c:pt idx="5">
                  <c:v>59040</c:v>
                </c:pt>
                <c:pt idx="6">
                  <c:v>102175</c:v>
                </c:pt>
                <c:pt idx="7">
                  <c:v>87481</c:v>
                </c:pt>
                <c:pt idx="8">
                  <c:v>93536</c:v>
                </c:pt>
                <c:pt idx="9">
                  <c:v>71595</c:v>
                </c:pt>
                <c:pt idx="10">
                  <c:v>83167</c:v>
                </c:pt>
                <c:pt idx="11">
                  <c:v>86204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83-488C-B088-305F9EA4E2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8866688"/>
        <c:axId val="98868224"/>
      </c:barChart>
      <c:lineChart>
        <c:grouping val="standard"/>
        <c:varyColors val="0"/>
        <c:ser>
          <c:idx val="0"/>
          <c:order val="0"/>
          <c:tx>
            <c:strRef>
              <c:f>'KPI RA2'!$D$19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RA2'!$E$18:$P$18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RA2'!$E$19:$P$19</c:f>
              <c:numCache>
                <c:formatCode>#,##0</c:formatCode>
                <c:ptCount val="12"/>
                <c:pt idx="0">
                  <c:v>84480.117330274166</c:v>
                </c:pt>
                <c:pt idx="1">
                  <c:v>84961.979550497796</c:v>
                </c:pt>
                <c:pt idx="2">
                  <c:v>85443.841770721439</c:v>
                </c:pt>
                <c:pt idx="3">
                  <c:v>85925.703990945054</c:v>
                </c:pt>
                <c:pt idx="4">
                  <c:v>86407.566211168698</c:v>
                </c:pt>
                <c:pt idx="5">
                  <c:v>86889.428431392327</c:v>
                </c:pt>
                <c:pt idx="6">
                  <c:v>87371.290651615971</c:v>
                </c:pt>
                <c:pt idx="7">
                  <c:v>87853.152871839586</c:v>
                </c:pt>
                <c:pt idx="8">
                  <c:v>88335.0150920632</c:v>
                </c:pt>
                <c:pt idx="9">
                  <c:v>88816.877312286844</c:v>
                </c:pt>
                <c:pt idx="10">
                  <c:v>89298.739532510474</c:v>
                </c:pt>
                <c:pt idx="11">
                  <c:v>89780.601752734117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883-488C-B088-305F9EA4E291}"/>
            </c:ext>
          </c:extLst>
        </c:ser>
        <c:ser>
          <c:idx val="2"/>
          <c:order val="3"/>
          <c:tx>
            <c:strRef>
              <c:f>'KPI 108'!#REF!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108'!#REF!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83-488C-B088-305F9EA4E2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866688"/>
        <c:axId val="98868224"/>
      </c:lineChart>
      <c:dateAx>
        <c:axId val="9886668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98868224"/>
        <c:crosses val="autoZero"/>
        <c:auto val="1"/>
        <c:lblOffset val="100"/>
        <c:baseTimeUnit val="months"/>
      </c:dateAx>
      <c:valAx>
        <c:axId val="9886822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98866688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RA3'!$D$20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RA3'!$E$18:$P$18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RA3'!$E$20:$P$20</c:f>
              <c:numCache>
                <c:formatCode>#,##0</c:formatCode>
                <c:ptCount val="12"/>
                <c:pt idx="0">
                  <c:v>27226</c:v>
                </c:pt>
                <c:pt idx="1">
                  <c:v>19628</c:v>
                </c:pt>
                <c:pt idx="2">
                  <c:v>21356</c:v>
                </c:pt>
                <c:pt idx="3">
                  <c:v>24220</c:v>
                </c:pt>
                <c:pt idx="4">
                  <c:v>20717</c:v>
                </c:pt>
                <c:pt idx="5">
                  <c:v>20918</c:v>
                </c:pt>
                <c:pt idx="6">
                  <c:v>20468</c:v>
                </c:pt>
                <c:pt idx="7">
                  <c:v>18237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C-4783-9CD4-859A47C48A37}"/>
            </c:ext>
          </c:extLst>
        </c:ser>
        <c:ser>
          <c:idx val="4"/>
          <c:order val="2"/>
          <c:tx>
            <c:strRef>
              <c:f>'KPI RA3'!$D$23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RA3'!$E$18:$P$18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RA3'!$E$23:$P$23</c:f>
              <c:numCache>
                <c:formatCode>#,##0</c:formatCode>
                <c:ptCount val="12"/>
                <c:pt idx="0">
                  <c:v>19066</c:v>
                </c:pt>
                <c:pt idx="1">
                  <c:v>20756</c:v>
                </c:pt>
                <c:pt idx="2">
                  <c:v>20337</c:v>
                </c:pt>
                <c:pt idx="3">
                  <c:v>24877</c:v>
                </c:pt>
                <c:pt idx="4">
                  <c:v>18830</c:v>
                </c:pt>
                <c:pt idx="5">
                  <c:v>15136</c:v>
                </c:pt>
                <c:pt idx="6">
                  <c:v>38946</c:v>
                </c:pt>
                <c:pt idx="7">
                  <c:v>18209</c:v>
                </c:pt>
                <c:pt idx="8">
                  <c:v>21884</c:v>
                </c:pt>
                <c:pt idx="9">
                  <c:v>15497</c:v>
                </c:pt>
                <c:pt idx="10">
                  <c:v>16381</c:v>
                </c:pt>
                <c:pt idx="11">
                  <c:v>22723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C-4783-9CD4-859A47C48A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8738176"/>
        <c:axId val="98739712"/>
      </c:barChart>
      <c:lineChart>
        <c:grouping val="standard"/>
        <c:varyColors val="0"/>
        <c:ser>
          <c:idx val="0"/>
          <c:order val="0"/>
          <c:tx>
            <c:strRef>
              <c:f>'KPI RA3'!$D$19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RA3'!$E$18:$P$18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RA3'!$E$19:$P$19</c:f>
              <c:numCache>
                <c:formatCode>#,##0</c:formatCode>
                <c:ptCount val="12"/>
                <c:pt idx="0">
                  <c:v>20815.405978862356</c:v>
                </c:pt>
                <c:pt idx="1">
                  <c:v>20112.910470699353</c:v>
                </c:pt>
                <c:pt idx="2">
                  <c:v>19413.486290211353</c:v>
                </c:pt>
                <c:pt idx="3">
                  <c:v>18717.066455118998</c:v>
                </c:pt>
                <c:pt idx="4">
                  <c:v>18023.586018658112</c:v>
                </c:pt>
                <c:pt idx="5">
                  <c:v>17332.981988980566</c:v>
                </c:pt>
                <c:pt idx="6">
                  <c:v>16645.193252526398</c:v>
                </c:pt>
                <c:pt idx="7">
                  <c:v>15960.160501132428</c:v>
                </c:pt>
                <c:pt idx="8">
                  <c:v>15277.826162658515</c:v>
                </c:pt>
                <c:pt idx="9">
                  <c:v>14598.134334927352</c:v>
                </c:pt>
                <c:pt idx="10">
                  <c:v>13921.030722787575</c:v>
                </c:pt>
                <c:pt idx="11">
                  <c:v>13246.462578123144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E1C-4783-9CD4-859A47C48A37}"/>
            </c:ext>
          </c:extLst>
        </c:ser>
        <c:ser>
          <c:idx val="2"/>
          <c:order val="3"/>
          <c:tx>
            <c:strRef>
              <c:f>'KPI 108'!#REF!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108'!#REF!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E1C-4783-9CD4-859A47C48A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738176"/>
        <c:axId val="98739712"/>
      </c:lineChart>
      <c:dateAx>
        <c:axId val="9873817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98739712"/>
        <c:crosses val="autoZero"/>
        <c:auto val="1"/>
        <c:lblOffset val="100"/>
        <c:baseTimeUnit val="months"/>
      </c:dateAx>
      <c:valAx>
        <c:axId val="9873971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98738176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RA4'!$D$20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RA4'!$E$18:$P$18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RA4'!$E$20:$P$20</c:f>
              <c:numCache>
                <c:formatCode>0%</c:formatCode>
                <c:ptCount val="12"/>
                <c:pt idx="0">
                  <c:v>0.27338635176928949</c:v>
                </c:pt>
                <c:pt idx="1">
                  <c:v>0.18833779517737029</c:v>
                </c:pt>
                <c:pt idx="2">
                  <c:v>0.21155865512254077</c:v>
                </c:pt>
                <c:pt idx="3">
                  <c:v>0.21914189030238324</c:v>
                </c:pt>
                <c:pt idx="4">
                  <c:v>0.22357600742483436</c:v>
                </c:pt>
                <c:pt idx="5">
                  <c:v>0.24857696284060796</c:v>
                </c:pt>
                <c:pt idx="6">
                  <c:v>0.16197394868872955</c:v>
                </c:pt>
                <c:pt idx="7">
                  <c:v>0.17908205349778075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CD-48CC-B06A-382B341100F6}"/>
            </c:ext>
          </c:extLst>
        </c:ser>
        <c:ser>
          <c:idx val="4"/>
          <c:order val="2"/>
          <c:tx>
            <c:strRef>
              <c:f>'KPI RA4'!$D$23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RA4'!$E$18:$P$18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RA4'!$E$23:$P$23</c:f>
              <c:numCache>
                <c:formatCode>0%</c:formatCode>
                <c:ptCount val="12"/>
                <c:pt idx="0">
                  <c:v>0.20641571123886238</c:v>
                </c:pt>
                <c:pt idx="1">
                  <c:v>0.18139234090154335</c:v>
                </c:pt>
                <c:pt idx="2">
                  <c:v>0.20025996277805677</c:v>
                </c:pt>
                <c:pt idx="3">
                  <c:v>0.23120533100365251</c:v>
                </c:pt>
                <c:pt idx="4">
                  <c:v>0.17741889892870266</c:v>
                </c:pt>
                <c:pt idx="5">
                  <c:v>0.20405522001725626</c:v>
                </c:pt>
                <c:pt idx="6">
                  <c:v>0.27597593554467442</c:v>
                </c:pt>
                <c:pt idx="7">
                  <c:v>0.17228687671492099</c:v>
                </c:pt>
                <c:pt idx="8">
                  <c:v>0.18960318835557097</c:v>
                </c:pt>
                <c:pt idx="9">
                  <c:v>0.1779382721719561</c:v>
                </c:pt>
                <c:pt idx="10">
                  <c:v>0.16455378309961025</c:v>
                </c:pt>
                <c:pt idx="11">
                  <c:v>0.20860759958504319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CD-48CC-B06A-382B34110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043584"/>
        <c:axId val="99053568"/>
      </c:barChart>
      <c:lineChart>
        <c:grouping val="standard"/>
        <c:varyColors val="0"/>
        <c:ser>
          <c:idx val="0"/>
          <c:order val="0"/>
          <c:tx>
            <c:strRef>
              <c:f>'KPI RA4'!$D$19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RA4'!$E$18:$P$18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RA4'!$E$19:$P$19</c:f>
              <c:numCache>
                <c:formatCode>0%</c:formatCode>
                <c:ptCount val="12"/>
                <c:pt idx="0">
                  <c:v>0.19768557413168009</c:v>
                </c:pt>
                <c:pt idx="1">
                  <c:v>0.1914150037810356</c:v>
                </c:pt>
                <c:pt idx="2">
                  <c:v>0.18514191281824519</c:v>
                </c:pt>
                <c:pt idx="3">
                  <c:v>0.17886631226728006</c:v>
                </c:pt>
                <c:pt idx="4">
                  <c:v>0.17258821370650698</c:v>
                </c:pt>
                <c:pt idx="5">
                  <c:v>0.16630762922359352</c:v>
                </c:pt>
                <c:pt idx="6">
                  <c:v>0.16002457137337939</c:v>
                </c:pt>
                <c:pt idx="7">
                  <c:v>0.15373905313851283</c:v>
                </c:pt>
                <c:pt idx="8">
                  <c:v>0.14745108789266304</c:v>
                </c:pt>
                <c:pt idx="9">
                  <c:v>0.14116068936613224</c:v>
                </c:pt>
                <c:pt idx="10">
                  <c:v>0.13486787161370414</c:v>
                </c:pt>
                <c:pt idx="11">
                  <c:v>0.12857264898458087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CD-48CC-B06A-382B341100F6}"/>
            </c:ext>
          </c:extLst>
        </c:ser>
        <c:ser>
          <c:idx val="2"/>
          <c:order val="3"/>
          <c:tx>
            <c:strRef>
              <c:f>'KPI 108'!#REF!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108'!#REF!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BCD-48CC-B06A-382B34110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043584"/>
        <c:axId val="99053568"/>
      </c:lineChart>
      <c:dateAx>
        <c:axId val="9904358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99053568"/>
        <c:crosses val="autoZero"/>
        <c:auto val="1"/>
        <c:lblOffset val="100"/>
        <c:baseTimeUnit val="months"/>
      </c:dateAx>
      <c:valAx>
        <c:axId val="9905356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99043584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RA6 (B)'!$D$20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RA6 (B)'!$E$18:$P$18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RA6 (B)'!$E$20:$P$20</c:f>
              <c:numCache>
                <c:formatCode>#,##0</c:formatCode>
                <c:ptCount val="12"/>
                <c:pt idx="0">
                  <c:v>62827</c:v>
                </c:pt>
                <c:pt idx="1">
                  <c:v>85011</c:v>
                </c:pt>
                <c:pt idx="2">
                  <c:v>57253</c:v>
                </c:pt>
                <c:pt idx="3">
                  <c:v>87909</c:v>
                </c:pt>
                <c:pt idx="4">
                  <c:v>55459</c:v>
                </c:pt>
                <c:pt idx="5">
                  <c:v>61011</c:v>
                </c:pt>
                <c:pt idx="6">
                  <c:v>89581</c:v>
                </c:pt>
                <c:pt idx="7">
                  <c:v>77635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A9-4286-8358-9EE140E85EB1}"/>
            </c:ext>
          </c:extLst>
        </c:ser>
        <c:ser>
          <c:idx val="4"/>
          <c:order val="2"/>
          <c:tx>
            <c:strRef>
              <c:f>'KPI RA6 (B)'!$D$23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RA6 (B)'!$E$18:$P$18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RA6 (B)'!$E$23:$P$23</c:f>
              <c:numCache>
                <c:formatCode>#,##0</c:formatCode>
                <c:ptCount val="12"/>
                <c:pt idx="0">
                  <c:v>54389</c:v>
                </c:pt>
                <c:pt idx="1">
                  <c:v>64256</c:v>
                </c:pt>
                <c:pt idx="2">
                  <c:v>69964</c:v>
                </c:pt>
                <c:pt idx="3">
                  <c:v>71873</c:v>
                </c:pt>
                <c:pt idx="4">
                  <c:v>85219</c:v>
                </c:pt>
                <c:pt idx="5">
                  <c:v>47666</c:v>
                </c:pt>
                <c:pt idx="6">
                  <c:v>86546</c:v>
                </c:pt>
                <c:pt idx="7">
                  <c:v>74230</c:v>
                </c:pt>
                <c:pt idx="8">
                  <c:v>70750</c:v>
                </c:pt>
                <c:pt idx="9">
                  <c:v>55754</c:v>
                </c:pt>
                <c:pt idx="10">
                  <c:v>64762</c:v>
                </c:pt>
                <c:pt idx="11">
                  <c:v>68068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A9-4286-8358-9EE140E85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8996608"/>
        <c:axId val="98998144"/>
      </c:barChart>
      <c:lineChart>
        <c:grouping val="standard"/>
        <c:varyColors val="0"/>
        <c:ser>
          <c:idx val="0"/>
          <c:order val="0"/>
          <c:tx>
            <c:strRef>
              <c:f>'KPI RA6 (B)'!$D$19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RA6 (B)'!$E$18:$P$18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RA6 (B)'!$E$19:$P$19</c:f>
              <c:numCache>
                <c:formatCode>#,##0</c:formatCode>
                <c:ptCount val="12"/>
                <c:pt idx="0">
                  <c:v>74168.144793943808</c:v>
                </c:pt>
                <c:pt idx="1">
                  <c:v>75099.246104343008</c:v>
                </c:pt>
                <c:pt idx="2">
                  <c:v>76156.750133326132</c:v>
                </c:pt>
                <c:pt idx="3">
                  <c:v>79439.401575553784</c:v>
                </c:pt>
                <c:pt idx="4">
                  <c:v>82374.058044540492</c:v>
                </c:pt>
                <c:pt idx="5">
                  <c:v>85141.04302651473</c:v>
                </c:pt>
                <c:pt idx="6">
                  <c:v>87280.370296261768</c:v>
                </c:pt>
                <c:pt idx="7">
                  <c:v>89353.394344216111</c:v>
                </c:pt>
                <c:pt idx="8">
                  <c:v>91102.623571086457</c:v>
                </c:pt>
                <c:pt idx="9">
                  <c:v>92231.503158797525</c:v>
                </c:pt>
                <c:pt idx="10">
                  <c:v>93329.914180694497</c:v>
                </c:pt>
                <c:pt idx="11">
                  <c:v>94360.158941057263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7A9-4286-8358-9EE140E85EB1}"/>
            </c:ext>
          </c:extLst>
        </c:ser>
        <c:ser>
          <c:idx val="2"/>
          <c:order val="3"/>
          <c:tx>
            <c:strRef>
              <c:f>'KPI 101'!#REF!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101'!#REF!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7A9-4286-8358-9EE140E85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996608"/>
        <c:axId val="98998144"/>
      </c:lineChart>
      <c:dateAx>
        <c:axId val="9899660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98998144"/>
        <c:crosses val="autoZero"/>
        <c:auto val="1"/>
        <c:lblOffset val="100"/>
        <c:baseTimeUnit val="months"/>
      </c:dateAx>
      <c:valAx>
        <c:axId val="9899814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98996608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RB2 (2)'!$D$20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RB2 (2)'!$E$18:$P$18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RB2 (2)'!$E$20:$P$20</c:f>
              <c:numCache>
                <c:formatCode>#,##0</c:formatCode>
                <c:ptCount val="12"/>
                <c:pt idx="0">
                  <c:v>23761</c:v>
                </c:pt>
                <c:pt idx="1">
                  <c:v>27125</c:v>
                </c:pt>
                <c:pt idx="2">
                  <c:v>16098</c:v>
                </c:pt>
                <c:pt idx="3">
                  <c:v>19707</c:v>
                </c:pt>
                <c:pt idx="4">
                  <c:v>21640</c:v>
                </c:pt>
                <c:pt idx="5">
                  <c:v>20144</c:v>
                </c:pt>
                <c:pt idx="6">
                  <c:v>22923</c:v>
                </c:pt>
                <c:pt idx="7">
                  <c:v>24955</c:v>
                </c:pt>
                <c:pt idx="8">
                  <c:v>28920</c:v>
                </c:pt>
                <c:pt idx="9">
                  <c:v>24631</c:v>
                </c:pt>
                <c:pt idx="10">
                  <c:v>22558</c:v>
                </c:pt>
                <c:pt idx="11">
                  <c:v>22371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64-4F07-83F8-2A15CAE3FCA7}"/>
            </c:ext>
          </c:extLst>
        </c:ser>
        <c:ser>
          <c:idx val="4"/>
          <c:order val="2"/>
          <c:tx>
            <c:strRef>
              <c:f>'KPI RB2 (2)'!$D$23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RB2 (2)'!$E$18:$P$18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RB2 (2)'!$E$23:$P$23</c:f>
              <c:numCache>
                <c:formatCode>#,##0</c:formatCode>
                <c:ptCount val="12"/>
                <c:pt idx="0">
                  <c:v>60526</c:v>
                </c:pt>
                <c:pt idx="1">
                  <c:v>64803</c:v>
                </c:pt>
                <c:pt idx="2">
                  <c:v>62145</c:v>
                </c:pt>
                <c:pt idx="3">
                  <c:v>66353</c:v>
                </c:pt>
                <c:pt idx="4">
                  <c:v>61996</c:v>
                </c:pt>
                <c:pt idx="5">
                  <c:v>60749</c:v>
                </c:pt>
                <c:pt idx="6">
                  <c:v>72641</c:v>
                </c:pt>
                <c:pt idx="7">
                  <c:v>66979</c:v>
                </c:pt>
                <c:pt idx="8">
                  <c:v>61365</c:v>
                </c:pt>
                <c:pt idx="9">
                  <c:v>80572</c:v>
                </c:pt>
                <c:pt idx="10">
                  <c:v>60436</c:v>
                </c:pt>
                <c:pt idx="11">
                  <c:v>62305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64-4F07-83F8-2A15CAE3FC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146368"/>
        <c:axId val="99352960"/>
      </c:barChart>
      <c:lineChart>
        <c:grouping val="standard"/>
        <c:varyColors val="0"/>
        <c:ser>
          <c:idx val="0"/>
          <c:order val="0"/>
          <c:tx>
            <c:strRef>
              <c:f>'KPI RB2 (2)'!$D$19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RB2 (2)'!$E$18:$P$18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RB2 (2)'!$E$19:$P$19</c:f>
              <c:numCache>
                <c:formatCode>#,##0</c:formatCode>
                <c:ptCount val="12"/>
                <c:pt idx="0">
                  <c:v>28805.518725913207</c:v>
                </c:pt>
                <c:pt idx="1">
                  <c:v>29221.45184642047</c:v>
                </c:pt>
                <c:pt idx="2">
                  <c:v>29607.384966927733</c:v>
                </c:pt>
                <c:pt idx="3">
                  <c:v>29963.318087435</c:v>
                </c:pt>
                <c:pt idx="4">
                  <c:v>30319.251207942259</c:v>
                </c:pt>
                <c:pt idx="5">
                  <c:v>30645.184328449523</c:v>
                </c:pt>
                <c:pt idx="6">
                  <c:v>31118.149975071403</c:v>
                </c:pt>
                <c:pt idx="7">
                  <c:v>31471.261362380574</c:v>
                </c:pt>
                <c:pt idx="8">
                  <c:v>31824.372749689741</c:v>
                </c:pt>
                <c:pt idx="9">
                  <c:v>32132.557007342555</c:v>
                </c:pt>
                <c:pt idx="10">
                  <c:v>32440.741264995373</c:v>
                </c:pt>
                <c:pt idx="11">
                  <c:v>32748.925522648187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64-4F07-83F8-2A15CAE3FCA7}"/>
            </c:ext>
          </c:extLst>
        </c:ser>
        <c:ser>
          <c:idx val="2"/>
          <c:order val="3"/>
          <c:tx>
            <c:strRef>
              <c:f>'KPI 108'!#REF!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108'!#REF!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964-4F07-83F8-2A15CAE3FC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146368"/>
        <c:axId val="99352960"/>
      </c:lineChart>
      <c:dateAx>
        <c:axId val="9914636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99352960"/>
        <c:crosses val="autoZero"/>
        <c:auto val="1"/>
        <c:lblOffset val="100"/>
        <c:baseTimeUnit val="months"/>
      </c:dateAx>
      <c:valAx>
        <c:axId val="9935296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99146368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RB2'!$D$20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RB2'!$E$18:$P$18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RB2'!$E$20:$P$20</c:f>
              <c:numCache>
                <c:formatCode>#,##0</c:formatCode>
                <c:ptCount val="12"/>
                <c:pt idx="0">
                  <c:v>42506</c:v>
                </c:pt>
                <c:pt idx="1">
                  <c:v>58310</c:v>
                </c:pt>
                <c:pt idx="2">
                  <c:v>40155</c:v>
                </c:pt>
                <c:pt idx="3">
                  <c:v>56034</c:v>
                </c:pt>
                <c:pt idx="4">
                  <c:v>38221</c:v>
                </c:pt>
                <c:pt idx="5">
                  <c:v>41581</c:v>
                </c:pt>
                <c:pt idx="6">
                  <c:v>63419</c:v>
                </c:pt>
                <c:pt idx="7">
                  <c:v>55022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A6-4420-8C91-B090429ED4D4}"/>
            </c:ext>
          </c:extLst>
        </c:ser>
        <c:ser>
          <c:idx val="4"/>
          <c:order val="2"/>
          <c:tx>
            <c:strRef>
              <c:f>'KPI RB2'!$D$23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RB2'!$E$18:$P$18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RB2'!$E$23:$P$23</c:f>
              <c:numCache>
                <c:formatCode>#,##0</c:formatCode>
                <c:ptCount val="12"/>
                <c:pt idx="0">
                  <c:v>41618</c:v>
                </c:pt>
                <c:pt idx="1">
                  <c:v>45120</c:v>
                </c:pt>
                <c:pt idx="2">
                  <c:v>50207</c:v>
                </c:pt>
                <c:pt idx="3">
                  <c:v>47973</c:v>
                </c:pt>
                <c:pt idx="4">
                  <c:v>60240</c:v>
                </c:pt>
                <c:pt idx="5">
                  <c:v>33336</c:v>
                </c:pt>
                <c:pt idx="6">
                  <c:v>53103</c:v>
                </c:pt>
                <c:pt idx="7">
                  <c:v>49874</c:v>
                </c:pt>
                <c:pt idx="8">
                  <c:v>52781</c:v>
                </c:pt>
                <c:pt idx="9">
                  <c:v>37599</c:v>
                </c:pt>
                <c:pt idx="10">
                  <c:v>42659</c:v>
                </c:pt>
                <c:pt idx="11">
                  <c:v>48039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A6-4420-8C91-B090429ED4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395840"/>
        <c:axId val="97397376"/>
      </c:barChart>
      <c:lineChart>
        <c:grouping val="standard"/>
        <c:varyColors val="0"/>
        <c:ser>
          <c:idx val="0"/>
          <c:order val="0"/>
          <c:tx>
            <c:strRef>
              <c:f>'KPI RB2'!$D$19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RB2'!$E$18:$P$18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RB2'!$E$19:$P$19</c:f>
              <c:numCache>
                <c:formatCode>#,##0</c:formatCode>
                <c:ptCount val="12"/>
                <c:pt idx="0">
                  <c:v>49682.108177409253</c:v>
                </c:pt>
                <c:pt idx="1">
                  <c:v>50812.796230669344</c:v>
                </c:pt>
                <c:pt idx="2">
                  <c:v>52082.38550559312</c:v>
                </c:pt>
                <c:pt idx="3">
                  <c:v>54905.225469103534</c:v>
                </c:pt>
                <c:pt idx="4">
                  <c:v>57524.584419955732</c:v>
                </c:pt>
                <c:pt idx="5">
                  <c:v>60103.49863887432</c:v>
                </c:pt>
                <c:pt idx="6">
                  <c:v>62333.998517139975</c:v>
                </c:pt>
                <c:pt idx="7">
                  <c:v>64564.49839540563</c:v>
                </c:pt>
                <c:pt idx="8">
                  <c:v>66605.098580406629</c:v>
                </c:pt>
                <c:pt idx="9">
                  <c:v>68256.8396928211</c:v>
                </c:pt>
                <c:pt idx="10">
                  <c:v>69908.580805235557</c:v>
                </c:pt>
                <c:pt idx="11">
                  <c:v>71530.4309253838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A6-4420-8C91-B090429ED4D4}"/>
            </c:ext>
          </c:extLst>
        </c:ser>
        <c:ser>
          <c:idx val="2"/>
          <c:order val="3"/>
          <c:tx>
            <c:strRef>
              <c:f>'KPI 108'!#REF!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108'!#REF!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0A6-4420-8C91-B090429ED4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395840"/>
        <c:axId val="97397376"/>
      </c:lineChart>
      <c:dateAx>
        <c:axId val="9739584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97397376"/>
        <c:crosses val="autoZero"/>
        <c:auto val="1"/>
        <c:lblOffset val="100"/>
        <c:baseTimeUnit val="months"/>
      </c:dateAx>
      <c:valAx>
        <c:axId val="9739737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97395840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RB3 (2)'!$D$20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RB3 (2)'!$E$18:$P$18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RB3 (2)'!$E$20:$P$20</c:f>
              <c:numCache>
                <c:formatCode>#,##0</c:formatCode>
                <c:ptCount val="12"/>
                <c:pt idx="0">
                  <c:v>20321</c:v>
                </c:pt>
                <c:pt idx="1">
                  <c:v>26701</c:v>
                </c:pt>
                <c:pt idx="2">
                  <c:v>17098</c:v>
                </c:pt>
                <c:pt idx="3">
                  <c:v>31875</c:v>
                </c:pt>
                <c:pt idx="4">
                  <c:v>17238</c:v>
                </c:pt>
                <c:pt idx="5">
                  <c:v>19430</c:v>
                </c:pt>
                <c:pt idx="6">
                  <c:v>26162</c:v>
                </c:pt>
                <c:pt idx="7">
                  <c:v>22613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E2-4131-86B9-1E44D9CFC0E7}"/>
            </c:ext>
          </c:extLst>
        </c:ser>
        <c:ser>
          <c:idx val="4"/>
          <c:order val="2"/>
          <c:tx>
            <c:strRef>
              <c:f>'KPI RB3 (2)'!$D$23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RB3 (2)'!$E$18:$P$18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RB3 (2)'!$E$23:$P$23</c:f>
              <c:numCache>
                <c:formatCode>#,##0</c:formatCode>
                <c:ptCount val="12"/>
                <c:pt idx="0">
                  <c:v>12771</c:v>
                </c:pt>
                <c:pt idx="1">
                  <c:v>19136</c:v>
                </c:pt>
                <c:pt idx="2">
                  <c:v>19757</c:v>
                </c:pt>
                <c:pt idx="3">
                  <c:v>23900</c:v>
                </c:pt>
                <c:pt idx="4">
                  <c:v>24979</c:v>
                </c:pt>
                <c:pt idx="5">
                  <c:v>14330</c:v>
                </c:pt>
                <c:pt idx="6">
                  <c:v>33443</c:v>
                </c:pt>
                <c:pt idx="7">
                  <c:v>24356</c:v>
                </c:pt>
                <c:pt idx="8">
                  <c:v>17969</c:v>
                </c:pt>
                <c:pt idx="9">
                  <c:v>18155</c:v>
                </c:pt>
                <c:pt idx="10">
                  <c:v>22103</c:v>
                </c:pt>
                <c:pt idx="11">
                  <c:v>20029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E2-4131-86B9-1E44D9CFC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810688"/>
        <c:axId val="99419264"/>
      </c:barChart>
      <c:lineChart>
        <c:grouping val="standard"/>
        <c:varyColors val="0"/>
        <c:ser>
          <c:idx val="0"/>
          <c:order val="0"/>
          <c:tx>
            <c:strRef>
              <c:f>'KPI RB3 (2)'!$D$19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RB3 (2)'!$E$18:$P$18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RB3 (2)'!$E$19:$P$19</c:f>
              <c:numCache>
                <c:formatCode>#,##0</c:formatCode>
                <c:ptCount val="12"/>
                <c:pt idx="0">
                  <c:v>24486.036616534555</c:v>
                </c:pt>
                <c:pt idx="1">
                  <c:v>24286.449873673664</c:v>
                </c:pt>
                <c:pt idx="2">
                  <c:v>24074.364627733012</c:v>
                </c:pt>
                <c:pt idx="3">
                  <c:v>24534.17610645025</c:v>
                </c:pt>
                <c:pt idx="4">
                  <c:v>24849.47362458476</c:v>
                </c:pt>
                <c:pt idx="5">
                  <c:v>25037.54438764041</c:v>
                </c:pt>
                <c:pt idx="6">
                  <c:v>24946.371779121793</c:v>
                </c:pt>
                <c:pt idx="7">
                  <c:v>24788.895948810481</c:v>
                </c:pt>
                <c:pt idx="8">
                  <c:v>24497.524990679827</c:v>
                </c:pt>
                <c:pt idx="9">
                  <c:v>23974.663465976424</c:v>
                </c:pt>
                <c:pt idx="10">
                  <c:v>23421.33337545894</c:v>
                </c:pt>
                <c:pt idx="11">
                  <c:v>22829.728015673463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E2-4131-86B9-1E44D9CFC0E7}"/>
            </c:ext>
          </c:extLst>
        </c:ser>
        <c:ser>
          <c:idx val="2"/>
          <c:order val="3"/>
          <c:tx>
            <c:strRef>
              <c:f>'KPI 108'!#REF!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108'!#REF!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E2-4131-86B9-1E44D9CFC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810688"/>
        <c:axId val="99419264"/>
      </c:lineChart>
      <c:dateAx>
        <c:axId val="9981068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99419264"/>
        <c:crosses val="autoZero"/>
        <c:auto val="1"/>
        <c:lblOffset val="100"/>
        <c:baseTimeUnit val="months"/>
      </c:dateAx>
      <c:valAx>
        <c:axId val="9941926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99810688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RB4'!$D$20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RB4'!$E$18:$P$18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RB4'!$E$20:$P$20</c:f>
              <c:numCache>
                <c:formatCode>0%</c:formatCode>
                <c:ptCount val="12"/>
                <c:pt idx="0">
                  <c:v>0.32344374234007672</c:v>
                </c:pt>
                <c:pt idx="1">
                  <c:v>0.31408876498335508</c:v>
                </c:pt>
                <c:pt idx="2">
                  <c:v>0.29863937260929557</c:v>
                </c:pt>
                <c:pt idx="3">
                  <c:v>0.36259086100399279</c:v>
                </c:pt>
                <c:pt idx="4">
                  <c:v>0.31082421248129249</c:v>
                </c:pt>
                <c:pt idx="5">
                  <c:v>0.31846716165937289</c:v>
                </c:pt>
                <c:pt idx="6">
                  <c:v>0.29204853707817507</c:v>
                </c:pt>
                <c:pt idx="7">
                  <c:v>0.29127326592387454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C9-4C05-A9A8-43C9A2B34E7A}"/>
            </c:ext>
          </c:extLst>
        </c:ser>
        <c:ser>
          <c:idx val="4"/>
          <c:order val="2"/>
          <c:tx>
            <c:strRef>
              <c:f>'KPI RB4'!$D$23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RB4'!$E$18:$P$18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RB4'!$E$23:$P$23</c:f>
              <c:numCache>
                <c:formatCode>0%</c:formatCode>
                <c:ptCount val="12"/>
                <c:pt idx="0">
                  <c:v>0.23480850907352591</c:v>
                </c:pt>
                <c:pt idx="1">
                  <c:v>0.29780876494023906</c:v>
                </c:pt>
                <c:pt idx="2">
                  <c:v>0.28238808530101195</c:v>
                </c:pt>
                <c:pt idx="3">
                  <c:v>0.33253099216673854</c:v>
                </c:pt>
                <c:pt idx="4">
                  <c:v>0.29311538506671048</c:v>
                </c:pt>
                <c:pt idx="5">
                  <c:v>0.30063357529475937</c:v>
                </c:pt>
                <c:pt idx="6">
                  <c:v>0.38641878307489658</c:v>
                </c:pt>
                <c:pt idx="7">
                  <c:v>0.32811531725717363</c:v>
                </c:pt>
                <c:pt idx="8">
                  <c:v>0.25397879858657246</c:v>
                </c:pt>
                <c:pt idx="9">
                  <c:v>0.32562686085303294</c:v>
                </c:pt>
                <c:pt idx="10">
                  <c:v>0.34129582162379174</c:v>
                </c:pt>
                <c:pt idx="11">
                  <c:v>0.29424986777927953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C9-4C05-A9A8-43C9A2B34E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477760"/>
        <c:axId val="100151296"/>
      </c:barChart>
      <c:lineChart>
        <c:grouping val="standard"/>
        <c:varyColors val="0"/>
        <c:ser>
          <c:idx val="0"/>
          <c:order val="0"/>
          <c:tx>
            <c:strRef>
              <c:f>'KPI RB4'!$D$19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RB4'!$E$18:$P$18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RB4'!$E$19:$P$19</c:f>
              <c:numCache>
                <c:formatCode>0%</c:formatCode>
                <c:ptCount val="12"/>
                <c:pt idx="0">
                  <c:v>0.3301422286422615</c:v>
                </c:pt>
                <c:pt idx="1">
                  <c:v>0.32339139383543258</c:v>
                </c:pt>
                <c:pt idx="2">
                  <c:v>0.31611596589385044</c:v>
                </c:pt>
                <c:pt idx="3">
                  <c:v>0.30884140136826327</c:v>
                </c:pt>
                <c:pt idx="4">
                  <c:v>0.30166625530513985</c:v>
                </c:pt>
                <c:pt idx="5">
                  <c:v>0.29407138434800695</c:v>
                </c:pt>
                <c:pt idx="6">
                  <c:v>0.2858188123451425</c:v>
                </c:pt>
                <c:pt idx="7">
                  <c:v>0.27742534159716653</c:v>
                </c:pt>
                <c:pt idx="8">
                  <c:v>0.26890032394692404</c:v>
                </c:pt>
                <c:pt idx="9">
                  <c:v>0.25994007085299892</c:v>
                </c:pt>
                <c:pt idx="10">
                  <c:v>0.25095205091599343</c:v>
                </c:pt>
                <c:pt idx="11">
                  <c:v>0.24194244977834567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C9-4C05-A9A8-43C9A2B34E7A}"/>
            </c:ext>
          </c:extLst>
        </c:ser>
        <c:ser>
          <c:idx val="2"/>
          <c:order val="3"/>
          <c:tx>
            <c:strRef>
              <c:f>'KPI 108'!#REF!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108'!#REF!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9C9-4C05-A9A8-43C9A2B34E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477760"/>
        <c:axId val="100151296"/>
      </c:lineChart>
      <c:dateAx>
        <c:axId val="9947776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0151296"/>
        <c:crosses val="autoZero"/>
        <c:auto val="1"/>
        <c:lblOffset val="100"/>
        <c:baseTimeUnit val="months"/>
      </c:dateAx>
      <c:valAx>
        <c:axId val="100151296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99477760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RA6 (B) (2)'!$D$20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RA6 (B) (2)'!$E$18:$P$18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RA6 (B) (2)'!$E$20:$P$20</c:f>
              <c:numCache>
                <c:formatCode>#,##0</c:formatCode>
                <c:ptCount val="12"/>
                <c:pt idx="0">
                  <c:v>41209</c:v>
                </c:pt>
                <c:pt idx="1">
                  <c:v>39990</c:v>
                </c:pt>
                <c:pt idx="2">
                  <c:v>36725</c:v>
                </c:pt>
                <c:pt idx="3">
                  <c:v>48806</c:v>
                </c:pt>
                <c:pt idx="4">
                  <c:v>33526</c:v>
                </c:pt>
                <c:pt idx="5">
                  <c:v>35129</c:v>
                </c:pt>
                <c:pt idx="6">
                  <c:v>42223</c:v>
                </c:pt>
                <c:pt idx="7">
                  <c:v>43072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2F-408A-85B4-DAAE9A159818}"/>
            </c:ext>
          </c:extLst>
        </c:ser>
        <c:ser>
          <c:idx val="4"/>
          <c:order val="2"/>
          <c:tx>
            <c:strRef>
              <c:f>'KPI RA6 (B) (2)'!$D$23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RA6 (B) (2)'!$E$18:$P$18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RA6 (B) (2)'!$E$23:$P$23</c:f>
              <c:numCache>
                <c:formatCode>#,##0</c:formatCode>
                <c:ptCount val="12"/>
                <c:pt idx="0">
                  <c:v>33056</c:v>
                </c:pt>
                <c:pt idx="1">
                  <c:v>39909</c:v>
                </c:pt>
                <c:pt idx="2">
                  <c:v>35284</c:v>
                </c:pt>
                <c:pt idx="3">
                  <c:v>38123</c:v>
                </c:pt>
                <c:pt idx="4">
                  <c:v>39016</c:v>
                </c:pt>
                <c:pt idx="5">
                  <c:v>29559</c:v>
                </c:pt>
                <c:pt idx="6">
                  <c:v>39778</c:v>
                </c:pt>
                <c:pt idx="7">
                  <c:v>36889</c:v>
                </c:pt>
                <c:pt idx="8">
                  <c:v>44066</c:v>
                </c:pt>
                <c:pt idx="9">
                  <c:v>32495</c:v>
                </c:pt>
                <c:pt idx="10">
                  <c:v>43409</c:v>
                </c:pt>
                <c:pt idx="11">
                  <c:v>47240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2F-408A-85B4-DAAE9A15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242176"/>
        <c:axId val="100243712"/>
      </c:barChart>
      <c:lineChart>
        <c:grouping val="standard"/>
        <c:varyColors val="0"/>
        <c:ser>
          <c:idx val="0"/>
          <c:order val="0"/>
          <c:tx>
            <c:strRef>
              <c:f>'KPI RA6 (B) (2)'!$D$19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RA6 (B) (2)'!$E$18:$P$18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RA6 (B) (2)'!$E$19:$P$19</c:f>
              <c:numCache>
                <c:formatCode>#,##0</c:formatCode>
                <c:ptCount val="12"/>
                <c:pt idx="0">
                  <c:v>35346.901044740996</c:v>
                </c:pt>
                <c:pt idx="1">
                  <c:v>35708.700536117925</c:v>
                </c:pt>
                <c:pt idx="2">
                  <c:v>36024.818727988459</c:v>
                </c:pt>
                <c:pt idx="3">
                  <c:v>36296.055807086654</c:v>
                </c:pt>
                <c:pt idx="4">
                  <c:v>36564.216630885414</c:v>
                </c:pt>
                <c:pt idx="5">
                  <c:v>36788.567243041711</c:v>
                </c:pt>
                <c:pt idx="6">
                  <c:v>37185.070383117723</c:v>
                </c:pt>
                <c:pt idx="7">
                  <c:v>37430.836104568712</c:v>
                </c:pt>
                <c:pt idx="8">
                  <c:v>37673.97140442166</c:v>
                </c:pt>
                <c:pt idx="9">
                  <c:v>37861.94701068072</c:v>
                </c:pt>
                <c:pt idx="10">
                  <c:v>38047.896151762739</c:v>
                </c:pt>
                <c:pt idx="11">
                  <c:v>38231.85153251567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2F-408A-85B4-DAAE9A159818}"/>
            </c:ext>
          </c:extLst>
        </c:ser>
        <c:ser>
          <c:idx val="2"/>
          <c:order val="3"/>
          <c:tx>
            <c:strRef>
              <c:f>'KPI 101'!#REF!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101'!#REF!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62F-408A-85B4-DAAE9A15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242176"/>
        <c:axId val="100243712"/>
      </c:lineChart>
      <c:dateAx>
        <c:axId val="10024217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0243712"/>
        <c:crosses val="autoZero"/>
        <c:auto val="1"/>
        <c:lblOffset val="100"/>
        <c:baseTimeUnit val="months"/>
      </c:dateAx>
      <c:valAx>
        <c:axId val="10024371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0242176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RB2 (3)'!$D$20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RB2 (3)'!$E$18:$P$18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RB2 (3)'!$E$20:$P$20</c:f>
              <c:numCache>
                <c:formatCode>#,##0</c:formatCode>
                <c:ptCount val="12"/>
                <c:pt idx="0">
                  <c:v>31567</c:v>
                </c:pt>
                <c:pt idx="1">
                  <c:v>30396</c:v>
                </c:pt>
                <c:pt idx="2">
                  <c:v>26239</c:v>
                </c:pt>
                <c:pt idx="3">
                  <c:v>28789</c:v>
                </c:pt>
                <c:pt idx="4">
                  <c:v>24966</c:v>
                </c:pt>
                <c:pt idx="5">
                  <c:v>26222</c:v>
                </c:pt>
                <c:pt idx="6">
                  <c:v>31253</c:v>
                </c:pt>
                <c:pt idx="7">
                  <c:v>33645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FF-4894-A0DF-087989146B29}"/>
            </c:ext>
          </c:extLst>
        </c:ser>
        <c:ser>
          <c:idx val="4"/>
          <c:order val="2"/>
          <c:tx>
            <c:strRef>
              <c:f>'KPI RB2 (3)'!$D$23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RB2 (3)'!$E$18:$P$18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RB2 (3)'!$E$23:$P$23</c:f>
              <c:numCache>
                <c:formatCode>#,##0</c:formatCode>
                <c:ptCount val="12"/>
                <c:pt idx="0">
                  <c:v>26497</c:v>
                </c:pt>
                <c:pt idx="1">
                  <c:v>29718</c:v>
                </c:pt>
                <c:pt idx="2">
                  <c:v>32245</c:v>
                </c:pt>
                <c:pt idx="3">
                  <c:v>30200</c:v>
                </c:pt>
                <c:pt idx="4">
                  <c:v>32349</c:v>
                </c:pt>
                <c:pt idx="5">
                  <c:v>24184</c:v>
                </c:pt>
                <c:pt idx="6">
                  <c:v>29173</c:v>
                </c:pt>
                <c:pt idx="7">
                  <c:v>28120</c:v>
                </c:pt>
                <c:pt idx="8">
                  <c:v>29681</c:v>
                </c:pt>
                <c:pt idx="9">
                  <c:v>26294</c:v>
                </c:pt>
                <c:pt idx="10">
                  <c:v>27869</c:v>
                </c:pt>
                <c:pt idx="11">
                  <c:v>30668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FF-4894-A0DF-087989146B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1546624"/>
        <c:axId val="101560704"/>
      </c:barChart>
      <c:lineChart>
        <c:grouping val="standard"/>
        <c:varyColors val="0"/>
        <c:ser>
          <c:idx val="0"/>
          <c:order val="0"/>
          <c:tx>
            <c:strRef>
              <c:f>'KPI RB2 (3)'!$D$19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RB2 (3)'!$E$18:$P$18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RB2 (3)'!$E$19:$P$19</c:f>
              <c:numCache>
                <c:formatCode>#,##0</c:formatCode>
                <c:ptCount val="12"/>
                <c:pt idx="0">
                  <c:v>28805.518725913207</c:v>
                </c:pt>
                <c:pt idx="1">
                  <c:v>29221.45184642047</c:v>
                </c:pt>
                <c:pt idx="2">
                  <c:v>29607.384966927733</c:v>
                </c:pt>
                <c:pt idx="3">
                  <c:v>29963.318087435</c:v>
                </c:pt>
                <c:pt idx="4">
                  <c:v>30319.251207942259</c:v>
                </c:pt>
                <c:pt idx="5">
                  <c:v>30645.184328449523</c:v>
                </c:pt>
                <c:pt idx="6">
                  <c:v>31118.149975071403</c:v>
                </c:pt>
                <c:pt idx="7">
                  <c:v>31471.261362380574</c:v>
                </c:pt>
                <c:pt idx="8">
                  <c:v>31824.372749689741</c:v>
                </c:pt>
                <c:pt idx="9">
                  <c:v>32132.557007342555</c:v>
                </c:pt>
                <c:pt idx="10">
                  <c:v>32440.741264995373</c:v>
                </c:pt>
                <c:pt idx="11">
                  <c:v>32748.925522648187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CFF-4894-A0DF-087989146B29}"/>
            </c:ext>
          </c:extLst>
        </c:ser>
        <c:ser>
          <c:idx val="2"/>
          <c:order val="3"/>
          <c:tx>
            <c:strRef>
              <c:f>'KPI 108'!#REF!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108'!#REF!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CFF-4894-A0DF-087989146B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546624"/>
        <c:axId val="101560704"/>
      </c:lineChart>
      <c:dateAx>
        <c:axId val="10154662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1560704"/>
        <c:crosses val="autoZero"/>
        <c:auto val="1"/>
        <c:lblOffset val="100"/>
        <c:baseTimeUnit val="months"/>
      </c:dateAx>
      <c:valAx>
        <c:axId val="10156070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1546624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RB3 (3)'!$D$20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RB3 (3)'!$E$18:$P$18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RB3 (3)'!$E$20:$P$20</c:f>
              <c:numCache>
                <c:formatCode>#,##0</c:formatCode>
                <c:ptCount val="12"/>
                <c:pt idx="0">
                  <c:v>9642</c:v>
                </c:pt>
                <c:pt idx="1">
                  <c:v>9594</c:v>
                </c:pt>
                <c:pt idx="2">
                  <c:v>10486</c:v>
                </c:pt>
                <c:pt idx="3">
                  <c:v>20017</c:v>
                </c:pt>
                <c:pt idx="4">
                  <c:v>8560</c:v>
                </c:pt>
                <c:pt idx="5">
                  <c:v>8907</c:v>
                </c:pt>
                <c:pt idx="6">
                  <c:v>10970</c:v>
                </c:pt>
                <c:pt idx="7">
                  <c:v>9427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BC-4DB6-9094-D590458B85AF}"/>
            </c:ext>
          </c:extLst>
        </c:ser>
        <c:ser>
          <c:idx val="4"/>
          <c:order val="2"/>
          <c:tx>
            <c:strRef>
              <c:f>'KPI RB3 (3)'!$D$23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RB3 (3)'!$E$18:$P$18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RB3 (3)'!$E$23:$P$23</c:f>
              <c:numCache>
                <c:formatCode>#,##0</c:formatCode>
                <c:ptCount val="12"/>
                <c:pt idx="0">
                  <c:v>6559</c:v>
                </c:pt>
                <c:pt idx="1">
                  <c:v>10191</c:v>
                </c:pt>
                <c:pt idx="2">
                  <c:v>3039</c:v>
                </c:pt>
                <c:pt idx="3">
                  <c:v>7923</c:v>
                </c:pt>
                <c:pt idx="4">
                  <c:v>6667</c:v>
                </c:pt>
                <c:pt idx="5">
                  <c:v>5375</c:v>
                </c:pt>
                <c:pt idx="6">
                  <c:v>10605</c:v>
                </c:pt>
                <c:pt idx="7">
                  <c:v>8769</c:v>
                </c:pt>
                <c:pt idx="8">
                  <c:v>14385</c:v>
                </c:pt>
                <c:pt idx="9">
                  <c:v>6201</c:v>
                </c:pt>
                <c:pt idx="10">
                  <c:v>15540</c:v>
                </c:pt>
                <c:pt idx="11">
                  <c:v>16572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BC-4DB6-9094-D590458B85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296384"/>
        <c:axId val="99297920"/>
      </c:barChart>
      <c:lineChart>
        <c:grouping val="standard"/>
        <c:varyColors val="0"/>
        <c:ser>
          <c:idx val="0"/>
          <c:order val="0"/>
          <c:tx>
            <c:strRef>
              <c:f>'KPI RB3 (3)'!$D$19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RB3 (3)'!$E$18:$P$18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RB3 (3)'!$E$19:$P$19</c:f>
              <c:numCache>
                <c:formatCode>#,##0</c:formatCode>
                <c:ptCount val="12"/>
                <c:pt idx="0">
                  <c:v>6541.3823188277893</c:v>
                </c:pt>
                <c:pt idx="1">
                  <c:v>6487.2486896974551</c:v>
                </c:pt>
                <c:pt idx="2">
                  <c:v>6417.4337610607254</c:v>
                </c:pt>
                <c:pt idx="3">
                  <c:v>6332.7377196516536</c:v>
                </c:pt>
                <c:pt idx="4">
                  <c:v>6244.9654229431544</c:v>
                </c:pt>
                <c:pt idx="5">
                  <c:v>6143.3829145921882</c:v>
                </c:pt>
                <c:pt idx="6">
                  <c:v>6066.9204080463205</c:v>
                </c:pt>
                <c:pt idx="7">
                  <c:v>5959.5747421881388</c:v>
                </c:pt>
                <c:pt idx="8">
                  <c:v>5849.5986547319189</c:v>
                </c:pt>
                <c:pt idx="9">
                  <c:v>5729.3900033381651</c:v>
                </c:pt>
                <c:pt idx="10">
                  <c:v>5607.1548867673664</c:v>
                </c:pt>
                <c:pt idx="11">
                  <c:v>5482.9260098674822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BC-4DB6-9094-D590458B85AF}"/>
            </c:ext>
          </c:extLst>
        </c:ser>
        <c:ser>
          <c:idx val="2"/>
          <c:order val="3"/>
          <c:tx>
            <c:strRef>
              <c:f>'KPI 108'!#REF!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108'!#REF!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4BC-4DB6-9094-D590458B85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296384"/>
        <c:axId val="99297920"/>
      </c:lineChart>
      <c:dateAx>
        <c:axId val="9929638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99297920"/>
        <c:crosses val="autoZero"/>
        <c:auto val="1"/>
        <c:lblOffset val="100"/>
        <c:baseTimeUnit val="months"/>
      </c:dateAx>
      <c:valAx>
        <c:axId val="9929792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99296384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RB4 (2)'!$D$20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RB4 (2)'!$E$18:$P$18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RB4 (2)'!$E$20:$P$20</c:f>
              <c:numCache>
                <c:formatCode>0%</c:formatCode>
                <c:ptCount val="12"/>
                <c:pt idx="0">
                  <c:v>0.23397801451139313</c:v>
                </c:pt>
                <c:pt idx="1">
                  <c:v>0.23990997749437359</c:v>
                </c:pt>
                <c:pt idx="2">
                  <c:v>0.28552756977535737</c:v>
                </c:pt>
                <c:pt idx="3">
                  <c:v>0.41013399991804289</c:v>
                </c:pt>
                <c:pt idx="4">
                  <c:v>0.255324225973871</c:v>
                </c:pt>
                <c:pt idx="5">
                  <c:v>0.25355119701670986</c:v>
                </c:pt>
                <c:pt idx="6">
                  <c:v>0.25981100348151481</c:v>
                </c:pt>
                <c:pt idx="7">
                  <c:v>0.21886608469539376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A1-455D-A191-4DE16DA49B1E}"/>
            </c:ext>
          </c:extLst>
        </c:ser>
        <c:ser>
          <c:idx val="4"/>
          <c:order val="2"/>
          <c:tx>
            <c:strRef>
              <c:f>'KPI RB4 (2)'!$D$23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RB4 (2)'!$E$18:$P$18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RB4 (2)'!$E$23:$P$23</c:f>
              <c:numCache>
                <c:formatCode>0%</c:formatCode>
                <c:ptCount val="12"/>
                <c:pt idx="0">
                  <c:v>0.19842086156824781</c:v>
                </c:pt>
                <c:pt idx="1">
                  <c:v>0.25535593475155982</c:v>
                </c:pt>
                <c:pt idx="2">
                  <c:v>8.6129690511279902E-2</c:v>
                </c:pt>
                <c:pt idx="3">
                  <c:v>0.20782729585814338</c:v>
                </c:pt>
                <c:pt idx="4">
                  <c:v>0.17087861390198894</c:v>
                </c:pt>
                <c:pt idx="5">
                  <c:v>0.1818397104096891</c:v>
                </c:pt>
                <c:pt idx="6">
                  <c:v>0.2666046558399115</c:v>
                </c:pt>
                <c:pt idx="7">
                  <c:v>0.23771313941825475</c:v>
                </c:pt>
                <c:pt idx="8">
                  <c:v>0.3264421549493941</c:v>
                </c:pt>
                <c:pt idx="9">
                  <c:v>0.19082935836282505</c:v>
                </c:pt>
                <c:pt idx="10">
                  <c:v>0.35799027851367227</c:v>
                </c:pt>
                <c:pt idx="11">
                  <c:v>0.35080440304826416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A1-455D-A191-4DE16DA49B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507648"/>
        <c:axId val="106525824"/>
      </c:barChart>
      <c:lineChart>
        <c:grouping val="standard"/>
        <c:varyColors val="0"/>
        <c:ser>
          <c:idx val="0"/>
          <c:order val="0"/>
          <c:tx>
            <c:strRef>
              <c:f>'KPI RB4 (2)'!$D$19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RB4 (2)'!$E$18:$P$18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RB4 (2)'!$E$19:$P$19</c:f>
              <c:numCache>
                <c:formatCode>0%</c:formatCode>
                <c:ptCount val="12"/>
                <c:pt idx="0">
                  <c:v>0.18506239940378119</c:v>
                </c:pt>
                <c:pt idx="1">
                  <c:v>0.18167137398729652</c:v>
                </c:pt>
                <c:pt idx="2">
                  <c:v>0.17813923810461488</c:v>
                </c:pt>
                <c:pt idx="3">
                  <c:v>0.17447454217367642</c:v>
                </c:pt>
                <c:pt idx="4">
                  <c:v>0.17079445420603095</c:v>
                </c:pt>
                <c:pt idx="5">
                  <c:v>0.16699163286262975</c:v>
                </c:pt>
                <c:pt idx="6">
                  <c:v>0.16315473778962494</c:v>
                </c:pt>
                <c:pt idx="7">
                  <c:v>0.15921564577235633</c:v>
                </c:pt>
                <c:pt idx="8">
                  <c:v>0.15526896784885738</c:v>
                </c:pt>
                <c:pt idx="9">
                  <c:v>0.15132317420765298</c:v>
                </c:pt>
                <c:pt idx="10">
                  <c:v>0.14737095750056575</c:v>
                </c:pt>
                <c:pt idx="11">
                  <c:v>0.14341251574500199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A1-455D-A191-4DE16DA49B1E}"/>
            </c:ext>
          </c:extLst>
        </c:ser>
        <c:ser>
          <c:idx val="2"/>
          <c:order val="3"/>
          <c:tx>
            <c:strRef>
              <c:f>'KPI 108'!#REF!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108'!#REF!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3A1-455D-A191-4DE16DA49B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507648"/>
        <c:axId val="106525824"/>
      </c:lineChart>
      <c:dateAx>
        <c:axId val="10650764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6525824"/>
        <c:crosses val="autoZero"/>
        <c:auto val="1"/>
        <c:lblOffset val="100"/>
        <c:baseTimeUnit val="months"/>
      </c:dateAx>
      <c:valAx>
        <c:axId val="10652582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6507648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101'!$D$20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101'!$E$18:$P$18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101'!$E$20:$P$20</c:f>
              <c:numCache>
                <c:formatCode>#,##0</c:formatCode>
                <c:ptCount val="12"/>
                <c:pt idx="0">
                  <c:v>18634</c:v>
                </c:pt>
                <c:pt idx="1">
                  <c:v>23756</c:v>
                </c:pt>
                <c:pt idx="2">
                  <c:v>22318</c:v>
                </c:pt>
                <c:pt idx="3">
                  <c:v>21615</c:v>
                </c:pt>
                <c:pt idx="4">
                  <c:v>20535</c:v>
                </c:pt>
                <c:pt idx="5">
                  <c:v>17778</c:v>
                </c:pt>
                <c:pt idx="6">
                  <c:v>23190</c:v>
                </c:pt>
                <c:pt idx="7">
                  <c:v>19812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40-410C-AC28-13AEDC9B5BB9}"/>
            </c:ext>
          </c:extLst>
        </c:ser>
        <c:ser>
          <c:idx val="4"/>
          <c:order val="2"/>
          <c:tx>
            <c:strRef>
              <c:f>'KPI 101'!$D$23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101'!$E$18:$P$18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101'!$E$23:$P$23</c:f>
              <c:numCache>
                <c:formatCode>#,##0</c:formatCode>
                <c:ptCount val="12"/>
                <c:pt idx="0">
                  <c:v>19112</c:v>
                </c:pt>
                <c:pt idx="1">
                  <c:v>23869</c:v>
                </c:pt>
                <c:pt idx="2">
                  <c:v>20294</c:v>
                </c:pt>
                <c:pt idx="3">
                  <c:v>23120</c:v>
                </c:pt>
                <c:pt idx="4">
                  <c:v>22054</c:v>
                </c:pt>
                <c:pt idx="5">
                  <c:v>15058</c:v>
                </c:pt>
                <c:pt idx="6">
                  <c:v>30251</c:v>
                </c:pt>
                <c:pt idx="7">
                  <c:v>21435</c:v>
                </c:pt>
                <c:pt idx="8">
                  <c:v>22177</c:v>
                </c:pt>
                <c:pt idx="9">
                  <c:v>21609</c:v>
                </c:pt>
                <c:pt idx="10">
                  <c:v>22267</c:v>
                </c:pt>
                <c:pt idx="11">
                  <c:v>22668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40-410C-AC28-13AEDC9B5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223488"/>
        <c:axId val="106225024"/>
      </c:barChart>
      <c:lineChart>
        <c:grouping val="standard"/>
        <c:varyColors val="0"/>
        <c:ser>
          <c:idx val="0"/>
          <c:order val="0"/>
          <c:tx>
            <c:strRef>
              <c:f>'KPI 101'!$D$19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101'!$E$18:$P$18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101'!$E$19:$P$19</c:f>
              <c:numCache>
                <c:formatCode>#,##0</c:formatCode>
                <c:ptCount val="12"/>
                <c:pt idx="0">
                  <c:v>21082.242554366287</c:v>
                </c:pt>
                <c:pt idx="1">
                  <c:v>20981.406814435482</c:v>
                </c:pt>
                <c:pt idx="2">
                  <c:v>20881.679159558877</c:v>
                </c:pt>
                <c:pt idx="3">
                  <c:v>20783.041424407693</c:v>
                </c:pt>
                <c:pt idx="4">
                  <c:v>20685.475838551629</c:v>
                </c:pt>
                <c:pt idx="5">
                  <c:v>20588.965015785896</c:v>
                </c:pt>
                <c:pt idx="6">
                  <c:v>20493.491943802594</c:v>
                </c:pt>
                <c:pt idx="7">
                  <c:v>20399.039974193442</c:v>
                </c:pt>
                <c:pt idx="8">
                  <c:v>20305.592812771625</c:v>
                </c:pt>
                <c:pt idx="9">
                  <c:v>20213.134510200838</c:v>
                </c:pt>
                <c:pt idx="10">
                  <c:v>20121.649452920268</c:v>
                </c:pt>
                <c:pt idx="11">
                  <c:v>20031.122354354669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E40-410C-AC28-13AEDC9B5BB9}"/>
            </c:ext>
          </c:extLst>
        </c:ser>
        <c:ser>
          <c:idx val="2"/>
          <c:order val="3"/>
          <c:tx>
            <c:strRef>
              <c:f>'KPI 101'!#REF!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101'!#REF!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E40-410C-AC28-13AEDC9B5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223488"/>
        <c:axId val="106225024"/>
      </c:lineChart>
      <c:dateAx>
        <c:axId val="10622348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6225024"/>
        <c:crosses val="autoZero"/>
        <c:auto val="1"/>
        <c:lblOffset val="100"/>
        <c:baseTimeUnit val="months"/>
      </c:dateAx>
      <c:valAx>
        <c:axId val="10622502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6223488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108'!$D$20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108'!$E$18:$P$18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108'!$E$20:$P$20</c:f>
              <c:numCache>
                <c:formatCode>#,##0</c:formatCode>
                <c:ptCount val="12"/>
                <c:pt idx="0">
                  <c:v>12992</c:v>
                </c:pt>
                <c:pt idx="1">
                  <c:v>17788</c:v>
                </c:pt>
                <c:pt idx="2">
                  <c:v>16452</c:v>
                </c:pt>
                <c:pt idx="3">
                  <c:v>16186</c:v>
                </c:pt>
                <c:pt idx="4">
                  <c:v>13605</c:v>
                </c:pt>
                <c:pt idx="5">
                  <c:v>12217</c:v>
                </c:pt>
                <c:pt idx="6">
                  <c:v>20906</c:v>
                </c:pt>
                <c:pt idx="7">
                  <c:v>15811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8D-40CE-BD14-A840E91DDEDF}"/>
            </c:ext>
          </c:extLst>
        </c:ser>
        <c:ser>
          <c:idx val="4"/>
          <c:order val="2"/>
          <c:tx>
            <c:strRef>
              <c:f>'KPI 108'!$D$23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108'!$E$18:$P$18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108'!$E$23:$P$23</c:f>
              <c:numCache>
                <c:formatCode>#,##0</c:formatCode>
                <c:ptCount val="12"/>
                <c:pt idx="0">
                  <c:v>15333</c:v>
                </c:pt>
                <c:pt idx="1">
                  <c:v>18128</c:v>
                </c:pt>
                <c:pt idx="2">
                  <c:v>15348</c:v>
                </c:pt>
                <c:pt idx="3">
                  <c:v>17288</c:v>
                </c:pt>
                <c:pt idx="4">
                  <c:v>16464</c:v>
                </c:pt>
                <c:pt idx="5">
                  <c:v>11402</c:v>
                </c:pt>
                <c:pt idx="6">
                  <c:v>21639</c:v>
                </c:pt>
                <c:pt idx="7">
                  <c:v>16771</c:v>
                </c:pt>
                <c:pt idx="8">
                  <c:v>16898</c:v>
                </c:pt>
                <c:pt idx="9">
                  <c:v>14822</c:v>
                </c:pt>
                <c:pt idx="10">
                  <c:v>15647</c:v>
                </c:pt>
                <c:pt idx="11">
                  <c:v>15127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8D-40CE-BD14-A840E91DDE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373504"/>
        <c:axId val="106375040"/>
      </c:barChart>
      <c:lineChart>
        <c:grouping val="standard"/>
        <c:varyColors val="0"/>
        <c:ser>
          <c:idx val="0"/>
          <c:order val="0"/>
          <c:tx>
            <c:strRef>
              <c:f>'KPI 108'!$D$19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108'!$E$18:$P$18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108'!$E$19:$P$19</c:f>
              <c:numCache>
                <c:formatCode>#,##0</c:formatCode>
                <c:ptCount val="12"/>
                <c:pt idx="0">
                  <c:v>16134.369786189976</c:v>
                </c:pt>
                <c:pt idx="1">
                  <c:v>16146.406239046619</c:v>
                </c:pt>
                <c:pt idx="2">
                  <c:v>16158.442691903261</c:v>
                </c:pt>
                <c:pt idx="3">
                  <c:v>16170.479144759904</c:v>
                </c:pt>
                <c:pt idx="4">
                  <c:v>16182.515597616546</c:v>
                </c:pt>
                <c:pt idx="5">
                  <c:v>16194.552050473189</c:v>
                </c:pt>
                <c:pt idx="6">
                  <c:v>16206.588503329831</c:v>
                </c:pt>
                <c:pt idx="7">
                  <c:v>16218.62495618647</c:v>
                </c:pt>
                <c:pt idx="8">
                  <c:v>16230.661409043112</c:v>
                </c:pt>
                <c:pt idx="9">
                  <c:v>16242.697861899755</c:v>
                </c:pt>
                <c:pt idx="10">
                  <c:v>16254.734314756397</c:v>
                </c:pt>
                <c:pt idx="11">
                  <c:v>16266.770767613039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78D-40CE-BD14-A840E91DDEDF}"/>
            </c:ext>
          </c:extLst>
        </c:ser>
        <c:ser>
          <c:idx val="2"/>
          <c:order val="3"/>
          <c:tx>
            <c:strRef>
              <c:f>'KPI 108'!#REF!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108'!#REF!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78D-40CE-BD14-A840E91DDE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373504"/>
        <c:axId val="106375040"/>
      </c:lineChart>
      <c:dateAx>
        <c:axId val="10637350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6375040"/>
        <c:crosses val="autoZero"/>
        <c:auto val="1"/>
        <c:lblOffset val="100"/>
        <c:baseTimeUnit val="months"/>
      </c:dateAx>
      <c:valAx>
        <c:axId val="10637504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6373504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122'!$D$20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122'!$E$18:$P$18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122'!$E$20:$P$20</c:f>
              <c:numCache>
                <c:formatCode>0%</c:formatCode>
                <c:ptCount val="12"/>
                <c:pt idx="0">
                  <c:v>0.30277986476333585</c:v>
                </c:pt>
                <c:pt idx="1">
                  <c:v>0.25122074423303586</c:v>
                </c:pt>
                <c:pt idx="2">
                  <c:v>0.26283717178958688</c:v>
                </c:pt>
                <c:pt idx="3">
                  <c:v>0.25116817025213972</c:v>
                </c:pt>
                <c:pt idx="4">
                  <c:v>0.33747260774287802</c:v>
                </c:pt>
                <c:pt idx="5">
                  <c:v>0.31280233997075035</c:v>
                </c:pt>
                <c:pt idx="6">
                  <c:v>9.8490728762397589E-2</c:v>
                </c:pt>
                <c:pt idx="7">
                  <c:v>0.20194831415303857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FE-47A7-9270-B37AF6FA46D8}"/>
            </c:ext>
          </c:extLst>
        </c:ser>
        <c:ser>
          <c:idx val="4"/>
          <c:order val="2"/>
          <c:tx>
            <c:strRef>
              <c:f>'KPI 122'!$D$23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122'!$E$18:$P$18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122'!$E$23:$P$23</c:f>
              <c:numCache>
                <c:formatCode>0%</c:formatCode>
                <c:ptCount val="12"/>
                <c:pt idx="0">
                  <c:v>0.19772917538719129</c:v>
                </c:pt>
                <c:pt idx="1">
                  <c:v>0.2405211780971134</c:v>
                </c:pt>
                <c:pt idx="2">
                  <c:v>0.24371735488321672</c:v>
                </c:pt>
                <c:pt idx="3">
                  <c:v>0.25224913494809686</c:v>
                </c:pt>
                <c:pt idx="4">
                  <c:v>0.25346875850185907</c:v>
                </c:pt>
                <c:pt idx="5">
                  <c:v>0.24279452782574046</c:v>
                </c:pt>
                <c:pt idx="6">
                  <c:v>0.2846848038081386</c:v>
                </c:pt>
                <c:pt idx="7">
                  <c:v>0.21758805691625846</c:v>
                </c:pt>
                <c:pt idx="8">
                  <c:v>0.2380394101997565</c:v>
                </c:pt>
                <c:pt idx="9">
                  <c:v>0.31408209542320331</c:v>
                </c:pt>
                <c:pt idx="10">
                  <c:v>0.29730093860870344</c:v>
                </c:pt>
                <c:pt idx="11">
                  <c:v>0.33267160755249692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FE-47A7-9270-B37AF6FA46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871808"/>
        <c:axId val="106431232"/>
      </c:barChart>
      <c:lineChart>
        <c:grouping val="standard"/>
        <c:varyColors val="0"/>
        <c:ser>
          <c:idx val="0"/>
          <c:order val="0"/>
          <c:tx>
            <c:strRef>
              <c:f>'KPI 122'!$D$19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122'!$E$18:$P$18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122'!$E$19:$P$19</c:f>
              <c:numCache>
                <c:formatCode>0%</c:formatCode>
                <c:ptCount val="12"/>
                <c:pt idx="0">
                  <c:v>0.23469385457533168</c:v>
                </c:pt>
                <c:pt idx="1">
                  <c:v>0.23044215376741659</c:v>
                </c:pt>
                <c:pt idx="2">
                  <c:v>0.22619045295950199</c:v>
                </c:pt>
                <c:pt idx="3">
                  <c:v>0.22193875215158723</c:v>
                </c:pt>
                <c:pt idx="4">
                  <c:v>0.21768705134367236</c:v>
                </c:pt>
                <c:pt idx="5">
                  <c:v>0.21343535053575735</c:v>
                </c:pt>
                <c:pt idx="6">
                  <c:v>0.20918364972784245</c:v>
                </c:pt>
                <c:pt idx="7">
                  <c:v>0.20493194891992761</c:v>
                </c:pt>
                <c:pt idx="8">
                  <c:v>0.20068024811201277</c:v>
                </c:pt>
                <c:pt idx="9">
                  <c:v>0.19642854730409812</c:v>
                </c:pt>
                <c:pt idx="10">
                  <c:v>0.19217684649618341</c:v>
                </c:pt>
                <c:pt idx="11">
                  <c:v>0.18792514568826835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FE-47A7-9270-B37AF6FA46D8}"/>
            </c:ext>
          </c:extLst>
        </c:ser>
        <c:ser>
          <c:idx val="2"/>
          <c:order val="3"/>
          <c:tx>
            <c:strRef>
              <c:f>'KPI 122'!#REF!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122'!#REF!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FE-47A7-9270-B37AF6FA46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871808"/>
        <c:axId val="106431232"/>
      </c:lineChart>
      <c:dateAx>
        <c:axId val="10687180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6431232"/>
        <c:crosses val="autoZero"/>
        <c:auto val="1"/>
        <c:lblOffset val="100"/>
        <c:baseTimeUnit val="months"/>
      </c:dateAx>
      <c:valAx>
        <c:axId val="106431232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6871808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102'!$D$20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102'!$E$18:$P$18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102'!$E$20:$P$20</c:f>
              <c:numCache>
                <c:formatCode>#,##0</c:formatCode>
                <c:ptCount val="12"/>
                <c:pt idx="0">
                  <c:v>21082</c:v>
                </c:pt>
                <c:pt idx="1">
                  <c:v>19289</c:v>
                </c:pt>
                <c:pt idx="2">
                  <c:v>17841</c:v>
                </c:pt>
                <c:pt idx="3">
                  <c:v>21548</c:v>
                </c:pt>
                <c:pt idx="4">
                  <c:v>18790</c:v>
                </c:pt>
                <c:pt idx="5">
                  <c:v>15397</c:v>
                </c:pt>
                <c:pt idx="6">
                  <c:v>23443</c:v>
                </c:pt>
                <c:pt idx="7">
                  <c:v>20893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A8-4D20-81ED-642761CA4057}"/>
            </c:ext>
          </c:extLst>
        </c:ser>
        <c:ser>
          <c:idx val="4"/>
          <c:order val="2"/>
          <c:tx>
            <c:strRef>
              <c:f>'KPI 102'!$D$23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102'!$E$18:$P$18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102'!$E$23:$P$23</c:f>
              <c:numCache>
                <c:formatCode>#,##0</c:formatCode>
                <c:ptCount val="12"/>
                <c:pt idx="0">
                  <c:v>16236</c:v>
                </c:pt>
                <c:pt idx="1">
                  <c:v>22065</c:v>
                </c:pt>
                <c:pt idx="2">
                  <c:v>17891</c:v>
                </c:pt>
                <c:pt idx="3">
                  <c:v>19851</c:v>
                </c:pt>
                <c:pt idx="4">
                  <c:v>19526</c:v>
                </c:pt>
                <c:pt idx="5">
                  <c:v>14104</c:v>
                </c:pt>
                <c:pt idx="6">
                  <c:v>25367</c:v>
                </c:pt>
                <c:pt idx="7">
                  <c:v>19845</c:v>
                </c:pt>
                <c:pt idx="8">
                  <c:v>19606</c:v>
                </c:pt>
                <c:pt idx="9">
                  <c:v>15629</c:v>
                </c:pt>
                <c:pt idx="10">
                  <c:v>21957</c:v>
                </c:pt>
                <c:pt idx="11">
                  <c:v>21851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A8-4D20-81ED-642761CA40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825600"/>
        <c:axId val="106827136"/>
      </c:barChart>
      <c:lineChart>
        <c:grouping val="standard"/>
        <c:varyColors val="0"/>
        <c:ser>
          <c:idx val="0"/>
          <c:order val="0"/>
          <c:tx>
            <c:strRef>
              <c:f>'KPI 102'!$D$19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102'!$E$18:$P$18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102'!$E$19:$P$19</c:f>
              <c:numCache>
                <c:formatCode>#,##0</c:formatCode>
                <c:ptCount val="12"/>
                <c:pt idx="0">
                  <c:v>19036.909247675489</c:v>
                </c:pt>
                <c:pt idx="1">
                  <c:v>19122.590472348864</c:v>
                </c:pt>
                <c:pt idx="2">
                  <c:v>19206.523100600341</c:v>
                </c:pt>
                <c:pt idx="3">
                  <c:v>19288.76012020027</c:v>
                </c:pt>
                <c:pt idx="4">
                  <c:v>19369.352399408199</c:v>
                </c:pt>
                <c:pt idx="5">
                  <c:v>19448.34879189913</c:v>
                </c:pt>
                <c:pt idx="6">
                  <c:v>19525.796235517701</c:v>
                </c:pt>
                <c:pt idx="7">
                  <c:v>19601.739845279593</c:v>
                </c:pt>
                <c:pt idx="8">
                  <c:v>19676.223001007613</c:v>
                </c:pt>
                <c:pt idx="9">
                  <c:v>19749.287429959859</c:v>
                </c:pt>
                <c:pt idx="10">
                  <c:v>19820.973284780928</c:v>
                </c:pt>
                <c:pt idx="11">
                  <c:v>19891.319217081975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FA8-4D20-81ED-642761CA4057}"/>
            </c:ext>
          </c:extLst>
        </c:ser>
        <c:ser>
          <c:idx val="2"/>
          <c:order val="3"/>
          <c:tx>
            <c:strRef>
              <c:f>'KPI 102'!#REF!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102'!#REF!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FA8-4D20-81ED-642761CA40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825600"/>
        <c:axId val="106827136"/>
      </c:lineChart>
      <c:dateAx>
        <c:axId val="10682560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6827136"/>
        <c:crosses val="autoZero"/>
        <c:auto val="1"/>
        <c:lblOffset val="100"/>
        <c:baseTimeUnit val="months"/>
      </c:dateAx>
      <c:valAx>
        <c:axId val="10682713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6825600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109'!$D$20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109'!$E$18:$P$18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109'!$E$20:$P$20</c:f>
              <c:numCache>
                <c:formatCode>#,##0</c:formatCode>
                <c:ptCount val="12"/>
                <c:pt idx="0">
                  <c:v>15991</c:v>
                </c:pt>
                <c:pt idx="1">
                  <c:v>15410</c:v>
                </c:pt>
                <c:pt idx="2">
                  <c:v>13572</c:v>
                </c:pt>
                <c:pt idx="3">
                  <c:v>16565</c:v>
                </c:pt>
                <c:pt idx="4">
                  <c:v>15215</c:v>
                </c:pt>
                <c:pt idx="5">
                  <c:v>12683</c:v>
                </c:pt>
                <c:pt idx="6">
                  <c:v>20921</c:v>
                </c:pt>
                <c:pt idx="7">
                  <c:v>17374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1E-44D3-AB94-E3D981885D43}"/>
            </c:ext>
          </c:extLst>
        </c:ser>
        <c:ser>
          <c:idx val="4"/>
          <c:order val="2"/>
          <c:tx>
            <c:strRef>
              <c:f>'KPI 109'!$D$23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109'!$E$18:$P$18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109'!$E$23:$P$23</c:f>
              <c:numCache>
                <c:formatCode>#,##0</c:formatCode>
                <c:ptCount val="12"/>
                <c:pt idx="0">
                  <c:v>13187</c:v>
                </c:pt>
                <c:pt idx="1">
                  <c:v>19014</c:v>
                </c:pt>
                <c:pt idx="2">
                  <c:v>14518</c:v>
                </c:pt>
                <c:pt idx="3">
                  <c:v>15348</c:v>
                </c:pt>
                <c:pt idx="4">
                  <c:v>15020</c:v>
                </c:pt>
                <c:pt idx="5">
                  <c:v>11149</c:v>
                </c:pt>
                <c:pt idx="6">
                  <c:v>18653</c:v>
                </c:pt>
                <c:pt idx="7">
                  <c:v>16512</c:v>
                </c:pt>
                <c:pt idx="8">
                  <c:v>16356</c:v>
                </c:pt>
                <c:pt idx="9">
                  <c:v>14401</c:v>
                </c:pt>
                <c:pt idx="10">
                  <c:v>18218</c:v>
                </c:pt>
                <c:pt idx="11">
                  <c:v>18443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1E-44D3-AB94-E3D981885D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721664"/>
        <c:axId val="106723200"/>
      </c:barChart>
      <c:lineChart>
        <c:grouping val="standard"/>
        <c:varyColors val="0"/>
        <c:ser>
          <c:idx val="0"/>
          <c:order val="0"/>
          <c:tx>
            <c:strRef>
              <c:f>'KPI 109'!$D$19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109'!$E$18:$P$18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109'!$E$19:$P$19</c:f>
              <c:numCache>
                <c:formatCode>#,##0</c:formatCode>
                <c:ptCount val="12"/>
                <c:pt idx="0">
                  <c:v>15540.334546280268</c:v>
                </c:pt>
                <c:pt idx="1">
                  <c:v>15772.885471977739</c:v>
                </c:pt>
                <c:pt idx="2">
                  <c:v>16005.436397675212</c:v>
                </c:pt>
                <c:pt idx="3">
                  <c:v>16237.987323372683</c:v>
                </c:pt>
                <c:pt idx="4">
                  <c:v>16470.538249070152</c:v>
                </c:pt>
                <c:pt idx="5">
                  <c:v>16703.089174767621</c:v>
                </c:pt>
                <c:pt idx="6">
                  <c:v>16935.640100465091</c:v>
                </c:pt>
                <c:pt idx="7">
                  <c:v>17168.19102616256</c:v>
                </c:pt>
                <c:pt idx="8">
                  <c:v>17400.741951860036</c:v>
                </c:pt>
                <c:pt idx="9">
                  <c:v>17633.292877557506</c:v>
                </c:pt>
                <c:pt idx="10">
                  <c:v>17865.843803254975</c:v>
                </c:pt>
                <c:pt idx="11">
                  <c:v>18098.394728952448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1E-44D3-AB94-E3D981885D43}"/>
            </c:ext>
          </c:extLst>
        </c:ser>
        <c:ser>
          <c:idx val="2"/>
          <c:order val="3"/>
          <c:tx>
            <c:strRef>
              <c:f>'KPI 109'!#REF!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109'!#REF!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A1E-44D3-AB94-E3D981885D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721664"/>
        <c:axId val="106723200"/>
      </c:lineChart>
      <c:dateAx>
        <c:axId val="10672166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6723200"/>
        <c:crosses val="autoZero"/>
        <c:auto val="1"/>
        <c:lblOffset val="100"/>
        <c:baseTimeUnit val="months"/>
      </c:dateAx>
      <c:valAx>
        <c:axId val="10672320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6721664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123'!$D$20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123'!$E$18:$P$18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123'!$E$20:$P$20</c:f>
              <c:numCache>
                <c:formatCode>0%</c:formatCode>
                <c:ptCount val="12"/>
                <c:pt idx="0">
                  <c:v>0.24148562754956834</c:v>
                </c:pt>
                <c:pt idx="1">
                  <c:v>0.20109907200995386</c:v>
                </c:pt>
                <c:pt idx="2">
                  <c:v>0.23928030939969733</c:v>
                </c:pt>
                <c:pt idx="3">
                  <c:v>0.23125116020048264</c:v>
                </c:pt>
                <c:pt idx="4">
                  <c:v>0.19026077700904737</c:v>
                </c:pt>
                <c:pt idx="5">
                  <c:v>0.1762681041761382</c:v>
                </c:pt>
                <c:pt idx="6">
                  <c:v>0.10758008787271253</c:v>
                </c:pt>
                <c:pt idx="7">
                  <c:v>0.16842961757526445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B9-414B-96BC-AF406134CCFE}"/>
            </c:ext>
          </c:extLst>
        </c:ser>
        <c:ser>
          <c:idx val="4"/>
          <c:order val="2"/>
          <c:tx>
            <c:strRef>
              <c:f>'KPI 123'!$D$23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123'!$E$18:$P$18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123'!$E$23:$P$23</c:f>
              <c:numCache>
                <c:formatCode>0%</c:formatCode>
                <c:ptCount val="12"/>
                <c:pt idx="0">
                  <c:v>0.18779255974377926</c:v>
                </c:pt>
                <c:pt idx="1">
                  <c:v>0.13827328348062543</c:v>
                </c:pt>
                <c:pt idx="2">
                  <c:v>0.18853054608462355</c:v>
                </c:pt>
                <c:pt idx="3">
                  <c:v>0.2268399576847514</c:v>
                </c:pt>
                <c:pt idx="4">
                  <c:v>0.23076923076923078</c:v>
                </c:pt>
                <c:pt idx="5">
                  <c:v>0.2095150311968236</c:v>
                </c:pt>
                <c:pt idx="6">
                  <c:v>0.26467457720660703</c:v>
                </c:pt>
                <c:pt idx="7">
                  <c:v>0.16795162509448225</c:v>
                </c:pt>
                <c:pt idx="8">
                  <c:v>0.16576558196470467</c:v>
                </c:pt>
                <c:pt idx="9">
                  <c:v>7.8571885597287089E-2</c:v>
                </c:pt>
                <c:pt idx="10">
                  <c:v>0.17028737987885412</c:v>
                </c:pt>
                <c:pt idx="11">
                  <c:v>0.15596540204109652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B9-414B-96BC-AF406134CC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182720"/>
        <c:axId val="107196800"/>
      </c:barChart>
      <c:lineChart>
        <c:grouping val="standard"/>
        <c:varyColors val="0"/>
        <c:ser>
          <c:idx val="0"/>
          <c:order val="0"/>
          <c:tx>
            <c:strRef>
              <c:f>'KPI 123'!$D$19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123'!$E$18:$P$18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123'!$E$19:$P$19</c:f>
              <c:numCache>
                <c:formatCode>0%</c:formatCode>
                <c:ptCount val="12"/>
                <c:pt idx="0">
                  <c:v>0.18367344488035375</c:v>
                </c:pt>
                <c:pt idx="1">
                  <c:v>0.17517004326452398</c:v>
                </c:pt>
                <c:pt idx="2">
                  <c:v>0.16666664164869446</c:v>
                </c:pt>
                <c:pt idx="3">
                  <c:v>0.15816324003286486</c:v>
                </c:pt>
                <c:pt idx="4">
                  <c:v>0.14965983841703534</c:v>
                </c:pt>
                <c:pt idx="5">
                  <c:v>0.1411564368012054</c:v>
                </c:pt>
                <c:pt idx="6">
                  <c:v>0.13265303518537591</c:v>
                </c:pt>
                <c:pt idx="7">
                  <c:v>0.12414963356954613</c:v>
                </c:pt>
                <c:pt idx="8">
                  <c:v>0.11564623195371641</c:v>
                </c:pt>
                <c:pt idx="9">
                  <c:v>0.10714283033788699</c:v>
                </c:pt>
                <c:pt idx="10">
                  <c:v>9.8639428722057457E-2</c:v>
                </c:pt>
                <c:pt idx="11">
                  <c:v>9.0136027106227617E-2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B9-414B-96BC-AF406134CCFE}"/>
            </c:ext>
          </c:extLst>
        </c:ser>
        <c:ser>
          <c:idx val="2"/>
          <c:order val="3"/>
          <c:tx>
            <c:strRef>
              <c:f>'KPI 123'!#REF!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123'!#REF!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B9-414B-96BC-AF406134CC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182720"/>
        <c:axId val="107196800"/>
      </c:lineChart>
      <c:dateAx>
        <c:axId val="10718272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7196800"/>
        <c:crosses val="autoZero"/>
        <c:auto val="1"/>
        <c:lblOffset val="100"/>
        <c:baseTimeUnit val="months"/>
      </c:dateAx>
      <c:valAx>
        <c:axId val="10719680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7182720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104'!$D$20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104'!$E$18:$P$18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104'!$E$20:$P$20</c:f>
              <c:numCache>
                <c:formatCode>#,##0</c:formatCode>
                <c:ptCount val="12"/>
                <c:pt idx="0">
                  <c:v>26384</c:v>
                </c:pt>
                <c:pt idx="1">
                  <c:v>25573</c:v>
                </c:pt>
                <c:pt idx="2">
                  <c:v>25446</c:v>
                </c:pt>
                <c:pt idx="3">
                  <c:v>30068</c:v>
                </c:pt>
                <c:pt idx="4">
                  <c:v>20903</c:v>
                </c:pt>
                <c:pt idx="5">
                  <c:v>22989</c:v>
                </c:pt>
                <c:pt idx="6">
                  <c:v>32055</c:v>
                </c:pt>
                <c:pt idx="7">
                  <c:v>26597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8F-4C71-BDCA-EF50D0173BA6}"/>
            </c:ext>
          </c:extLst>
        </c:ser>
        <c:ser>
          <c:idx val="4"/>
          <c:order val="2"/>
          <c:tx>
            <c:strRef>
              <c:f>'KPI 104'!$D$23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104'!$E$18:$P$18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104'!$E$23:$P$23</c:f>
              <c:numCache>
                <c:formatCode>#,##0</c:formatCode>
                <c:ptCount val="12"/>
                <c:pt idx="0">
                  <c:v>29682</c:v>
                </c:pt>
                <c:pt idx="1">
                  <c:v>27699</c:v>
                </c:pt>
                <c:pt idx="2">
                  <c:v>25361</c:v>
                </c:pt>
                <c:pt idx="3">
                  <c:v>26173</c:v>
                </c:pt>
                <c:pt idx="4">
                  <c:v>25162</c:v>
                </c:pt>
                <c:pt idx="5">
                  <c:v>17827</c:v>
                </c:pt>
                <c:pt idx="6">
                  <c:v>33666</c:v>
                </c:pt>
                <c:pt idx="7">
                  <c:v>27318</c:v>
                </c:pt>
                <c:pt idx="8">
                  <c:v>31524</c:v>
                </c:pt>
                <c:pt idx="9">
                  <c:v>17420</c:v>
                </c:pt>
                <c:pt idx="10">
                  <c:v>21884</c:v>
                </c:pt>
                <c:pt idx="11">
                  <c:v>27334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8F-4C71-BDCA-EF50D0173B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914560"/>
        <c:axId val="106916096"/>
      </c:barChart>
      <c:lineChart>
        <c:grouping val="standard"/>
        <c:varyColors val="0"/>
        <c:ser>
          <c:idx val="0"/>
          <c:order val="0"/>
          <c:tx>
            <c:strRef>
              <c:f>'KPI 104'!$D$19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104'!$E$18:$P$18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104'!$E$19:$P$19</c:f>
              <c:numCache>
                <c:formatCode>#,##0</c:formatCode>
                <c:ptCount val="12"/>
                <c:pt idx="0">
                  <c:v>26498.756491475899</c:v>
                </c:pt>
                <c:pt idx="1">
                  <c:v>26392.10061533931</c:v>
                </c:pt>
                <c:pt idx="2">
                  <c:v>26287.016510008951</c:v>
                </c:pt>
                <c:pt idx="3">
                  <c:v>26183.469685216343</c:v>
                </c:pt>
                <c:pt idx="4">
                  <c:v>26081.426652485032</c:v>
                </c:pt>
                <c:pt idx="5">
                  <c:v>25980.854889020706</c:v>
                </c:pt>
                <c:pt idx="6">
                  <c:v>25881.722803151977</c:v>
                </c:pt>
                <c:pt idx="7">
                  <c:v>25783.999701244837</c:v>
                </c:pt>
                <c:pt idx="8">
                  <c:v>25687.655756017833</c:v>
                </c:pt>
                <c:pt idx="9">
                  <c:v>25592.661976189418</c:v>
                </c:pt>
                <c:pt idx="10">
                  <c:v>25498.990177392407</c:v>
                </c:pt>
                <c:pt idx="11">
                  <c:v>25406.612954294462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78F-4C71-BDCA-EF50D0173BA6}"/>
            </c:ext>
          </c:extLst>
        </c:ser>
        <c:ser>
          <c:idx val="2"/>
          <c:order val="3"/>
          <c:tx>
            <c:strRef>
              <c:f>'KPI 104'!#REF!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104'!#REF!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78F-4C71-BDCA-EF50D0173B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914560"/>
        <c:axId val="106916096"/>
      </c:lineChart>
      <c:dateAx>
        <c:axId val="10691456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6916096"/>
        <c:crosses val="autoZero"/>
        <c:auto val="1"/>
        <c:lblOffset val="100"/>
        <c:baseTimeUnit val="months"/>
      </c:dateAx>
      <c:valAx>
        <c:axId val="10691609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6914560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111'!$D$20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111'!$E$18:$P$18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111'!$E$20:$P$20</c:f>
              <c:numCache>
                <c:formatCode>#,##0</c:formatCode>
                <c:ptCount val="12"/>
                <c:pt idx="0">
                  <c:v>16861</c:v>
                </c:pt>
                <c:pt idx="1">
                  <c:v>20788</c:v>
                </c:pt>
                <c:pt idx="2">
                  <c:v>19143</c:v>
                </c:pt>
                <c:pt idx="3">
                  <c:v>21669</c:v>
                </c:pt>
                <c:pt idx="4">
                  <c:v>16926</c:v>
                </c:pt>
                <c:pt idx="5">
                  <c:v>14915</c:v>
                </c:pt>
                <c:pt idx="6">
                  <c:v>26099</c:v>
                </c:pt>
                <c:pt idx="7">
                  <c:v>21183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D5-404A-A560-1E3980744AD7}"/>
            </c:ext>
          </c:extLst>
        </c:ser>
        <c:ser>
          <c:idx val="4"/>
          <c:order val="2"/>
          <c:tx>
            <c:strRef>
              <c:f>'KPI 111'!$D$23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111'!$E$18:$P$18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D5-404A-A560-1E3980744A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510784"/>
        <c:axId val="107520768"/>
      </c:barChart>
      <c:lineChart>
        <c:grouping val="standard"/>
        <c:varyColors val="0"/>
        <c:ser>
          <c:idx val="0"/>
          <c:order val="0"/>
          <c:tx>
            <c:strRef>
              <c:f>'KPI 111'!$D$19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111'!$E$18:$P$18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111'!$E$19:$P$19</c:f>
              <c:numCache>
                <c:formatCode>#,##0</c:formatCode>
                <c:ptCount val="12"/>
                <c:pt idx="0">
                  <c:v>21090.847636599865</c:v>
                </c:pt>
                <c:pt idx="1">
                  <c:v>21163.054104961095</c:v>
                </c:pt>
                <c:pt idx="2">
                  <c:v>21235.260573322324</c:v>
                </c:pt>
                <c:pt idx="3">
                  <c:v>21307.467041683554</c:v>
                </c:pt>
                <c:pt idx="4">
                  <c:v>21379.673510044788</c:v>
                </c:pt>
                <c:pt idx="5">
                  <c:v>21451.879978406017</c:v>
                </c:pt>
                <c:pt idx="6">
                  <c:v>21524.086446767247</c:v>
                </c:pt>
                <c:pt idx="7">
                  <c:v>21596.292915128477</c:v>
                </c:pt>
                <c:pt idx="8">
                  <c:v>21668.499383489707</c:v>
                </c:pt>
                <c:pt idx="9">
                  <c:v>21740.70585185094</c:v>
                </c:pt>
                <c:pt idx="10">
                  <c:v>21812.912320212166</c:v>
                </c:pt>
                <c:pt idx="11">
                  <c:v>21885.1187885734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D5-404A-A560-1E3980744AD7}"/>
            </c:ext>
          </c:extLst>
        </c:ser>
        <c:ser>
          <c:idx val="2"/>
          <c:order val="3"/>
          <c:tx>
            <c:strRef>
              <c:f>'KPI 111'!#REF!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111'!#REF!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DD5-404A-A560-1E3980744A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510784"/>
        <c:axId val="107520768"/>
      </c:lineChart>
      <c:dateAx>
        <c:axId val="10751078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7520768"/>
        <c:crosses val="autoZero"/>
        <c:auto val="1"/>
        <c:lblOffset val="100"/>
        <c:baseTimeUnit val="months"/>
      </c:dateAx>
      <c:valAx>
        <c:axId val="10752076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7510784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125'!$D$20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125'!$E$18:$P$18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125'!$E$20:$P$20</c:f>
              <c:numCache>
                <c:formatCode>0%</c:formatCode>
                <c:ptCount val="12"/>
                <c:pt idx="0">
                  <c:v>0.36093844754396603</c:v>
                </c:pt>
                <c:pt idx="1">
                  <c:v>0.18711140656160793</c:v>
                </c:pt>
                <c:pt idx="2">
                  <c:v>0.24770101391181326</c:v>
                </c:pt>
                <c:pt idx="3">
                  <c:v>0.27933351070905948</c:v>
                </c:pt>
                <c:pt idx="4">
                  <c:v>0.19025977132469024</c:v>
                </c:pt>
                <c:pt idx="5">
                  <c:v>0.35121144895384748</c:v>
                </c:pt>
                <c:pt idx="6">
                  <c:v>0.18580564654500079</c:v>
                </c:pt>
                <c:pt idx="7">
                  <c:v>0.20355679211941197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6A-47BB-8E57-002CC831966B}"/>
            </c:ext>
          </c:extLst>
        </c:ser>
        <c:ser>
          <c:idx val="4"/>
          <c:order val="2"/>
          <c:tx>
            <c:strRef>
              <c:f>'KPI 125'!$D$23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125'!$E$18:$P$18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125'!$E$23:$P$23</c:f>
              <c:numCache>
                <c:formatCode>0%</c:formatCode>
                <c:ptCount val="12"/>
                <c:pt idx="0">
                  <c:v>0.24796172764638502</c:v>
                </c:pt>
                <c:pt idx="1">
                  <c:v>0.17419401422434022</c:v>
                </c:pt>
                <c:pt idx="2">
                  <c:v>0.17771381254682386</c:v>
                </c:pt>
                <c:pt idx="3">
                  <c:v>0.24769800939899897</c:v>
                </c:pt>
                <c:pt idx="4">
                  <c:v>0.10770209045385899</c:v>
                </c:pt>
                <c:pt idx="5">
                  <c:v>0.22998822011555506</c:v>
                </c:pt>
                <c:pt idx="6">
                  <c:v>0.31969939998811858</c:v>
                </c:pt>
                <c:pt idx="7">
                  <c:v>0.16827732630500036</c:v>
                </c:pt>
                <c:pt idx="8">
                  <c:v>0.24701814490546886</c:v>
                </c:pt>
                <c:pt idx="9">
                  <c:v>0.1436280137772675</c:v>
                </c:pt>
                <c:pt idx="10">
                  <c:v>0.1136903673917017</c:v>
                </c:pt>
                <c:pt idx="11">
                  <c:v>0.25268895880588277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6A-47BB-8E57-002CC83196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1581952"/>
        <c:axId val="101583488"/>
      </c:barChart>
      <c:lineChart>
        <c:grouping val="standard"/>
        <c:varyColors val="0"/>
        <c:ser>
          <c:idx val="0"/>
          <c:order val="0"/>
          <c:tx>
            <c:strRef>
              <c:f>'KPI 125'!$D$19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125'!$E$18:$P$18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125'!$E$19:$P$19</c:f>
              <c:numCache>
                <c:formatCode>0%</c:formatCode>
                <c:ptCount val="12"/>
                <c:pt idx="0">
                  <c:v>0.2040816087583448</c:v>
                </c:pt>
                <c:pt idx="1">
                  <c:v>0.19812922762726395</c:v>
                </c:pt>
                <c:pt idx="2">
                  <c:v>0.1921768464961833</c:v>
                </c:pt>
                <c:pt idx="3">
                  <c:v>0.18622446536510276</c:v>
                </c:pt>
                <c:pt idx="4">
                  <c:v>0.18027208423402186</c:v>
                </c:pt>
                <c:pt idx="5">
                  <c:v>0.17431970310294123</c:v>
                </c:pt>
                <c:pt idx="6">
                  <c:v>0.16836732197186038</c:v>
                </c:pt>
                <c:pt idx="7">
                  <c:v>0.16241494084077962</c:v>
                </c:pt>
                <c:pt idx="8">
                  <c:v>0.15646255970969875</c:v>
                </c:pt>
                <c:pt idx="9">
                  <c:v>0.15051017857861806</c:v>
                </c:pt>
                <c:pt idx="10">
                  <c:v>0.14455779744753752</c:v>
                </c:pt>
                <c:pt idx="11">
                  <c:v>0.13860541631645656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86A-47BB-8E57-002CC831966B}"/>
            </c:ext>
          </c:extLst>
        </c:ser>
        <c:ser>
          <c:idx val="2"/>
          <c:order val="3"/>
          <c:tx>
            <c:strRef>
              <c:f>'KPI 125'!#REF!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125'!#REF!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86A-47BB-8E57-002CC83196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581952"/>
        <c:axId val="101583488"/>
      </c:lineChart>
      <c:dateAx>
        <c:axId val="10158195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1583488"/>
        <c:crosses val="autoZero"/>
        <c:auto val="1"/>
        <c:lblOffset val="100"/>
        <c:baseTimeUnit val="months"/>
      </c:dateAx>
      <c:valAx>
        <c:axId val="10158348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1581952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103'!$D$20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103'!$E$18:$P$18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103'!$E$20:$P$20</c:f>
              <c:numCache>
                <c:formatCode>#,##0</c:formatCode>
                <c:ptCount val="12"/>
                <c:pt idx="0">
                  <c:v>15271</c:v>
                </c:pt>
                <c:pt idx="1">
                  <c:v>14365</c:v>
                </c:pt>
                <c:pt idx="2">
                  <c:v>14499</c:v>
                </c:pt>
                <c:pt idx="3">
                  <c:v>15769</c:v>
                </c:pt>
                <c:pt idx="4">
                  <c:v>13590</c:v>
                </c:pt>
                <c:pt idx="5">
                  <c:v>11896</c:v>
                </c:pt>
                <c:pt idx="6">
                  <c:v>21645</c:v>
                </c:pt>
                <c:pt idx="7">
                  <c:v>14546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C0-452C-B3E5-97EF5F304679}"/>
            </c:ext>
          </c:extLst>
        </c:ser>
        <c:ser>
          <c:idx val="4"/>
          <c:order val="2"/>
          <c:tx>
            <c:strRef>
              <c:f>'KPI 103'!$D$23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103'!$E$18:$P$18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103'!$E$23:$P$23</c:f>
              <c:numCache>
                <c:formatCode>#,##0</c:formatCode>
                <c:ptCount val="12"/>
                <c:pt idx="0">
                  <c:v>13873</c:v>
                </c:pt>
                <c:pt idx="1">
                  <c:v>18468</c:v>
                </c:pt>
                <c:pt idx="2">
                  <c:v>16003</c:v>
                </c:pt>
                <c:pt idx="3">
                  <c:v>17425</c:v>
                </c:pt>
                <c:pt idx="4">
                  <c:v>16584</c:v>
                </c:pt>
                <c:pt idx="5">
                  <c:v>11489</c:v>
                </c:pt>
                <c:pt idx="6">
                  <c:v>21782</c:v>
                </c:pt>
                <c:pt idx="7">
                  <c:v>14988</c:v>
                </c:pt>
                <c:pt idx="8">
                  <c:v>18296</c:v>
                </c:pt>
                <c:pt idx="9">
                  <c:v>14499</c:v>
                </c:pt>
                <c:pt idx="10">
                  <c:v>14001</c:v>
                </c:pt>
                <c:pt idx="11">
                  <c:v>15536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C0-452C-B3E5-97EF5F3046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543936"/>
        <c:axId val="106640512"/>
      </c:barChart>
      <c:lineChart>
        <c:grouping val="standard"/>
        <c:varyColors val="0"/>
        <c:ser>
          <c:idx val="0"/>
          <c:order val="0"/>
          <c:tx>
            <c:strRef>
              <c:f>'KPI 103'!$D$19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103'!$E$18:$P$18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103'!$E$19:$P$19</c:f>
              <c:numCache>
                <c:formatCode>#,##0</c:formatCode>
                <c:ptCount val="12"/>
                <c:pt idx="0">
                  <c:v>16735.651704742097</c:v>
                </c:pt>
                <c:pt idx="1">
                  <c:v>16734.288004651131</c:v>
                </c:pt>
                <c:pt idx="2">
                  <c:v>16732.941350811307</c:v>
                </c:pt>
                <c:pt idx="3">
                  <c:v>16731.611425590614</c:v>
                </c:pt>
                <c:pt idx="4">
                  <c:v>16730.297919199798</c:v>
                </c:pt>
                <c:pt idx="5">
                  <c:v>16729.000529451812</c:v>
                </c:pt>
                <c:pt idx="6">
                  <c:v>16727.71896153003</c:v>
                </c:pt>
                <c:pt idx="7">
                  <c:v>16726.452927764873</c:v>
                </c:pt>
                <c:pt idx="8">
                  <c:v>16725.202147418568</c:v>
                </c:pt>
                <c:pt idx="9">
                  <c:v>16723.966346477617</c:v>
                </c:pt>
                <c:pt idx="10">
                  <c:v>16722.745257452625</c:v>
                </c:pt>
                <c:pt idx="11">
                  <c:v>16721.538619185321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4C0-452C-B3E5-97EF5F304679}"/>
            </c:ext>
          </c:extLst>
        </c:ser>
        <c:ser>
          <c:idx val="2"/>
          <c:order val="3"/>
          <c:tx>
            <c:strRef>
              <c:f>'KPI 103'!#REF!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103'!#REF!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4C0-452C-B3E5-97EF5F3046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543936"/>
        <c:axId val="106640512"/>
      </c:lineChart>
      <c:dateAx>
        <c:axId val="10754393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6640512"/>
        <c:crosses val="autoZero"/>
        <c:auto val="1"/>
        <c:lblOffset val="100"/>
        <c:baseTimeUnit val="months"/>
      </c:dateAx>
      <c:valAx>
        <c:axId val="10664051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7543936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110'!$D$20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110'!$E$18:$P$18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110'!$E$20:$P$20</c:f>
              <c:numCache>
                <c:formatCode>#,##0</c:formatCode>
                <c:ptCount val="12"/>
                <c:pt idx="0">
                  <c:v>10344</c:v>
                </c:pt>
                <c:pt idx="1">
                  <c:v>12199</c:v>
                </c:pt>
                <c:pt idx="2">
                  <c:v>12554</c:v>
                </c:pt>
                <c:pt idx="3">
                  <c:v>12843</c:v>
                </c:pt>
                <c:pt idx="4">
                  <c:v>10930</c:v>
                </c:pt>
                <c:pt idx="5">
                  <c:v>9805</c:v>
                </c:pt>
                <c:pt idx="6">
                  <c:v>16301</c:v>
                </c:pt>
                <c:pt idx="7">
                  <c:v>12061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85-489A-BFEC-1781FCED0FD6}"/>
            </c:ext>
          </c:extLst>
        </c:ser>
        <c:ser>
          <c:idx val="4"/>
          <c:order val="2"/>
          <c:tx>
            <c:strRef>
              <c:f>'KPI 110'!$D$23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110'!$E$18:$P$18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110'!$E$23:$P$23</c:f>
              <c:numCache>
                <c:formatCode>#,##0</c:formatCode>
                <c:ptCount val="12"/>
                <c:pt idx="0">
                  <c:v>10925</c:v>
                </c:pt>
                <c:pt idx="1">
                  <c:v>14744</c:v>
                </c:pt>
                <c:pt idx="2">
                  <c:v>12771</c:v>
                </c:pt>
                <c:pt idx="3">
                  <c:v>12933</c:v>
                </c:pt>
                <c:pt idx="4">
                  <c:v>14236</c:v>
                </c:pt>
                <c:pt idx="5">
                  <c:v>9726</c:v>
                </c:pt>
                <c:pt idx="6">
                  <c:v>16508</c:v>
                </c:pt>
                <c:pt idx="7">
                  <c:v>13532</c:v>
                </c:pt>
                <c:pt idx="8">
                  <c:v>15434</c:v>
                </c:pt>
                <c:pt idx="9">
                  <c:v>11461</c:v>
                </c:pt>
                <c:pt idx="10">
                  <c:v>12714</c:v>
                </c:pt>
                <c:pt idx="11">
                  <c:v>13254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85-489A-BFEC-1781FCED0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325312"/>
        <c:axId val="107326848"/>
      </c:barChart>
      <c:lineChart>
        <c:grouping val="standard"/>
        <c:varyColors val="0"/>
        <c:ser>
          <c:idx val="0"/>
          <c:order val="0"/>
          <c:tx>
            <c:strRef>
              <c:f>'KPI 110'!$D$19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110'!$E$18:$P$18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110'!$E$19:$P$19</c:f>
              <c:numCache>
                <c:formatCode>#,##0</c:formatCode>
                <c:ptCount val="12"/>
                <c:pt idx="0">
                  <c:v>13490.984942516672</c:v>
                </c:pt>
                <c:pt idx="1">
                  <c:v>13575.264656221774</c:v>
                </c:pt>
                <c:pt idx="2">
                  <c:v>13659.544369926876</c:v>
                </c:pt>
                <c:pt idx="3">
                  <c:v>13743.824083631978</c:v>
                </c:pt>
                <c:pt idx="4">
                  <c:v>13828.10379733708</c:v>
                </c:pt>
                <c:pt idx="5">
                  <c:v>13912.383511042179</c:v>
                </c:pt>
                <c:pt idx="6">
                  <c:v>13996.663224747281</c:v>
                </c:pt>
                <c:pt idx="7">
                  <c:v>14080.942938452383</c:v>
                </c:pt>
                <c:pt idx="8">
                  <c:v>14165.222652157485</c:v>
                </c:pt>
                <c:pt idx="9">
                  <c:v>14249.502365862587</c:v>
                </c:pt>
                <c:pt idx="10">
                  <c:v>14333.782079567689</c:v>
                </c:pt>
                <c:pt idx="11">
                  <c:v>14418.061793272787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85-489A-BFEC-1781FCED0FD6}"/>
            </c:ext>
          </c:extLst>
        </c:ser>
        <c:ser>
          <c:idx val="2"/>
          <c:order val="3"/>
          <c:tx>
            <c:strRef>
              <c:f>'KPI 110'!#REF!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110'!#REF!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85-489A-BFEC-1781FCED0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325312"/>
        <c:axId val="107326848"/>
      </c:lineChart>
      <c:dateAx>
        <c:axId val="10732531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7326848"/>
        <c:crosses val="autoZero"/>
        <c:auto val="1"/>
        <c:lblOffset val="100"/>
        <c:baseTimeUnit val="months"/>
      </c:dateAx>
      <c:valAx>
        <c:axId val="10732684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7325312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124'!$D$20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124'!$E$18:$P$18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124'!$E$20:$P$20</c:f>
              <c:numCache>
                <c:formatCode>0%</c:formatCode>
                <c:ptCount val="12"/>
                <c:pt idx="0">
                  <c:v>0.32263767926134501</c:v>
                </c:pt>
                <c:pt idx="1">
                  <c:v>0.15078315349808563</c:v>
                </c:pt>
                <c:pt idx="2">
                  <c:v>0.13414718256431479</c:v>
                </c:pt>
                <c:pt idx="3">
                  <c:v>0.18555393493563321</c:v>
                </c:pt>
                <c:pt idx="4">
                  <c:v>0.19573215599705665</c:v>
                </c:pt>
                <c:pt idx="5">
                  <c:v>0.17577336919973099</c:v>
                </c:pt>
                <c:pt idx="6">
                  <c:v>0.24689304689304689</c:v>
                </c:pt>
                <c:pt idx="7">
                  <c:v>0.17083734359961503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49-411A-ABD5-C0BE2461B825}"/>
            </c:ext>
          </c:extLst>
        </c:ser>
        <c:ser>
          <c:idx val="4"/>
          <c:order val="2"/>
          <c:tx>
            <c:strRef>
              <c:f>'KPI 124'!$D$23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124'!$E$18:$P$18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124'!$E$23:$P$23</c:f>
              <c:numCache>
                <c:formatCode>0%</c:formatCode>
                <c:ptCount val="12"/>
                <c:pt idx="0">
                  <c:v>0.21249909896922078</c:v>
                </c:pt>
                <c:pt idx="1">
                  <c:v>0.20164609053497942</c:v>
                </c:pt>
                <c:pt idx="2">
                  <c:v>0.2019621321002312</c:v>
                </c:pt>
                <c:pt idx="3">
                  <c:v>0.25779053084648496</c:v>
                </c:pt>
                <c:pt idx="4">
                  <c:v>0.14158224794983115</c:v>
                </c:pt>
                <c:pt idx="5">
                  <c:v>0.15345112716511447</c:v>
                </c:pt>
                <c:pt idx="6">
                  <c:v>0.24212652648976218</c:v>
                </c:pt>
                <c:pt idx="7">
                  <c:v>9.7144382172404592E-2</c:v>
                </c:pt>
                <c:pt idx="8">
                  <c:v>0.15642763445561872</c:v>
                </c:pt>
                <c:pt idx="9">
                  <c:v>0.2095316918408166</c:v>
                </c:pt>
                <c:pt idx="10">
                  <c:v>9.1922005571030641E-2</c:v>
                </c:pt>
                <c:pt idx="11">
                  <c:v>0.14688465499485068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49-411A-ABD5-C0BE2461B8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012480"/>
        <c:axId val="107014016"/>
      </c:barChart>
      <c:lineChart>
        <c:grouping val="standard"/>
        <c:varyColors val="0"/>
        <c:ser>
          <c:idx val="0"/>
          <c:order val="0"/>
          <c:tx>
            <c:strRef>
              <c:f>'KPI 124'!$D$19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124'!$E$18:$P$18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124'!$E$19:$P$19</c:f>
              <c:numCache>
                <c:formatCode>0%</c:formatCode>
                <c:ptCount val="12"/>
                <c:pt idx="0">
                  <c:v>0.19387752681934928</c:v>
                </c:pt>
                <c:pt idx="1">
                  <c:v>0.18877548584985135</c:v>
                </c:pt>
                <c:pt idx="2">
                  <c:v>0.18367344488035361</c:v>
                </c:pt>
                <c:pt idx="3">
                  <c:v>0.17857140391085607</c:v>
                </c:pt>
                <c:pt idx="4">
                  <c:v>0.17346936294135809</c:v>
                </c:pt>
                <c:pt idx="5">
                  <c:v>0.16836732197186025</c:v>
                </c:pt>
                <c:pt idx="6">
                  <c:v>0.16326528100236259</c:v>
                </c:pt>
                <c:pt idx="7">
                  <c:v>0.1581632400328648</c:v>
                </c:pt>
                <c:pt idx="8">
                  <c:v>0.15306119906336677</c:v>
                </c:pt>
                <c:pt idx="9">
                  <c:v>0.1479591580938692</c:v>
                </c:pt>
                <c:pt idx="10">
                  <c:v>0.14285711712437141</c:v>
                </c:pt>
                <c:pt idx="11">
                  <c:v>0.13775507615487362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49-411A-ABD5-C0BE2461B825}"/>
            </c:ext>
          </c:extLst>
        </c:ser>
        <c:ser>
          <c:idx val="2"/>
          <c:order val="3"/>
          <c:tx>
            <c:strRef>
              <c:f>'KPI 124'!#REF!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124'!#REF!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C49-411A-ABD5-C0BE2461B8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012480"/>
        <c:axId val="107014016"/>
      </c:lineChart>
      <c:dateAx>
        <c:axId val="10701248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7014016"/>
        <c:crosses val="autoZero"/>
        <c:auto val="1"/>
        <c:lblOffset val="100"/>
        <c:baseTimeUnit val="months"/>
      </c:dateAx>
      <c:valAx>
        <c:axId val="107014016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7012480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105'!$D$20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105'!$E$18:$P$18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105'!$E$20:$P$20</c:f>
              <c:numCache>
                <c:formatCode>#,##0</c:formatCode>
                <c:ptCount val="12"/>
                <c:pt idx="0">
                  <c:v>10138</c:v>
                </c:pt>
                <c:pt idx="1">
                  <c:v>13039</c:v>
                </c:pt>
                <c:pt idx="2">
                  <c:v>12762</c:v>
                </c:pt>
                <c:pt idx="3">
                  <c:v>11905</c:v>
                </c:pt>
                <c:pt idx="4">
                  <c:v>12460</c:v>
                </c:pt>
                <c:pt idx="5">
                  <c:v>9387</c:v>
                </c:pt>
                <c:pt idx="6">
                  <c:v>15639</c:v>
                </c:pt>
                <c:pt idx="7">
                  <c:v>11406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96-4A20-A661-36A553C64DB1}"/>
            </c:ext>
          </c:extLst>
        </c:ser>
        <c:ser>
          <c:idx val="4"/>
          <c:order val="2"/>
          <c:tx>
            <c:strRef>
              <c:f>'KPI 105'!$D$23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105'!$E$18:$P$18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105'!$E$23:$P$23</c:f>
              <c:numCache>
                <c:formatCode>#,##0</c:formatCode>
                <c:ptCount val="12"/>
                <c:pt idx="0">
                  <c:v>11520</c:v>
                </c:pt>
                <c:pt idx="1">
                  <c:v>12895</c:v>
                </c:pt>
                <c:pt idx="2">
                  <c:v>12355</c:v>
                </c:pt>
                <c:pt idx="3">
                  <c:v>13424</c:v>
                </c:pt>
                <c:pt idx="4">
                  <c:v>13622</c:v>
                </c:pt>
                <c:pt idx="5">
                  <c:v>10061</c:v>
                </c:pt>
                <c:pt idx="6">
                  <c:v>18043</c:v>
                </c:pt>
                <c:pt idx="7">
                  <c:v>13219</c:v>
                </c:pt>
                <c:pt idx="8">
                  <c:v>13964</c:v>
                </c:pt>
                <c:pt idx="9">
                  <c:v>10907</c:v>
                </c:pt>
                <c:pt idx="10">
                  <c:v>11166</c:v>
                </c:pt>
                <c:pt idx="11">
                  <c:v>12006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96-4A20-A661-36A553C64D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8038784"/>
        <c:axId val="108040576"/>
      </c:barChart>
      <c:lineChart>
        <c:grouping val="standard"/>
        <c:varyColors val="0"/>
        <c:ser>
          <c:idx val="0"/>
          <c:order val="0"/>
          <c:tx>
            <c:strRef>
              <c:f>'KPI 105'!$D$19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105'!$E$18:$P$18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105'!$E$19:$P$19</c:f>
              <c:numCache>
                <c:formatCode>#,##0</c:formatCode>
                <c:ptCount val="12"/>
                <c:pt idx="0">
                  <c:v>13140.284917666544</c:v>
                </c:pt>
                <c:pt idx="1">
                  <c:v>13023.101552739345</c:v>
                </c:pt>
                <c:pt idx="2">
                  <c:v>12908.309685055561</c:v>
                </c:pt>
                <c:pt idx="3">
                  <c:v>12795.836845001757</c:v>
                </c:pt>
                <c:pt idx="4">
                  <c:v>12685.613461749022</c:v>
                </c:pt>
                <c:pt idx="5">
                  <c:v>12577.572719748818</c:v>
                </c:pt>
                <c:pt idx="6">
                  <c:v>12471.650423670191</c:v>
                </c:pt>
                <c:pt idx="7">
                  <c:v>12367.784871204738</c:v>
                </c:pt>
                <c:pt idx="8">
                  <c:v>12265.916733209771</c:v>
                </c:pt>
                <c:pt idx="9">
                  <c:v>12165.988940700427</c:v>
                </c:pt>
                <c:pt idx="10">
                  <c:v>12067.946578238429</c:v>
                </c:pt>
                <c:pt idx="11">
                  <c:v>11971.736783299082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96-4A20-A661-36A553C64DB1}"/>
            </c:ext>
          </c:extLst>
        </c:ser>
        <c:ser>
          <c:idx val="2"/>
          <c:order val="3"/>
          <c:tx>
            <c:strRef>
              <c:f>'KPI 105'!#REF!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105'!#REF!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C96-4A20-A661-36A553C64D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038784"/>
        <c:axId val="108040576"/>
      </c:lineChart>
      <c:dateAx>
        <c:axId val="10803878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8040576"/>
        <c:crosses val="autoZero"/>
        <c:auto val="1"/>
        <c:lblOffset val="100"/>
        <c:baseTimeUnit val="months"/>
      </c:dateAx>
      <c:valAx>
        <c:axId val="10804057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8038784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105'!$D$20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105'!$E$18:$P$18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105'!$E$20:$P$20</c:f>
              <c:numCache>
                <c:formatCode>#,##0</c:formatCode>
                <c:ptCount val="12"/>
                <c:pt idx="0">
                  <c:v>10138</c:v>
                </c:pt>
                <c:pt idx="1">
                  <c:v>13039</c:v>
                </c:pt>
                <c:pt idx="2">
                  <c:v>12762</c:v>
                </c:pt>
                <c:pt idx="3">
                  <c:v>11905</c:v>
                </c:pt>
                <c:pt idx="4">
                  <c:v>12460</c:v>
                </c:pt>
                <c:pt idx="5">
                  <c:v>9387</c:v>
                </c:pt>
                <c:pt idx="6">
                  <c:v>15639</c:v>
                </c:pt>
                <c:pt idx="7">
                  <c:v>11406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4E-418E-AA9C-E06030A264D2}"/>
            </c:ext>
          </c:extLst>
        </c:ser>
        <c:ser>
          <c:idx val="4"/>
          <c:order val="2"/>
          <c:tx>
            <c:strRef>
              <c:f>'KPI 105'!$D$23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105'!$E$18:$P$18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105'!$E$23:$P$23</c:f>
              <c:numCache>
                <c:formatCode>#,##0</c:formatCode>
                <c:ptCount val="12"/>
                <c:pt idx="0">
                  <c:v>11520</c:v>
                </c:pt>
                <c:pt idx="1">
                  <c:v>12895</c:v>
                </c:pt>
                <c:pt idx="2">
                  <c:v>12355</c:v>
                </c:pt>
                <c:pt idx="3">
                  <c:v>13424</c:v>
                </c:pt>
                <c:pt idx="4">
                  <c:v>13622</c:v>
                </c:pt>
                <c:pt idx="5">
                  <c:v>10061</c:v>
                </c:pt>
                <c:pt idx="6">
                  <c:v>18043</c:v>
                </c:pt>
                <c:pt idx="7">
                  <c:v>13219</c:v>
                </c:pt>
                <c:pt idx="8">
                  <c:v>13964</c:v>
                </c:pt>
                <c:pt idx="9">
                  <c:v>10907</c:v>
                </c:pt>
                <c:pt idx="10">
                  <c:v>11166</c:v>
                </c:pt>
                <c:pt idx="11">
                  <c:v>12006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4E-418E-AA9C-E06030A264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902080"/>
        <c:axId val="107903616"/>
      </c:barChart>
      <c:lineChart>
        <c:grouping val="standard"/>
        <c:varyColors val="0"/>
        <c:ser>
          <c:idx val="0"/>
          <c:order val="0"/>
          <c:tx>
            <c:strRef>
              <c:f>'KPI 105'!$D$19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105'!$E$18:$P$18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105'!$E$19:$P$19</c:f>
              <c:numCache>
                <c:formatCode>#,##0</c:formatCode>
                <c:ptCount val="12"/>
                <c:pt idx="0">
                  <c:v>13140.284917666544</c:v>
                </c:pt>
                <c:pt idx="1">
                  <c:v>13023.101552739345</c:v>
                </c:pt>
                <c:pt idx="2">
                  <c:v>12908.309685055561</c:v>
                </c:pt>
                <c:pt idx="3">
                  <c:v>12795.836845001757</c:v>
                </c:pt>
                <c:pt idx="4">
                  <c:v>12685.613461749022</c:v>
                </c:pt>
                <c:pt idx="5">
                  <c:v>12577.572719748818</c:v>
                </c:pt>
                <c:pt idx="6">
                  <c:v>12471.650423670191</c:v>
                </c:pt>
                <c:pt idx="7">
                  <c:v>12367.784871204738</c:v>
                </c:pt>
                <c:pt idx="8">
                  <c:v>12265.916733209771</c:v>
                </c:pt>
                <c:pt idx="9">
                  <c:v>12165.988940700427</c:v>
                </c:pt>
                <c:pt idx="10">
                  <c:v>12067.946578238429</c:v>
                </c:pt>
                <c:pt idx="11">
                  <c:v>11971.736783299082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4E-418E-AA9C-E06030A264D2}"/>
            </c:ext>
          </c:extLst>
        </c:ser>
        <c:ser>
          <c:idx val="2"/>
          <c:order val="3"/>
          <c:tx>
            <c:strRef>
              <c:f>'KPI 105'!#REF!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105'!#REF!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F4E-418E-AA9C-E06030A264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902080"/>
        <c:axId val="107903616"/>
      </c:lineChart>
      <c:dateAx>
        <c:axId val="10790208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7903616"/>
        <c:crosses val="autoZero"/>
        <c:auto val="1"/>
        <c:lblOffset val="100"/>
        <c:baseTimeUnit val="months"/>
      </c:dateAx>
      <c:valAx>
        <c:axId val="10790361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7902080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112'!$D$20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112'!$E$18:$P$18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112'!$E$20:$P$20</c:f>
              <c:numCache>
                <c:formatCode>#,##0</c:formatCode>
                <c:ptCount val="12"/>
                <c:pt idx="0">
                  <c:v>9053</c:v>
                </c:pt>
                <c:pt idx="1">
                  <c:v>10669</c:v>
                </c:pt>
                <c:pt idx="2">
                  <c:v>10732</c:v>
                </c:pt>
                <c:pt idx="3">
                  <c:v>11020</c:v>
                </c:pt>
                <c:pt idx="4">
                  <c:v>9629</c:v>
                </c:pt>
                <c:pt idx="5">
                  <c:v>7701</c:v>
                </c:pt>
                <c:pt idx="6">
                  <c:v>13327</c:v>
                </c:pt>
                <c:pt idx="7">
                  <c:v>10175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68-496A-B27C-8A346A059576}"/>
            </c:ext>
          </c:extLst>
        </c:ser>
        <c:ser>
          <c:idx val="4"/>
          <c:order val="2"/>
          <c:tx>
            <c:strRef>
              <c:f>'KPI 112'!$D$23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112'!$E$18:$P$18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112'!$E$23:$P$23</c:f>
              <c:numCache>
                <c:formatCode>#,##0</c:formatCode>
                <c:ptCount val="12"/>
                <c:pt idx="0">
                  <c:v>9865</c:v>
                </c:pt>
                <c:pt idx="1">
                  <c:v>11182</c:v>
                </c:pt>
                <c:pt idx="2">
                  <c:v>9917</c:v>
                </c:pt>
                <c:pt idx="3">
                  <c:v>10893</c:v>
                </c:pt>
                <c:pt idx="4">
                  <c:v>10729</c:v>
                </c:pt>
                <c:pt idx="5">
                  <c:v>7857</c:v>
                </c:pt>
                <c:pt idx="6">
                  <c:v>13498</c:v>
                </c:pt>
                <c:pt idx="7">
                  <c:v>10409</c:v>
                </c:pt>
                <c:pt idx="8">
                  <c:v>12309</c:v>
                </c:pt>
                <c:pt idx="9">
                  <c:v>9620</c:v>
                </c:pt>
                <c:pt idx="10">
                  <c:v>10093</c:v>
                </c:pt>
                <c:pt idx="11">
                  <c:v>10844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68-496A-B27C-8A346A0595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949440"/>
        <c:axId val="107955328"/>
      </c:barChart>
      <c:lineChart>
        <c:grouping val="standard"/>
        <c:varyColors val="0"/>
        <c:ser>
          <c:idx val="0"/>
          <c:order val="0"/>
          <c:tx>
            <c:strRef>
              <c:f>'KPI 112'!$D$19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112'!$E$18:$P$18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112'!$E$19:$P$19</c:f>
              <c:numCache>
                <c:formatCode>#,##0</c:formatCode>
                <c:ptCount val="12"/>
                <c:pt idx="0">
                  <c:v>10726.763520129374</c:v>
                </c:pt>
                <c:pt idx="1">
                  <c:v>10741.844290307705</c:v>
                </c:pt>
                <c:pt idx="2">
                  <c:v>10756.925060486035</c:v>
                </c:pt>
                <c:pt idx="3">
                  <c:v>10772.005830664366</c:v>
                </c:pt>
                <c:pt idx="4">
                  <c:v>10787.086600842696</c:v>
                </c:pt>
                <c:pt idx="5">
                  <c:v>10802.167371021029</c:v>
                </c:pt>
                <c:pt idx="6">
                  <c:v>10817.248141199361</c:v>
                </c:pt>
                <c:pt idx="7">
                  <c:v>10832.328911377692</c:v>
                </c:pt>
                <c:pt idx="8">
                  <c:v>10847.409681556022</c:v>
                </c:pt>
                <c:pt idx="9">
                  <c:v>10862.490451734353</c:v>
                </c:pt>
                <c:pt idx="10">
                  <c:v>10877.571221912684</c:v>
                </c:pt>
                <c:pt idx="11">
                  <c:v>10892.651992091016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68-496A-B27C-8A346A059576}"/>
            </c:ext>
          </c:extLst>
        </c:ser>
        <c:ser>
          <c:idx val="2"/>
          <c:order val="3"/>
          <c:tx>
            <c:strRef>
              <c:f>'KPI 112'!#REF!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112'!#REF!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668-496A-B27C-8A346A0595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949440"/>
        <c:axId val="107955328"/>
      </c:lineChart>
      <c:dateAx>
        <c:axId val="10794944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7955328"/>
        <c:crosses val="autoZero"/>
        <c:auto val="1"/>
        <c:lblOffset val="100"/>
        <c:baseTimeUnit val="months"/>
      </c:dateAx>
      <c:valAx>
        <c:axId val="10795532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7949440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112'!$D$20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112'!$E$18:$P$18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112'!$E$20:$P$20</c:f>
              <c:numCache>
                <c:formatCode>#,##0</c:formatCode>
                <c:ptCount val="12"/>
                <c:pt idx="0">
                  <c:v>9053</c:v>
                </c:pt>
                <c:pt idx="1">
                  <c:v>10669</c:v>
                </c:pt>
                <c:pt idx="2">
                  <c:v>10732</c:v>
                </c:pt>
                <c:pt idx="3">
                  <c:v>11020</c:v>
                </c:pt>
                <c:pt idx="4">
                  <c:v>9629</c:v>
                </c:pt>
                <c:pt idx="5">
                  <c:v>7701</c:v>
                </c:pt>
                <c:pt idx="6">
                  <c:v>13327</c:v>
                </c:pt>
                <c:pt idx="7">
                  <c:v>10175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BC-40AD-BDD7-10EF43DF9AD5}"/>
            </c:ext>
          </c:extLst>
        </c:ser>
        <c:ser>
          <c:idx val="4"/>
          <c:order val="2"/>
          <c:tx>
            <c:strRef>
              <c:f>'KPI 112'!$D$23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112'!$E$18:$P$18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112'!$E$23:$P$23</c:f>
              <c:numCache>
                <c:formatCode>#,##0</c:formatCode>
                <c:ptCount val="12"/>
                <c:pt idx="0">
                  <c:v>9865</c:v>
                </c:pt>
                <c:pt idx="1">
                  <c:v>11182</c:v>
                </c:pt>
                <c:pt idx="2">
                  <c:v>9917</c:v>
                </c:pt>
                <c:pt idx="3">
                  <c:v>10893</c:v>
                </c:pt>
                <c:pt idx="4">
                  <c:v>10729</c:v>
                </c:pt>
                <c:pt idx="5">
                  <c:v>7857</c:v>
                </c:pt>
                <c:pt idx="6">
                  <c:v>13498</c:v>
                </c:pt>
                <c:pt idx="7">
                  <c:v>10409</c:v>
                </c:pt>
                <c:pt idx="8">
                  <c:v>12309</c:v>
                </c:pt>
                <c:pt idx="9">
                  <c:v>9620</c:v>
                </c:pt>
                <c:pt idx="10">
                  <c:v>10093</c:v>
                </c:pt>
                <c:pt idx="11">
                  <c:v>10844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BC-40AD-BDD7-10EF43DF9A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9336448"/>
        <c:axId val="109337984"/>
      </c:barChart>
      <c:lineChart>
        <c:grouping val="standard"/>
        <c:varyColors val="0"/>
        <c:ser>
          <c:idx val="0"/>
          <c:order val="0"/>
          <c:tx>
            <c:strRef>
              <c:f>'KPI 112'!$D$19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112'!$E$18:$P$18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112'!$E$19:$P$19</c:f>
              <c:numCache>
                <c:formatCode>#,##0</c:formatCode>
                <c:ptCount val="12"/>
                <c:pt idx="0">
                  <c:v>10726.763520129374</c:v>
                </c:pt>
                <c:pt idx="1">
                  <c:v>10741.844290307705</c:v>
                </c:pt>
                <c:pt idx="2">
                  <c:v>10756.925060486035</c:v>
                </c:pt>
                <c:pt idx="3">
                  <c:v>10772.005830664366</c:v>
                </c:pt>
                <c:pt idx="4">
                  <c:v>10787.086600842696</c:v>
                </c:pt>
                <c:pt idx="5">
                  <c:v>10802.167371021029</c:v>
                </c:pt>
                <c:pt idx="6">
                  <c:v>10817.248141199361</c:v>
                </c:pt>
                <c:pt idx="7">
                  <c:v>10832.328911377692</c:v>
                </c:pt>
                <c:pt idx="8">
                  <c:v>10847.409681556022</c:v>
                </c:pt>
                <c:pt idx="9">
                  <c:v>10862.490451734353</c:v>
                </c:pt>
                <c:pt idx="10">
                  <c:v>10877.571221912684</c:v>
                </c:pt>
                <c:pt idx="11">
                  <c:v>10892.651992091016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BC-40AD-BDD7-10EF43DF9AD5}"/>
            </c:ext>
          </c:extLst>
        </c:ser>
        <c:ser>
          <c:idx val="2"/>
          <c:order val="3"/>
          <c:tx>
            <c:strRef>
              <c:f>'KPI 112'!#REF!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112'!#REF!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EBC-40AD-BDD7-10EF43DF9A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336448"/>
        <c:axId val="109337984"/>
      </c:lineChart>
      <c:dateAx>
        <c:axId val="10933644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9337984"/>
        <c:crosses val="autoZero"/>
        <c:auto val="1"/>
        <c:lblOffset val="100"/>
        <c:baseTimeUnit val="months"/>
      </c:dateAx>
      <c:valAx>
        <c:axId val="10933798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9336448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126'!$D$20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126'!$E$18:$P$18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126'!$E$20:$P$20</c:f>
              <c:numCache>
                <c:formatCode>0%</c:formatCode>
                <c:ptCount val="12"/>
                <c:pt idx="0">
                  <c:v>0.10702308147563622</c:v>
                </c:pt>
                <c:pt idx="1">
                  <c:v>0.18176240509241506</c:v>
                </c:pt>
                <c:pt idx="2">
                  <c:v>0.15906597711957374</c:v>
                </c:pt>
                <c:pt idx="3">
                  <c:v>7.4338513229735406E-2</c:v>
                </c:pt>
                <c:pt idx="4">
                  <c:v>0.22720706260032103</c:v>
                </c:pt>
                <c:pt idx="5">
                  <c:v>0.17961009907318631</c:v>
                </c:pt>
                <c:pt idx="6">
                  <c:v>0.14783553935673635</c:v>
                </c:pt>
                <c:pt idx="7">
                  <c:v>0.10792565316500087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9E-4C3D-8938-EA9A6033C3CF}"/>
            </c:ext>
          </c:extLst>
        </c:ser>
        <c:ser>
          <c:idx val="4"/>
          <c:order val="2"/>
          <c:tx>
            <c:strRef>
              <c:f>'KPI 126'!$D$23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126'!$E$18:$P$18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126'!$E$23:$P$23</c:f>
              <c:numCache>
                <c:formatCode>0%</c:formatCode>
                <c:ptCount val="12"/>
                <c:pt idx="0">
                  <c:v>0.14366319444444445</c:v>
                </c:pt>
                <c:pt idx="1">
                  <c:v>0.13284218689414501</c:v>
                </c:pt>
                <c:pt idx="2">
                  <c:v>0.19732901659247268</c:v>
                </c:pt>
                <c:pt idx="3">
                  <c:v>0.18854290822407629</c:v>
                </c:pt>
                <c:pt idx="4">
                  <c:v>0.21237703714579356</c:v>
                </c:pt>
                <c:pt idx="5">
                  <c:v>0.21906371136069974</c:v>
                </c:pt>
                <c:pt idx="6">
                  <c:v>0.25189824308596132</c:v>
                </c:pt>
                <c:pt idx="7">
                  <c:v>0.2125728118617142</c:v>
                </c:pt>
                <c:pt idx="8">
                  <c:v>0.1185190489830994</c:v>
                </c:pt>
                <c:pt idx="9">
                  <c:v>0.11799761620977355</c:v>
                </c:pt>
                <c:pt idx="10">
                  <c:v>9.609528927100125E-2</c:v>
                </c:pt>
                <c:pt idx="11">
                  <c:v>9.6784940862901889E-2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9E-4C3D-8938-EA9A6033C3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9445504"/>
        <c:axId val="109447040"/>
      </c:barChart>
      <c:lineChart>
        <c:grouping val="standard"/>
        <c:varyColors val="0"/>
        <c:ser>
          <c:idx val="0"/>
          <c:order val="0"/>
          <c:tx>
            <c:strRef>
              <c:f>'KPI 126'!$D$19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126'!$E$18:$P$18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126'!$E$19:$P$19</c:f>
              <c:numCache>
                <c:formatCode>0%</c:formatCode>
                <c:ptCount val="12"/>
                <c:pt idx="0">
                  <c:v>0.18367344488035375</c:v>
                </c:pt>
                <c:pt idx="1">
                  <c:v>0.17517004326452393</c:v>
                </c:pt>
                <c:pt idx="2">
                  <c:v>0.16666664164869435</c:v>
                </c:pt>
                <c:pt idx="3">
                  <c:v>0.158163240032865</c:v>
                </c:pt>
                <c:pt idx="4">
                  <c:v>0.14965983841703526</c:v>
                </c:pt>
                <c:pt idx="5">
                  <c:v>0.14115643680120538</c:v>
                </c:pt>
                <c:pt idx="6">
                  <c:v>0.13265303518537588</c:v>
                </c:pt>
                <c:pt idx="7">
                  <c:v>0.12414963356954627</c:v>
                </c:pt>
                <c:pt idx="8">
                  <c:v>0.11564623195371643</c:v>
                </c:pt>
                <c:pt idx="9">
                  <c:v>0.10714283033788685</c:v>
                </c:pt>
                <c:pt idx="10">
                  <c:v>9.8639428722057332E-2</c:v>
                </c:pt>
                <c:pt idx="11">
                  <c:v>9.0136027106227451E-2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9E-4C3D-8938-EA9A6033C3CF}"/>
            </c:ext>
          </c:extLst>
        </c:ser>
        <c:ser>
          <c:idx val="2"/>
          <c:order val="3"/>
          <c:tx>
            <c:strRef>
              <c:f>'KPI 126'!#REF!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126'!#REF!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D9E-4C3D-8938-EA9A6033C3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445504"/>
        <c:axId val="109447040"/>
      </c:lineChart>
      <c:dateAx>
        <c:axId val="10944550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9447040"/>
        <c:crosses val="autoZero"/>
        <c:auto val="1"/>
        <c:lblOffset val="100"/>
        <c:baseTimeUnit val="months"/>
      </c:dateAx>
      <c:valAx>
        <c:axId val="10944704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9445504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126'!$D$20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126'!$E$18:$P$18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126'!$E$20:$P$20</c:f>
              <c:numCache>
                <c:formatCode>0%</c:formatCode>
                <c:ptCount val="12"/>
                <c:pt idx="0">
                  <c:v>0.10702308147563622</c:v>
                </c:pt>
                <c:pt idx="1">
                  <c:v>0.18176240509241506</c:v>
                </c:pt>
                <c:pt idx="2">
                  <c:v>0.15906597711957374</c:v>
                </c:pt>
                <c:pt idx="3">
                  <c:v>7.4338513229735406E-2</c:v>
                </c:pt>
                <c:pt idx="4">
                  <c:v>0.22720706260032103</c:v>
                </c:pt>
                <c:pt idx="5">
                  <c:v>0.17961009907318631</c:v>
                </c:pt>
                <c:pt idx="6">
                  <c:v>0.14783553935673635</c:v>
                </c:pt>
                <c:pt idx="7">
                  <c:v>0.10792565316500087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F2-4369-B96B-1D93E3CB9C60}"/>
            </c:ext>
          </c:extLst>
        </c:ser>
        <c:ser>
          <c:idx val="4"/>
          <c:order val="2"/>
          <c:tx>
            <c:strRef>
              <c:f>'KPI 126'!$D$23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126'!$E$18:$P$18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126'!$E$23:$P$23</c:f>
              <c:numCache>
                <c:formatCode>0%</c:formatCode>
                <c:ptCount val="12"/>
                <c:pt idx="0">
                  <c:v>0.14366319444444445</c:v>
                </c:pt>
                <c:pt idx="1">
                  <c:v>0.13284218689414501</c:v>
                </c:pt>
                <c:pt idx="2">
                  <c:v>0.19732901659247268</c:v>
                </c:pt>
                <c:pt idx="3">
                  <c:v>0.18854290822407629</c:v>
                </c:pt>
                <c:pt idx="4">
                  <c:v>0.21237703714579356</c:v>
                </c:pt>
                <c:pt idx="5">
                  <c:v>0.21906371136069974</c:v>
                </c:pt>
                <c:pt idx="6">
                  <c:v>0.25189824308596132</c:v>
                </c:pt>
                <c:pt idx="7">
                  <c:v>0.2125728118617142</c:v>
                </c:pt>
                <c:pt idx="8">
                  <c:v>0.1185190489830994</c:v>
                </c:pt>
                <c:pt idx="9">
                  <c:v>0.11799761620977355</c:v>
                </c:pt>
                <c:pt idx="10">
                  <c:v>9.609528927100125E-2</c:v>
                </c:pt>
                <c:pt idx="11">
                  <c:v>9.6784940862901889E-2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F2-4369-B96B-1D93E3CB9C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9644416"/>
        <c:axId val="109658496"/>
      </c:barChart>
      <c:lineChart>
        <c:grouping val="standard"/>
        <c:varyColors val="0"/>
        <c:ser>
          <c:idx val="0"/>
          <c:order val="0"/>
          <c:tx>
            <c:strRef>
              <c:f>'KPI 126'!$D$19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126'!$E$18:$P$18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126'!$E$19:$P$19</c:f>
              <c:numCache>
                <c:formatCode>0%</c:formatCode>
                <c:ptCount val="12"/>
                <c:pt idx="0">
                  <c:v>0.18367344488035375</c:v>
                </c:pt>
                <c:pt idx="1">
                  <c:v>0.17517004326452393</c:v>
                </c:pt>
                <c:pt idx="2">
                  <c:v>0.16666664164869435</c:v>
                </c:pt>
                <c:pt idx="3">
                  <c:v>0.158163240032865</c:v>
                </c:pt>
                <c:pt idx="4">
                  <c:v>0.14965983841703526</c:v>
                </c:pt>
                <c:pt idx="5">
                  <c:v>0.14115643680120538</c:v>
                </c:pt>
                <c:pt idx="6">
                  <c:v>0.13265303518537588</c:v>
                </c:pt>
                <c:pt idx="7">
                  <c:v>0.12414963356954627</c:v>
                </c:pt>
                <c:pt idx="8">
                  <c:v>0.11564623195371643</c:v>
                </c:pt>
                <c:pt idx="9">
                  <c:v>0.10714283033788685</c:v>
                </c:pt>
                <c:pt idx="10">
                  <c:v>9.8639428722057332E-2</c:v>
                </c:pt>
                <c:pt idx="11">
                  <c:v>9.0136027106227451E-2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F2-4369-B96B-1D93E3CB9C60}"/>
            </c:ext>
          </c:extLst>
        </c:ser>
        <c:ser>
          <c:idx val="2"/>
          <c:order val="3"/>
          <c:tx>
            <c:strRef>
              <c:f>'KPI 126'!#REF!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126'!#REF!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2F2-4369-B96B-1D93E3CB9C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644416"/>
        <c:axId val="109658496"/>
      </c:lineChart>
      <c:dateAx>
        <c:axId val="10964441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9658496"/>
        <c:crosses val="autoZero"/>
        <c:auto val="1"/>
        <c:lblOffset val="100"/>
        <c:baseTimeUnit val="months"/>
      </c:dateAx>
      <c:valAx>
        <c:axId val="109658496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9644416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106'!$D$20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106'!$E$18:$P$18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106'!$E$20:$P$20</c:f>
              <c:numCache>
                <c:formatCode>#,##0</c:formatCode>
                <c:ptCount val="12"/>
                <c:pt idx="0">
                  <c:v>8027</c:v>
                </c:pt>
                <c:pt idx="1">
                  <c:v>9917</c:v>
                </c:pt>
                <c:pt idx="2">
                  <c:v>6087</c:v>
                </c:pt>
                <c:pt idx="3">
                  <c:v>9083</c:v>
                </c:pt>
                <c:pt idx="4">
                  <c:v>7482</c:v>
                </c:pt>
                <c:pt idx="5">
                  <c:v>8871</c:v>
                </c:pt>
                <c:pt idx="6">
                  <c:v>11774</c:v>
                </c:pt>
                <c:pt idx="7">
                  <c:v>9112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48-4EDE-BBC3-640AC2C32045}"/>
            </c:ext>
          </c:extLst>
        </c:ser>
        <c:ser>
          <c:idx val="4"/>
          <c:order val="2"/>
          <c:tx>
            <c:strRef>
              <c:f>'KPI 106'!$D$23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106'!$E$18:$P$18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106'!$E$23:$P$23</c:f>
              <c:numCache>
                <c:formatCode>#,##0</c:formatCode>
                <c:ptCount val="12"/>
                <c:pt idx="0">
                  <c:v>8393</c:v>
                </c:pt>
                <c:pt idx="1">
                  <c:v>7436</c:v>
                </c:pt>
                <c:pt idx="2">
                  <c:v>8426</c:v>
                </c:pt>
                <c:pt idx="3">
                  <c:v>8209</c:v>
                </c:pt>
                <c:pt idx="4">
                  <c:v>8907</c:v>
                </c:pt>
                <c:pt idx="5">
                  <c:v>5744</c:v>
                </c:pt>
                <c:pt idx="6">
                  <c:v>10707</c:v>
                </c:pt>
                <c:pt idx="7">
                  <c:v>9801</c:v>
                </c:pt>
                <c:pt idx="8">
                  <c:v>9857</c:v>
                </c:pt>
                <c:pt idx="9">
                  <c:v>7721</c:v>
                </c:pt>
                <c:pt idx="10">
                  <c:v>8447</c:v>
                </c:pt>
                <c:pt idx="11">
                  <c:v>8408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48-4EDE-BBC3-640AC2C320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9552768"/>
        <c:axId val="109554304"/>
      </c:barChart>
      <c:lineChart>
        <c:grouping val="standard"/>
        <c:varyColors val="0"/>
        <c:ser>
          <c:idx val="0"/>
          <c:order val="0"/>
          <c:tx>
            <c:strRef>
              <c:f>'KPI 106'!$D$19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106'!$E$18:$P$18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106'!$E$19:$P$19</c:f>
              <c:numCache>
                <c:formatCode>#,##0</c:formatCode>
                <c:ptCount val="12"/>
                <c:pt idx="0">
                  <c:v>8583.3921470690166</c:v>
                </c:pt>
                <c:pt idx="1">
                  <c:v>8528.5362794830289</c:v>
                </c:pt>
                <c:pt idx="2">
                  <c:v>8474.5581057784184</c:v>
                </c:pt>
                <c:pt idx="3">
                  <c:v>8896.2257437637745</c:v>
                </c:pt>
                <c:pt idx="4">
                  <c:v>9075.7276869559464</c:v>
                </c:pt>
                <c:pt idx="5">
                  <c:v>9252.4249122857436</c:v>
                </c:pt>
                <c:pt idx="6">
                  <c:v>9426.3826457499617</c:v>
                </c:pt>
                <c:pt idx="7">
                  <c:v>9597.6641063916541</c:v>
                </c:pt>
                <c:pt idx="8">
                  <c:v>9766.330582901408</c:v>
                </c:pt>
                <c:pt idx="9">
                  <c:v>9932.4415067367754</c:v>
                </c:pt>
                <c:pt idx="10">
                  <c:v>10096.054521943039</c:v>
                </c:pt>
                <c:pt idx="11">
                  <c:v>10257.225551847716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48-4EDE-BBC3-640AC2C32045}"/>
            </c:ext>
          </c:extLst>
        </c:ser>
        <c:ser>
          <c:idx val="2"/>
          <c:order val="3"/>
          <c:tx>
            <c:strRef>
              <c:f>'KPI 106'!#REF!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106'!#REF!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D48-4EDE-BBC3-640AC2C320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552768"/>
        <c:axId val="109554304"/>
      </c:lineChart>
      <c:dateAx>
        <c:axId val="10955276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9554304"/>
        <c:crosses val="autoZero"/>
        <c:auto val="1"/>
        <c:lblOffset val="100"/>
        <c:baseTimeUnit val="months"/>
      </c:dateAx>
      <c:valAx>
        <c:axId val="10955430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9552768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113'!$D$20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113'!$E$18:$P$18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113'!$E$20:$P$20</c:f>
              <c:numCache>
                <c:formatCode>#,##0</c:formatCode>
                <c:ptCount val="12"/>
                <c:pt idx="0">
                  <c:v>5788</c:v>
                </c:pt>
                <c:pt idx="1">
                  <c:v>6705</c:v>
                </c:pt>
                <c:pt idx="2">
                  <c:v>4755</c:v>
                </c:pt>
                <c:pt idx="3">
                  <c:v>6241</c:v>
                </c:pt>
                <c:pt idx="4">
                  <c:v>5183</c:v>
                </c:pt>
                <c:pt idx="5">
                  <c:v>6161</c:v>
                </c:pt>
                <c:pt idx="6">
                  <c:v>8813</c:v>
                </c:pt>
                <c:pt idx="7">
                  <c:v>7181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04-4F8A-80EF-64904522C498}"/>
            </c:ext>
          </c:extLst>
        </c:ser>
        <c:ser>
          <c:idx val="4"/>
          <c:order val="2"/>
          <c:tx>
            <c:strRef>
              <c:f>'KPI 113'!$D$23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113'!$E$18:$P$18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113'!$E$23:$P$23</c:f>
              <c:numCache>
                <c:formatCode>#,##0</c:formatCode>
                <c:ptCount val="12"/>
                <c:pt idx="0">
                  <c:v>6588</c:v>
                </c:pt>
                <c:pt idx="1">
                  <c:v>6870</c:v>
                </c:pt>
                <c:pt idx="2">
                  <c:v>6726</c:v>
                </c:pt>
                <c:pt idx="3">
                  <c:v>6973</c:v>
                </c:pt>
                <c:pt idx="4">
                  <c:v>7456</c:v>
                </c:pt>
                <c:pt idx="5">
                  <c:v>4906</c:v>
                </c:pt>
                <c:pt idx="6">
                  <c:v>7952</c:v>
                </c:pt>
                <c:pt idx="7">
                  <c:v>8379</c:v>
                </c:pt>
                <c:pt idx="8">
                  <c:v>8691</c:v>
                </c:pt>
                <c:pt idx="9">
                  <c:v>6181</c:v>
                </c:pt>
                <c:pt idx="10">
                  <c:v>6833</c:v>
                </c:pt>
                <c:pt idx="11">
                  <c:v>6893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04-4F8A-80EF-64904522C4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9759872"/>
        <c:axId val="109761664"/>
      </c:barChart>
      <c:lineChart>
        <c:grouping val="standard"/>
        <c:varyColors val="0"/>
        <c:ser>
          <c:idx val="0"/>
          <c:order val="0"/>
          <c:tx>
            <c:strRef>
              <c:f>'KPI 113'!$D$19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113'!$E$18:$P$18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113'!$E$19:$P$19</c:f>
              <c:numCache>
                <c:formatCode>#,##0</c:formatCode>
                <c:ptCount val="12"/>
                <c:pt idx="0">
                  <c:v>7182.0222162243208</c:v>
                </c:pt>
                <c:pt idx="1">
                  <c:v>7194.1396626180831</c:v>
                </c:pt>
                <c:pt idx="2">
                  <c:v>7206.2571090118454</c:v>
                </c:pt>
                <c:pt idx="3">
                  <c:v>7625.3365807220634</c:v>
                </c:pt>
                <c:pt idx="4">
                  <c:v>7840.9350397740527</c:v>
                </c:pt>
                <c:pt idx="5">
                  <c:v>8056.5334988260438</c:v>
                </c:pt>
                <c:pt idx="6">
                  <c:v>8272.1319578780349</c:v>
                </c:pt>
                <c:pt idx="7">
                  <c:v>8487.7304169300241</c:v>
                </c:pt>
                <c:pt idx="8">
                  <c:v>8703.3288759820134</c:v>
                </c:pt>
                <c:pt idx="9">
                  <c:v>8918.9273350340027</c:v>
                </c:pt>
                <c:pt idx="10">
                  <c:v>9134.5257940859919</c:v>
                </c:pt>
                <c:pt idx="11">
                  <c:v>9350.124253137983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4-4F8A-80EF-64904522C498}"/>
            </c:ext>
          </c:extLst>
        </c:ser>
        <c:ser>
          <c:idx val="2"/>
          <c:order val="3"/>
          <c:tx>
            <c:strRef>
              <c:f>'KPI 113'!#REF!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113'!#REF!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404-4F8A-80EF-64904522C4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759872"/>
        <c:axId val="109761664"/>
      </c:lineChart>
      <c:dateAx>
        <c:axId val="10975987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9761664"/>
        <c:crosses val="autoZero"/>
        <c:auto val="1"/>
        <c:lblOffset val="100"/>
        <c:baseTimeUnit val="months"/>
      </c:dateAx>
      <c:valAx>
        <c:axId val="10976166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9759872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127'!$D$20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127'!$E$18:$P$18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127'!$E$20:$P$20</c:f>
              <c:numCache>
                <c:formatCode>0%</c:formatCode>
                <c:ptCount val="12"/>
                <c:pt idx="0">
                  <c:v>0.27893359910302729</c:v>
                </c:pt>
                <c:pt idx="1">
                  <c:v>0.32388827266310377</c:v>
                </c:pt>
                <c:pt idx="2">
                  <c:v>0.21882700837851157</c:v>
                </c:pt>
                <c:pt idx="3">
                  <c:v>0.31289221622811847</c:v>
                </c:pt>
                <c:pt idx="4">
                  <c:v>0.30727078321304463</c:v>
                </c:pt>
                <c:pt idx="5">
                  <c:v>0.30548979821891559</c:v>
                </c:pt>
                <c:pt idx="6">
                  <c:v>0.25148632580261593</c:v>
                </c:pt>
                <c:pt idx="7">
                  <c:v>0.21191834942932397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C6-4D1E-8C31-B85117A27FB2}"/>
            </c:ext>
          </c:extLst>
        </c:ser>
        <c:ser>
          <c:idx val="4"/>
          <c:order val="2"/>
          <c:tx>
            <c:strRef>
              <c:f>'KPI 127'!$D$23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127'!$E$18:$P$18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127'!$E$23:$P$23</c:f>
              <c:numCache>
                <c:formatCode>0%</c:formatCode>
                <c:ptCount val="12"/>
                <c:pt idx="0">
                  <c:v>0.21506016918860957</c:v>
                </c:pt>
                <c:pt idx="1">
                  <c:v>7.6116191500806882E-2</c:v>
                </c:pt>
                <c:pt idx="2">
                  <c:v>0.20175646807500594</c:v>
                </c:pt>
                <c:pt idx="3">
                  <c:v>0.15056645145571934</c:v>
                </c:pt>
                <c:pt idx="4">
                  <c:v>0.16290557988099247</c:v>
                </c:pt>
                <c:pt idx="5">
                  <c:v>0.14589136490250695</c:v>
                </c:pt>
                <c:pt idx="6">
                  <c:v>0.2573083029793593</c:v>
                </c:pt>
                <c:pt idx="7">
                  <c:v>0.14508723599632692</c:v>
                </c:pt>
                <c:pt idx="8">
                  <c:v>0.11829156944303541</c:v>
                </c:pt>
                <c:pt idx="9">
                  <c:v>0.19945602901178605</c:v>
                </c:pt>
                <c:pt idx="10">
                  <c:v>0.19107375399550136</c:v>
                </c:pt>
                <c:pt idx="11">
                  <c:v>0.18018553758325404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C6-4D1E-8C31-B85117A27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562880"/>
        <c:axId val="107564416"/>
      </c:barChart>
      <c:lineChart>
        <c:grouping val="standard"/>
        <c:varyColors val="0"/>
        <c:ser>
          <c:idx val="0"/>
          <c:order val="0"/>
          <c:tx>
            <c:strRef>
              <c:f>'KPI 127'!$D$19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127'!$E$18:$P$18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127'!$E$19:$P$19</c:f>
              <c:numCache>
                <c:formatCode>0%</c:formatCode>
                <c:ptCount val="12"/>
                <c:pt idx="0">
                  <c:v>0.16326528100236265</c:v>
                </c:pt>
                <c:pt idx="1">
                  <c:v>0.1564625597096988</c:v>
                </c:pt>
                <c:pt idx="2">
                  <c:v>0.14965983841703509</c:v>
                </c:pt>
                <c:pt idx="3">
                  <c:v>0.14285711712437157</c:v>
                </c:pt>
                <c:pt idx="4">
                  <c:v>0.13605439583170775</c:v>
                </c:pt>
                <c:pt idx="5">
                  <c:v>0.12925167453904401</c:v>
                </c:pt>
                <c:pt idx="6">
                  <c:v>0.12244895324638021</c:v>
                </c:pt>
                <c:pt idx="7">
                  <c:v>0.11564623195371665</c:v>
                </c:pt>
                <c:pt idx="8">
                  <c:v>0.10884351066105272</c:v>
                </c:pt>
                <c:pt idx="9">
                  <c:v>0.10204078936838912</c:v>
                </c:pt>
                <c:pt idx="10">
                  <c:v>9.5238068075725435E-2</c:v>
                </c:pt>
                <c:pt idx="11">
                  <c:v>8.8435346783061572E-2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C6-4D1E-8C31-B85117A27FB2}"/>
            </c:ext>
          </c:extLst>
        </c:ser>
        <c:ser>
          <c:idx val="2"/>
          <c:order val="3"/>
          <c:tx>
            <c:strRef>
              <c:f>'KPI 127'!#REF!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127'!#REF!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C6-4D1E-8C31-B85117A27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562880"/>
        <c:axId val="107564416"/>
      </c:lineChart>
      <c:dateAx>
        <c:axId val="10756288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7564416"/>
        <c:crosses val="autoZero"/>
        <c:auto val="1"/>
        <c:lblOffset val="100"/>
        <c:baseTimeUnit val="months"/>
      </c:dateAx>
      <c:valAx>
        <c:axId val="107564416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7562880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103 (3)'!$D$20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103 (3)'!$E$18:$P$18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103 (3)'!$E$20:$P$20</c:f>
              <c:numCache>
                <c:formatCode>#,##0</c:formatCode>
                <c:ptCount val="12"/>
                <c:pt idx="0">
                  <c:v>30234</c:v>
                </c:pt>
                <c:pt idx="1">
                  <c:v>40128</c:v>
                </c:pt>
                <c:pt idx="2">
                  <c:v>29291</c:v>
                </c:pt>
                <c:pt idx="3">
                  <c:v>44330</c:v>
                </c:pt>
                <c:pt idx="4">
                  <c:v>27402</c:v>
                </c:pt>
                <c:pt idx="5">
                  <c:v>31274</c:v>
                </c:pt>
                <c:pt idx="6">
                  <c:v>43487</c:v>
                </c:pt>
                <c:pt idx="7">
                  <c:v>37061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6F-4B0A-9852-15E773F8E6AC}"/>
            </c:ext>
          </c:extLst>
        </c:ser>
        <c:ser>
          <c:idx val="4"/>
          <c:order val="2"/>
          <c:tx>
            <c:strRef>
              <c:f>'KPI 103 (3)'!$D$23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103 (3)'!$E$18:$P$18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103 (3)'!$E$23:$P$23</c:f>
              <c:numCache>
                <c:formatCode>#,##0</c:formatCode>
                <c:ptCount val="12"/>
                <c:pt idx="0">
                  <c:v>32348</c:v>
                </c:pt>
                <c:pt idx="1">
                  <c:v>31918</c:v>
                </c:pt>
                <c:pt idx="2">
                  <c:v>33901</c:v>
                </c:pt>
                <c:pt idx="3">
                  <c:v>35361</c:v>
                </c:pt>
                <c:pt idx="4">
                  <c:v>40547</c:v>
                </c:pt>
                <c:pt idx="5">
                  <c:v>26277</c:v>
                </c:pt>
                <c:pt idx="6">
                  <c:v>48222</c:v>
                </c:pt>
                <c:pt idx="7">
                  <c:v>39376</c:v>
                </c:pt>
                <c:pt idx="8">
                  <c:v>33139</c:v>
                </c:pt>
                <c:pt idx="9">
                  <c:v>31995</c:v>
                </c:pt>
                <c:pt idx="10">
                  <c:v>35998</c:v>
                </c:pt>
                <c:pt idx="11">
                  <c:v>40515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6F-4B0A-9852-15E773F8E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9597056"/>
        <c:axId val="109598592"/>
      </c:barChart>
      <c:lineChart>
        <c:grouping val="standard"/>
        <c:varyColors val="0"/>
        <c:ser>
          <c:idx val="0"/>
          <c:order val="0"/>
          <c:tx>
            <c:strRef>
              <c:f>'KPI 103 (3)'!$D$19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103 (3)'!$E$18:$P$18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103 (3)'!$E$19:$P$19</c:f>
              <c:numCache>
                <c:formatCode>#,##0</c:formatCode>
                <c:ptCount val="12"/>
                <c:pt idx="0">
                  <c:v>37441.323412949765</c:v>
                </c:pt>
                <c:pt idx="1">
                  <c:v>37396.341247205135</c:v>
                </c:pt>
                <c:pt idx="2">
                  <c:v>37600.018677644017</c:v>
                </c:pt>
                <c:pt idx="3">
                  <c:v>38478.289201780179</c:v>
                </c:pt>
                <c:pt idx="4">
                  <c:v>39346.347277961257</c:v>
                </c:pt>
                <c:pt idx="5">
                  <c:v>40204.37000066047</c:v>
                </c:pt>
                <c:pt idx="6">
                  <c:v>40941.646510183913</c:v>
                </c:pt>
                <c:pt idx="7">
                  <c:v>41670.497002455661</c:v>
                </c:pt>
                <c:pt idx="8">
                  <c:v>42191.338933168903</c:v>
                </c:pt>
                <c:pt idx="9">
                  <c:v>42597.291149144236</c:v>
                </c:pt>
                <c:pt idx="10">
                  <c:v>42998.682104265914</c:v>
                </c:pt>
                <c:pt idx="11">
                  <c:v>43356.312483520574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56F-4B0A-9852-15E773F8E6AC}"/>
            </c:ext>
          </c:extLst>
        </c:ser>
        <c:ser>
          <c:idx val="2"/>
          <c:order val="3"/>
          <c:tx>
            <c:strRef>
              <c:f>'KPI 103'!#REF!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103'!#REF!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56F-4B0A-9852-15E773F8E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597056"/>
        <c:axId val="109598592"/>
      </c:lineChart>
      <c:dateAx>
        <c:axId val="10959705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9598592"/>
        <c:crosses val="autoZero"/>
        <c:auto val="1"/>
        <c:lblOffset val="100"/>
        <c:baseTimeUnit val="months"/>
      </c:dateAx>
      <c:valAx>
        <c:axId val="10959859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9597056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110 (3)'!$D$20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110 (3)'!$E$18:$P$18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110 (3)'!$E$20:$P$20</c:f>
              <c:numCache>
                <c:formatCode>#,##0</c:formatCode>
                <c:ptCount val="12"/>
                <c:pt idx="0">
                  <c:v>21124</c:v>
                </c:pt>
                <c:pt idx="1">
                  <c:v>28413</c:v>
                </c:pt>
                <c:pt idx="2">
                  <c:v>21139</c:v>
                </c:pt>
                <c:pt idx="3">
                  <c:v>27997</c:v>
                </c:pt>
                <c:pt idx="4">
                  <c:v>19635</c:v>
                </c:pt>
                <c:pt idx="5">
                  <c:v>22759</c:v>
                </c:pt>
                <c:pt idx="6">
                  <c:v>32803</c:v>
                </c:pt>
                <c:pt idx="7">
                  <c:v>26800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9B-4307-9481-19DD853BB907}"/>
            </c:ext>
          </c:extLst>
        </c:ser>
        <c:ser>
          <c:idx val="4"/>
          <c:order val="2"/>
          <c:tx>
            <c:strRef>
              <c:f>'KPI 110 (3)'!$D$23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110 (3)'!$E$18:$P$18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110 (3)'!$E$23:$P$23</c:f>
              <c:numCache>
                <c:formatCode>#,##0</c:formatCode>
                <c:ptCount val="12"/>
                <c:pt idx="0">
                  <c:v>26728</c:v>
                </c:pt>
                <c:pt idx="1">
                  <c:v>24225</c:v>
                </c:pt>
                <c:pt idx="2">
                  <c:v>27308</c:v>
                </c:pt>
                <c:pt idx="3">
                  <c:v>26535</c:v>
                </c:pt>
                <c:pt idx="4">
                  <c:v>30367</c:v>
                </c:pt>
                <c:pt idx="5">
                  <c:v>18026</c:v>
                </c:pt>
                <c:pt idx="6">
                  <c:v>31140</c:v>
                </c:pt>
                <c:pt idx="7">
                  <c:v>28691</c:v>
                </c:pt>
                <c:pt idx="8">
                  <c:v>26588</c:v>
                </c:pt>
                <c:pt idx="9">
                  <c:v>22538</c:v>
                </c:pt>
                <c:pt idx="10">
                  <c:v>23286</c:v>
                </c:pt>
                <c:pt idx="11">
                  <c:v>28109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9B-4307-9481-19DD853BB9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041728"/>
        <c:axId val="110047616"/>
      </c:barChart>
      <c:lineChart>
        <c:grouping val="standard"/>
        <c:varyColors val="0"/>
        <c:ser>
          <c:idx val="0"/>
          <c:order val="0"/>
          <c:tx>
            <c:strRef>
              <c:f>'KPI 110 (3)'!$D$19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110 (3)'!$E$18:$P$18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110 (3)'!$E$19:$P$19</c:f>
              <c:numCache>
                <c:formatCode>#,##0</c:formatCode>
                <c:ptCount val="12"/>
                <c:pt idx="0">
                  <c:v>26743.803240712103</c:v>
                </c:pt>
                <c:pt idx="1">
                  <c:v>26870.671175652296</c:v>
                </c:pt>
                <c:pt idx="2">
                  <c:v>27176.885064189766</c:v>
                </c:pt>
                <c:pt idx="3">
                  <c:v>27975.287631972518</c:v>
                </c:pt>
                <c:pt idx="4">
                  <c:v>28773.69019975527</c:v>
                </c:pt>
                <c:pt idx="5">
                  <c:v>29572.092767538026</c:v>
                </c:pt>
                <c:pt idx="6">
                  <c:v>30288.463888779897</c:v>
                </c:pt>
                <c:pt idx="7">
                  <c:v>31004.835010021769</c:v>
                </c:pt>
                <c:pt idx="8">
                  <c:v>31571.751169932581</c:v>
                </c:pt>
                <c:pt idx="9">
                  <c:v>32056.635883302512</c:v>
                </c:pt>
                <c:pt idx="10">
                  <c:v>32541.520596672442</c:v>
                </c:pt>
                <c:pt idx="11">
                  <c:v>32996.514317776164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9B-4307-9481-19DD853BB907}"/>
            </c:ext>
          </c:extLst>
        </c:ser>
        <c:ser>
          <c:idx val="2"/>
          <c:order val="3"/>
          <c:tx>
            <c:strRef>
              <c:f>'KPI 110'!#REF!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110'!#REF!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A9B-4307-9481-19DD853BB9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041728"/>
        <c:axId val="110047616"/>
      </c:lineChart>
      <c:dateAx>
        <c:axId val="11004172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0047616"/>
        <c:crosses val="autoZero"/>
        <c:auto val="1"/>
        <c:lblOffset val="100"/>
        <c:baseTimeUnit val="months"/>
      </c:dateAx>
      <c:valAx>
        <c:axId val="11004761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0041728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124 (3)'!$D$20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124 (3)'!$E$18:$P$18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124 (3)'!$E$20:$P$20</c:f>
              <c:numCache>
                <c:formatCode>0%</c:formatCode>
                <c:ptCount val="12"/>
                <c:pt idx="0">
                  <c:v>0.30131639875636701</c:v>
                </c:pt>
                <c:pt idx="1">
                  <c:v>0.29194078947368424</c:v>
                </c:pt>
                <c:pt idx="2">
                  <c:v>0.27831074391451299</c:v>
                </c:pt>
                <c:pt idx="3">
                  <c:v>0.36844123618317165</c:v>
                </c:pt>
                <c:pt idx="4">
                  <c:v>0.28344646376176924</c:v>
                </c:pt>
                <c:pt idx="5">
                  <c:v>0.27227089595190895</c:v>
                </c:pt>
                <c:pt idx="6">
                  <c:v>0.24568261779382344</c:v>
                </c:pt>
                <c:pt idx="7">
                  <c:v>0.2768678664903807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1B-47E0-A636-1CA004F567A7}"/>
            </c:ext>
          </c:extLst>
        </c:ser>
        <c:ser>
          <c:idx val="4"/>
          <c:order val="2"/>
          <c:tx>
            <c:strRef>
              <c:f>'KPI 124 (3)'!$D$23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124 (3)'!$E$18:$P$18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124 (3)'!$E$23:$P$23</c:f>
              <c:numCache>
                <c:formatCode>0%</c:formatCode>
                <c:ptCount val="12"/>
                <c:pt idx="0">
                  <c:v>0.17373562507728454</c:v>
                </c:pt>
                <c:pt idx="1">
                  <c:v>0.24102387367629552</c:v>
                </c:pt>
                <c:pt idx="2">
                  <c:v>0.19447803899589983</c:v>
                </c:pt>
                <c:pt idx="3">
                  <c:v>0.24959701365911596</c:v>
                </c:pt>
                <c:pt idx="4">
                  <c:v>0.25106666337830175</c:v>
                </c:pt>
                <c:pt idx="5">
                  <c:v>0.31400083723408306</c:v>
                </c:pt>
                <c:pt idx="6">
                  <c:v>0.35423665546845839</c:v>
                </c:pt>
                <c:pt idx="7">
                  <c:v>0.27135818772856563</c:v>
                </c:pt>
                <c:pt idx="8">
                  <c:v>0.19768248891034731</c:v>
                </c:pt>
                <c:pt idx="9">
                  <c:v>0.29557743397405845</c:v>
                </c:pt>
                <c:pt idx="10">
                  <c:v>0.35313072948497137</c:v>
                </c:pt>
                <c:pt idx="11">
                  <c:v>0.30620757744045413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1B-47E0-A636-1CA004F567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253184"/>
        <c:axId val="110254720"/>
      </c:barChart>
      <c:lineChart>
        <c:grouping val="standard"/>
        <c:varyColors val="0"/>
        <c:ser>
          <c:idx val="0"/>
          <c:order val="0"/>
          <c:tx>
            <c:strRef>
              <c:f>'KPI 124 (3)'!$D$19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124 (3)'!$E$18:$P$18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124 (3)'!$E$19:$P$19</c:f>
              <c:numCache>
                <c:formatCode>0%</c:formatCode>
                <c:ptCount val="12"/>
                <c:pt idx="0">
                  <c:v>0.28571426427030966</c:v>
                </c:pt>
                <c:pt idx="1">
                  <c:v>0.28146256346239457</c:v>
                </c:pt>
                <c:pt idx="2">
                  <c:v>0.27721086265447981</c:v>
                </c:pt>
                <c:pt idx="3">
                  <c:v>0.27295916184656527</c:v>
                </c:pt>
                <c:pt idx="4">
                  <c:v>0.26870746103865051</c:v>
                </c:pt>
                <c:pt idx="5">
                  <c:v>0.26445576023073558</c:v>
                </c:pt>
                <c:pt idx="6">
                  <c:v>0.26020405942282071</c:v>
                </c:pt>
                <c:pt idx="7">
                  <c:v>0.25595235861490589</c:v>
                </c:pt>
                <c:pt idx="8">
                  <c:v>0.25170065780699097</c:v>
                </c:pt>
                <c:pt idx="9">
                  <c:v>0.24744895699907626</c:v>
                </c:pt>
                <c:pt idx="10">
                  <c:v>0.24319725619116156</c:v>
                </c:pt>
                <c:pt idx="11">
                  <c:v>0.23894555538324658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1B-47E0-A636-1CA004F567A7}"/>
            </c:ext>
          </c:extLst>
        </c:ser>
        <c:ser>
          <c:idx val="2"/>
          <c:order val="3"/>
          <c:tx>
            <c:strRef>
              <c:f>'KPI 124'!#REF!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124'!#REF!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41B-47E0-A636-1CA004F567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253184"/>
        <c:axId val="110254720"/>
      </c:lineChart>
      <c:dateAx>
        <c:axId val="11025318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0254720"/>
        <c:crosses val="autoZero"/>
        <c:auto val="1"/>
        <c:lblOffset val="100"/>
        <c:baseTimeUnit val="months"/>
      </c:dateAx>
      <c:valAx>
        <c:axId val="11025472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0253184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103 (2)'!$D$20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103 (2)'!$E$18:$P$18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103 (2)'!$E$20:$P$20</c:f>
              <c:numCache>
                <c:formatCode>#,##0</c:formatCode>
                <c:ptCount val="12"/>
                <c:pt idx="0">
                  <c:v>2107</c:v>
                </c:pt>
                <c:pt idx="1">
                  <c:v>1948</c:v>
                </c:pt>
                <c:pt idx="2">
                  <c:v>1925</c:v>
                </c:pt>
                <c:pt idx="3">
                  <c:v>2550</c:v>
                </c:pt>
                <c:pt idx="4">
                  <c:v>872</c:v>
                </c:pt>
                <c:pt idx="5">
                  <c:v>1669</c:v>
                </c:pt>
                <c:pt idx="6">
                  <c:v>2696</c:v>
                </c:pt>
                <c:pt idx="7">
                  <c:v>1973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44-4CC6-88EF-E9D8237CA0D0}"/>
            </c:ext>
          </c:extLst>
        </c:ser>
        <c:ser>
          <c:idx val="4"/>
          <c:order val="2"/>
          <c:tx>
            <c:strRef>
              <c:f>'KPI 103 (2)'!$D$23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103 (2)'!$E$18:$P$18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103 (2)'!$E$23:$P$23</c:f>
              <c:numCache>
                <c:formatCode>#,##0</c:formatCode>
                <c:ptCount val="12"/>
                <c:pt idx="0">
                  <c:v>1944</c:v>
                </c:pt>
                <c:pt idx="1">
                  <c:v>2475</c:v>
                </c:pt>
                <c:pt idx="2">
                  <c:v>2100</c:v>
                </c:pt>
                <c:pt idx="3">
                  <c:v>1950</c:v>
                </c:pt>
                <c:pt idx="4">
                  <c:v>2110</c:v>
                </c:pt>
                <c:pt idx="5">
                  <c:v>1210</c:v>
                </c:pt>
                <c:pt idx="6">
                  <c:v>3100</c:v>
                </c:pt>
                <c:pt idx="7">
                  <c:v>2146</c:v>
                </c:pt>
                <c:pt idx="8">
                  <c:v>2470</c:v>
                </c:pt>
                <c:pt idx="9">
                  <c:v>1856</c:v>
                </c:pt>
                <c:pt idx="10">
                  <c:v>2483</c:v>
                </c:pt>
                <c:pt idx="11">
                  <c:v>2328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44-4CC6-88EF-E9D8237CA0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153088"/>
        <c:axId val="110158976"/>
      </c:barChart>
      <c:lineChart>
        <c:grouping val="standard"/>
        <c:varyColors val="0"/>
        <c:ser>
          <c:idx val="0"/>
          <c:order val="0"/>
          <c:tx>
            <c:strRef>
              <c:f>'KPI 103 (2)'!$D$19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103 (2)'!$E$18:$P$18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103 (2)'!$E$19:$P$19</c:f>
              <c:numCache>
                <c:formatCode>#,##0</c:formatCode>
                <c:ptCount val="12"/>
                <c:pt idx="0">
                  <c:v>2074.3636828755289</c:v>
                </c:pt>
                <c:pt idx="1">
                  <c:v>2075.5506500953534</c:v>
                </c:pt>
                <c:pt idx="2">
                  <c:v>2076.7260933615876</c:v>
                </c:pt>
                <c:pt idx="3">
                  <c:v>2077.8901796880523</c:v>
                </c:pt>
                <c:pt idx="4">
                  <c:v>2079.043072876761</c:v>
                </c:pt>
                <c:pt idx="5">
                  <c:v>2080.184933594765</c:v>
                </c:pt>
                <c:pt idx="6">
                  <c:v>2081.315919448788</c:v>
                </c:pt>
                <c:pt idx="7">
                  <c:v>2082.4361850577488</c:v>
                </c:pt>
                <c:pt idx="8">
                  <c:v>2083.5458821232291</c:v>
                </c:pt>
                <c:pt idx="9">
                  <c:v>2084.645159497954</c:v>
                </c:pt>
                <c:pt idx="10">
                  <c:v>2085.7341632523544</c:v>
                </c:pt>
                <c:pt idx="11">
                  <c:v>2086.8130367392714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44-4CC6-88EF-E9D8237CA0D0}"/>
            </c:ext>
          </c:extLst>
        </c:ser>
        <c:ser>
          <c:idx val="2"/>
          <c:order val="3"/>
          <c:tx>
            <c:strRef>
              <c:f>'KPI 103'!#REF!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103'!#REF!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444-4CC6-88EF-E9D8237CA0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153088"/>
        <c:axId val="110158976"/>
      </c:lineChart>
      <c:dateAx>
        <c:axId val="11015308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0158976"/>
        <c:crosses val="autoZero"/>
        <c:auto val="1"/>
        <c:lblOffset val="100"/>
        <c:baseTimeUnit val="months"/>
      </c:dateAx>
      <c:valAx>
        <c:axId val="11015897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0153088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110 (2)'!$D$20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110 (2)'!$E$18:$P$18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110 (2)'!$E$20:$P$20</c:f>
              <c:numCache>
                <c:formatCode>#,##0</c:formatCode>
                <c:ptCount val="12"/>
                <c:pt idx="0">
                  <c:v>1822</c:v>
                </c:pt>
                <c:pt idx="1">
                  <c:v>1673</c:v>
                </c:pt>
                <c:pt idx="2">
                  <c:v>1626</c:v>
                </c:pt>
                <c:pt idx="3">
                  <c:v>1739</c:v>
                </c:pt>
                <c:pt idx="4">
                  <c:v>652</c:v>
                </c:pt>
                <c:pt idx="5">
                  <c:v>1172</c:v>
                </c:pt>
                <c:pt idx="6">
                  <c:v>1766</c:v>
                </c:pt>
                <c:pt idx="7">
                  <c:v>1575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92-4194-AB5B-F5B2D629619E}"/>
            </c:ext>
          </c:extLst>
        </c:ser>
        <c:ser>
          <c:idx val="4"/>
          <c:order val="2"/>
          <c:tx>
            <c:strRef>
              <c:f>'KPI 110 (2)'!$D$23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110 (2)'!$E$18:$P$18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110 (2)'!$E$23:$P$23</c:f>
              <c:numCache>
                <c:formatCode>#,##0</c:formatCode>
                <c:ptCount val="12"/>
                <c:pt idx="0">
                  <c:v>1669</c:v>
                </c:pt>
                <c:pt idx="1">
                  <c:v>2107</c:v>
                </c:pt>
                <c:pt idx="2">
                  <c:v>1833</c:v>
                </c:pt>
                <c:pt idx="3">
                  <c:v>1662</c:v>
                </c:pt>
                <c:pt idx="4">
                  <c:v>1795</c:v>
                </c:pt>
                <c:pt idx="5">
                  <c:v>1023</c:v>
                </c:pt>
                <c:pt idx="6">
                  <c:v>2526</c:v>
                </c:pt>
                <c:pt idx="7">
                  <c:v>1808</c:v>
                </c:pt>
                <c:pt idx="8">
                  <c:v>2118</c:v>
                </c:pt>
                <c:pt idx="9">
                  <c:v>1486</c:v>
                </c:pt>
                <c:pt idx="10">
                  <c:v>1589</c:v>
                </c:pt>
                <c:pt idx="11">
                  <c:v>2031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92-4194-AB5B-F5B2D62961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421312"/>
        <c:axId val="111422848"/>
      </c:barChart>
      <c:lineChart>
        <c:grouping val="standard"/>
        <c:varyColors val="0"/>
        <c:ser>
          <c:idx val="0"/>
          <c:order val="0"/>
          <c:tx>
            <c:strRef>
              <c:f>'KPI 110 (2)'!$D$19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110 (2)'!$E$18:$P$18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110 (2)'!$E$19:$P$19</c:f>
              <c:numCache>
                <c:formatCode>#,##0</c:formatCode>
                <c:ptCount val="12"/>
                <c:pt idx="0">
                  <c:v>1799.1930442637758</c:v>
                </c:pt>
                <c:pt idx="1">
                  <c:v>1809.0471770551037</c:v>
                </c:pt>
                <c:pt idx="2">
                  <c:v>1818.9013098464316</c:v>
                </c:pt>
                <c:pt idx="3">
                  <c:v>1828.7554426377596</c:v>
                </c:pt>
                <c:pt idx="4">
                  <c:v>1838.6095754290875</c:v>
                </c:pt>
                <c:pt idx="5">
                  <c:v>1848.4637082204154</c:v>
                </c:pt>
                <c:pt idx="6">
                  <c:v>1858.3178410117434</c:v>
                </c:pt>
                <c:pt idx="7">
                  <c:v>1868.1719738030713</c:v>
                </c:pt>
                <c:pt idx="8">
                  <c:v>1878.0261065943992</c:v>
                </c:pt>
                <c:pt idx="9">
                  <c:v>1887.8802393857272</c:v>
                </c:pt>
                <c:pt idx="10">
                  <c:v>1897.7343721770551</c:v>
                </c:pt>
                <c:pt idx="11">
                  <c:v>1907.5885049683829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92-4194-AB5B-F5B2D629619E}"/>
            </c:ext>
          </c:extLst>
        </c:ser>
        <c:ser>
          <c:idx val="2"/>
          <c:order val="3"/>
          <c:tx>
            <c:strRef>
              <c:f>'KPI 110'!#REF!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110'!#REF!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992-4194-AB5B-F5B2D62961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421312"/>
        <c:axId val="111422848"/>
      </c:lineChart>
      <c:dateAx>
        <c:axId val="11142131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1422848"/>
        <c:crosses val="autoZero"/>
        <c:auto val="1"/>
        <c:lblOffset val="100"/>
        <c:baseTimeUnit val="months"/>
      </c:dateAx>
      <c:valAx>
        <c:axId val="11142284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1421312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124 (2)'!$D$20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124 (2)'!$E$18:$P$18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124 (2)'!$E$20:$P$20</c:f>
              <c:numCache>
                <c:formatCode>0%</c:formatCode>
                <c:ptCount val="12"/>
                <c:pt idx="0">
                  <c:v>0.13526340768865686</c:v>
                </c:pt>
                <c:pt idx="1">
                  <c:v>0.14117043121149897</c:v>
                </c:pt>
                <c:pt idx="2">
                  <c:v>0.15532467532467534</c:v>
                </c:pt>
                <c:pt idx="3">
                  <c:v>0.31803921568627452</c:v>
                </c:pt>
                <c:pt idx="4">
                  <c:v>0.25229357798165136</c:v>
                </c:pt>
                <c:pt idx="5">
                  <c:v>0.29778310365488314</c:v>
                </c:pt>
                <c:pt idx="6">
                  <c:v>0.34495548961424333</c:v>
                </c:pt>
                <c:pt idx="7">
                  <c:v>0.20172326406487581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5B-4D00-B806-DBCA4A4DDEBA}"/>
            </c:ext>
          </c:extLst>
        </c:ser>
        <c:ser>
          <c:idx val="4"/>
          <c:order val="2"/>
          <c:tx>
            <c:strRef>
              <c:f>'KPI 124 (2)'!$D$23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124 (2)'!$E$18:$P$18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124 (2)'!$E$23:$P$23</c:f>
              <c:numCache>
                <c:formatCode>0%</c:formatCode>
                <c:ptCount val="12"/>
                <c:pt idx="0">
                  <c:v>0.14146090534979425</c:v>
                </c:pt>
                <c:pt idx="1">
                  <c:v>0.1486868686868687</c:v>
                </c:pt>
                <c:pt idx="2">
                  <c:v>0.12714285714285714</c:v>
                </c:pt>
                <c:pt idx="3">
                  <c:v>0.14769230769230771</c:v>
                </c:pt>
                <c:pt idx="4">
                  <c:v>0.14928909952606634</c:v>
                </c:pt>
                <c:pt idx="5">
                  <c:v>0.15454545454545454</c:v>
                </c:pt>
                <c:pt idx="6">
                  <c:v>0.18516129032258064</c:v>
                </c:pt>
                <c:pt idx="7">
                  <c:v>0.15750232991612301</c:v>
                </c:pt>
                <c:pt idx="8">
                  <c:v>0.14251012145748987</c:v>
                </c:pt>
                <c:pt idx="9">
                  <c:v>0.19935344827586207</c:v>
                </c:pt>
                <c:pt idx="10">
                  <c:v>0.36004832863471609</c:v>
                </c:pt>
                <c:pt idx="11">
                  <c:v>0.12757731958762886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5B-4D00-B806-DBCA4A4DDE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522176"/>
        <c:axId val="111523712"/>
      </c:barChart>
      <c:lineChart>
        <c:grouping val="standard"/>
        <c:varyColors val="0"/>
        <c:ser>
          <c:idx val="0"/>
          <c:order val="0"/>
          <c:tx>
            <c:strRef>
              <c:f>'KPI 124 (2)'!$D$19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124 (2)'!$E$18:$P$18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124 (2)'!$E$19:$P$19</c:f>
              <c:numCache>
                <c:formatCode>0%</c:formatCode>
                <c:ptCount val="12"/>
                <c:pt idx="0">
                  <c:v>0.13265303518537569</c:v>
                </c:pt>
                <c:pt idx="1">
                  <c:v>0.12840133437746082</c:v>
                </c:pt>
                <c:pt idx="2">
                  <c:v>0.12414963356954607</c:v>
                </c:pt>
                <c:pt idx="3">
                  <c:v>0.11989793276163158</c:v>
                </c:pt>
                <c:pt idx="4">
                  <c:v>0.11564623195371655</c:v>
                </c:pt>
                <c:pt idx="5">
                  <c:v>0.11139453114580176</c:v>
                </c:pt>
                <c:pt idx="6">
                  <c:v>0.10714283033788689</c:v>
                </c:pt>
                <c:pt idx="7">
                  <c:v>0.10289112952997198</c:v>
                </c:pt>
                <c:pt idx="8">
                  <c:v>9.8639428722057165E-2</c:v>
                </c:pt>
                <c:pt idx="9">
                  <c:v>9.4387727914142336E-2</c:v>
                </c:pt>
                <c:pt idx="10">
                  <c:v>9.0136027106227673E-2</c:v>
                </c:pt>
                <c:pt idx="11">
                  <c:v>8.5884326298312733E-2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5B-4D00-B806-DBCA4A4DDEBA}"/>
            </c:ext>
          </c:extLst>
        </c:ser>
        <c:ser>
          <c:idx val="2"/>
          <c:order val="3"/>
          <c:tx>
            <c:strRef>
              <c:f>'KPI 124'!#REF!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124'!#REF!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95B-4D00-B806-DBCA4A4DDE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522176"/>
        <c:axId val="111523712"/>
      </c:lineChart>
      <c:dateAx>
        <c:axId val="11152217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1523712"/>
        <c:crosses val="autoZero"/>
        <c:auto val="1"/>
        <c:lblOffset val="100"/>
        <c:baseTimeUnit val="months"/>
      </c:dateAx>
      <c:valAx>
        <c:axId val="111523712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1522176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103 (4)'!$D$20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103 (4)'!$E$18:$P$18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103 (4)'!$E$20:$P$20</c:f>
              <c:numCache>
                <c:formatCode>#,##0</c:formatCode>
                <c:ptCount val="12"/>
                <c:pt idx="0">
                  <c:v>40884</c:v>
                </c:pt>
                <c:pt idx="1">
                  <c:v>39306</c:v>
                </c:pt>
                <c:pt idx="2">
                  <c:v>36268</c:v>
                </c:pt>
                <c:pt idx="3">
                  <c:v>48806</c:v>
                </c:pt>
                <c:pt idx="4">
                  <c:v>33526</c:v>
                </c:pt>
                <c:pt idx="5">
                  <c:v>34973</c:v>
                </c:pt>
                <c:pt idx="6">
                  <c:v>41687</c:v>
                </c:pt>
                <c:pt idx="7">
                  <c:v>42601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0F-4029-B197-B0C11C377670}"/>
            </c:ext>
          </c:extLst>
        </c:ser>
        <c:ser>
          <c:idx val="4"/>
          <c:order val="2"/>
          <c:tx>
            <c:strRef>
              <c:f>'KPI 103 (4)'!$D$23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103 (4)'!$E$18:$P$18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103 (4)'!$E$23:$P$23</c:f>
              <c:numCache>
                <c:formatCode>#,##0</c:formatCode>
                <c:ptCount val="12"/>
                <c:pt idx="0">
                  <c:v>32963</c:v>
                </c:pt>
                <c:pt idx="1">
                  <c:v>39718</c:v>
                </c:pt>
                <c:pt idx="2">
                  <c:v>35059</c:v>
                </c:pt>
                <c:pt idx="3">
                  <c:v>37880</c:v>
                </c:pt>
                <c:pt idx="4">
                  <c:v>38839</c:v>
                </c:pt>
                <c:pt idx="5">
                  <c:v>29408</c:v>
                </c:pt>
                <c:pt idx="6">
                  <c:v>39761</c:v>
                </c:pt>
                <c:pt idx="7">
                  <c:v>36889</c:v>
                </c:pt>
                <c:pt idx="8">
                  <c:v>44066</c:v>
                </c:pt>
                <c:pt idx="9">
                  <c:v>32495</c:v>
                </c:pt>
                <c:pt idx="10">
                  <c:v>43409</c:v>
                </c:pt>
                <c:pt idx="11">
                  <c:v>47163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0F-4029-B197-B0C11C3776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9234816"/>
        <c:axId val="109244800"/>
      </c:barChart>
      <c:lineChart>
        <c:grouping val="standard"/>
        <c:varyColors val="0"/>
        <c:ser>
          <c:idx val="0"/>
          <c:order val="0"/>
          <c:tx>
            <c:strRef>
              <c:f>'KPI 103 (4)'!$D$19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103 (4)'!$E$18:$P$18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103 (4)'!$E$19:$P$19</c:f>
              <c:numCache>
                <c:formatCode>#,##0</c:formatCode>
                <c:ptCount val="12"/>
                <c:pt idx="0">
                  <c:v>34865.767725852042</c:v>
                </c:pt>
                <c:pt idx="1">
                  <c:v>34921.453222474214</c:v>
                </c:pt>
                <c:pt idx="2">
                  <c:v>34976.56464181163</c:v>
                </c:pt>
                <c:pt idx="3">
                  <c:v>35031.110815822518</c:v>
                </c:pt>
                <c:pt idx="4">
                  <c:v>35085.100396221031</c:v>
                </c:pt>
                <c:pt idx="5">
                  <c:v>35138.541859052049</c:v>
                </c:pt>
                <c:pt idx="6">
                  <c:v>35366.100322783524</c:v>
                </c:pt>
                <c:pt idx="7">
                  <c:v>35485.172162980591</c:v>
                </c:pt>
                <c:pt idx="8">
                  <c:v>35603.053284775684</c:v>
                </c:pt>
                <c:pt idx="9">
                  <c:v>35667.190014423868</c:v>
                </c:pt>
                <c:pt idx="10">
                  <c:v>35730.691726946825</c:v>
                </c:pt>
                <c:pt idx="11">
                  <c:v>35793.567806834086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0F-4029-B197-B0C11C377670}"/>
            </c:ext>
          </c:extLst>
        </c:ser>
        <c:ser>
          <c:idx val="2"/>
          <c:order val="3"/>
          <c:tx>
            <c:strRef>
              <c:f>'KPI 103'!#REF!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103'!#REF!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60F-4029-B197-B0C11C3776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234816"/>
        <c:axId val="109244800"/>
      </c:lineChart>
      <c:dateAx>
        <c:axId val="10923481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9244800"/>
        <c:crosses val="autoZero"/>
        <c:auto val="1"/>
        <c:lblOffset val="100"/>
        <c:baseTimeUnit val="months"/>
      </c:dateAx>
      <c:valAx>
        <c:axId val="10924480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9234816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110 (4)'!$D$20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110 (4)'!$E$18:$P$18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110 (4)'!$E$20:$P$20</c:f>
              <c:numCache>
                <c:formatCode>#,##0</c:formatCode>
                <c:ptCount val="12"/>
                <c:pt idx="0">
                  <c:v>31495</c:v>
                </c:pt>
                <c:pt idx="1">
                  <c:v>30262</c:v>
                </c:pt>
                <c:pt idx="2">
                  <c:v>26101</c:v>
                </c:pt>
                <c:pt idx="3">
                  <c:v>28789</c:v>
                </c:pt>
                <c:pt idx="4">
                  <c:v>24965</c:v>
                </c:pt>
                <c:pt idx="5">
                  <c:v>26090</c:v>
                </c:pt>
                <c:pt idx="6">
                  <c:v>30971</c:v>
                </c:pt>
                <c:pt idx="7">
                  <c:v>33446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BF-4D46-9D4C-3A72F4C71D3C}"/>
            </c:ext>
          </c:extLst>
        </c:ser>
        <c:ser>
          <c:idx val="4"/>
          <c:order val="2"/>
          <c:tx>
            <c:strRef>
              <c:f>'KPI 110 (4)'!$D$23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110 (4)'!$E$18:$P$18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110 (4)'!$E$23:$P$23</c:f>
              <c:numCache>
                <c:formatCode>#,##0</c:formatCode>
                <c:ptCount val="12"/>
                <c:pt idx="0">
                  <c:v>26406</c:v>
                </c:pt>
                <c:pt idx="1">
                  <c:v>29527</c:v>
                </c:pt>
                <c:pt idx="2">
                  <c:v>32020</c:v>
                </c:pt>
                <c:pt idx="3">
                  <c:v>29957</c:v>
                </c:pt>
                <c:pt idx="4">
                  <c:v>32172</c:v>
                </c:pt>
                <c:pt idx="5">
                  <c:v>24033</c:v>
                </c:pt>
                <c:pt idx="6">
                  <c:v>29156</c:v>
                </c:pt>
                <c:pt idx="7">
                  <c:v>28120</c:v>
                </c:pt>
                <c:pt idx="8">
                  <c:v>29681</c:v>
                </c:pt>
                <c:pt idx="9">
                  <c:v>26294</c:v>
                </c:pt>
                <c:pt idx="10">
                  <c:v>27869</c:v>
                </c:pt>
                <c:pt idx="11">
                  <c:v>30591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BF-4D46-9D4C-3A72F4C71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7400704"/>
        <c:axId val="117402240"/>
      </c:barChart>
      <c:lineChart>
        <c:grouping val="standard"/>
        <c:varyColors val="0"/>
        <c:ser>
          <c:idx val="0"/>
          <c:order val="0"/>
          <c:tx>
            <c:strRef>
              <c:f>'KPI 110 (4)'!$D$19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110 (4)'!$E$18:$P$18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110 (4)'!$E$19:$P$19</c:f>
              <c:numCache>
                <c:formatCode>#,##0</c:formatCode>
                <c:ptCount val="12"/>
                <c:pt idx="0">
                  <c:v>28461.852059246539</c:v>
                </c:pt>
                <c:pt idx="1">
                  <c:v>28655.785179753802</c:v>
                </c:pt>
                <c:pt idx="2">
                  <c:v>28849.718300261065</c:v>
                </c:pt>
                <c:pt idx="3">
                  <c:v>29043.651420768332</c:v>
                </c:pt>
                <c:pt idx="4">
                  <c:v>29237.584541275592</c:v>
                </c:pt>
                <c:pt idx="5">
                  <c:v>29431.517661782855</c:v>
                </c:pt>
                <c:pt idx="6">
                  <c:v>29772.483308404735</c:v>
                </c:pt>
                <c:pt idx="7">
                  <c:v>30023.594695713906</c:v>
                </c:pt>
                <c:pt idx="8">
                  <c:v>30274.706083023073</c:v>
                </c:pt>
                <c:pt idx="9">
                  <c:v>30480.890340675887</c:v>
                </c:pt>
                <c:pt idx="10">
                  <c:v>30687.074598328705</c:v>
                </c:pt>
                <c:pt idx="11">
                  <c:v>30893.258855981519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BF-4D46-9D4C-3A72F4C71D3C}"/>
            </c:ext>
          </c:extLst>
        </c:ser>
        <c:ser>
          <c:idx val="2"/>
          <c:order val="3"/>
          <c:tx>
            <c:strRef>
              <c:f>'KPI 110'!#REF!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110'!#REF!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0BF-4D46-9D4C-3A72F4C71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400704"/>
        <c:axId val="117402240"/>
      </c:lineChart>
      <c:dateAx>
        <c:axId val="11740070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7402240"/>
        <c:crosses val="autoZero"/>
        <c:auto val="1"/>
        <c:lblOffset val="100"/>
        <c:baseTimeUnit val="months"/>
      </c:dateAx>
      <c:valAx>
        <c:axId val="11740224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7400704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124 (4)'!$D$20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124 (4)'!$E$18:$P$18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124 (4)'!$E$20:$P$20</c:f>
              <c:numCache>
                <c:formatCode>0%</c:formatCode>
                <c:ptCount val="12"/>
                <c:pt idx="0">
                  <c:v>0.22964974072986988</c:v>
                </c:pt>
                <c:pt idx="1">
                  <c:v>0.23009209789853965</c:v>
                </c:pt>
                <c:pt idx="2">
                  <c:v>0.28032976728796738</c:v>
                </c:pt>
                <c:pt idx="3">
                  <c:v>0.41013399991804289</c:v>
                </c:pt>
                <c:pt idx="4">
                  <c:v>0.25535405357036328</c:v>
                </c:pt>
                <c:pt idx="5">
                  <c:v>0.25399593972493067</c:v>
                </c:pt>
                <c:pt idx="6">
                  <c:v>0.25705855542495265</c:v>
                </c:pt>
                <c:pt idx="7">
                  <c:v>0.21490105866059483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F3-42B1-A85F-84756D8A0C7E}"/>
            </c:ext>
          </c:extLst>
        </c:ser>
        <c:ser>
          <c:idx val="4"/>
          <c:order val="2"/>
          <c:tx>
            <c:strRef>
              <c:f>'KPI 124 (4)'!$D$23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124 (4)'!$E$18:$P$18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124 (4)'!$E$23:$P$23</c:f>
              <c:numCache>
                <c:formatCode>0%</c:formatCode>
                <c:ptCount val="12"/>
                <c:pt idx="0">
                  <c:v>0.19892000121348177</c:v>
                </c:pt>
                <c:pt idx="1">
                  <c:v>0.25658391661211544</c:v>
                </c:pt>
                <c:pt idx="2">
                  <c:v>8.6682449584985305E-2</c:v>
                </c:pt>
                <c:pt idx="3">
                  <c:v>0.20916050686378035</c:v>
                </c:pt>
                <c:pt idx="4">
                  <c:v>0.17165735472077037</c:v>
                </c:pt>
                <c:pt idx="5">
                  <c:v>0.1827733949945593</c:v>
                </c:pt>
                <c:pt idx="6">
                  <c:v>0.26671864389728628</c:v>
                </c:pt>
                <c:pt idx="7">
                  <c:v>0.23771313941825475</c:v>
                </c:pt>
                <c:pt idx="8">
                  <c:v>0.3264421549493941</c:v>
                </c:pt>
                <c:pt idx="9">
                  <c:v>0.19082935836282505</c:v>
                </c:pt>
                <c:pt idx="10">
                  <c:v>0.35799027851367227</c:v>
                </c:pt>
                <c:pt idx="11">
                  <c:v>0.35137713885885125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F3-42B1-A85F-84756D8A0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7738880"/>
        <c:axId val="117748864"/>
      </c:barChart>
      <c:lineChart>
        <c:grouping val="standard"/>
        <c:varyColors val="0"/>
        <c:ser>
          <c:idx val="0"/>
          <c:order val="0"/>
          <c:tx>
            <c:strRef>
              <c:f>'KPI 124 (4)'!$D$19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124 (4)'!$E$18:$P$18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124 (4)'!$E$19:$P$19</c:f>
              <c:numCache>
                <c:formatCode>0%</c:formatCode>
                <c:ptCount val="12"/>
                <c:pt idx="0">
                  <c:v>0.18367344488035378</c:v>
                </c:pt>
                <c:pt idx="1">
                  <c:v>0.1794217440724388</c:v>
                </c:pt>
                <c:pt idx="2">
                  <c:v>0.17517004326452404</c:v>
                </c:pt>
                <c:pt idx="3">
                  <c:v>0.17091834245660936</c:v>
                </c:pt>
                <c:pt idx="4">
                  <c:v>0.16666664164869446</c:v>
                </c:pt>
                <c:pt idx="5">
                  <c:v>0.16241494084077956</c:v>
                </c:pt>
                <c:pt idx="6">
                  <c:v>0.15816324003286483</c:v>
                </c:pt>
                <c:pt idx="7">
                  <c:v>0.15391153922494982</c:v>
                </c:pt>
                <c:pt idx="8">
                  <c:v>0.14965983841703487</c:v>
                </c:pt>
                <c:pt idx="9">
                  <c:v>0.14540813760912011</c:v>
                </c:pt>
                <c:pt idx="10">
                  <c:v>0.14115643680120532</c:v>
                </c:pt>
                <c:pt idx="11">
                  <c:v>0.13690473599329062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F3-42B1-A85F-84756D8A0C7E}"/>
            </c:ext>
          </c:extLst>
        </c:ser>
        <c:ser>
          <c:idx val="2"/>
          <c:order val="3"/>
          <c:tx>
            <c:strRef>
              <c:f>'KPI 124'!#REF!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124'!#REF!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CF3-42B1-A85F-84756D8A0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738880"/>
        <c:axId val="117748864"/>
      </c:lineChart>
      <c:dateAx>
        <c:axId val="11773888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7748864"/>
        <c:crosses val="autoZero"/>
        <c:auto val="1"/>
        <c:lblOffset val="100"/>
        <c:baseTimeUnit val="months"/>
      </c:dateAx>
      <c:valAx>
        <c:axId val="11774886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7738880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103 (5)'!$D$20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103 (5)'!$E$18:$P$18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103 (5)'!$E$20:$P$20</c:f>
              <c:numCache>
                <c:formatCode>#,##0</c:formatCode>
                <c:ptCount val="12"/>
                <c:pt idx="0">
                  <c:v>19352</c:v>
                </c:pt>
                <c:pt idx="1">
                  <c:v>28420</c:v>
                </c:pt>
                <c:pt idx="2">
                  <c:v>17963</c:v>
                </c:pt>
                <c:pt idx="3">
                  <c:v>26213</c:v>
                </c:pt>
                <c:pt idx="4">
                  <c:v>17225</c:v>
                </c:pt>
                <c:pt idx="5">
                  <c:v>15039</c:v>
                </c:pt>
                <c:pt idx="6">
                  <c:v>26008</c:v>
                </c:pt>
                <c:pt idx="7">
                  <c:v>24972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D6-42E9-A72E-F303A57C9762}"/>
            </c:ext>
          </c:extLst>
        </c:ser>
        <c:ser>
          <c:idx val="4"/>
          <c:order val="2"/>
          <c:tx>
            <c:strRef>
              <c:f>'KPI 103 (5)'!$D$23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103 (5)'!$E$18:$P$18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103 (5)'!$E$23:$P$23</c:f>
              <c:numCache>
                <c:formatCode>#,##0</c:formatCode>
                <c:ptCount val="12"/>
                <c:pt idx="0">
                  <c:v>7589</c:v>
                </c:pt>
                <c:pt idx="1">
                  <c:v>15992</c:v>
                </c:pt>
                <c:pt idx="2">
                  <c:v>20413</c:v>
                </c:pt>
                <c:pt idx="3">
                  <c:v>20982</c:v>
                </c:pt>
                <c:pt idx="4">
                  <c:v>29141</c:v>
                </c:pt>
                <c:pt idx="5">
                  <c:v>11492</c:v>
                </c:pt>
                <c:pt idx="6">
                  <c:v>22162</c:v>
                </c:pt>
                <c:pt idx="7">
                  <c:v>18344</c:v>
                </c:pt>
                <c:pt idx="8">
                  <c:v>21934</c:v>
                </c:pt>
                <c:pt idx="9">
                  <c:v>13179</c:v>
                </c:pt>
                <c:pt idx="10">
                  <c:v>17758</c:v>
                </c:pt>
                <c:pt idx="11">
                  <c:v>15135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D6-42E9-A72E-F303A57C97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9852544"/>
        <c:axId val="109854080"/>
      </c:barChart>
      <c:lineChart>
        <c:grouping val="standard"/>
        <c:varyColors val="0"/>
        <c:ser>
          <c:idx val="0"/>
          <c:order val="0"/>
          <c:tx>
            <c:strRef>
              <c:f>'KPI 103 (5)'!$D$19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103 (5)'!$E$18:$P$18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103 (5)'!$E$19:$P$19</c:f>
              <c:numCache>
                <c:formatCode>#,##0</c:formatCode>
                <c:ptCount val="12"/>
                <c:pt idx="0">
                  <c:v>20641.441969419455</c:v>
                </c:pt>
                <c:pt idx="1">
                  <c:v>21763.247325253848</c:v>
                </c:pt>
                <c:pt idx="2">
                  <c:v>22757.135687917558</c:v>
                </c:pt>
                <c:pt idx="3">
                  <c:v>24821.518015340349</c:v>
                </c:pt>
                <c:pt idx="4">
                  <c:v>26786.200059904648</c:v>
                </c:pt>
                <c:pt idx="5">
                  <c:v>28592.266025632362</c:v>
                </c:pt>
                <c:pt idx="6">
                  <c:v>29890.645654089363</c:v>
                </c:pt>
                <c:pt idx="7">
                  <c:v>31130.555206562884</c:v>
                </c:pt>
                <c:pt idx="8">
                  <c:v>32254.247235577728</c:v>
                </c:pt>
                <c:pt idx="9">
                  <c:v>32872.191727984798</c:v>
                </c:pt>
                <c:pt idx="10">
                  <c:v>33464.06908299504</c:v>
                </c:pt>
                <c:pt idx="11">
                  <c:v>34031.494639620905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D6-42E9-A72E-F303A57C9762}"/>
            </c:ext>
          </c:extLst>
        </c:ser>
        <c:ser>
          <c:idx val="2"/>
          <c:order val="3"/>
          <c:tx>
            <c:strRef>
              <c:f>'KPI 103'!#REF!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103'!#REF!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CD6-42E9-A72E-F303A57C97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852544"/>
        <c:axId val="109854080"/>
      </c:lineChart>
      <c:dateAx>
        <c:axId val="10985254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9854080"/>
        <c:crosses val="autoZero"/>
        <c:auto val="1"/>
        <c:lblOffset val="100"/>
        <c:baseTimeUnit val="months"/>
      </c:dateAx>
      <c:valAx>
        <c:axId val="10985408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9852544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103 (5)'!$D$20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103 (5)'!$E$18:$P$18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103 (5)'!$E$20:$P$20</c:f>
              <c:numCache>
                <c:formatCode>#,##0</c:formatCode>
                <c:ptCount val="12"/>
                <c:pt idx="0">
                  <c:v>19352</c:v>
                </c:pt>
                <c:pt idx="1">
                  <c:v>28420</c:v>
                </c:pt>
                <c:pt idx="2">
                  <c:v>17963</c:v>
                </c:pt>
                <c:pt idx="3">
                  <c:v>26213</c:v>
                </c:pt>
                <c:pt idx="4">
                  <c:v>17225</c:v>
                </c:pt>
                <c:pt idx="5">
                  <c:v>15039</c:v>
                </c:pt>
                <c:pt idx="6">
                  <c:v>26008</c:v>
                </c:pt>
                <c:pt idx="7">
                  <c:v>24972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D6-42E9-A72E-F303A57C9762}"/>
            </c:ext>
          </c:extLst>
        </c:ser>
        <c:ser>
          <c:idx val="4"/>
          <c:order val="2"/>
          <c:tx>
            <c:strRef>
              <c:f>'KPI 103 (5)'!$D$23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103 (5)'!$E$18:$P$18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103 (5)'!$E$23:$P$23</c:f>
              <c:numCache>
                <c:formatCode>#,##0</c:formatCode>
                <c:ptCount val="12"/>
                <c:pt idx="0">
                  <c:v>7589</c:v>
                </c:pt>
                <c:pt idx="1">
                  <c:v>15992</c:v>
                </c:pt>
                <c:pt idx="2">
                  <c:v>20413</c:v>
                </c:pt>
                <c:pt idx="3">
                  <c:v>20982</c:v>
                </c:pt>
                <c:pt idx="4">
                  <c:v>29141</c:v>
                </c:pt>
                <c:pt idx="5">
                  <c:v>11492</c:v>
                </c:pt>
                <c:pt idx="6">
                  <c:v>22162</c:v>
                </c:pt>
                <c:pt idx="7">
                  <c:v>18344</c:v>
                </c:pt>
                <c:pt idx="8">
                  <c:v>21934</c:v>
                </c:pt>
                <c:pt idx="9">
                  <c:v>13179</c:v>
                </c:pt>
                <c:pt idx="10">
                  <c:v>17758</c:v>
                </c:pt>
                <c:pt idx="11">
                  <c:v>15135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D6-42E9-A72E-F303A57C97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9916544"/>
        <c:axId val="109918080"/>
      </c:barChart>
      <c:lineChart>
        <c:grouping val="standard"/>
        <c:varyColors val="0"/>
        <c:ser>
          <c:idx val="0"/>
          <c:order val="0"/>
          <c:tx>
            <c:strRef>
              <c:f>'KPI 103 (5)'!$D$19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103 (5)'!$E$18:$P$18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103 (5)'!$E$19:$P$19</c:f>
              <c:numCache>
                <c:formatCode>#,##0</c:formatCode>
                <c:ptCount val="12"/>
                <c:pt idx="0">
                  <c:v>20641.441969419455</c:v>
                </c:pt>
                <c:pt idx="1">
                  <c:v>21763.247325253848</c:v>
                </c:pt>
                <c:pt idx="2">
                  <c:v>22757.135687917558</c:v>
                </c:pt>
                <c:pt idx="3">
                  <c:v>24821.518015340349</c:v>
                </c:pt>
                <c:pt idx="4">
                  <c:v>26786.200059904648</c:v>
                </c:pt>
                <c:pt idx="5">
                  <c:v>28592.266025632362</c:v>
                </c:pt>
                <c:pt idx="6">
                  <c:v>29890.645654089363</c:v>
                </c:pt>
                <c:pt idx="7">
                  <c:v>31130.555206562884</c:v>
                </c:pt>
                <c:pt idx="8">
                  <c:v>32254.247235577728</c:v>
                </c:pt>
                <c:pt idx="9">
                  <c:v>32872.191727984798</c:v>
                </c:pt>
                <c:pt idx="10">
                  <c:v>33464.06908299504</c:v>
                </c:pt>
                <c:pt idx="11">
                  <c:v>34031.494639620905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D6-42E9-A72E-F303A57C9762}"/>
            </c:ext>
          </c:extLst>
        </c:ser>
        <c:ser>
          <c:idx val="2"/>
          <c:order val="3"/>
          <c:tx>
            <c:strRef>
              <c:f>'KPI 103'!#REF!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103'!#REF!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CD6-42E9-A72E-F303A57C97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916544"/>
        <c:axId val="109918080"/>
      </c:lineChart>
      <c:dateAx>
        <c:axId val="10991654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9918080"/>
        <c:crosses val="autoZero"/>
        <c:auto val="1"/>
        <c:lblOffset val="100"/>
        <c:baseTimeUnit val="months"/>
      </c:dateAx>
      <c:valAx>
        <c:axId val="10991808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9916544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103 (5)'!$D$20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103 (5)'!$E$18:$P$18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103 (5)'!$E$20:$P$20</c:f>
              <c:numCache>
                <c:formatCode>#,##0</c:formatCode>
                <c:ptCount val="12"/>
                <c:pt idx="0">
                  <c:v>19352</c:v>
                </c:pt>
                <c:pt idx="1">
                  <c:v>28420</c:v>
                </c:pt>
                <c:pt idx="2">
                  <c:v>17963</c:v>
                </c:pt>
                <c:pt idx="3">
                  <c:v>26213</c:v>
                </c:pt>
                <c:pt idx="4">
                  <c:v>17225</c:v>
                </c:pt>
                <c:pt idx="5">
                  <c:v>15039</c:v>
                </c:pt>
                <c:pt idx="6">
                  <c:v>26008</c:v>
                </c:pt>
                <c:pt idx="7">
                  <c:v>24972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D6-42E9-A72E-F303A57C9762}"/>
            </c:ext>
          </c:extLst>
        </c:ser>
        <c:ser>
          <c:idx val="4"/>
          <c:order val="2"/>
          <c:tx>
            <c:strRef>
              <c:f>'KPI 103 (5)'!$D$23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103 (5)'!$E$18:$P$18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103 (5)'!$E$23:$P$23</c:f>
              <c:numCache>
                <c:formatCode>#,##0</c:formatCode>
                <c:ptCount val="12"/>
                <c:pt idx="0">
                  <c:v>7589</c:v>
                </c:pt>
                <c:pt idx="1">
                  <c:v>15992</c:v>
                </c:pt>
                <c:pt idx="2">
                  <c:v>20413</c:v>
                </c:pt>
                <c:pt idx="3">
                  <c:v>20982</c:v>
                </c:pt>
                <c:pt idx="4">
                  <c:v>29141</c:v>
                </c:pt>
                <c:pt idx="5">
                  <c:v>11492</c:v>
                </c:pt>
                <c:pt idx="6">
                  <c:v>22162</c:v>
                </c:pt>
                <c:pt idx="7">
                  <c:v>18344</c:v>
                </c:pt>
                <c:pt idx="8">
                  <c:v>21934</c:v>
                </c:pt>
                <c:pt idx="9">
                  <c:v>13179</c:v>
                </c:pt>
                <c:pt idx="10">
                  <c:v>17758</c:v>
                </c:pt>
                <c:pt idx="11">
                  <c:v>15135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D6-42E9-A72E-F303A57C97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7701248"/>
        <c:axId val="117244288"/>
      </c:barChart>
      <c:lineChart>
        <c:grouping val="standard"/>
        <c:varyColors val="0"/>
        <c:ser>
          <c:idx val="0"/>
          <c:order val="0"/>
          <c:tx>
            <c:strRef>
              <c:f>'KPI 103 (5)'!$D$19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103 (5)'!$E$18:$P$18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103 (5)'!$E$19:$P$19</c:f>
              <c:numCache>
                <c:formatCode>#,##0</c:formatCode>
                <c:ptCount val="12"/>
                <c:pt idx="0">
                  <c:v>20641.441969419455</c:v>
                </c:pt>
                <c:pt idx="1">
                  <c:v>21763.247325253848</c:v>
                </c:pt>
                <c:pt idx="2">
                  <c:v>22757.135687917558</c:v>
                </c:pt>
                <c:pt idx="3">
                  <c:v>24821.518015340349</c:v>
                </c:pt>
                <c:pt idx="4">
                  <c:v>26786.200059904648</c:v>
                </c:pt>
                <c:pt idx="5">
                  <c:v>28592.266025632362</c:v>
                </c:pt>
                <c:pt idx="6">
                  <c:v>29890.645654089363</c:v>
                </c:pt>
                <c:pt idx="7">
                  <c:v>31130.555206562884</c:v>
                </c:pt>
                <c:pt idx="8">
                  <c:v>32254.247235577728</c:v>
                </c:pt>
                <c:pt idx="9">
                  <c:v>32872.191727984798</c:v>
                </c:pt>
                <c:pt idx="10">
                  <c:v>33464.06908299504</c:v>
                </c:pt>
                <c:pt idx="11">
                  <c:v>34031.494639620905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D6-42E9-A72E-F303A57C9762}"/>
            </c:ext>
          </c:extLst>
        </c:ser>
        <c:ser>
          <c:idx val="2"/>
          <c:order val="3"/>
          <c:tx>
            <c:strRef>
              <c:f>'KPI 103'!#REF!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103'!#REF!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CD6-42E9-A72E-F303A57C97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701248"/>
        <c:axId val="117244288"/>
      </c:lineChart>
      <c:dateAx>
        <c:axId val="11770124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7244288"/>
        <c:crosses val="autoZero"/>
        <c:auto val="1"/>
        <c:lblOffset val="100"/>
        <c:baseTimeUnit val="months"/>
      </c:dateAx>
      <c:valAx>
        <c:axId val="11724428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7701248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110 (5)'!$D$20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110 (5)'!$E$18:$P$18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110 (5)'!$E$20:$P$20</c:f>
              <c:numCache>
                <c:formatCode>#,##0</c:formatCode>
                <c:ptCount val="12"/>
                <c:pt idx="0">
                  <c:v>11947</c:v>
                </c:pt>
                <c:pt idx="1">
                  <c:v>17946</c:v>
                </c:pt>
                <c:pt idx="2">
                  <c:v>11179</c:v>
                </c:pt>
                <c:pt idx="3">
                  <c:v>15724</c:v>
                </c:pt>
                <c:pt idx="4">
                  <c:v>10947</c:v>
                </c:pt>
                <c:pt idx="5">
                  <c:v>8396</c:v>
                </c:pt>
                <c:pt idx="6">
                  <c:v>14935</c:v>
                </c:pt>
                <c:pt idx="7">
                  <c:v>15292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5F-4D89-AAED-AAA8B887BEFA}"/>
            </c:ext>
          </c:extLst>
        </c:ser>
        <c:ser>
          <c:idx val="4"/>
          <c:order val="2"/>
          <c:tx>
            <c:strRef>
              <c:f>'KPI 110 (5)'!$D$23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110 (5)'!$E$18:$P$18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110 (5)'!$E$23:$P$23</c:f>
              <c:numCache>
                <c:formatCode>#,##0</c:formatCode>
                <c:ptCount val="12"/>
                <c:pt idx="0">
                  <c:v>4103</c:v>
                </c:pt>
                <c:pt idx="1">
                  <c:v>8205</c:v>
                </c:pt>
                <c:pt idx="2">
                  <c:v>10559</c:v>
                </c:pt>
                <c:pt idx="3">
                  <c:v>9172</c:v>
                </c:pt>
                <c:pt idx="4">
                  <c:v>17076</c:v>
                </c:pt>
                <c:pt idx="5">
                  <c:v>7626</c:v>
                </c:pt>
                <c:pt idx="6">
                  <c:v>10742</c:v>
                </c:pt>
                <c:pt idx="7">
                  <c:v>9077</c:v>
                </c:pt>
                <c:pt idx="8">
                  <c:v>12828</c:v>
                </c:pt>
                <c:pt idx="9">
                  <c:v>6907</c:v>
                </c:pt>
                <c:pt idx="10">
                  <c:v>10597</c:v>
                </c:pt>
                <c:pt idx="11">
                  <c:v>9757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5F-4D89-AAED-AAA8B887BE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7638272"/>
        <c:axId val="117639808"/>
      </c:barChart>
      <c:lineChart>
        <c:grouping val="standard"/>
        <c:varyColors val="0"/>
        <c:ser>
          <c:idx val="0"/>
          <c:order val="0"/>
          <c:tx>
            <c:strRef>
              <c:f>'KPI 110 (5)'!$D$19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110 (5)'!$E$18:$P$18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110 (5)'!$E$19:$P$19</c:f>
              <c:numCache>
                <c:formatCode>#,##0</c:formatCode>
                <c:ptCount val="12"/>
                <c:pt idx="0">
                  <c:v>11163.229155333855</c:v>
                </c:pt>
                <c:pt idx="1">
                  <c:v>12084.524600373532</c:v>
                </c:pt>
                <c:pt idx="2">
                  <c:v>12965.375313479615</c:v>
                </c:pt>
                <c:pt idx="3">
                  <c:v>14500.326010610601</c:v>
                </c:pt>
                <c:pt idx="4">
                  <c:v>16035.276707741588</c:v>
                </c:pt>
                <c:pt idx="5">
                  <c:v>17529.782672938982</c:v>
                </c:pt>
                <c:pt idx="6">
                  <c:v>18757.905744024312</c:v>
                </c:pt>
                <c:pt idx="7">
                  <c:v>19986.028815109647</c:v>
                </c:pt>
                <c:pt idx="8">
                  <c:v>21173.707154261385</c:v>
                </c:pt>
                <c:pt idx="9">
                  <c:v>22054.557867367464</c:v>
                </c:pt>
                <c:pt idx="10">
                  <c:v>22935.408580473548</c:v>
                </c:pt>
                <c:pt idx="11">
                  <c:v>23816.259293579631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5F-4D89-AAED-AAA8B887BEFA}"/>
            </c:ext>
          </c:extLst>
        </c:ser>
        <c:ser>
          <c:idx val="2"/>
          <c:order val="3"/>
          <c:tx>
            <c:strRef>
              <c:f>'KPI 110'!#REF!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110'!#REF!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15F-4D89-AAED-AAA8B887BE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638272"/>
        <c:axId val="117639808"/>
      </c:lineChart>
      <c:dateAx>
        <c:axId val="11763827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7639808"/>
        <c:crosses val="autoZero"/>
        <c:auto val="1"/>
        <c:lblOffset val="100"/>
        <c:baseTimeUnit val="months"/>
      </c:dateAx>
      <c:valAx>
        <c:axId val="11763980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7638272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110 (5)'!$D$20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110 (5)'!$E$18:$P$18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110 (5)'!$E$20:$P$20</c:f>
              <c:numCache>
                <c:formatCode>#,##0</c:formatCode>
                <c:ptCount val="12"/>
                <c:pt idx="0">
                  <c:v>11947</c:v>
                </c:pt>
                <c:pt idx="1">
                  <c:v>17946</c:v>
                </c:pt>
                <c:pt idx="2">
                  <c:v>11179</c:v>
                </c:pt>
                <c:pt idx="3">
                  <c:v>15724</c:v>
                </c:pt>
                <c:pt idx="4">
                  <c:v>10947</c:v>
                </c:pt>
                <c:pt idx="5">
                  <c:v>8396</c:v>
                </c:pt>
                <c:pt idx="6">
                  <c:v>14935</c:v>
                </c:pt>
                <c:pt idx="7">
                  <c:v>15292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5F-4D89-AAED-AAA8B887BEFA}"/>
            </c:ext>
          </c:extLst>
        </c:ser>
        <c:ser>
          <c:idx val="4"/>
          <c:order val="2"/>
          <c:tx>
            <c:strRef>
              <c:f>'KPI 110 (5)'!$D$23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110 (5)'!$E$18:$P$18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110 (5)'!$E$23:$P$23</c:f>
              <c:numCache>
                <c:formatCode>#,##0</c:formatCode>
                <c:ptCount val="12"/>
                <c:pt idx="0">
                  <c:v>4103</c:v>
                </c:pt>
                <c:pt idx="1">
                  <c:v>8205</c:v>
                </c:pt>
                <c:pt idx="2">
                  <c:v>10559</c:v>
                </c:pt>
                <c:pt idx="3">
                  <c:v>9172</c:v>
                </c:pt>
                <c:pt idx="4">
                  <c:v>17076</c:v>
                </c:pt>
                <c:pt idx="5">
                  <c:v>7626</c:v>
                </c:pt>
                <c:pt idx="6">
                  <c:v>10742</c:v>
                </c:pt>
                <c:pt idx="7">
                  <c:v>9077</c:v>
                </c:pt>
                <c:pt idx="8">
                  <c:v>12828</c:v>
                </c:pt>
                <c:pt idx="9">
                  <c:v>6907</c:v>
                </c:pt>
                <c:pt idx="10">
                  <c:v>10597</c:v>
                </c:pt>
                <c:pt idx="11">
                  <c:v>9757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5F-4D89-AAED-AAA8B887BE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7476352"/>
        <c:axId val="117486336"/>
      </c:barChart>
      <c:lineChart>
        <c:grouping val="standard"/>
        <c:varyColors val="0"/>
        <c:ser>
          <c:idx val="0"/>
          <c:order val="0"/>
          <c:tx>
            <c:strRef>
              <c:f>'KPI 110 (5)'!$D$19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110 (5)'!$E$18:$P$18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110 (5)'!$E$19:$P$19</c:f>
              <c:numCache>
                <c:formatCode>#,##0</c:formatCode>
                <c:ptCount val="12"/>
                <c:pt idx="0">
                  <c:v>11163.229155333855</c:v>
                </c:pt>
                <c:pt idx="1">
                  <c:v>12084.524600373532</c:v>
                </c:pt>
                <c:pt idx="2">
                  <c:v>12965.375313479615</c:v>
                </c:pt>
                <c:pt idx="3">
                  <c:v>14500.326010610601</c:v>
                </c:pt>
                <c:pt idx="4">
                  <c:v>16035.276707741588</c:v>
                </c:pt>
                <c:pt idx="5">
                  <c:v>17529.782672938982</c:v>
                </c:pt>
                <c:pt idx="6">
                  <c:v>18757.905744024312</c:v>
                </c:pt>
                <c:pt idx="7">
                  <c:v>19986.028815109647</c:v>
                </c:pt>
                <c:pt idx="8">
                  <c:v>21173.707154261385</c:v>
                </c:pt>
                <c:pt idx="9">
                  <c:v>22054.557867367464</c:v>
                </c:pt>
                <c:pt idx="10">
                  <c:v>22935.408580473548</c:v>
                </c:pt>
                <c:pt idx="11">
                  <c:v>23816.259293579631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5F-4D89-AAED-AAA8B887BEFA}"/>
            </c:ext>
          </c:extLst>
        </c:ser>
        <c:ser>
          <c:idx val="2"/>
          <c:order val="3"/>
          <c:tx>
            <c:strRef>
              <c:f>'KPI 110'!#REF!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110'!#REF!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15F-4D89-AAED-AAA8B887BE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476352"/>
        <c:axId val="117486336"/>
      </c:lineChart>
      <c:dateAx>
        <c:axId val="11747635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7486336"/>
        <c:crosses val="autoZero"/>
        <c:auto val="1"/>
        <c:lblOffset val="100"/>
        <c:baseTimeUnit val="months"/>
      </c:dateAx>
      <c:valAx>
        <c:axId val="11748633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7476352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110 (5)'!$D$20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110 (5)'!$E$18:$P$18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110 (5)'!$E$20:$P$20</c:f>
              <c:numCache>
                <c:formatCode>#,##0</c:formatCode>
                <c:ptCount val="12"/>
                <c:pt idx="0">
                  <c:v>11947</c:v>
                </c:pt>
                <c:pt idx="1">
                  <c:v>17946</c:v>
                </c:pt>
                <c:pt idx="2">
                  <c:v>11179</c:v>
                </c:pt>
                <c:pt idx="3">
                  <c:v>15724</c:v>
                </c:pt>
                <c:pt idx="4">
                  <c:v>10947</c:v>
                </c:pt>
                <c:pt idx="5">
                  <c:v>8396</c:v>
                </c:pt>
                <c:pt idx="6">
                  <c:v>14935</c:v>
                </c:pt>
                <c:pt idx="7">
                  <c:v>15292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5F-4D89-AAED-AAA8B887BEFA}"/>
            </c:ext>
          </c:extLst>
        </c:ser>
        <c:ser>
          <c:idx val="4"/>
          <c:order val="2"/>
          <c:tx>
            <c:strRef>
              <c:f>'KPI 110 (5)'!$D$23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110 (5)'!$E$18:$P$18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110 (5)'!$E$23:$P$23</c:f>
              <c:numCache>
                <c:formatCode>#,##0</c:formatCode>
                <c:ptCount val="12"/>
                <c:pt idx="0">
                  <c:v>4103</c:v>
                </c:pt>
                <c:pt idx="1">
                  <c:v>8205</c:v>
                </c:pt>
                <c:pt idx="2">
                  <c:v>10559</c:v>
                </c:pt>
                <c:pt idx="3">
                  <c:v>9172</c:v>
                </c:pt>
                <c:pt idx="4">
                  <c:v>17076</c:v>
                </c:pt>
                <c:pt idx="5">
                  <c:v>7626</c:v>
                </c:pt>
                <c:pt idx="6">
                  <c:v>10742</c:v>
                </c:pt>
                <c:pt idx="7">
                  <c:v>9077</c:v>
                </c:pt>
                <c:pt idx="8">
                  <c:v>12828</c:v>
                </c:pt>
                <c:pt idx="9">
                  <c:v>6907</c:v>
                </c:pt>
                <c:pt idx="10">
                  <c:v>10597</c:v>
                </c:pt>
                <c:pt idx="11">
                  <c:v>9757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5F-4D89-AAED-AAA8B887BE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8167424"/>
        <c:axId val="118168960"/>
      </c:barChart>
      <c:lineChart>
        <c:grouping val="standard"/>
        <c:varyColors val="0"/>
        <c:ser>
          <c:idx val="0"/>
          <c:order val="0"/>
          <c:tx>
            <c:strRef>
              <c:f>'KPI 110 (5)'!$D$19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110 (5)'!$E$18:$P$18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110 (5)'!$E$19:$P$19</c:f>
              <c:numCache>
                <c:formatCode>#,##0</c:formatCode>
                <c:ptCount val="12"/>
                <c:pt idx="0">
                  <c:v>11163.229155333855</c:v>
                </c:pt>
                <c:pt idx="1">
                  <c:v>12084.524600373532</c:v>
                </c:pt>
                <c:pt idx="2">
                  <c:v>12965.375313479615</c:v>
                </c:pt>
                <c:pt idx="3">
                  <c:v>14500.326010610601</c:v>
                </c:pt>
                <c:pt idx="4">
                  <c:v>16035.276707741588</c:v>
                </c:pt>
                <c:pt idx="5">
                  <c:v>17529.782672938982</c:v>
                </c:pt>
                <c:pt idx="6">
                  <c:v>18757.905744024312</c:v>
                </c:pt>
                <c:pt idx="7">
                  <c:v>19986.028815109647</c:v>
                </c:pt>
                <c:pt idx="8">
                  <c:v>21173.707154261385</c:v>
                </c:pt>
                <c:pt idx="9">
                  <c:v>22054.557867367464</c:v>
                </c:pt>
                <c:pt idx="10">
                  <c:v>22935.408580473548</c:v>
                </c:pt>
                <c:pt idx="11">
                  <c:v>23816.259293579631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5F-4D89-AAED-AAA8B887BEFA}"/>
            </c:ext>
          </c:extLst>
        </c:ser>
        <c:ser>
          <c:idx val="2"/>
          <c:order val="3"/>
          <c:tx>
            <c:strRef>
              <c:f>'KPI 110'!#REF!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110'!#REF!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15F-4D89-AAED-AAA8B887BE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167424"/>
        <c:axId val="118168960"/>
      </c:lineChart>
      <c:dateAx>
        <c:axId val="11816742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8168960"/>
        <c:crosses val="autoZero"/>
        <c:auto val="1"/>
        <c:lblOffset val="100"/>
        <c:baseTimeUnit val="months"/>
      </c:dateAx>
      <c:valAx>
        <c:axId val="11816896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8167424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110 (5)'!$D$20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110 (5)'!$E$18:$P$18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110 (5)'!$E$20:$P$20</c:f>
              <c:numCache>
                <c:formatCode>#,##0</c:formatCode>
                <c:ptCount val="12"/>
                <c:pt idx="0">
                  <c:v>11947</c:v>
                </c:pt>
                <c:pt idx="1">
                  <c:v>17946</c:v>
                </c:pt>
                <c:pt idx="2">
                  <c:v>11179</c:v>
                </c:pt>
                <c:pt idx="3">
                  <c:v>15724</c:v>
                </c:pt>
                <c:pt idx="4">
                  <c:v>10947</c:v>
                </c:pt>
                <c:pt idx="5">
                  <c:v>8396</c:v>
                </c:pt>
                <c:pt idx="6">
                  <c:v>14935</c:v>
                </c:pt>
                <c:pt idx="7">
                  <c:v>15292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5F-4D89-AAED-AAA8B887BEFA}"/>
            </c:ext>
          </c:extLst>
        </c:ser>
        <c:ser>
          <c:idx val="4"/>
          <c:order val="2"/>
          <c:tx>
            <c:strRef>
              <c:f>'KPI 110 (5)'!$D$23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110 (5)'!$E$18:$P$18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110 (5)'!$E$23:$P$23</c:f>
              <c:numCache>
                <c:formatCode>#,##0</c:formatCode>
                <c:ptCount val="12"/>
                <c:pt idx="0">
                  <c:v>4103</c:v>
                </c:pt>
                <c:pt idx="1">
                  <c:v>8205</c:v>
                </c:pt>
                <c:pt idx="2">
                  <c:v>10559</c:v>
                </c:pt>
                <c:pt idx="3">
                  <c:v>9172</c:v>
                </c:pt>
                <c:pt idx="4">
                  <c:v>17076</c:v>
                </c:pt>
                <c:pt idx="5">
                  <c:v>7626</c:v>
                </c:pt>
                <c:pt idx="6">
                  <c:v>10742</c:v>
                </c:pt>
                <c:pt idx="7">
                  <c:v>9077</c:v>
                </c:pt>
                <c:pt idx="8">
                  <c:v>12828</c:v>
                </c:pt>
                <c:pt idx="9">
                  <c:v>6907</c:v>
                </c:pt>
                <c:pt idx="10">
                  <c:v>10597</c:v>
                </c:pt>
                <c:pt idx="11">
                  <c:v>9757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5F-4D89-AAED-AAA8B887BE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7932416"/>
        <c:axId val="117933952"/>
      </c:barChart>
      <c:lineChart>
        <c:grouping val="standard"/>
        <c:varyColors val="0"/>
        <c:ser>
          <c:idx val="0"/>
          <c:order val="0"/>
          <c:tx>
            <c:strRef>
              <c:f>'KPI 110 (5)'!$D$19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110 (5)'!$E$18:$P$18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110 (5)'!$E$19:$P$19</c:f>
              <c:numCache>
                <c:formatCode>#,##0</c:formatCode>
                <c:ptCount val="12"/>
                <c:pt idx="0">
                  <c:v>11163.229155333855</c:v>
                </c:pt>
                <c:pt idx="1">
                  <c:v>12084.524600373532</c:v>
                </c:pt>
                <c:pt idx="2">
                  <c:v>12965.375313479615</c:v>
                </c:pt>
                <c:pt idx="3">
                  <c:v>14500.326010610601</c:v>
                </c:pt>
                <c:pt idx="4">
                  <c:v>16035.276707741588</c:v>
                </c:pt>
                <c:pt idx="5">
                  <c:v>17529.782672938982</c:v>
                </c:pt>
                <c:pt idx="6">
                  <c:v>18757.905744024312</c:v>
                </c:pt>
                <c:pt idx="7">
                  <c:v>19986.028815109647</c:v>
                </c:pt>
                <c:pt idx="8">
                  <c:v>21173.707154261385</c:v>
                </c:pt>
                <c:pt idx="9">
                  <c:v>22054.557867367464</c:v>
                </c:pt>
                <c:pt idx="10">
                  <c:v>22935.408580473548</c:v>
                </c:pt>
                <c:pt idx="11">
                  <c:v>23816.259293579631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5F-4D89-AAED-AAA8B887BEFA}"/>
            </c:ext>
          </c:extLst>
        </c:ser>
        <c:ser>
          <c:idx val="2"/>
          <c:order val="3"/>
          <c:tx>
            <c:strRef>
              <c:f>'KPI 110'!#REF!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110'!#REF!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15F-4D89-AAED-AAA8B887BE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932416"/>
        <c:axId val="117933952"/>
      </c:lineChart>
      <c:dateAx>
        <c:axId val="11793241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7933952"/>
        <c:crosses val="autoZero"/>
        <c:auto val="1"/>
        <c:lblOffset val="100"/>
        <c:baseTimeUnit val="months"/>
      </c:dateAx>
      <c:valAx>
        <c:axId val="11793395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7932416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124 (5)'!$D$20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124 (5)'!$E$18:$P$18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124 (5)'!$E$20:$P$20</c:f>
              <c:numCache>
                <c:formatCode>0%</c:formatCode>
                <c:ptCount val="12"/>
                <c:pt idx="0">
                  <c:v>0.38264778834229018</c:v>
                </c:pt>
                <c:pt idx="1">
                  <c:v>0.36854327938071779</c:v>
                </c:pt>
                <c:pt idx="2">
                  <c:v>0.37766520069030785</c:v>
                </c:pt>
                <c:pt idx="3">
                  <c:v>0.40014496623812612</c:v>
                </c:pt>
                <c:pt idx="4">
                  <c:v>0.36447024673439765</c:v>
                </c:pt>
                <c:pt idx="5">
                  <c:v>0.44171819934836093</c:v>
                </c:pt>
                <c:pt idx="6">
                  <c:v>0.42575361427253156</c:v>
                </c:pt>
                <c:pt idx="7">
                  <c:v>0.38763415024827808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49-4F10-8BA6-5DB36F81FD65}"/>
            </c:ext>
          </c:extLst>
        </c:ser>
        <c:ser>
          <c:idx val="4"/>
          <c:order val="2"/>
          <c:tx>
            <c:strRef>
              <c:f>'KPI 124 (5)'!$D$23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124 (5)'!$E$18:$P$18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124 (5)'!$E$23:$P$23</c:f>
              <c:numCache>
                <c:formatCode>0%</c:formatCode>
                <c:ptCount val="12"/>
                <c:pt idx="0">
                  <c:v>0.45934905784688362</c:v>
                </c:pt>
                <c:pt idx="1">
                  <c:v>0.4869309654827414</c:v>
                </c:pt>
                <c:pt idx="2">
                  <c:v>0.48273159261255083</c:v>
                </c:pt>
                <c:pt idx="3">
                  <c:v>0.56286340672957769</c:v>
                </c:pt>
                <c:pt idx="4">
                  <c:v>0.4140214817610926</c:v>
                </c:pt>
                <c:pt idx="5">
                  <c:v>0.33640793595544727</c:v>
                </c:pt>
                <c:pt idx="6">
                  <c:v>0.51529645338868335</c:v>
                </c:pt>
                <c:pt idx="7">
                  <c:v>0.5051788050588748</c:v>
                </c:pt>
                <c:pt idx="8">
                  <c:v>0.41515455457280936</c:v>
                </c:pt>
                <c:pt idx="9">
                  <c:v>0.47590864253737009</c:v>
                </c:pt>
                <c:pt idx="10">
                  <c:v>0.40325487104403651</c:v>
                </c:pt>
                <c:pt idx="11">
                  <c:v>0.35533531549388836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49-4F10-8BA6-5DB36F81FD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8291072"/>
        <c:axId val="117121408"/>
      </c:barChart>
      <c:lineChart>
        <c:grouping val="standard"/>
        <c:varyColors val="0"/>
        <c:ser>
          <c:idx val="0"/>
          <c:order val="0"/>
          <c:tx>
            <c:strRef>
              <c:f>'KPI 124 (5)'!$D$19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124 (5)'!$E$18:$P$18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124 (5)'!$E$19:$P$19</c:f>
              <c:numCache>
                <c:formatCode>0%</c:formatCode>
                <c:ptCount val="12"/>
                <c:pt idx="0">
                  <c:v>0.45918365723323434</c:v>
                </c:pt>
                <c:pt idx="1">
                  <c:v>0.44472787448632384</c:v>
                </c:pt>
                <c:pt idx="2">
                  <c:v>0.43027209173941344</c:v>
                </c:pt>
                <c:pt idx="3">
                  <c:v>0.41581630899250321</c:v>
                </c:pt>
                <c:pt idx="4">
                  <c:v>0.40136052624559282</c:v>
                </c:pt>
                <c:pt idx="5">
                  <c:v>0.38690474349868237</c:v>
                </c:pt>
                <c:pt idx="6">
                  <c:v>0.37244896075177192</c:v>
                </c:pt>
                <c:pt idx="7">
                  <c:v>0.35799317800486158</c:v>
                </c:pt>
                <c:pt idx="8">
                  <c:v>0.34353739525795113</c:v>
                </c:pt>
                <c:pt idx="9">
                  <c:v>0.32908161251104079</c:v>
                </c:pt>
                <c:pt idx="10">
                  <c:v>0.31462582976413028</c:v>
                </c:pt>
                <c:pt idx="11">
                  <c:v>0.30017004701721989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49-4F10-8BA6-5DB36F81FD65}"/>
            </c:ext>
          </c:extLst>
        </c:ser>
        <c:ser>
          <c:idx val="2"/>
          <c:order val="3"/>
          <c:tx>
            <c:strRef>
              <c:f>'KPI 124'!#REF!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124'!#REF!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249-4F10-8BA6-5DB36F81FD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291072"/>
        <c:axId val="117121408"/>
      </c:lineChart>
      <c:dateAx>
        <c:axId val="11829107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7121408"/>
        <c:crosses val="autoZero"/>
        <c:auto val="1"/>
        <c:lblOffset val="100"/>
        <c:baseTimeUnit val="months"/>
      </c:dateAx>
      <c:valAx>
        <c:axId val="11712140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8291072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124 (5)'!$D$20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124 (5)'!$E$18:$P$18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124 (5)'!$E$20:$P$20</c:f>
              <c:numCache>
                <c:formatCode>0%</c:formatCode>
                <c:ptCount val="12"/>
                <c:pt idx="0">
                  <c:v>0.38264778834229018</c:v>
                </c:pt>
                <c:pt idx="1">
                  <c:v>0.36854327938071779</c:v>
                </c:pt>
                <c:pt idx="2">
                  <c:v>0.37766520069030785</c:v>
                </c:pt>
                <c:pt idx="3">
                  <c:v>0.40014496623812612</c:v>
                </c:pt>
                <c:pt idx="4">
                  <c:v>0.36447024673439765</c:v>
                </c:pt>
                <c:pt idx="5">
                  <c:v>0.44171819934836093</c:v>
                </c:pt>
                <c:pt idx="6">
                  <c:v>0.42575361427253156</c:v>
                </c:pt>
                <c:pt idx="7">
                  <c:v>0.38763415024827808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49-4F10-8BA6-5DB36F81FD65}"/>
            </c:ext>
          </c:extLst>
        </c:ser>
        <c:ser>
          <c:idx val="4"/>
          <c:order val="2"/>
          <c:tx>
            <c:strRef>
              <c:f>'KPI 124 (5)'!$D$23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124 (5)'!$E$18:$P$18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124 (5)'!$E$23:$P$23</c:f>
              <c:numCache>
                <c:formatCode>0%</c:formatCode>
                <c:ptCount val="12"/>
                <c:pt idx="0">
                  <c:v>0.45934905784688362</c:v>
                </c:pt>
                <c:pt idx="1">
                  <c:v>0.4869309654827414</c:v>
                </c:pt>
                <c:pt idx="2">
                  <c:v>0.48273159261255083</c:v>
                </c:pt>
                <c:pt idx="3">
                  <c:v>0.56286340672957769</c:v>
                </c:pt>
                <c:pt idx="4">
                  <c:v>0.4140214817610926</c:v>
                </c:pt>
                <c:pt idx="5">
                  <c:v>0.33640793595544727</c:v>
                </c:pt>
                <c:pt idx="6">
                  <c:v>0.51529645338868335</c:v>
                </c:pt>
                <c:pt idx="7">
                  <c:v>0.5051788050588748</c:v>
                </c:pt>
                <c:pt idx="8">
                  <c:v>0.41515455457280936</c:v>
                </c:pt>
                <c:pt idx="9">
                  <c:v>0.47590864253737009</c:v>
                </c:pt>
                <c:pt idx="10">
                  <c:v>0.40325487104403651</c:v>
                </c:pt>
                <c:pt idx="11">
                  <c:v>0.35533531549388836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49-4F10-8BA6-5DB36F81FD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8629504"/>
        <c:axId val="118631040"/>
      </c:barChart>
      <c:lineChart>
        <c:grouping val="standard"/>
        <c:varyColors val="0"/>
        <c:ser>
          <c:idx val="0"/>
          <c:order val="0"/>
          <c:tx>
            <c:strRef>
              <c:f>'KPI 124 (5)'!$D$19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124 (5)'!$E$18:$P$18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124 (5)'!$E$19:$P$19</c:f>
              <c:numCache>
                <c:formatCode>0%</c:formatCode>
                <c:ptCount val="12"/>
                <c:pt idx="0">
                  <c:v>0.45918365723323434</c:v>
                </c:pt>
                <c:pt idx="1">
                  <c:v>0.44472787448632384</c:v>
                </c:pt>
                <c:pt idx="2">
                  <c:v>0.43027209173941344</c:v>
                </c:pt>
                <c:pt idx="3">
                  <c:v>0.41581630899250321</c:v>
                </c:pt>
                <c:pt idx="4">
                  <c:v>0.40136052624559282</c:v>
                </c:pt>
                <c:pt idx="5">
                  <c:v>0.38690474349868237</c:v>
                </c:pt>
                <c:pt idx="6">
                  <c:v>0.37244896075177192</c:v>
                </c:pt>
                <c:pt idx="7">
                  <c:v>0.35799317800486158</c:v>
                </c:pt>
                <c:pt idx="8">
                  <c:v>0.34353739525795113</c:v>
                </c:pt>
                <c:pt idx="9">
                  <c:v>0.32908161251104079</c:v>
                </c:pt>
                <c:pt idx="10">
                  <c:v>0.31462582976413028</c:v>
                </c:pt>
                <c:pt idx="11">
                  <c:v>0.30017004701721989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49-4F10-8BA6-5DB36F81FD65}"/>
            </c:ext>
          </c:extLst>
        </c:ser>
        <c:ser>
          <c:idx val="2"/>
          <c:order val="3"/>
          <c:tx>
            <c:strRef>
              <c:f>'KPI 124'!#REF!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124'!#REF!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249-4F10-8BA6-5DB36F81FD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629504"/>
        <c:axId val="118631040"/>
      </c:lineChart>
      <c:dateAx>
        <c:axId val="11862950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8631040"/>
        <c:crosses val="autoZero"/>
        <c:auto val="1"/>
        <c:lblOffset val="100"/>
        <c:baseTimeUnit val="months"/>
      </c:dateAx>
      <c:valAx>
        <c:axId val="11863104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8629504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124 (5)'!$D$20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124 (5)'!$E$18:$P$18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124 (5)'!$E$20:$P$20</c:f>
              <c:numCache>
                <c:formatCode>0%</c:formatCode>
                <c:ptCount val="12"/>
                <c:pt idx="0">
                  <c:v>0.38264778834229018</c:v>
                </c:pt>
                <c:pt idx="1">
                  <c:v>0.36854327938071779</c:v>
                </c:pt>
                <c:pt idx="2">
                  <c:v>0.37766520069030785</c:v>
                </c:pt>
                <c:pt idx="3">
                  <c:v>0.40014496623812612</c:v>
                </c:pt>
                <c:pt idx="4">
                  <c:v>0.36447024673439765</c:v>
                </c:pt>
                <c:pt idx="5">
                  <c:v>0.44171819934836093</c:v>
                </c:pt>
                <c:pt idx="6">
                  <c:v>0.42575361427253156</c:v>
                </c:pt>
                <c:pt idx="7">
                  <c:v>0.38763415024827808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49-4F10-8BA6-5DB36F81FD65}"/>
            </c:ext>
          </c:extLst>
        </c:ser>
        <c:ser>
          <c:idx val="4"/>
          <c:order val="2"/>
          <c:tx>
            <c:strRef>
              <c:f>'KPI 124 (5)'!$D$23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124 (5)'!$E$18:$P$18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124 (5)'!$E$23:$P$23</c:f>
              <c:numCache>
                <c:formatCode>0%</c:formatCode>
                <c:ptCount val="12"/>
                <c:pt idx="0">
                  <c:v>0.45934905784688362</c:v>
                </c:pt>
                <c:pt idx="1">
                  <c:v>0.4869309654827414</c:v>
                </c:pt>
                <c:pt idx="2">
                  <c:v>0.48273159261255083</c:v>
                </c:pt>
                <c:pt idx="3">
                  <c:v>0.56286340672957769</c:v>
                </c:pt>
                <c:pt idx="4">
                  <c:v>0.4140214817610926</c:v>
                </c:pt>
                <c:pt idx="5">
                  <c:v>0.33640793595544727</c:v>
                </c:pt>
                <c:pt idx="6">
                  <c:v>0.51529645338868335</c:v>
                </c:pt>
                <c:pt idx="7">
                  <c:v>0.5051788050588748</c:v>
                </c:pt>
                <c:pt idx="8">
                  <c:v>0.41515455457280936</c:v>
                </c:pt>
                <c:pt idx="9">
                  <c:v>0.47590864253737009</c:v>
                </c:pt>
                <c:pt idx="10">
                  <c:v>0.40325487104403651</c:v>
                </c:pt>
                <c:pt idx="11">
                  <c:v>0.35533531549388836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49-4F10-8BA6-5DB36F81FD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9061888"/>
        <c:axId val="119063680"/>
      </c:barChart>
      <c:lineChart>
        <c:grouping val="standard"/>
        <c:varyColors val="0"/>
        <c:ser>
          <c:idx val="0"/>
          <c:order val="0"/>
          <c:tx>
            <c:strRef>
              <c:f>'KPI 124 (5)'!$D$19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124 (5)'!$E$18:$P$18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124 (5)'!$E$19:$P$19</c:f>
              <c:numCache>
                <c:formatCode>0%</c:formatCode>
                <c:ptCount val="12"/>
                <c:pt idx="0">
                  <c:v>0.45918365723323434</c:v>
                </c:pt>
                <c:pt idx="1">
                  <c:v>0.44472787448632384</c:v>
                </c:pt>
                <c:pt idx="2">
                  <c:v>0.43027209173941344</c:v>
                </c:pt>
                <c:pt idx="3">
                  <c:v>0.41581630899250321</c:v>
                </c:pt>
                <c:pt idx="4">
                  <c:v>0.40136052624559282</c:v>
                </c:pt>
                <c:pt idx="5">
                  <c:v>0.38690474349868237</c:v>
                </c:pt>
                <c:pt idx="6">
                  <c:v>0.37244896075177192</c:v>
                </c:pt>
                <c:pt idx="7">
                  <c:v>0.35799317800486158</c:v>
                </c:pt>
                <c:pt idx="8">
                  <c:v>0.34353739525795113</c:v>
                </c:pt>
                <c:pt idx="9">
                  <c:v>0.32908161251104079</c:v>
                </c:pt>
                <c:pt idx="10">
                  <c:v>0.31462582976413028</c:v>
                </c:pt>
                <c:pt idx="11">
                  <c:v>0.30017004701721989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49-4F10-8BA6-5DB36F81FD65}"/>
            </c:ext>
          </c:extLst>
        </c:ser>
        <c:ser>
          <c:idx val="2"/>
          <c:order val="3"/>
          <c:tx>
            <c:strRef>
              <c:f>'KPI 124'!#REF!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124'!#REF!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249-4F10-8BA6-5DB36F81FD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061888"/>
        <c:axId val="119063680"/>
      </c:lineChart>
      <c:dateAx>
        <c:axId val="11906188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9063680"/>
        <c:crosses val="autoZero"/>
        <c:auto val="1"/>
        <c:lblOffset val="100"/>
        <c:baseTimeUnit val="months"/>
      </c:dateAx>
      <c:valAx>
        <c:axId val="11906368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9061888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Y'!$D$20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Y'!$E$18:$P$18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Y'!$E$20:$P$20</c:f>
              <c:numCache>
                <c:formatCode>#,##0</c:formatCode>
                <c:ptCount val="12"/>
                <c:pt idx="0">
                  <c:v>331</c:v>
                </c:pt>
                <c:pt idx="1">
                  <c:v>160</c:v>
                </c:pt>
                <c:pt idx="2">
                  <c:v>108</c:v>
                </c:pt>
                <c:pt idx="3">
                  <c:v>137</c:v>
                </c:pt>
                <c:pt idx="4">
                  <c:v>290</c:v>
                </c:pt>
                <c:pt idx="5">
                  <c:v>0</c:v>
                </c:pt>
                <c:pt idx="6">
                  <c:v>0</c:v>
                </c:pt>
                <c:pt idx="7">
                  <c:v>235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38-4748-8ECE-C0E02EB25437}"/>
            </c:ext>
          </c:extLst>
        </c:ser>
        <c:ser>
          <c:idx val="4"/>
          <c:order val="2"/>
          <c:tx>
            <c:strRef>
              <c:f>'KPI Y'!$D$23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Y'!$E$18:$P$18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Y'!$E$23:$P$23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38-4748-8ECE-C0E02EB254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8945664"/>
        <c:axId val="118947200"/>
      </c:barChart>
      <c:lineChart>
        <c:grouping val="standard"/>
        <c:varyColors val="0"/>
        <c:ser>
          <c:idx val="0"/>
          <c:order val="0"/>
          <c:tx>
            <c:strRef>
              <c:f>'KPI Y'!$D$19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Y'!$E$18:$P$18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Y'!$E$19:$P$19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38-4748-8ECE-C0E02EB25437}"/>
            </c:ext>
          </c:extLst>
        </c:ser>
        <c:ser>
          <c:idx val="2"/>
          <c:order val="3"/>
          <c:tx>
            <c:strRef>
              <c:f>'KPI 103'!#REF!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103'!#REF!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38-4748-8ECE-C0E02EB254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945664"/>
        <c:axId val="118947200"/>
      </c:lineChart>
      <c:dateAx>
        <c:axId val="11894566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8947200"/>
        <c:crosses val="autoZero"/>
        <c:auto val="1"/>
        <c:lblOffset val="100"/>
        <c:baseTimeUnit val="months"/>
      </c:dateAx>
      <c:valAx>
        <c:axId val="11894720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8945664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z'!$D$20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z'!$E$18:$P$18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z'!$E$20:$P$20</c:f>
              <c:numCache>
                <c:formatCode>#,##0</c:formatCode>
                <c:ptCount val="12"/>
                <c:pt idx="0">
                  <c:v>54</c:v>
                </c:pt>
                <c:pt idx="1">
                  <c:v>160</c:v>
                </c:pt>
                <c:pt idx="2">
                  <c:v>87</c:v>
                </c:pt>
                <c:pt idx="3">
                  <c:v>147</c:v>
                </c:pt>
                <c:pt idx="4">
                  <c:v>0</c:v>
                </c:pt>
                <c:pt idx="5">
                  <c:v>373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1A-4F9A-949A-0AB08B307B3E}"/>
            </c:ext>
          </c:extLst>
        </c:ser>
        <c:ser>
          <c:idx val="4"/>
          <c:order val="2"/>
          <c:tx>
            <c:strRef>
              <c:f>'KPI z'!$D$23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z'!$E$18:$P$18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z'!$E$23:$P$23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1A-4F9A-949A-0AB08B307B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8964608"/>
        <c:axId val="118966144"/>
      </c:barChart>
      <c:lineChart>
        <c:grouping val="standard"/>
        <c:varyColors val="0"/>
        <c:ser>
          <c:idx val="0"/>
          <c:order val="0"/>
          <c:tx>
            <c:strRef>
              <c:f>'KPI z'!$D$19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z'!$E$18:$P$18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z'!$E$19:$P$19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1A-4F9A-949A-0AB08B307B3E}"/>
            </c:ext>
          </c:extLst>
        </c:ser>
        <c:ser>
          <c:idx val="2"/>
          <c:order val="3"/>
          <c:tx>
            <c:strRef>
              <c:f>'KPI 110'!#REF!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110'!#REF!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1A-4F9A-949A-0AB08B307B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964608"/>
        <c:axId val="118966144"/>
      </c:lineChart>
      <c:dateAx>
        <c:axId val="11896460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8966144"/>
        <c:crosses val="autoZero"/>
        <c:auto val="1"/>
        <c:lblOffset val="100"/>
        <c:baseTimeUnit val="months"/>
      </c:dateAx>
      <c:valAx>
        <c:axId val="11896614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8964608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k'!$D$20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k'!$E$18:$P$18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k'!$E$20:$P$20</c:f>
              <c:numCache>
                <c:formatCode>0%</c:formatCode>
                <c:ptCount val="12"/>
                <c:pt idx="0">
                  <c:v>0.8368580060422961</c:v>
                </c:pt>
                <c:pt idx="1">
                  <c:v>0</c:v>
                </c:pt>
                <c:pt idx="2">
                  <c:v>0.19444444444444445</c:v>
                </c:pt>
                <c:pt idx="3">
                  <c:v>-7.2992700729927001E-2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6C-4495-9764-3DA91CA4B2B6}"/>
            </c:ext>
          </c:extLst>
        </c:ser>
        <c:ser>
          <c:idx val="4"/>
          <c:order val="2"/>
          <c:tx>
            <c:strRef>
              <c:f>'KPI k'!$D$23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k'!$E$18:$P$18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k'!$E$23:$P$23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6C-4495-9764-3DA91CA4B2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8147712"/>
        <c:axId val="118149504"/>
      </c:barChart>
      <c:lineChart>
        <c:grouping val="standard"/>
        <c:varyColors val="0"/>
        <c:ser>
          <c:idx val="0"/>
          <c:order val="0"/>
          <c:tx>
            <c:strRef>
              <c:f>'KPI k'!$D$19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k'!$E$18:$P$18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k'!$E$19:$P$19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6C-4495-9764-3DA91CA4B2B6}"/>
            </c:ext>
          </c:extLst>
        </c:ser>
        <c:ser>
          <c:idx val="2"/>
          <c:order val="3"/>
          <c:tx>
            <c:strRef>
              <c:f>'KPI 124'!#REF!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124'!#REF!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B6C-4495-9764-3DA91CA4B2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147712"/>
        <c:axId val="118149504"/>
      </c:lineChart>
      <c:dateAx>
        <c:axId val="11814771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8149504"/>
        <c:crosses val="autoZero"/>
        <c:auto val="1"/>
        <c:lblOffset val="100"/>
        <c:baseTimeUnit val="months"/>
      </c:dateAx>
      <c:valAx>
        <c:axId val="11814950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8147712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Y (2)'!$D$20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Y (2)'!$E$18:$P$18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Y (2)'!$E$20:$P$20</c:f>
              <c:numCache>
                <c:formatCode>#,##0</c:formatCode>
                <c:ptCount val="12"/>
                <c:pt idx="0">
                  <c:v>119</c:v>
                </c:pt>
                <c:pt idx="1">
                  <c:v>105</c:v>
                </c:pt>
                <c:pt idx="2">
                  <c:v>67</c:v>
                </c:pt>
                <c:pt idx="3">
                  <c:v>30</c:v>
                </c:pt>
                <c:pt idx="4">
                  <c:v>551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AB-47FA-9A84-9752F3D8232E}"/>
            </c:ext>
          </c:extLst>
        </c:ser>
        <c:ser>
          <c:idx val="4"/>
          <c:order val="2"/>
          <c:tx>
            <c:strRef>
              <c:f>'KPI Y (2)'!$D$23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Y (2)'!$E$18:$P$18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Y (2)'!$E$23:$P$23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AB-47FA-9A84-9752F3D823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8760576"/>
        <c:axId val="118762112"/>
      </c:barChart>
      <c:lineChart>
        <c:grouping val="standard"/>
        <c:varyColors val="0"/>
        <c:ser>
          <c:idx val="0"/>
          <c:order val="0"/>
          <c:tx>
            <c:strRef>
              <c:f>'KPI Y (2)'!$D$19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Y (2)'!$E$18:$P$18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Y (2)'!$E$19:$P$19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CAB-47FA-9A84-9752F3D8232E}"/>
            </c:ext>
          </c:extLst>
        </c:ser>
        <c:ser>
          <c:idx val="2"/>
          <c:order val="3"/>
          <c:tx>
            <c:strRef>
              <c:f>'KPI 103'!#REF!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103'!#REF!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CAB-47FA-9A84-9752F3D823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760576"/>
        <c:axId val="118762112"/>
      </c:lineChart>
      <c:dateAx>
        <c:axId val="11876057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8762112"/>
        <c:crosses val="autoZero"/>
        <c:auto val="1"/>
        <c:lblOffset val="100"/>
        <c:baseTimeUnit val="months"/>
      </c:dateAx>
      <c:valAx>
        <c:axId val="11876211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8760576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z (2)'!$D$20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z (2)'!$E$18:$P$18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z (2)'!$E$20:$P$20</c:f>
              <c:numCache>
                <c:formatCode>#,##0</c:formatCode>
                <c:ptCount val="12"/>
                <c:pt idx="0">
                  <c:v>90</c:v>
                </c:pt>
                <c:pt idx="1">
                  <c:v>105</c:v>
                </c:pt>
                <c:pt idx="2">
                  <c:v>67</c:v>
                </c:pt>
                <c:pt idx="3">
                  <c:v>170</c:v>
                </c:pt>
                <c:pt idx="4">
                  <c:v>453</c:v>
                </c:pt>
                <c:pt idx="5">
                  <c:v>255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A3-4074-ABD6-70D49AA317D9}"/>
            </c:ext>
          </c:extLst>
        </c:ser>
        <c:ser>
          <c:idx val="4"/>
          <c:order val="2"/>
          <c:tx>
            <c:strRef>
              <c:f>'KPI z (2)'!$D$23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z (2)'!$E$18:$P$18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z (2)'!$E$23:$P$23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A3-4074-ABD6-70D49AA317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9615488"/>
        <c:axId val="119617024"/>
      </c:barChart>
      <c:lineChart>
        <c:grouping val="standard"/>
        <c:varyColors val="0"/>
        <c:ser>
          <c:idx val="0"/>
          <c:order val="0"/>
          <c:tx>
            <c:strRef>
              <c:f>'KPI z (2)'!$D$19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z (2)'!$E$18:$P$18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z (2)'!$E$19:$P$19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A3-4074-ABD6-70D49AA317D9}"/>
            </c:ext>
          </c:extLst>
        </c:ser>
        <c:ser>
          <c:idx val="2"/>
          <c:order val="3"/>
          <c:tx>
            <c:strRef>
              <c:f>'KPI 110'!#REF!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110'!#REF!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AA3-4074-ABD6-70D49AA317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615488"/>
        <c:axId val="119617024"/>
      </c:lineChart>
      <c:dateAx>
        <c:axId val="11961548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9617024"/>
        <c:crosses val="autoZero"/>
        <c:auto val="1"/>
        <c:lblOffset val="100"/>
        <c:baseTimeUnit val="months"/>
      </c:dateAx>
      <c:valAx>
        <c:axId val="11961702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9615488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k (2)'!$D$20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k (2)'!$E$18:$P$18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k (2)'!$E$20:$P$20</c:f>
              <c:numCache>
                <c:formatCode>0%</c:formatCode>
                <c:ptCount val="12"/>
                <c:pt idx="0">
                  <c:v>0.24369747899159663</c:v>
                </c:pt>
                <c:pt idx="1">
                  <c:v>0</c:v>
                </c:pt>
                <c:pt idx="2">
                  <c:v>0</c:v>
                </c:pt>
                <c:pt idx="3">
                  <c:v>-4.666666666666667</c:v>
                </c:pt>
                <c:pt idx="4">
                  <c:v>0.17785843920145192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8A-4CDA-9133-1A5942CA12DD}"/>
            </c:ext>
          </c:extLst>
        </c:ser>
        <c:ser>
          <c:idx val="4"/>
          <c:order val="2"/>
          <c:tx>
            <c:strRef>
              <c:f>'KPI k (2)'!$D$23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k (2)'!$E$18:$P$18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k (2)'!$E$23:$P$23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8A-4CDA-9133-1A5942CA12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9515392"/>
        <c:axId val="118820864"/>
      </c:barChart>
      <c:lineChart>
        <c:grouping val="standard"/>
        <c:varyColors val="0"/>
        <c:ser>
          <c:idx val="0"/>
          <c:order val="0"/>
          <c:tx>
            <c:strRef>
              <c:f>'KPI k (2)'!$D$19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k (2)'!$E$18:$P$18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k (2)'!$E$19:$P$19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8A-4CDA-9133-1A5942CA12DD}"/>
            </c:ext>
          </c:extLst>
        </c:ser>
        <c:ser>
          <c:idx val="2"/>
          <c:order val="3"/>
          <c:tx>
            <c:strRef>
              <c:f>'KPI 124'!#REF!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124'!#REF!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A8A-4CDA-9133-1A5942CA12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515392"/>
        <c:axId val="118820864"/>
      </c:lineChart>
      <c:dateAx>
        <c:axId val="1195153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8820864"/>
        <c:crosses val="autoZero"/>
        <c:auto val="1"/>
        <c:lblOffset val="100"/>
        <c:baseTimeUnit val="months"/>
      </c:dateAx>
      <c:valAx>
        <c:axId val="11882086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9515392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Y (3)'!$D$20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Y (3)'!$E$18:$P$18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Y (3)'!$E$20:$P$20</c:f>
              <c:numCache>
                <c:formatCode>#,##0</c:formatCode>
                <c:ptCount val="12"/>
                <c:pt idx="0">
                  <c:v>136</c:v>
                </c:pt>
                <c:pt idx="1">
                  <c:v>149</c:v>
                </c:pt>
                <c:pt idx="2">
                  <c:v>70</c:v>
                </c:pt>
                <c:pt idx="3">
                  <c:v>107</c:v>
                </c:pt>
                <c:pt idx="4">
                  <c:v>250</c:v>
                </c:pt>
                <c:pt idx="5">
                  <c:v>0</c:v>
                </c:pt>
                <c:pt idx="6">
                  <c:v>0</c:v>
                </c:pt>
                <c:pt idx="7">
                  <c:v>292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3-4AB2-8EB7-120FE90024AB}"/>
            </c:ext>
          </c:extLst>
        </c:ser>
        <c:ser>
          <c:idx val="4"/>
          <c:order val="2"/>
          <c:tx>
            <c:strRef>
              <c:f>'KPI Y (3)'!$D$23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Y (3)'!$E$18:$P$18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Y (3)'!$E$23:$P$23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13-4AB2-8EB7-120FE90024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9661312"/>
        <c:axId val="119662848"/>
      </c:barChart>
      <c:lineChart>
        <c:grouping val="standard"/>
        <c:varyColors val="0"/>
        <c:ser>
          <c:idx val="0"/>
          <c:order val="0"/>
          <c:tx>
            <c:strRef>
              <c:f>'KPI Y (3)'!$D$19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Y (3)'!$E$18:$P$18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Y (3)'!$E$19:$P$19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B13-4AB2-8EB7-120FE90024AB}"/>
            </c:ext>
          </c:extLst>
        </c:ser>
        <c:ser>
          <c:idx val="2"/>
          <c:order val="3"/>
          <c:tx>
            <c:strRef>
              <c:f>'KPI 103'!#REF!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103'!#REF!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B13-4AB2-8EB7-120FE90024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661312"/>
        <c:axId val="119662848"/>
      </c:lineChart>
      <c:dateAx>
        <c:axId val="11966131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9662848"/>
        <c:crosses val="autoZero"/>
        <c:auto val="1"/>
        <c:lblOffset val="100"/>
        <c:baseTimeUnit val="months"/>
      </c:dateAx>
      <c:valAx>
        <c:axId val="11966284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9661312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z (3)'!$D$20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z (3)'!$E$18:$P$18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z (3)'!$E$20:$P$20</c:f>
              <c:numCache>
                <c:formatCode>#,##0</c:formatCode>
                <c:ptCount val="12"/>
                <c:pt idx="0">
                  <c:v>78</c:v>
                </c:pt>
                <c:pt idx="1">
                  <c:v>149</c:v>
                </c:pt>
                <c:pt idx="2">
                  <c:v>70</c:v>
                </c:pt>
                <c:pt idx="3">
                  <c:v>90</c:v>
                </c:pt>
                <c:pt idx="4">
                  <c:v>0</c:v>
                </c:pt>
                <c:pt idx="5">
                  <c:v>168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65-49F9-B9EA-BA6C461E631B}"/>
            </c:ext>
          </c:extLst>
        </c:ser>
        <c:ser>
          <c:idx val="4"/>
          <c:order val="2"/>
          <c:tx>
            <c:strRef>
              <c:f>'KPI z (3)'!$D$23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z (3)'!$E$18:$P$18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z (3)'!$E$23:$P$23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65-49F9-B9EA-BA6C461E63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8406144"/>
        <c:axId val="118407936"/>
      </c:barChart>
      <c:lineChart>
        <c:grouping val="standard"/>
        <c:varyColors val="0"/>
        <c:ser>
          <c:idx val="0"/>
          <c:order val="0"/>
          <c:tx>
            <c:strRef>
              <c:f>'KPI z (3)'!$D$19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z (3)'!$E$18:$P$18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z (3)'!$E$19:$P$19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65-49F9-B9EA-BA6C461E631B}"/>
            </c:ext>
          </c:extLst>
        </c:ser>
        <c:ser>
          <c:idx val="2"/>
          <c:order val="3"/>
          <c:tx>
            <c:strRef>
              <c:f>'KPI 110'!#REF!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110'!#REF!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465-49F9-B9EA-BA6C461E63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406144"/>
        <c:axId val="118407936"/>
      </c:lineChart>
      <c:dateAx>
        <c:axId val="11840614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8407936"/>
        <c:crosses val="autoZero"/>
        <c:auto val="1"/>
        <c:lblOffset val="100"/>
        <c:baseTimeUnit val="months"/>
      </c:dateAx>
      <c:valAx>
        <c:axId val="11840793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8406144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k (3)'!$D$20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k (3)'!$E$18:$P$18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k (3)'!$E$20:$P$20</c:f>
              <c:numCache>
                <c:formatCode>0%</c:formatCode>
                <c:ptCount val="12"/>
                <c:pt idx="0">
                  <c:v>0.4264705882352941</c:v>
                </c:pt>
                <c:pt idx="1">
                  <c:v>0</c:v>
                </c:pt>
                <c:pt idx="2">
                  <c:v>0</c:v>
                </c:pt>
                <c:pt idx="3">
                  <c:v>0.15887850467289719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51-4F01-9B39-91B8182F4A91}"/>
            </c:ext>
          </c:extLst>
        </c:ser>
        <c:ser>
          <c:idx val="4"/>
          <c:order val="2"/>
          <c:tx>
            <c:strRef>
              <c:f>'KPI k (3)'!$D$23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k (3)'!$E$18:$P$18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k (3)'!$E$23:$P$23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51-4F01-9B39-91B8182F4A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0100352"/>
        <c:axId val="120101888"/>
      </c:barChart>
      <c:lineChart>
        <c:grouping val="standard"/>
        <c:varyColors val="0"/>
        <c:ser>
          <c:idx val="0"/>
          <c:order val="0"/>
          <c:tx>
            <c:strRef>
              <c:f>'KPI k (3)'!$D$19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k (3)'!$E$18:$P$18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k (3)'!$E$19:$P$19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51-4F01-9B39-91B8182F4A91}"/>
            </c:ext>
          </c:extLst>
        </c:ser>
        <c:ser>
          <c:idx val="2"/>
          <c:order val="3"/>
          <c:tx>
            <c:strRef>
              <c:f>'KPI 124'!#REF!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124'!#REF!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E51-4F01-9B39-91B8182F4A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100352"/>
        <c:axId val="120101888"/>
      </c:lineChart>
      <c:dateAx>
        <c:axId val="12010035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20101888"/>
        <c:crosses val="autoZero"/>
        <c:auto val="1"/>
        <c:lblOffset val="100"/>
        <c:baseTimeUnit val="months"/>
      </c:dateAx>
      <c:valAx>
        <c:axId val="12010188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20100352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trlProps/ctrlProp1.xml><?xml version="1.0" encoding="utf-8"?>
<formControlPr xmlns="http://schemas.microsoft.com/office/spreadsheetml/2009/9/main" objectType="Spin" dx="16" fmlaLink="Actual_month" max="12" min="1" page="10" val="8"/>
</file>

<file path=xl/ctrlProps/ctrlProp2.xml><?xml version="1.0" encoding="utf-8"?>
<formControlPr xmlns="http://schemas.microsoft.com/office/spreadsheetml/2009/9/main" objectType="Spin" dx="16" fmlaLink="Actual_month" max="12" min="1" page="10" val="8"/>
</file>

<file path=xl/ctrlProps/ctrlProp3.xml><?xml version="1.0" encoding="utf-8"?>
<formControlPr xmlns="http://schemas.microsoft.com/office/spreadsheetml/2009/9/main" objectType="Spin" dx="16" fmlaLink="Actual_month" max="12" min="1" page="10" val="8"/>
</file>

<file path=xl/ctrlProps/ctrlProp4.xml><?xml version="1.0" encoding="utf-8"?>
<formControlPr xmlns="http://schemas.microsoft.com/office/spreadsheetml/2009/9/main" objectType="Spin" dx="16" fmlaLink="Actual_month" max="12" min="1" page="10" val="8"/>
</file>

<file path=xl/ctrlProps/ctrlProp5.xml><?xml version="1.0" encoding="utf-8"?>
<formControlPr xmlns="http://schemas.microsoft.com/office/spreadsheetml/2009/9/main" objectType="Spin" dx="16" fmlaLink="Actual_month" max="12" min="1" page="10" val="8"/>
</file>

<file path=xl/ctrlProps/ctrlProp6.xml><?xml version="1.0" encoding="utf-8"?>
<formControlPr xmlns="http://schemas.microsoft.com/office/spreadsheetml/2009/9/main" objectType="Spin" dx="16" fmlaLink="Actual_month" max="12" min="1" page="10" val="8"/>
</file>

<file path=xl/ctrlProps/ctrlProp7.xml><?xml version="1.0" encoding="utf-8"?>
<formControlPr xmlns="http://schemas.microsoft.com/office/spreadsheetml/2009/9/main" objectType="Spin" dx="16" fmlaLink="Actual_month" max="12" min="1" page="10" val="8"/>
</file>

<file path=xl/ctrlProps/ctrlProp8.xml><?xml version="1.0" encoding="utf-8"?>
<formControlPr xmlns="http://schemas.microsoft.com/office/spreadsheetml/2009/9/main" objectType="Spin" dx="16" fmlaLink="Actual_month" max="12" min="1" page="10" val="8"/>
</file>

<file path=xl/ctrlProps/ctrlProp9.xml><?xml version="1.0" encoding="utf-8"?>
<formControlPr xmlns="http://schemas.microsoft.com/office/spreadsheetml/2009/9/main" objectType="Spin" dx="16" fmlaLink="Actual_month" max="12" min="1" page="10" val="8"/>
</file>

<file path=xl/ctrlProps/ctrlProp10.xml><?xml version="1.0" encoding="utf-8"?>
<formControlPr xmlns="http://schemas.microsoft.com/office/spreadsheetml/2009/9/main" objectType="Spin" dx="16" fmlaLink="Actual_month" max="12" min="1" page="10" val="8"/>
</file>

<file path=xl/ctrlProps/ctrlProp11.xml><?xml version="1.0" encoding="utf-8"?>
<formControlPr xmlns="http://schemas.microsoft.com/office/spreadsheetml/2009/9/main" objectType="Spin" dx="16" fmlaLink="Actual_month" max="12" min="1" page="10" val="8"/>
</file>

<file path=xl/ctrlProps/ctrlProp12.xml><?xml version="1.0" encoding="utf-8"?>
<formControlPr xmlns="http://schemas.microsoft.com/office/spreadsheetml/2009/9/main" objectType="Spin" dx="16" fmlaLink="Actual_month" max="12" min="1" page="10" val="8"/>
</file>

<file path=xl/ctrlProps/ctrlProp13.xml><?xml version="1.0" encoding="utf-8"?>
<formControlPr xmlns="http://schemas.microsoft.com/office/spreadsheetml/2009/9/main" objectType="Spin" dx="16" fmlaLink="Actual_month" max="12" min="1" page="10" val="8"/>
</file>

<file path=xl/ctrlProps/ctrlProp14.xml><?xml version="1.0" encoding="utf-8"?>
<formControlPr xmlns="http://schemas.microsoft.com/office/spreadsheetml/2009/9/main" objectType="Spin" dx="16" fmlaLink="Actual_month" max="12" min="1" page="10" val="8"/>
</file>

<file path=xl/ctrlProps/ctrlProp15.xml><?xml version="1.0" encoding="utf-8"?>
<formControlPr xmlns="http://schemas.microsoft.com/office/spreadsheetml/2009/9/main" objectType="Spin" dx="16" fmlaLink="Actual_month" max="12" min="1" page="10" val="8"/>
</file>

<file path=xl/ctrlProps/ctrlProp16.xml><?xml version="1.0" encoding="utf-8"?>
<formControlPr xmlns="http://schemas.microsoft.com/office/spreadsheetml/2009/9/main" objectType="Spin" dx="16" fmlaLink="Actual_month" max="12" min="1" page="10" val="8"/>
</file>

<file path=xl/ctrlProps/ctrlProp17.xml><?xml version="1.0" encoding="utf-8"?>
<formControlPr xmlns="http://schemas.microsoft.com/office/spreadsheetml/2009/9/main" objectType="Spin" dx="16" fmlaLink="Actual_month" max="12" min="1" page="10" val="8"/>
</file>

<file path=xl/ctrlProps/ctrlProp18.xml><?xml version="1.0" encoding="utf-8"?>
<formControlPr xmlns="http://schemas.microsoft.com/office/spreadsheetml/2009/9/main" objectType="Spin" dx="16" fmlaLink="Actual_month" max="12" min="1" page="10" val="8"/>
</file>

<file path=xl/ctrlProps/ctrlProp19.xml><?xml version="1.0" encoding="utf-8"?>
<formControlPr xmlns="http://schemas.microsoft.com/office/spreadsheetml/2009/9/main" objectType="Spin" dx="16" fmlaLink="Actual_month" max="12" min="1" page="10" val="8"/>
</file>

<file path=xl/ctrlProps/ctrlProp20.xml><?xml version="1.0" encoding="utf-8"?>
<formControlPr xmlns="http://schemas.microsoft.com/office/spreadsheetml/2009/9/main" objectType="Spin" dx="16" fmlaLink="Actual_month" max="12" min="1" page="10" val="8"/>
</file>

<file path=xl/ctrlProps/ctrlProp21.xml><?xml version="1.0" encoding="utf-8"?>
<formControlPr xmlns="http://schemas.microsoft.com/office/spreadsheetml/2009/9/main" objectType="Spin" dx="16" fmlaLink="Actual_month" max="12" min="1" page="10" val="8"/>
</file>

<file path=xl/ctrlProps/ctrlProp22.xml><?xml version="1.0" encoding="utf-8"?>
<formControlPr xmlns="http://schemas.microsoft.com/office/spreadsheetml/2009/9/main" objectType="Spin" dx="16" fmlaLink="Actual_month" max="12" min="1" page="10" val="8"/>
</file>

<file path=xl/ctrlProps/ctrlProp23.xml><?xml version="1.0" encoding="utf-8"?>
<formControlPr xmlns="http://schemas.microsoft.com/office/spreadsheetml/2009/9/main" objectType="Spin" dx="16" fmlaLink="Actual_month" max="12" min="1" page="10" val="8"/>
</file>

<file path=xl/ctrlProps/ctrlProp24.xml><?xml version="1.0" encoding="utf-8"?>
<formControlPr xmlns="http://schemas.microsoft.com/office/spreadsheetml/2009/9/main" objectType="Spin" dx="16" fmlaLink="Actual_month" max="12" min="1" page="10" val="8"/>
</file>

<file path=xl/ctrlProps/ctrlProp25.xml><?xml version="1.0" encoding="utf-8"?>
<formControlPr xmlns="http://schemas.microsoft.com/office/spreadsheetml/2009/9/main" objectType="Spin" dx="16" fmlaLink="Actual_month" max="12" min="1" page="10" val="8"/>
</file>

<file path=xl/ctrlProps/ctrlProp26.xml><?xml version="1.0" encoding="utf-8"?>
<formControlPr xmlns="http://schemas.microsoft.com/office/spreadsheetml/2009/9/main" objectType="Spin" dx="16" fmlaLink="Actual_month" max="12" min="1" page="10" val="8"/>
</file>

<file path=xl/ctrlProps/ctrlProp27.xml><?xml version="1.0" encoding="utf-8"?>
<formControlPr xmlns="http://schemas.microsoft.com/office/spreadsheetml/2009/9/main" objectType="Spin" dx="16" fmlaLink="Actual_month" max="12" min="1" page="10" val="8"/>
</file>

<file path=xl/ctrlProps/ctrlProp28.xml><?xml version="1.0" encoding="utf-8"?>
<formControlPr xmlns="http://schemas.microsoft.com/office/spreadsheetml/2009/9/main" objectType="Spin" dx="16" fmlaLink="Actual_month" max="12" min="1" page="10" val="8"/>
</file>

<file path=xl/ctrlProps/ctrlProp29.xml><?xml version="1.0" encoding="utf-8"?>
<formControlPr xmlns="http://schemas.microsoft.com/office/spreadsheetml/2009/9/main" objectType="Spin" dx="16" fmlaLink="Actual_month" max="12" min="1" page="10" val="8"/>
</file>

<file path=xl/ctrlProps/ctrlProp30.xml><?xml version="1.0" encoding="utf-8"?>
<formControlPr xmlns="http://schemas.microsoft.com/office/spreadsheetml/2009/9/main" objectType="Spin" dx="16" fmlaLink="Actual_month" max="12" min="1" page="10" val="8"/>
</file>

<file path=xl/ctrlProps/ctrlProp31.xml><?xml version="1.0" encoding="utf-8"?>
<formControlPr xmlns="http://schemas.microsoft.com/office/spreadsheetml/2009/9/main" objectType="Spin" dx="16" fmlaLink="Actual_month" max="12" min="1" page="10" val="8"/>
</file>

<file path=xl/ctrlProps/ctrlProp32.xml><?xml version="1.0" encoding="utf-8"?>
<formControlPr xmlns="http://schemas.microsoft.com/office/spreadsheetml/2009/9/main" objectType="Spin" dx="16" fmlaLink="Actual_month" max="12" min="1" page="10" val="8"/>
</file>

<file path=xl/ctrlProps/ctrlProp33.xml><?xml version="1.0" encoding="utf-8"?>
<formControlPr xmlns="http://schemas.microsoft.com/office/spreadsheetml/2009/9/main" objectType="Spin" dx="16" fmlaLink="Actual_month" max="12" min="1" page="10" val="8"/>
</file>

<file path=xl/ctrlProps/ctrlProp34.xml><?xml version="1.0" encoding="utf-8"?>
<formControlPr xmlns="http://schemas.microsoft.com/office/spreadsheetml/2009/9/main" objectType="Spin" dx="16" fmlaLink="Actual_month" max="12" min="1" page="10" val="8"/>
</file>

<file path=xl/ctrlProps/ctrlProp35.xml><?xml version="1.0" encoding="utf-8"?>
<formControlPr xmlns="http://schemas.microsoft.com/office/spreadsheetml/2009/9/main" objectType="Spin" dx="16" fmlaLink="Actual_month" max="12" min="1" page="10" val="8"/>
</file>

<file path=xl/ctrlProps/ctrlProp36.xml><?xml version="1.0" encoding="utf-8"?>
<formControlPr xmlns="http://schemas.microsoft.com/office/spreadsheetml/2009/9/main" objectType="Spin" dx="16" fmlaLink="Actual_month" max="12" min="1" page="10" val="8"/>
</file>

<file path=xl/ctrlProps/ctrlProp37.xml><?xml version="1.0" encoding="utf-8"?>
<formControlPr xmlns="http://schemas.microsoft.com/office/spreadsheetml/2009/9/main" objectType="Spin" dx="16" fmlaLink="Actual_month" max="12" min="1" page="10" val="8"/>
</file>

<file path=xl/ctrlProps/ctrlProp38.xml><?xml version="1.0" encoding="utf-8"?>
<formControlPr xmlns="http://schemas.microsoft.com/office/spreadsheetml/2009/9/main" objectType="Spin" dx="16" fmlaLink="Actual_month" max="12" min="1" page="10" val="8"/>
</file>

<file path=xl/ctrlProps/ctrlProp39.xml><?xml version="1.0" encoding="utf-8"?>
<formControlPr xmlns="http://schemas.microsoft.com/office/spreadsheetml/2009/9/main" objectType="Spin" dx="16" fmlaLink="Actual_month" max="12" min="1" page="10" val="8"/>
</file>

<file path=xl/ctrlProps/ctrlProp40.xml><?xml version="1.0" encoding="utf-8"?>
<formControlPr xmlns="http://schemas.microsoft.com/office/spreadsheetml/2009/9/main" objectType="Spin" dx="16" fmlaLink="Actual_month" max="12" min="1" page="10" val="8"/>
</file>

<file path=xl/ctrlProps/ctrlProp41.xml><?xml version="1.0" encoding="utf-8"?>
<formControlPr xmlns="http://schemas.microsoft.com/office/spreadsheetml/2009/9/main" objectType="Spin" dx="16" fmlaLink="Actual_month" max="12" min="1" page="10" val="8"/>
</file>

<file path=xl/ctrlProps/ctrlProp42.xml><?xml version="1.0" encoding="utf-8"?>
<formControlPr xmlns="http://schemas.microsoft.com/office/spreadsheetml/2009/9/main" objectType="Spin" dx="16" fmlaLink="Actual_month" max="12" min="1" page="10" val="8"/>
</file>

<file path=xl/ctrlProps/ctrlProp43.xml><?xml version="1.0" encoding="utf-8"?>
<formControlPr xmlns="http://schemas.microsoft.com/office/spreadsheetml/2009/9/main" objectType="Spin" dx="16" fmlaLink="Actual_month" max="12" min="1" page="10" val="8"/>
</file>

<file path=xl/ctrlProps/ctrlProp44.xml><?xml version="1.0" encoding="utf-8"?>
<formControlPr xmlns="http://schemas.microsoft.com/office/spreadsheetml/2009/9/main" objectType="Spin" dx="16" fmlaLink="Actual_month" max="12" min="1" page="10" val="8"/>
</file>

<file path=xl/ctrlProps/ctrlProp45.xml><?xml version="1.0" encoding="utf-8"?>
<formControlPr xmlns="http://schemas.microsoft.com/office/spreadsheetml/2009/9/main" objectType="Spin" dx="16" fmlaLink="Actual_month" max="12" min="1" page="10" val="8"/>
</file>

<file path=xl/ctrlProps/ctrlProp46.xml><?xml version="1.0" encoding="utf-8"?>
<formControlPr xmlns="http://schemas.microsoft.com/office/spreadsheetml/2009/9/main" objectType="Spin" dx="16" fmlaLink="Actual_month" max="12" min="1" page="10" val="8"/>
</file>

<file path=xl/ctrlProps/ctrlProp47.xml><?xml version="1.0" encoding="utf-8"?>
<formControlPr xmlns="http://schemas.microsoft.com/office/spreadsheetml/2009/9/main" objectType="Spin" dx="16" fmlaLink="Actual_month" max="12" min="1" page="10" val="8"/>
</file>

<file path=xl/ctrlProps/ctrlProp48.xml><?xml version="1.0" encoding="utf-8"?>
<formControlPr xmlns="http://schemas.microsoft.com/office/spreadsheetml/2009/9/main" objectType="Spin" dx="16" fmlaLink="Actual_month" max="12" min="1" page="10" val="8"/>
</file>

<file path=xl/ctrlProps/ctrlProp49.xml><?xml version="1.0" encoding="utf-8"?>
<formControlPr xmlns="http://schemas.microsoft.com/office/spreadsheetml/2009/9/main" objectType="Spin" dx="16" fmlaLink="Actual_month" max="12" min="1" page="10" val="8"/>
</file>

<file path=xl/ctrlProps/ctrlProp50.xml><?xml version="1.0" encoding="utf-8"?>
<formControlPr xmlns="http://schemas.microsoft.com/office/spreadsheetml/2009/9/main" objectType="Spin" dx="16" fmlaLink="Actual_month" max="12" min="1" page="10" val="8"/>
</file>

<file path=xl/ctrlProps/ctrlProp51.xml><?xml version="1.0" encoding="utf-8"?>
<formControlPr xmlns="http://schemas.microsoft.com/office/spreadsheetml/2009/9/main" objectType="Spin" dx="16" fmlaLink="Actual_month" max="12" min="1" page="10" val="8"/>
</file>

<file path=xl/ctrlProps/ctrlProp52.xml><?xml version="1.0" encoding="utf-8"?>
<formControlPr xmlns="http://schemas.microsoft.com/office/spreadsheetml/2009/9/main" objectType="Spin" dx="16" fmlaLink="Actual_month" max="12" min="1" page="10" val="8"/>
</file>

<file path=xl/ctrlProps/ctrlProp53.xml><?xml version="1.0" encoding="utf-8"?>
<formControlPr xmlns="http://schemas.microsoft.com/office/spreadsheetml/2009/9/main" objectType="Spin" dx="16" fmlaLink="Actual_month" max="12" min="1" page="10" val="8"/>
</file>

<file path=xl/ctrlProps/ctrlProp54.xml><?xml version="1.0" encoding="utf-8"?>
<formControlPr xmlns="http://schemas.microsoft.com/office/spreadsheetml/2009/9/main" objectType="Spin" dx="16" fmlaLink="Actual_month" max="12" min="1" page="10" val="8"/>
</file>

<file path=xl/ctrlProps/ctrlProp55.xml><?xml version="1.0" encoding="utf-8"?>
<formControlPr xmlns="http://schemas.microsoft.com/office/spreadsheetml/2009/9/main" objectType="Spin" dx="16" fmlaLink="Actual_month" max="12" min="1" page="10" val="8"/>
</file>

<file path=xl/ctrlProps/ctrlProp56.xml><?xml version="1.0" encoding="utf-8"?>
<formControlPr xmlns="http://schemas.microsoft.com/office/spreadsheetml/2009/9/main" objectType="Spin" dx="16" fmlaLink="Actual_month" max="12" min="1" page="10" val="8"/>
</file>

<file path=xl/ctrlProps/ctrlProp57.xml><?xml version="1.0" encoding="utf-8"?>
<formControlPr xmlns="http://schemas.microsoft.com/office/spreadsheetml/2009/9/main" objectType="Spin" dx="16" fmlaLink="Actual_month" max="12" min="1" page="10" val="8"/>
</file>

<file path=xl/ctrlProps/ctrlProp58.xml><?xml version="1.0" encoding="utf-8"?>
<formControlPr xmlns="http://schemas.microsoft.com/office/spreadsheetml/2009/9/main" objectType="Spin" dx="16" fmlaLink="Actual_month" max="12" min="1" page="10" val="8"/>
</file>

<file path=xl/ctrlProps/ctrlProp59.xml><?xml version="1.0" encoding="utf-8"?>
<formControlPr xmlns="http://schemas.microsoft.com/office/spreadsheetml/2009/9/main" objectType="Spin" dx="16" fmlaLink="Actual_month" max="12" min="1" page="10" val="8"/>
</file>

<file path=xl/ctrlProps/ctrlProp60.xml><?xml version="1.0" encoding="utf-8"?>
<formControlPr xmlns="http://schemas.microsoft.com/office/spreadsheetml/2009/9/main" objectType="Spin" dx="16" fmlaLink="Actual_month" max="12" min="1" page="10" val="8"/>
</file>

<file path=xl/ctrlProps/ctrlProp61.xml><?xml version="1.0" encoding="utf-8"?>
<formControlPr xmlns="http://schemas.microsoft.com/office/spreadsheetml/2009/9/main" objectType="Spin" dx="16" fmlaLink="Actual_month" max="12" min="1" page="10" val="8"/>
</file>

<file path=xl/ctrlProps/ctrlProp62.xml><?xml version="1.0" encoding="utf-8"?>
<formControlPr xmlns="http://schemas.microsoft.com/office/spreadsheetml/2009/9/main" objectType="Spin" dx="16" fmlaLink="Actual_month" max="12" min="1" page="10" val="8"/>
</file>

<file path=xl/ctrlProps/ctrlProp63.xml><?xml version="1.0" encoding="utf-8"?>
<formControlPr xmlns="http://schemas.microsoft.com/office/spreadsheetml/2009/9/main" objectType="Spin" dx="16" fmlaLink="Actual_month" max="12" min="1" page="10" val="8"/>
</file>

<file path=xl/ctrlProps/ctrlProp64.xml><?xml version="1.0" encoding="utf-8"?>
<formControlPr xmlns="http://schemas.microsoft.com/office/spreadsheetml/2009/9/main" objectType="Spin" dx="16" fmlaLink="Actual_month" max="12" min="1" page="10" val="8"/>
</file>

<file path=xl/ctrlProps/ctrlProp65.xml><?xml version="1.0" encoding="utf-8"?>
<formControlPr xmlns="http://schemas.microsoft.com/office/spreadsheetml/2009/9/main" objectType="Spin" dx="16" fmlaLink="Actual_month" max="12" min="1" page="10" val="8"/>
</file>

<file path=xl/ctrlProps/ctrlProp66.xml><?xml version="1.0" encoding="utf-8"?>
<formControlPr xmlns="http://schemas.microsoft.com/office/spreadsheetml/2009/9/main" objectType="Spin" dx="16" fmlaLink="Actual_month" max="12" min="1" page="10" val="8"/>
</file>

<file path=xl/ctrlProps/ctrlProp67.xml><?xml version="1.0" encoding="utf-8"?>
<formControlPr xmlns="http://schemas.microsoft.com/office/spreadsheetml/2009/9/main" objectType="Spin" dx="16" fmlaLink="Actual_month" max="12" min="1" page="10" val="8"/>
</file>

<file path=xl/ctrlProps/ctrlProp68.xml><?xml version="1.0" encoding="utf-8"?>
<formControlPr xmlns="http://schemas.microsoft.com/office/spreadsheetml/2009/9/main" objectType="Spin" dx="16" fmlaLink="Actual_month" max="12" min="1" page="10" val="8"/>
</file>

<file path=xl/ctrlProps/ctrlProp69.xml><?xml version="1.0" encoding="utf-8"?>
<formControlPr xmlns="http://schemas.microsoft.com/office/spreadsheetml/2009/9/main" objectType="Spin" dx="16" fmlaLink="Actual_month" max="12" min="1" page="10" val="8"/>
</file>

<file path=xl/ctrlProps/ctrlProp70.xml><?xml version="1.0" encoding="utf-8"?>
<formControlPr xmlns="http://schemas.microsoft.com/office/spreadsheetml/2009/9/main" objectType="Spin" dx="16" fmlaLink="Actual_month" max="12" min="1" page="10" val="8"/>
</file>

<file path=xl/ctrlProps/ctrlProp71.xml><?xml version="1.0" encoding="utf-8"?>
<formControlPr xmlns="http://schemas.microsoft.com/office/spreadsheetml/2009/9/main" objectType="Spin" dx="16" fmlaLink="Actual_month" max="12" min="1" page="10" val="8"/>
</file>

<file path=xl/ctrlProps/ctrlProp72.xml><?xml version="1.0" encoding="utf-8"?>
<formControlPr xmlns="http://schemas.microsoft.com/office/spreadsheetml/2009/9/main" objectType="Spin" dx="16" fmlaLink="Actual_month" max="12" min="1" page="10" val="8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6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7.xml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8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9.xml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0.xml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1.xml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2.xml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3.xml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4.xml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5.xml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6.xml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7.xml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8.xml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9.xml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0.xml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1.xml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2.xml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3.xml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4.xml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5.xml"/></Relationships>
</file>

<file path=xl/drawings/_rels/drawing5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7.xml"/><Relationship Id="rId1" Type="http://schemas.openxmlformats.org/officeDocument/2006/relationships/chart" Target="../charts/chart56.xml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8.xml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9.xml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0.xml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1.xml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2.xml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3.xml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4.xml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5.xml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6.xml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7.xml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8.xml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9.xml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0.xml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1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1009650</xdr:colOff>
          <xdr:row>1</xdr:row>
          <xdr:rowOff>12700</xdr:rowOff>
        </xdr:from>
        <xdr:to>
          <xdr:col>1</xdr:col>
          <xdr:colOff>1651000</xdr:colOff>
          <xdr:row>3</xdr:row>
          <xdr:rowOff>0</xdr:rowOff>
        </xdr:to>
        <xdr:sp macro="" textlink="">
          <xdr:nvSpPr>
            <xdr:cNvPr id="344065" name="Spinner 1" hidden="1">
              <a:extLst>
                <a:ext uri="{63B3BB69-23CF-44E3-9099-C40C66FF867C}">
                  <a14:compatExt spid="_x0000_s344065"/>
                </a:ext>
                <a:ext uri="{FF2B5EF4-FFF2-40B4-BE49-F238E27FC236}">
                  <a16:creationId xmlns:a16="http://schemas.microsoft.com/office/drawing/2014/main" id="{00000000-0008-0000-0000-00000140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57150</xdr:rowOff>
        </xdr:from>
        <xdr:to>
          <xdr:col>9</xdr:col>
          <xdr:colOff>628650</xdr:colOff>
          <xdr:row>2</xdr:row>
          <xdr:rowOff>0</xdr:rowOff>
        </xdr:to>
        <xdr:sp macro="" textlink="">
          <xdr:nvSpPr>
            <xdr:cNvPr id="1682433" name="Spinner 1" hidden="1">
              <a:extLst>
                <a:ext uri="{63B3BB69-23CF-44E3-9099-C40C66FF867C}">
                  <a14:compatExt spid="_x0000_s1682433"/>
                </a:ext>
                <a:ext uri="{FF2B5EF4-FFF2-40B4-BE49-F238E27FC236}">
                  <a16:creationId xmlns:a16="http://schemas.microsoft.com/office/drawing/2014/main" id="{00000000-0008-0000-0700-000001AC19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57150</xdr:rowOff>
        </xdr:from>
        <xdr:to>
          <xdr:col>9</xdr:col>
          <xdr:colOff>628650</xdr:colOff>
          <xdr:row>2</xdr:row>
          <xdr:rowOff>0</xdr:rowOff>
        </xdr:to>
        <xdr:sp macro="" textlink="">
          <xdr:nvSpPr>
            <xdr:cNvPr id="1613826" name="Spinner 2" hidden="1">
              <a:extLst>
                <a:ext uri="{63B3BB69-23CF-44E3-9099-C40C66FF867C}">
                  <a14:compatExt spid="_x0000_s1613826"/>
                </a:ext>
                <a:ext uri="{FF2B5EF4-FFF2-40B4-BE49-F238E27FC236}">
                  <a16:creationId xmlns:a16="http://schemas.microsoft.com/office/drawing/2014/main" id="{00000000-0008-0000-0800-000002A01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57150</xdr:rowOff>
        </xdr:from>
        <xdr:to>
          <xdr:col>9</xdr:col>
          <xdr:colOff>628650</xdr:colOff>
          <xdr:row>1</xdr:row>
          <xdr:rowOff>228600</xdr:rowOff>
        </xdr:to>
        <xdr:sp macro="" textlink="">
          <xdr:nvSpPr>
            <xdr:cNvPr id="837633" name="Spinner 1" hidden="1">
              <a:extLst>
                <a:ext uri="{63B3BB69-23CF-44E3-9099-C40C66FF867C}">
                  <a14:compatExt spid="_x0000_s837633"/>
                </a:ext>
                <a:ext uri="{FF2B5EF4-FFF2-40B4-BE49-F238E27FC236}">
                  <a16:creationId xmlns:a16="http://schemas.microsoft.com/office/drawing/2014/main" id="{00000000-0008-0000-0900-000001C80C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57150</xdr:rowOff>
        </xdr:from>
        <xdr:to>
          <xdr:col>9</xdr:col>
          <xdr:colOff>628650</xdr:colOff>
          <xdr:row>2</xdr:row>
          <xdr:rowOff>0</xdr:rowOff>
        </xdr:to>
        <xdr:sp macro="" textlink="">
          <xdr:nvSpPr>
            <xdr:cNvPr id="1685505" name="Spinner 1" hidden="1">
              <a:extLst>
                <a:ext uri="{63B3BB69-23CF-44E3-9099-C40C66FF867C}">
                  <a14:compatExt spid="_x0000_s1685505"/>
                </a:ext>
                <a:ext uri="{FF2B5EF4-FFF2-40B4-BE49-F238E27FC236}">
                  <a16:creationId xmlns:a16="http://schemas.microsoft.com/office/drawing/2014/main" id="{00000000-0008-0000-0A00-000001B819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57150</xdr:rowOff>
        </xdr:from>
        <xdr:to>
          <xdr:col>9</xdr:col>
          <xdr:colOff>628650</xdr:colOff>
          <xdr:row>2</xdr:row>
          <xdr:rowOff>0</xdr:rowOff>
        </xdr:to>
        <xdr:sp macro="" textlink="">
          <xdr:nvSpPr>
            <xdr:cNvPr id="1614850" name="Spinner 2" hidden="1">
              <a:extLst>
                <a:ext uri="{63B3BB69-23CF-44E3-9099-C40C66FF867C}">
                  <a14:compatExt spid="_x0000_s1614850"/>
                </a:ext>
                <a:ext uri="{FF2B5EF4-FFF2-40B4-BE49-F238E27FC236}">
                  <a16:creationId xmlns:a16="http://schemas.microsoft.com/office/drawing/2014/main" id="{00000000-0008-0000-0B00-000002A41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57150</xdr:rowOff>
        </xdr:from>
        <xdr:to>
          <xdr:col>9</xdr:col>
          <xdr:colOff>628650</xdr:colOff>
          <xdr:row>2</xdr:row>
          <xdr:rowOff>0</xdr:rowOff>
        </xdr:to>
        <xdr:sp macro="" textlink="">
          <xdr:nvSpPr>
            <xdr:cNvPr id="907265" name="Spinner 1" hidden="1">
              <a:extLst>
                <a:ext uri="{63B3BB69-23CF-44E3-9099-C40C66FF867C}">
                  <a14:compatExt spid="_x0000_s907265"/>
                </a:ext>
                <a:ext uri="{FF2B5EF4-FFF2-40B4-BE49-F238E27FC236}">
                  <a16:creationId xmlns:a16="http://schemas.microsoft.com/office/drawing/2014/main" id="{00000000-0008-0000-0C00-000001D80D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57150</xdr:rowOff>
        </xdr:from>
        <xdr:to>
          <xdr:col>9</xdr:col>
          <xdr:colOff>628650</xdr:colOff>
          <xdr:row>2</xdr:row>
          <xdr:rowOff>0</xdr:rowOff>
        </xdr:to>
        <xdr:sp macro="" textlink="">
          <xdr:nvSpPr>
            <xdr:cNvPr id="1690625" name="Spinner 1" hidden="1">
              <a:extLst>
                <a:ext uri="{63B3BB69-23CF-44E3-9099-C40C66FF867C}">
                  <a14:compatExt spid="_x0000_s1690625"/>
                </a:ext>
                <a:ext uri="{FF2B5EF4-FFF2-40B4-BE49-F238E27FC236}">
                  <a16:creationId xmlns:a16="http://schemas.microsoft.com/office/drawing/2014/main" id="{00000000-0008-0000-0D00-000001CC19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57150</xdr:rowOff>
        </xdr:from>
        <xdr:to>
          <xdr:col>9</xdr:col>
          <xdr:colOff>628650</xdr:colOff>
          <xdr:row>2</xdr:row>
          <xdr:rowOff>0</xdr:rowOff>
        </xdr:to>
        <xdr:sp macro="" textlink="">
          <xdr:nvSpPr>
            <xdr:cNvPr id="1615874" name="Spinner 2" hidden="1">
              <a:extLst>
                <a:ext uri="{63B3BB69-23CF-44E3-9099-C40C66FF867C}">
                  <a14:compatExt spid="_x0000_s1615874"/>
                </a:ext>
                <a:ext uri="{FF2B5EF4-FFF2-40B4-BE49-F238E27FC236}">
                  <a16:creationId xmlns:a16="http://schemas.microsoft.com/office/drawing/2014/main" id="{00000000-0008-0000-0E00-000002A81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57150</xdr:rowOff>
        </xdr:from>
        <xdr:to>
          <xdr:col>9</xdr:col>
          <xdr:colOff>628650</xdr:colOff>
          <xdr:row>2</xdr:row>
          <xdr:rowOff>0</xdr:rowOff>
        </xdr:to>
        <xdr:sp macro="" textlink="">
          <xdr:nvSpPr>
            <xdr:cNvPr id="523265" name="Spinner 1" hidden="1">
              <a:extLst>
                <a:ext uri="{63B3BB69-23CF-44E3-9099-C40C66FF867C}">
                  <a14:compatExt spid="_x0000_s523265"/>
                </a:ext>
                <a:ext uri="{FF2B5EF4-FFF2-40B4-BE49-F238E27FC236}">
                  <a16:creationId xmlns:a16="http://schemas.microsoft.com/office/drawing/2014/main" id="{00000000-0008-0000-0F00-000001FC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57150</xdr:rowOff>
        </xdr:from>
        <xdr:to>
          <xdr:col>9</xdr:col>
          <xdr:colOff>628650</xdr:colOff>
          <xdr:row>1</xdr:row>
          <xdr:rowOff>228600</xdr:rowOff>
        </xdr:to>
        <xdr:sp macro="" textlink="">
          <xdr:nvSpPr>
            <xdr:cNvPr id="978945" name="Spinner 1" hidden="1">
              <a:extLst>
                <a:ext uri="{63B3BB69-23CF-44E3-9099-C40C66FF867C}">
                  <a14:compatExt spid="_x0000_s978945"/>
                </a:ext>
                <a:ext uri="{FF2B5EF4-FFF2-40B4-BE49-F238E27FC236}">
                  <a16:creationId xmlns:a16="http://schemas.microsoft.com/office/drawing/2014/main" id="{00000000-0008-0000-1000-000001F00E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57150</xdr:rowOff>
        </xdr:from>
        <xdr:to>
          <xdr:col>9</xdr:col>
          <xdr:colOff>628650</xdr:colOff>
          <xdr:row>2</xdr:row>
          <xdr:rowOff>0</xdr:rowOff>
        </xdr:to>
        <xdr:sp macro="" textlink="">
          <xdr:nvSpPr>
            <xdr:cNvPr id="979969" name="Spinner 1" hidden="1">
              <a:extLst>
                <a:ext uri="{63B3BB69-23CF-44E3-9099-C40C66FF867C}">
                  <a14:compatExt spid="_x0000_s979969"/>
                </a:ext>
                <a:ext uri="{FF2B5EF4-FFF2-40B4-BE49-F238E27FC236}">
                  <a16:creationId xmlns:a16="http://schemas.microsoft.com/office/drawing/2014/main" id="{00000000-0008-0000-1100-000001F40E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57150</xdr:rowOff>
        </xdr:from>
        <xdr:to>
          <xdr:col>9</xdr:col>
          <xdr:colOff>628650</xdr:colOff>
          <xdr:row>2</xdr:row>
          <xdr:rowOff>0</xdr:rowOff>
        </xdr:to>
        <xdr:sp macro="" textlink="">
          <xdr:nvSpPr>
            <xdr:cNvPr id="980993" name="Spinner 1" hidden="1">
              <a:extLst>
                <a:ext uri="{63B3BB69-23CF-44E3-9099-C40C66FF867C}">
                  <a14:compatExt spid="_x0000_s980993"/>
                </a:ext>
                <a:ext uri="{FF2B5EF4-FFF2-40B4-BE49-F238E27FC236}">
                  <a16:creationId xmlns:a16="http://schemas.microsoft.com/office/drawing/2014/main" id="{00000000-0008-0000-1200-000001F80E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57150</xdr:rowOff>
        </xdr:from>
        <xdr:to>
          <xdr:col>9</xdr:col>
          <xdr:colOff>628650</xdr:colOff>
          <xdr:row>2</xdr:row>
          <xdr:rowOff>0</xdr:rowOff>
        </xdr:to>
        <xdr:sp macro="" textlink="">
          <xdr:nvSpPr>
            <xdr:cNvPr id="982017" name="Spinner 1" hidden="1">
              <a:extLst>
                <a:ext uri="{63B3BB69-23CF-44E3-9099-C40C66FF867C}">
                  <a14:compatExt spid="_x0000_s982017"/>
                </a:ext>
                <a:ext uri="{FF2B5EF4-FFF2-40B4-BE49-F238E27FC236}">
                  <a16:creationId xmlns:a16="http://schemas.microsoft.com/office/drawing/2014/main" id="{00000000-0008-0000-1300-000001FC0E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57150</xdr:rowOff>
        </xdr:from>
        <xdr:to>
          <xdr:col>9</xdr:col>
          <xdr:colOff>628650</xdr:colOff>
          <xdr:row>1</xdr:row>
          <xdr:rowOff>228600</xdr:rowOff>
        </xdr:to>
        <xdr:sp macro="" textlink="">
          <xdr:nvSpPr>
            <xdr:cNvPr id="1134593" name="Spinner 1" hidden="1">
              <a:extLst>
                <a:ext uri="{63B3BB69-23CF-44E3-9099-C40C66FF867C}">
                  <a14:compatExt spid="_x0000_s1134593"/>
                </a:ext>
                <a:ext uri="{FF2B5EF4-FFF2-40B4-BE49-F238E27FC236}">
                  <a16:creationId xmlns:a16="http://schemas.microsoft.com/office/drawing/2014/main" id="{00000000-0008-0000-1400-000001501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57150</xdr:rowOff>
        </xdr:from>
        <xdr:to>
          <xdr:col>9</xdr:col>
          <xdr:colOff>628650</xdr:colOff>
          <xdr:row>2</xdr:row>
          <xdr:rowOff>0</xdr:rowOff>
        </xdr:to>
        <xdr:sp macro="" textlink="">
          <xdr:nvSpPr>
            <xdr:cNvPr id="1479681" name="Spinner 1" hidden="1">
              <a:extLst>
                <a:ext uri="{63B3BB69-23CF-44E3-9099-C40C66FF867C}">
                  <a14:compatExt spid="_x0000_s1479681"/>
                </a:ext>
                <a:ext uri="{FF2B5EF4-FFF2-40B4-BE49-F238E27FC236}">
                  <a16:creationId xmlns:a16="http://schemas.microsoft.com/office/drawing/2014/main" id="{00000000-0008-0000-1500-000001941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57150</xdr:rowOff>
        </xdr:from>
        <xdr:to>
          <xdr:col>9</xdr:col>
          <xdr:colOff>628650</xdr:colOff>
          <xdr:row>2</xdr:row>
          <xdr:rowOff>0</xdr:rowOff>
        </xdr:to>
        <xdr:sp macro="" textlink="">
          <xdr:nvSpPr>
            <xdr:cNvPr id="996353" name="Spinner 1" hidden="1">
              <a:extLst>
                <a:ext uri="{63B3BB69-23CF-44E3-9099-C40C66FF867C}">
                  <a14:compatExt spid="_x0000_s996353"/>
                </a:ext>
                <a:ext uri="{FF2B5EF4-FFF2-40B4-BE49-F238E27FC236}">
                  <a16:creationId xmlns:a16="http://schemas.microsoft.com/office/drawing/2014/main" id="{00000000-0008-0000-1600-000001340F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57150</xdr:rowOff>
        </xdr:from>
        <xdr:to>
          <xdr:col>9</xdr:col>
          <xdr:colOff>628650</xdr:colOff>
          <xdr:row>2</xdr:row>
          <xdr:rowOff>0</xdr:rowOff>
        </xdr:to>
        <xdr:sp macro="" textlink="">
          <xdr:nvSpPr>
            <xdr:cNvPr id="1400833" name="Spinner 1" hidden="1">
              <a:extLst>
                <a:ext uri="{63B3BB69-23CF-44E3-9099-C40C66FF867C}">
                  <a14:compatExt spid="_x0000_s1400833"/>
                </a:ext>
                <a:ext uri="{FF2B5EF4-FFF2-40B4-BE49-F238E27FC236}">
                  <a16:creationId xmlns:a16="http://schemas.microsoft.com/office/drawing/2014/main" id="{00000000-0008-0000-1700-000001601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57150</xdr:rowOff>
        </xdr:from>
        <xdr:to>
          <xdr:col>9</xdr:col>
          <xdr:colOff>628650</xdr:colOff>
          <xdr:row>2</xdr:row>
          <xdr:rowOff>0</xdr:rowOff>
        </xdr:to>
        <xdr:sp macro="" textlink="">
          <xdr:nvSpPr>
            <xdr:cNvPr id="998401" name="Spinner 1" hidden="1">
              <a:extLst>
                <a:ext uri="{63B3BB69-23CF-44E3-9099-C40C66FF867C}">
                  <a14:compatExt spid="_x0000_s998401"/>
                </a:ext>
                <a:ext uri="{FF2B5EF4-FFF2-40B4-BE49-F238E27FC236}">
                  <a16:creationId xmlns:a16="http://schemas.microsoft.com/office/drawing/2014/main" id="{00000000-0008-0000-1800-0000013C0F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57150</xdr:rowOff>
        </xdr:from>
        <xdr:to>
          <xdr:col>9</xdr:col>
          <xdr:colOff>628650</xdr:colOff>
          <xdr:row>1</xdr:row>
          <xdr:rowOff>228600</xdr:rowOff>
        </xdr:to>
        <xdr:sp macro="" textlink="">
          <xdr:nvSpPr>
            <xdr:cNvPr id="1398785" name="Spinner 1" hidden="1">
              <a:extLst>
                <a:ext uri="{63B3BB69-23CF-44E3-9099-C40C66FF867C}">
                  <a14:compatExt spid="_x0000_s1398785"/>
                </a:ext>
                <a:ext uri="{FF2B5EF4-FFF2-40B4-BE49-F238E27FC236}">
                  <a16:creationId xmlns:a16="http://schemas.microsoft.com/office/drawing/2014/main" id="{00000000-0008-0000-1900-000001581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57150</xdr:rowOff>
        </xdr:from>
        <xdr:to>
          <xdr:col>9</xdr:col>
          <xdr:colOff>628650</xdr:colOff>
          <xdr:row>2</xdr:row>
          <xdr:rowOff>0</xdr:rowOff>
        </xdr:to>
        <xdr:sp macro="" textlink="">
          <xdr:nvSpPr>
            <xdr:cNvPr id="1480705" name="Spinner 1" hidden="1">
              <a:extLst>
                <a:ext uri="{63B3BB69-23CF-44E3-9099-C40C66FF867C}">
                  <a14:compatExt spid="_x0000_s1480705"/>
                </a:ext>
                <a:ext uri="{FF2B5EF4-FFF2-40B4-BE49-F238E27FC236}">
                  <a16:creationId xmlns:a16="http://schemas.microsoft.com/office/drawing/2014/main" id="{00000000-0008-0000-1A00-000001981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57150</xdr:rowOff>
        </xdr:from>
        <xdr:to>
          <xdr:col>9</xdr:col>
          <xdr:colOff>628650</xdr:colOff>
          <xdr:row>2</xdr:row>
          <xdr:rowOff>0</xdr:rowOff>
        </xdr:to>
        <xdr:sp macro="" textlink="">
          <xdr:nvSpPr>
            <xdr:cNvPr id="1402881" name="Spinner 1" hidden="1">
              <a:extLst>
                <a:ext uri="{63B3BB69-23CF-44E3-9099-C40C66FF867C}">
                  <a14:compatExt spid="_x0000_s1402881"/>
                </a:ext>
                <a:ext uri="{FF2B5EF4-FFF2-40B4-BE49-F238E27FC236}">
                  <a16:creationId xmlns:a16="http://schemas.microsoft.com/office/drawing/2014/main" id="{00000000-0008-0000-1B00-000001681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57150</xdr:rowOff>
        </xdr:from>
        <xdr:to>
          <xdr:col>9</xdr:col>
          <xdr:colOff>628650</xdr:colOff>
          <xdr:row>2</xdr:row>
          <xdr:rowOff>0</xdr:rowOff>
        </xdr:to>
        <xdr:sp macro="" textlink="">
          <xdr:nvSpPr>
            <xdr:cNvPr id="1481729" name="Spinner 1" hidden="1">
              <a:extLst>
                <a:ext uri="{63B3BB69-23CF-44E3-9099-C40C66FF867C}">
                  <a14:compatExt spid="_x0000_s1481729"/>
                </a:ext>
                <a:ext uri="{FF2B5EF4-FFF2-40B4-BE49-F238E27FC236}">
                  <a16:creationId xmlns:a16="http://schemas.microsoft.com/office/drawing/2014/main" id="{00000000-0008-0000-1C00-0000019C1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57150</xdr:rowOff>
        </xdr:from>
        <xdr:to>
          <xdr:col>9</xdr:col>
          <xdr:colOff>628650</xdr:colOff>
          <xdr:row>1</xdr:row>
          <xdr:rowOff>228600</xdr:rowOff>
        </xdr:to>
        <xdr:sp macro="" textlink="">
          <xdr:nvSpPr>
            <xdr:cNvPr id="429057" name="Spinner 1" hidden="1">
              <a:extLst>
                <a:ext uri="{63B3BB69-23CF-44E3-9099-C40C66FF867C}">
                  <a14:compatExt spid="_x0000_s429057"/>
                </a:ext>
                <a:ext uri="{FF2B5EF4-FFF2-40B4-BE49-F238E27FC236}">
                  <a16:creationId xmlns:a16="http://schemas.microsoft.com/office/drawing/2014/main" id="{00000000-0008-0000-1D00-0000018C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57150</xdr:rowOff>
        </xdr:from>
        <xdr:to>
          <xdr:col>9</xdr:col>
          <xdr:colOff>628650</xdr:colOff>
          <xdr:row>2</xdr:row>
          <xdr:rowOff>0</xdr:rowOff>
        </xdr:to>
        <xdr:sp macro="" textlink="">
          <xdr:nvSpPr>
            <xdr:cNvPr id="436225" name="Spinner 1" hidden="1">
              <a:extLst>
                <a:ext uri="{63B3BB69-23CF-44E3-9099-C40C66FF867C}">
                  <a14:compatExt spid="_x0000_s436225"/>
                </a:ext>
                <a:ext uri="{FF2B5EF4-FFF2-40B4-BE49-F238E27FC236}">
                  <a16:creationId xmlns:a16="http://schemas.microsoft.com/office/drawing/2014/main" id="{00000000-0008-0000-1E00-000001A8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57150</xdr:rowOff>
        </xdr:from>
        <xdr:to>
          <xdr:col>9</xdr:col>
          <xdr:colOff>628650</xdr:colOff>
          <xdr:row>1</xdr:row>
          <xdr:rowOff>241300</xdr:rowOff>
        </xdr:to>
        <xdr:sp macro="" textlink="">
          <xdr:nvSpPr>
            <xdr:cNvPr id="451585" name="Spinner 1" hidden="1">
              <a:extLst>
                <a:ext uri="{63B3BB69-23CF-44E3-9099-C40C66FF867C}">
                  <a14:compatExt spid="_x0000_s451585"/>
                </a:ext>
                <a:ext uri="{FF2B5EF4-FFF2-40B4-BE49-F238E27FC236}">
                  <a16:creationId xmlns:a16="http://schemas.microsoft.com/office/drawing/2014/main" id="{00000000-0008-0000-1F00-000001E4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57150</xdr:rowOff>
        </xdr:from>
        <xdr:to>
          <xdr:col>9</xdr:col>
          <xdr:colOff>628650</xdr:colOff>
          <xdr:row>1</xdr:row>
          <xdr:rowOff>241300</xdr:rowOff>
        </xdr:to>
        <xdr:sp macro="" textlink="">
          <xdr:nvSpPr>
            <xdr:cNvPr id="430081" name="Spinner 1" hidden="1">
              <a:extLst>
                <a:ext uri="{63B3BB69-23CF-44E3-9099-C40C66FF867C}">
                  <a14:compatExt spid="_x0000_s430081"/>
                </a:ext>
                <a:ext uri="{FF2B5EF4-FFF2-40B4-BE49-F238E27FC236}">
                  <a16:creationId xmlns:a16="http://schemas.microsoft.com/office/drawing/2014/main" id="{00000000-0008-0000-2000-00000190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57150</xdr:rowOff>
        </xdr:from>
        <xdr:to>
          <xdr:col>9</xdr:col>
          <xdr:colOff>628650</xdr:colOff>
          <xdr:row>2</xdr:row>
          <xdr:rowOff>0</xdr:rowOff>
        </xdr:to>
        <xdr:sp macro="" textlink="">
          <xdr:nvSpPr>
            <xdr:cNvPr id="437249" name="Spinner 1" hidden="1">
              <a:extLst>
                <a:ext uri="{63B3BB69-23CF-44E3-9099-C40C66FF867C}">
                  <a14:compatExt spid="_x0000_s437249"/>
                </a:ext>
                <a:ext uri="{FF2B5EF4-FFF2-40B4-BE49-F238E27FC236}">
                  <a16:creationId xmlns:a16="http://schemas.microsoft.com/office/drawing/2014/main" id="{00000000-0008-0000-2100-000001AC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57150</xdr:rowOff>
        </xdr:from>
        <xdr:to>
          <xdr:col>9</xdr:col>
          <xdr:colOff>628650</xdr:colOff>
          <xdr:row>1</xdr:row>
          <xdr:rowOff>241300</xdr:rowOff>
        </xdr:to>
        <xdr:sp macro="" textlink="">
          <xdr:nvSpPr>
            <xdr:cNvPr id="452609" name="Spinner 1" hidden="1">
              <a:extLst>
                <a:ext uri="{63B3BB69-23CF-44E3-9099-C40C66FF867C}">
                  <a14:compatExt spid="_x0000_s452609"/>
                </a:ext>
                <a:ext uri="{FF2B5EF4-FFF2-40B4-BE49-F238E27FC236}">
                  <a16:creationId xmlns:a16="http://schemas.microsoft.com/office/drawing/2014/main" id="{00000000-0008-0000-2200-000001E8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57150</xdr:rowOff>
        </xdr:from>
        <xdr:to>
          <xdr:col>9</xdr:col>
          <xdr:colOff>628650</xdr:colOff>
          <xdr:row>1</xdr:row>
          <xdr:rowOff>241300</xdr:rowOff>
        </xdr:to>
        <xdr:sp macro="" textlink="">
          <xdr:nvSpPr>
            <xdr:cNvPr id="432129" name="Spinner 1" hidden="1">
              <a:extLst>
                <a:ext uri="{63B3BB69-23CF-44E3-9099-C40C66FF867C}">
                  <a14:compatExt spid="_x0000_s432129"/>
                </a:ext>
                <a:ext uri="{FF2B5EF4-FFF2-40B4-BE49-F238E27FC236}">
                  <a16:creationId xmlns:a16="http://schemas.microsoft.com/office/drawing/2014/main" id="{00000000-0008-0000-2300-00000198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57150</xdr:rowOff>
        </xdr:from>
        <xdr:to>
          <xdr:col>9</xdr:col>
          <xdr:colOff>628650</xdr:colOff>
          <xdr:row>2</xdr:row>
          <xdr:rowOff>0</xdr:rowOff>
        </xdr:to>
        <xdr:sp macro="" textlink="">
          <xdr:nvSpPr>
            <xdr:cNvPr id="439297" name="Spinner 1" hidden="1">
              <a:extLst>
                <a:ext uri="{63B3BB69-23CF-44E3-9099-C40C66FF867C}">
                  <a14:compatExt spid="_x0000_s439297"/>
                </a:ext>
                <a:ext uri="{FF2B5EF4-FFF2-40B4-BE49-F238E27FC236}">
                  <a16:creationId xmlns:a16="http://schemas.microsoft.com/office/drawing/2014/main" id="{00000000-0008-0000-2400-000001B4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57150</xdr:rowOff>
        </xdr:from>
        <xdr:to>
          <xdr:col>9</xdr:col>
          <xdr:colOff>628650</xdr:colOff>
          <xdr:row>1</xdr:row>
          <xdr:rowOff>241300</xdr:rowOff>
        </xdr:to>
        <xdr:sp macro="" textlink="">
          <xdr:nvSpPr>
            <xdr:cNvPr id="455681" name="Spinner 1" hidden="1">
              <a:extLst>
                <a:ext uri="{63B3BB69-23CF-44E3-9099-C40C66FF867C}">
                  <a14:compatExt spid="_x0000_s455681"/>
                </a:ext>
                <a:ext uri="{FF2B5EF4-FFF2-40B4-BE49-F238E27FC236}">
                  <a16:creationId xmlns:a16="http://schemas.microsoft.com/office/drawing/2014/main" id="{00000000-0008-0000-2500-000001F4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57150</xdr:rowOff>
        </xdr:from>
        <xdr:to>
          <xdr:col>9</xdr:col>
          <xdr:colOff>628650</xdr:colOff>
          <xdr:row>1</xdr:row>
          <xdr:rowOff>241300</xdr:rowOff>
        </xdr:to>
        <xdr:sp macro="" textlink="">
          <xdr:nvSpPr>
            <xdr:cNvPr id="431105" name="Spinner 1" hidden="1">
              <a:extLst>
                <a:ext uri="{63B3BB69-23CF-44E3-9099-C40C66FF867C}">
                  <a14:compatExt spid="_x0000_s431105"/>
                </a:ext>
                <a:ext uri="{FF2B5EF4-FFF2-40B4-BE49-F238E27FC236}">
                  <a16:creationId xmlns:a16="http://schemas.microsoft.com/office/drawing/2014/main" id="{00000000-0008-0000-2600-00000194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57150</xdr:rowOff>
        </xdr:from>
        <xdr:to>
          <xdr:col>9</xdr:col>
          <xdr:colOff>628650</xdr:colOff>
          <xdr:row>2</xdr:row>
          <xdr:rowOff>0</xdr:rowOff>
        </xdr:to>
        <xdr:sp macro="" textlink="">
          <xdr:nvSpPr>
            <xdr:cNvPr id="438273" name="Spinner 1" hidden="1">
              <a:extLst>
                <a:ext uri="{63B3BB69-23CF-44E3-9099-C40C66FF867C}">
                  <a14:compatExt spid="_x0000_s438273"/>
                </a:ext>
                <a:ext uri="{FF2B5EF4-FFF2-40B4-BE49-F238E27FC236}">
                  <a16:creationId xmlns:a16="http://schemas.microsoft.com/office/drawing/2014/main" id="{00000000-0008-0000-2700-000001B0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57150</xdr:rowOff>
        </xdr:from>
        <xdr:to>
          <xdr:col>9</xdr:col>
          <xdr:colOff>628650</xdr:colOff>
          <xdr:row>1</xdr:row>
          <xdr:rowOff>241300</xdr:rowOff>
        </xdr:to>
        <xdr:sp macro="" textlink="">
          <xdr:nvSpPr>
            <xdr:cNvPr id="454657" name="Spinner 1" hidden="1">
              <a:extLst>
                <a:ext uri="{63B3BB69-23CF-44E3-9099-C40C66FF867C}">
                  <a14:compatExt spid="_x0000_s454657"/>
                </a:ext>
                <a:ext uri="{FF2B5EF4-FFF2-40B4-BE49-F238E27FC236}">
                  <a16:creationId xmlns:a16="http://schemas.microsoft.com/office/drawing/2014/main" id="{00000000-0008-0000-2800-000001F0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57150</xdr:rowOff>
        </xdr:from>
        <xdr:to>
          <xdr:col>9</xdr:col>
          <xdr:colOff>628650</xdr:colOff>
          <xdr:row>1</xdr:row>
          <xdr:rowOff>241300</xdr:rowOff>
        </xdr:to>
        <xdr:sp macro="" textlink="">
          <xdr:nvSpPr>
            <xdr:cNvPr id="1570817" name="Spinner 1" hidden="1">
              <a:extLst>
                <a:ext uri="{63B3BB69-23CF-44E3-9099-C40C66FF867C}">
                  <a14:compatExt spid="_x0000_s1570817"/>
                </a:ext>
                <a:ext uri="{FF2B5EF4-FFF2-40B4-BE49-F238E27FC236}">
                  <a16:creationId xmlns:a16="http://schemas.microsoft.com/office/drawing/2014/main" id="{00000000-0008-0000-2900-000001F81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57150</xdr:rowOff>
        </xdr:from>
        <xdr:to>
          <xdr:col>9</xdr:col>
          <xdr:colOff>628650</xdr:colOff>
          <xdr:row>1</xdr:row>
          <xdr:rowOff>241300</xdr:rowOff>
        </xdr:to>
        <xdr:sp macro="" textlink="">
          <xdr:nvSpPr>
            <xdr:cNvPr id="433153" name="Spinner 1" hidden="1">
              <a:extLst>
                <a:ext uri="{63B3BB69-23CF-44E3-9099-C40C66FF867C}">
                  <a14:compatExt spid="_x0000_s433153"/>
                </a:ext>
                <a:ext uri="{FF2B5EF4-FFF2-40B4-BE49-F238E27FC236}">
                  <a16:creationId xmlns:a16="http://schemas.microsoft.com/office/drawing/2014/main" id="{00000000-0008-0000-2A00-0000019C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57150</xdr:rowOff>
        </xdr:from>
        <xdr:to>
          <xdr:col>9</xdr:col>
          <xdr:colOff>628650</xdr:colOff>
          <xdr:row>2</xdr:row>
          <xdr:rowOff>0</xdr:rowOff>
        </xdr:to>
        <xdr:sp macro="" textlink="">
          <xdr:nvSpPr>
            <xdr:cNvPr id="1571841" name="Spinner 1" hidden="1">
              <a:extLst>
                <a:ext uri="{63B3BB69-23CF-44E3-9099-C40C66FF867C}">
                  <a14:compatExt spid="_x0000_s1571841"/>
                </a:ext>
                <a:ext uri="{FF2B5EF4-FFF2-40B4-BE49-F238E27FC236}">
                  <a16:creationId xmlns:a16="http://schemas.microsoft.com/office/drawing/2014/main" id="{00000000-0008-0000-2B00-000001FC1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57150</xdr:rowOff>
        </xdr:from>
        <xdr:to>
          <xdr:col>9</xdr:col>
          <xdr:colOff>628650</xdr:colOff>
          <xdr:row>2</xdr:row>
          <xdr:rowOff>0</xdr:rowOff>
        </xdr:to>
        <xdr:sp macro="" textlink="">
          <xdr:nvSpPr>
            <xdr:cNvPr id="440321" name="Spinner 1" hidden="1">
              <a:extLst>
                <a:ext uri="{63B3BB69-23CF-44E3-9099-C40C66FF867C}">
                  <a14:compatExt spid="_x0000_s440321"/>
                </a:ext>
                <a:ext uri="{FF2B5EF4-FFF2-40B4-BE49-F238E27FC236}">
                  <a16:creationId xmlns:a16="http://schemas.microsoft.com/office/drawing/2014/main" id="{00000000-0008-0000-2C00-000001B8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57150</xdr:rowOff>
        </xdr:from>
        <xdr:to>
          <xdr:col>9</xdr:col>
          <xdr:colOff>628650</xdr:colOff>
          <xdr:row>1</xdr:row>
          <xdr:rowOff>241300</xdr:rowOff>
        </xdr:to>
        <xdr:sp macro="" textlink="">
          <xdr:nvSpPr>
            <xdr:cNvPr id="1572865" name="Spinner 1" hidden="1">
              <a:extLst>
                <a:ext uri="{63B3BB69-23CF-44E3-9099-C40C66FF867C}">
                  <a14:compatExt spid="_x0000_s1572865"/>
                </a:ext>
                <a:ext uri="{FF2B5EF4-FFF2-40B4-BE49-F238E27FC236}">
                  <a16:creationId xmlns:a16="http://schemas.microsoft.com/office/drawing/2014/main" id="{00000000-0008-0000-2D00-000001001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57150</xdr:rowOff>
        </xdr:from>
        <xdr:to>
          <xdr:col>9</xdr:col>
          <xdr:colOff>628650</xdr:colOff>
          <xdr:row>1</xdr:row>
          <xdr:rowOff>241300</xdr:rowOff>
        </xdr:to>
        <xdr:sp macro="" textlink="">
          <xdr:nvSpPr>
            <xdr:cNvPr id="456705" name="Spinner 1" hidden="1">
              <a:extLst>
                <a:ext uri="{63B3BB69-23CF-44E3-9099-C40C66FF867C}">
                  <a14:compatExt spid="_x0000_s456705"/>
                </a:ext>
                <a:ext uri="{FF2B5EF4-FFF2-40B4-BE49-F238E27FC236}">
                  <a16:creationId xmlns:a16="http://schemas.microsoft.com/office/drawing/2014/main" id="{00000000-0008-0000-2E00-000001F8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57150</xdr:rowOff>
        </xdr:from>
        <xdr:to>
          <xdr:col>9</xdr:col>
          <xdr:colOff>628650</xdr:colOff>
          <xdr:row>1</xdr:row>
          <xdr:rowOff>241300</xdr:rowOff>
        </xdr:to>
        <xdr:sp macro="" textlink="">
          <xdr:nvSpPr>
            <xdr:cNvPr id="434177" name="Spinner 1" hidden="1">
              <a:extLst>
                <a:ext uri="{63B3BB69-23CF-44E3-9099-C40C66FF867C}">
                  <a14:compatExt spid="_x0000_s434177"/>
                </a:ext>
                <a:ext uri="{FF2B5EF4-FFF2-40B4-BE49-F238E27FC236}">
                  <a16:creationId xmlns:a16="http://schemas.microsoft.com/office/drawing/2014/main" id="{00000000-0008-0000-2F00-000001A0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57150</xdr:rowOff>
        </xdr:from>
        <xdr:to>
          <xdr:col>9</xdr:col>
          <xdr:colOff>628650</xdr:colOff>
          <xdr:row>2</xdr:row>
          <xdr:rowOff>0</xdr:rowOff>
        </xdr:to>
        <xdr:sp macro="" textlink="">
          <xdr:nvSpPr>
            <xdr:cNvPr id="442369" name="Spinner 1" hidden="1">
              <a:extLst>
                <a:ext uri="{63B3BB69-23CF-44E3-9099-C40C66FF867C}">
                  <a14:compatExt spid="_x0000_s442369"/>
                </a:ext>
                <a:ext uri="{FF2B5EF4-FFF2-40B4-BE49-F238E27FC236}">
                  <a16:creationId xmlns:a16="http://schemas.microsoft.com/office/drawing/2014/main" id="{00000000-0008-0000-3000-000001C0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57150</xdr:rowOff>
        </xdr:from>
        <xdr:to>
          <xdr:col>9</xdr:col>
          <xdr:colOff>628650</xdr:colOff>
          <xdr:row>1</xdr:row>
          <xdr:rowOff>241300</xdr:rowOff>
        </xdr:to>
        <xdr:sp macro="" textlink="">
          <xdr:nvSpPr>
            <xdr:cNvPr id="457729" name="Spinner 1" hidden="1">
              <a:extLst>
                <a:ext uri="{63B3BB69-23CF-44E3-9099-C40C66FF867C}">
                  <a14:compatExt spid="_x0000_s457729"/>
                </a:ext>
                <a:ext uri="{FF2B5EF4-FFF2-40B4-BE49-F238E27FC236}">
                  <a16:creationId xmlns:a16="http://schemas.microsoft.com/office/drawing/2014/main" id="{00000000-0008-0000-3100-000001FC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57150</xdr:rowOff>
        </xdr:from>
        <xdr:to>
          <xdr:col>9</xdr:col>
          <xdr:colOff>628650</xdr:colOff>
          <xdr:row>1</xdr:row>
          <xdr:rowOff>241300</xdr:rowOff>
        </xdr:to>
        <xdr:sp macro="" textlink="">
          <xdr:nvSpPr>
            <xdr:cNvPr id="743425" name="Spinner 1" hidden="1">
              <a:extLst>
                <a:ext uri="{63B3BB69-23CF-44E3-9099-C40C66FF867C}">
                  <a14:compatExt spid="_x0000_s743425"/>
                </a:ext>
                <a:ext uri="{FF2B5EF4-FFF2-40B4-BE49-F238E27FC236}">
                  <a16:creationId xmlns:a16="http://schemas.microsoft.com/office/drawing/2014/main" id="{00000000-0008-0000-3200-000001580B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57150</xdr:rowOff>
        </xdr:from>
        <xdr:to>
          <xdr:col>9</xdr:col>
          <xdr:colOff>628650</xdr:colOff>
          <xdr:row>2</xdr:row>
          <xdr:rowOff>0</xdr:rowOff>
        </xdr:to>
        <xdr:sp macro="" textlink="">
          <xdr:nvSpPr>
            <xdr:cNvPr id="746497" name="Spinner 1" hidden="1">
              <a:extLst>
                <a:ext uri="{63B3BB69-23CF-44E3-9099-C40C66FF867C}">
                  <a14:compatExt spid="_x0000_s746497"/>
                </a:ext>
                <a:ext uri="{FF2B5EF4-FFF2-40B4-BE49-F238E27FC236}">
                  <a16:creationId xmlns:a16="http://schemas.microsoft.com/office/drawing/2014/main" id="{00000000-0008-0000-3300-000001640B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57150</xdr:rowOff>
        </xdr:from>
        <xdr:to>
          <xdr:col>9</xdr:col>
          <xdr:colOff>628650</xdr:colOff>
          <xdr:row>1</xdr:row>
          <xdr:rowOff>241300</xdr:rowOff>
        </xdr:to>
        <xdr:sp macro="" textlink="">
          <xdr:nvSpPr>
            <xdr:cNvPr id="752641" name="Spinner 1" hidden="1">
              <a:extLst>
                <a:ext uri="{63B3BB69-23CF-44E3-9099-C40C66FF867C}">
                  <a14:compatExt spid="_x0000_s752641"/>
                </a:ext>
                <a:ext uri="{FF2B5EF4-FFF2-40B4-BE49-F238E27FC236}">
                  <a16:creationId xmlns:a16="http://schemas.microsoft.com/office/drawing/2014/main" id="{00000000-0008-0000-3400-0000017C0B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57150</xdr:rowOff>
        </xdr:from>
        <xdr:to>
          <xdr:col>9</xdr:col>
          <xdr:colOff>628650</xdr:colOff>
          <xdr:row>1</xdr:row>
          <xdr:rowOff>241300</xdr:rowOff>
        </xdr:to>
        <xdr:sp macro="" textlink="">
          <xdr:nvSpPr>
            <xdr:cNvPr id="742401" name="Spinner 1" hidden="1">
              <a:extLst>
                <a:ext uri="{63B3BB69-23CF-44E3-9099-C40C66FF867C}">
                  <a14:compatExt spid="_x0000_s742401"/>
                </a:ext>
                <a:ext uri="{FF2B5EF4-FFF2-40B4-BE49-F238E27FC236}">
                  <a16:creationId xmlns:a16="http://schemas.microsoft.com/office/drawing/2014/main" id="{00000000-0008-0000-3500-000001540B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57150</xdr:rowOff>
        </xdr:from>
        <xdr:to>
          <xdr:col>9</xdr:col>
          <xdr:colOff>628650</xdr:colOff>
          <xdr:row>2</xdr:row>
          <xdr:rowOff>0</xdr:rowOff>
        </xdr:to>
        <xdr:sp macro="" textlink="">
          <xdr:nvSpPr>
            <xdr:cNvPr id="745473" name="Spinner 1" hidden="1">
              <a:extLst>
                <a:ext uri="{63B3BB69-23CF-44E3-9099-C40C66FF867C}">
                  <a14:compatExt spid="_x0000_s745473"/>
                </a:ext>
                <a:ext uri="{FF2B5EF4-FFF2-40B4-BE49-F238E27FC236}">
                  <a16:creationId xmlns:a16="http://schemas.microsoft.com/office/drawing/2014/main" id="{00000000-0008-0000-3600-000001600B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57150</xdr:rowOff>
        </xdr:from>
        <xdr:to>
          <xdr:col>9</xdr:col>
          <xdr:colOff>628650</xdr:colOff>
          <xdr:row>1</xdr:row>
          <xdr:rowOff>241300</xdr:rowOff>
        </xdr:to>
        <xdr:sp macro="" textlink="">
          <xdr:nvSpPr>
            <xdr:cNvPr id="751617" name="Spinner 1" hidden="1">
              <a:extLst>
                <a:ext uri="{63B3BB69-23CF-44E3-9099-C40C66FF867C}">
                  <a14:compatExt spid="_x0000_s751617"/>
                </a:ext>
                <a:ext uri="{FF2B5EF4-FFF2-40B4-BE49-F238E27FC236}">
                  <a16:creationId xmlns:a16="http://schemas.microsoft.com/office/drawing/2014/main" id="{00000000-0008-0000-3700-000001780B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57150</xdr:rowOff>
        </xdr:from>
        <xdr:to>
          <xdr:col>9</xdr:col>
          <xdr:colOff>628650</xdr:colOff>
          <xdr:row>1</xdr:row>
          <xdr:rowOff>241300</xdr:rowOff>
        </xdr:to>
        <xdr:sp macro="" textlink="">
          <xdr:nvSpPr>
            <xdr:cNvPr id="744449" name="Spinner 1" hidden="1">
              <a:extLst>
                <a:ext uri="{63B3BB69-23CF-44E3-9099-C40C66FF867C}">
                  <a14:compatExt spid="_x0000_s744449"/>
                </a:ext>
                <a:ext uri="{FF2B5EF4-FFF2-40B4-BE49-F238E27FC236}">
                  <a16:creationId xmlns:a16="http://schemas.microsoft.com/office/drawing/2014/main" id="{00000000-0008-0000-3800-0000015C0B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57150</xdr:rowOff>
        </xdr:from>
        <xdr:to>
          <xdr:col>9</xdr:col>
          <xdr:colOff>628650</xdr:colOff>
          <xdr:row>2</xdr:row>
          <xdr:rowOff>0</xdr:rowOff>
        </xdr:to>
        <xdr:sp macro="" textlink="">
          <xdr:nvSpPr>
            <xdr:cNvPr id="747521" name="Spinner 1" hidden="1">
              <a:extLst>
                <a:ext uri="{63B3BB69-23CF-44E3-9099-C40C66FF867C}">
                  <a14:compatExt spid="_x0000_s747521"/>
                </a:ext>
                <a:ext uri="{FF2B5EF4-FFF2-40B4-BE49-F238E27FC236}">
                  <a16:creationId xmlns:a16="http://schemas.microsoft.com/office/drawing/2014/main" id="{00000000-0008-0000-3900-000001680B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57150</xdr:rowOff>
        </xdr:from>
        <xdr:to>
          <xdr:col>9</xdr:col>
          <xdr:colOff>628650</xdr:colOff>
          <xdr:row>1</xdr:row>
          <xdr:rowOff>241300</xdr:rowOff>
        </xdr:to>
        <xdr:sp macro="" textlink="">
          <xdr:nvSpPr>
            <xdr:cNvPr id="753665" name="Spinner 1" hidden="1">
              <a:extLst>
                <a:ext uri="{63B3BB69-23CF-44E3-9099-C40C66FF867C}">
                  <a14:compatExt spid="_x0000_s753665"/>
                </a:ext>
                <a:ext uri="{FF2B5EF4-FFF2-40B4-BE49-F238E27FC236}">
                  <a16:creationId xmlns:a16="http://schemas.microsoft.com/office/drawing/2014/main" id="{00000000-0008-0000-3A00-000001800B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57150</xdr:rowOff>
        </xdr:from>
        <xdr:to>
          <xdr:col>9</xdr:col>
          <xdr:colOff>628650</xdr:colOff>
          <xdr:row>1</xdr:row>
          <xdr:rowOff>241300</xdr:rowOff>
        </xdr:to>
        <xdr:sp macro="" textlink="">
          <xdr:nvSpPr>
            <xdr:cNvPr id="927745" name="Spinner 1" hidden="1">
              <a:extLst>
                <a:ext uri="{63B3BB69-23CF-44E3-9099-C40C66FF867C}">
                  <a14:compatExt spid="_x0000_s927745"/>
                </a:ext>
                <a:ext uri="{FF2B5EF4-FFF2-40B4-BE49-F238E27FC236}">
                  <a16:creationId xmlns:a16="http://schemas.microsoft.com/office/drawing/2014/main" id="{00000000-0008-0000-3B00-000001280E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57150</xdr:rowOff>
        </xdr:from>
        <xdr:to>
          <xdr:col>9</xdr:col>
          <xdr:colOff>628650</xdr:colOff>
          <xdr:row>2</xdr:row>
          <xdr:rowOff>0</xdr:rowOff>
        </xdr:to>
        <xdr:sp macro="" textlink="">
          <xdr:nvSpPr>
            <xdr:cNvPr id="1533954" name="Spinner 2" hidden="1">
              <a:extLst>
                <a:ext uri="{63B3BB69-23CF-44E3-9099-C40C66FF867C}">
                  <a14:compatExt spid="_x0000_s1533954"/>
                </a:ext>
                <a:ext uri="{FF2B5EF4-FFF2-40B4-BE49-F238E27FC236}">
                  <a16:creationId xmlns:a16="http://schemas.microsoft.com/office/drawing/2014/main" id="{00000000-0008-0000-3C00-000002681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57150</xdr:rowOff>
        </xdr:from>
        <xdr:to>
          <xdr:col>9</xdr:col>
          <xdr:colOff>628650</xdr:colOff>
          <xdr:row>2</xdr:row>
          <xdr:rowOff>0</xdr:rowOff>
        </xdr:to>
        <xdr:sp macro="" textlink="">
          <xdr:nvSpPr>
            <xdr:cNvPr id="1554434" name="Spinner 2" hidden="1">
              <a:extLst>
                <a:ext uri="{63B3BB69-23CF-44E3-9099-C40C66FF867C}">
                  <a14:compatExt spid="_x0000_s1554434"/>
                </a:ext>
                <a:ext uri="{FF2B5EF4-FFF2-40B4-BE49-F238E27FC236}">
                  <a16:creationId xmlns:a16="http://schemas.microsoft.com/office/drawing/2014/main" id="{00000000-0008-0000-3D00-000002B81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57150</xdr:rowOff>
        </xdr:from>
        <xdr:to>
          <xdr:col>9</xdr:col>
          <xdr:colOff>628650</xdr:colOff>
          <xdr:row>2</xdr:row>
          <xdr:rowOff>0</xdr:rowOff>
        </xdr:to>
        <xdr:sp macro="" textlink="">
          <xdr:nvSpPr>
            <xdr:cNvPr id="1555457" name="Spinner 1" hidden="1">
              <a:extLst>
                <a:ext uri="{63B3BB69-23CF-44E3-9099-C40C66FF867C}">
                  <a14:compatExt spid="_x0000_s1555457"/>
                </a:ext>
                <a:ext uri="{FF2B5EF4-FFF2-40B4-BE49-F238E27FC236}">
                  <a16:creationId xmlns:a16="http://schemas.microsoft.com/office/drawing/2014/main" id="{00000000-0008-0000-3E00-000001BC1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3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57150</xdr:rowOff>
        </xdr:from>
        <xdr:to>
          <xdr:col>9</xdr:col>
          <xdr:colOff>628650</xdr:colOff>
          <xdr:row>2</xdr:row>
          <xdr:rowOff>0</xdr:rowOff>
        </xdr:to>
        <xdr:sp macro="" textlink="">
          <xdr:nvSpPr>
            <xdr:cNvPr id="1555458" name="Spinner 2" hidden="1">
              <a:extLst>
                <a:ext uri="{63B3BB69-23CF-44E3-9099-C40C66FF867C}">
                  <a14:compatExt spid="_x0000_s1555458"/>
                </a:ext>
                <a:ext uri="{FF2B5EF4-FFF2-40B4-BE49-F238E27FC236}">
                  <a16:creationId xmlns:a16="http://schemas.microsoft.com/office/drawing/2014/main" id="{00000000-0008-0000-3E00-000002BC1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57150</xdr:rowOff>
        </xdr:from>
        <xdr:to>
          <xdr:col>9</xdr:col>
          <xdr:colOff>628650</xdr:colOff>
          <xdr:row>2</xdr:row>
          <xdr:rowOff>0</xdr:rowOff>
        </xdr:to>
        <xdr:sp macro="" textlink="">
          <xdr:nvSpPr>
            <xdr:cNvPr id="1534977" name="Spinner 1" hidden="1">
              <a:extLst>
                <a:ext uri="{63B3BB69-23CF-44E3-9099-C40C66FF867C}">
                  <a14:compatExt spid="_x0000_s1534977"/>
                </a:ext>
                <a:ext uri="{FF2B5EF4-FFF2-40B4-BE49-F238E27FC236}">
                  <a16:creationId xmlns:a16="http://schemas.microsoft.com/office/drawing/2014/main" id="{00000000-0008-0000-3F00-0000016C1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57150</xdr:rowOff>
        </xdr:from>
        <xdr:to>
          <xdr:col>9</xdr:col>
          <xdr:colOff>628650</xdr:colOff>
          <xdr:row>2</xdr:row>
          <xdr:rowOff>0</xdr:rowOff>
        </xdr:to>
        <xdr:sp macro="" textlink="">
          <xdr:nvSpPr>
            <xdr:cNvPr id="928769" name="Spinner 1" hidden="1">
              <a:extLst>
                <a:ext uri="{63B3BB69-23CF-44E3-9099-C40C66FF867C}">
                  <a14:compatExt spid="_x0000_s928769"/>
                </a:ext>
                <a:ext uri="{FF2B5EF4-FFF2-40B4-BE49-F238E27FC236}">
                  <a16:creationId xmlns:a16="http://schemas.microsoft.com/office/drawing/2014/main" id="{00000000-0008-0000-4000-0000012C0E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57150</xdr:rowOff>
        </xdr:from>
        <xdr:to>
          <xdr:col>9</xdr:col>
          <xdr:colOff>628650</xdr:colOff>
          <xdr:row>1</xdr:row>
          <xdr:rowOff>241300</xdr:rowOff>
        </xdr:to>
        <xdr:sp macro="" textlink="">
          <xdr:nvSpPr>
            <xdr:cNvPr id="929793" name="Spinner 1" hidden="1">
              <a:extLst>
                <a:ext uri="{63B3BB69-23CF-44E3-9099-C40C66FF867C}">
                  <a14:compatExt spid="_x0000_s929793"/>
                </a:ext>
                <a:ext uri="{FF2B5EF4-FFF2-40B4-BE49-F238E27FC236}">
                  <a16:creationId xmlns:a16="http://schemas.microsoft.com/office/drawing/2014/main" id="{00000000-0008-0000-4100-000001300E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57150</xdr:rowOff>
        </xdr:from>
        <xdr:to>
          <xdr:col>9</xdr:col>
          <xdr:colOff>628650</xdr:colOff>
          <xdr:row>2</xdr:row>
          <xdr:rowOff>0</xdr:rowOff>
        </xdr:to>
        <xdr:sp macro="" textlink="">
          <xdr:nvSpPr>
            <xdr:cNvPr id="1556481" name="Spinner 1" hidden="1">
              <a:extLst>
                <a:ext uri="{63B3BB69-23CF-44E3-9099-C40C66FF867C}">
                  <a14:compatExt spid="_x0000_s1556481"/>
                </a:ext>
                <a:ext uri="{FF2B5EF4-FFF2-40B4-BE49-F238E27FC236}">
                  <a16:creationId xmlns:a16="http://schemas.microsoft.com/office/drawing/2014/main" id="{00000000-0008-0000-4200-000001C01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57150</xdr:rowOff>
        </xdr:from>
        <xdr:to>
          <xdr:col>9</xdr:col>
          <xdr:colOff>628650</xdr:colOff>
          <xdr:row>2</xdr:row>
          <xdr:rowOff>0</xdr:rowOff>
        </xdr:to>
        <xdr:sp macro="" textlink="">
          <xdr:nvSpPr>
            <xdr:cNvPr id="1536001" name="Spinner 1" hidden="1">
              <a:extLst>
                <a:ext uri="{63B3BB69-23CF-44E3-9099-C40C66FF867C}">
                  <a14:compatExt spid="_x0000_s1536001"/>
                </a:ext>
                <a:ext uri="{FF2B5EF4-FFF2-40B4-BE49-F238E27FC236}">
                  <a16:creationId xmlns:a16="http://schemas.microsoft.com/office/drawing/2014/main" id="{00000000-0008-0000-4300-000001701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57150</xdr:rowOff>
        </xdr:from>
        <xdr:to>
          <xdr:col>9</xdr:col>
          <xdr:colOff>628650</xdr:colOff>
          <xdr:row>1</xdr:row>
          <xdr:rowOff>241300</xdr:rowOff>
        </xdr:to>
        <xdr:sp macro="" textlink="">
          <xdr:nvSpPr>
            <xdr:cNvPr id="1366017" name="Spinner 1" hidden="1">
              <a:extLst>
                <a:ext uri="{63B3BB69-23CF-44E3-9099-C40C66FF867C}">
                  <a14:compatExt spid="_x0000_s1366017"/>
                </a:ext>
                <a:ext uri="{FF2B5EF4-FFF2-40B4-BE49-F238E27FC236}">
                  <a16:creationId xmlns:a16="http://schemas.microsoft.com/office/drawing/2014/main" id="{00000000-0008-0000-4400-000001D81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57150</xdr:rowOff>
        </xdr:from>
        <xdr:to>
          <xdr:col>9</xdr:col>
          <xdr:colOff>628650</xdr:colOff>
          <xdr:row>2</xdr:row>
          <xdr:rowOff>0</xdr:rowOff>
        </xdr:to>
        <xdr:sp macro="" textlink="">
          <xdr:nvSpPr>
            <xdr:cNvPr id="1367041" name="Spinner 1" hidden="1">
              <a:extLst>
                <a:ext uri="{63B3BB69-23CF-44E3-9099-C40C66FF867C}">
                  <a14:compatExt spid="_x0000_s1367041"/>
                </a:ext>
                <a:ext uri="{FF2B5EF4-FFF2-40B4-BE49-F238E27FC236}">
                  <a16:creationId xmlns:a16="http://schemas.microsoft.com/office/drawing/2014/main" id="{00000000-0008-0000-4500-000001DC1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57150</xdr:rowOff>
        </xdr:from>
        <xdr:to>
          <xdr:col>9</xdr:col>
          <xdr:colOff>628650</xdr:colOff>
          <xdr:row>1</xdr:row>
          <xdr:rowOff>241300</xdr:rowOff>
        </xdr:to>
        <xdr:sp macro="" textlink="">
          <xdr:nvSpPr>
            <xdr:cNvPr id="1368065" name="Spinner 1" hidden="1">
              <a:extLst>
                <a:ext uri="{63B3BB69-23CF-44E3-9099-C40C66FF867C}">
                  <a14:compatExt spid="_x0000_s1368065"/>
                </a:ext>
                <a:ext uri="{FF2B5EF4-FFF2-40B4-BE49-F238E27FC236}">
                  <a16:creationId xmlns:a16="http://schemas.microsoft.com/office/drawing/2014/main" id="{00000000-0008-0000-4600-000001E01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57150</xdr:rowOff>
        </xdr:from>
        <xdr:to>
          <xdr:col>9</xdr:col>
          <xdr:colOff>628650</xdr:colOff>
          <xdr:row>1</xdr:row>
          <xdr:rowOff>241300</xdr:rowOff>
        </xdr:to>
        <xdr:sp macro="" textlink="">
          <xdr:nvSpPr>
            <xdr:cNvPr id="1378305" name="Spinner 1" hidden="1">
              <a:extLst>
                <a:ext uri="{63B3BB69-23CF-44E3-9099-C40C66FF867C}">
                  <a14:compatExt spid="_x0000_s1378305"/>
                </a:ext>
                <a:ext uri="{FF2B5EF4-FFF2-40B4-BE49-F238E27FC236}">
                  <a16:creationId xmlns:a16="http://schemas.microsoft.com/office/drawing/2014/main" id="{00000000-0008-0000-4700-000001081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57150</xdr:rowOff>
        </xdr:from>
        <xdr:to>
          <xdr:col>9</xdr:col>
          <xdr:colOff>628650</xdr:colOff>
          <xdr:row>2</xdr:row>
          <xdr:rowOff>0</xdr:rowOff>
        </xdr:to>
        <xdr:sp macro="" textlink="">
          <xdr:nvSpPr>
            <xdr:cNvPr id="1384449" name="Spinner 1" hidden="1">
              <a:extLst>
                <a:ext uri="{63B3BB69-23CF-44E3-9099-C40C66FF867C}">
                  <a14:compatExt spid="_x0000_s1384449"/>
                </a:ext>
                <a:ext uri="{FF2B5EF4-FFF2-40B4-BE49-F238E27FC236}">
                  <a16:creationId xmlns:a16="http://schemas.microsoft.com/office/drawing/2014/main" id="{00000000-0008-0000-4800-000001201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57150</xdr:rowOff>
        </xdr:from>
        <xdr:to>
          <xdr:col>9</xdr:col>
          <xdr:colOff>628650</xdr:colOff>
          <xdr:row>1</xdr:row>
          <xdr:rowOff>241300</xdr:rowOff>
        </xdr:to>
        <xdr:sp macro="" textlink="">
          <xdr:nvSpPr>
            <xdr:cNvPr id="1385473" name="Spinner 1" hidden="1">
              <a:extLst>
                <a:ext uri="{63B3BB69-23CF-44E3-9099-C40C66FF867C}">
                  <a14:compatExt spid="_x0000_s1385473"/>
                </a:ext>
                <a:ext uri="{FF2B5EF4-FFF2-40B4-BE49-F238E27FC236}">
                  <a16:creationId xmlns:a16="http://schemas.microsoft.com/office/drawing/2014/main" id="{00000000-0008-0000-4900-000001241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57150</xdr:rowOff>
        </xdr:from>
        <xdr:to>
          <xdr:col>9</xdr:col>
          <xdr:colOff>628650</xdr:colOff>
          <xdr:row>1</xdr:row>
          <xdr:rowOff>241300</xdr:rowOff>
        </xdr:to>
        <xdr:sp macro="" textlink="">
          <xdr:nvSpPr>
            <xdr:cNvPr id="1386497" name="Spinner 1" hidden="1">
              <a:extLst>
                <a:ext uri="{63B3BB69-23CF-44E3-9099-C40C66FF867C}">
                  <a14:compatExt spid="_x0000_s1386497"/>
                </a:ext>
                <a:ext uri="{FF2B5EF4-FFF2-40B4-BE49-F238E27FC236}">
                  <a16:creationId xmlns:a16="http://schemas.microsoft.com/office/drawing/2014/main" id="{00000000-0008-0000-4A00-000001281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57150</xdr:rowOff>
        </xdr:from>
        <xdr:to>
          <xdr:col>9</xdr:col>
          <xdr:colOff>628650</xdr:colOff>
          <xdr:row>2</xdr:row>
          <xdr:rowOff>0</xdr:rowOff>
        </xdr:to>
        <xdr:sp macro="" textlink="">
          <xdr:nvSpPr>
            <xdr:cNvPr id="1387521" name="Spinner 1" hidden="1">
              <a:extLst>
                <a:ext uri="{63B3BB69-23CF-44E3-9099-C40C66FF867C}">
                  <a14:compatExt spid="_x0000_s1387521"/>
                </a:ext>
                <a:ext uri="{FF2B5EF4-FFF2-40B4-BE49-F238E27FC236}">
                  <a16:creationId xmlns:a16="http://schemas.microsoft.com/office/drawing/2014/main" id="{00000000-0008-0000-4B00-0000012C1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57150</xdr:rowOff>
        </xdr:from>
        <xdr:to>
          <xdr:col>9</xdr:col>
          <xdr:colOff>628650</xdr:colOff>
          <xdr:row>1</xdr:row>
          <xdr:rowOff>241300</xdr:rowOff>
        </xdr:to>
        <xdr:sp macro="" textlink="">
          <xdr:nvSpPr>
            <xdr:cNvPr id="1388545" name="Spinner 1" hidden="1">
              <a:extLst>
                <a:ext uri="{63B3BB69-23CF-44E3-9099-C40C66FF867C}">
                  <a14:compatExt spid="_x0000_s1388545"/>
                </a:ext>
                <a:ext uri="{FF2B5EF4-FFF2-40B4-BE49-F238E27FC236}">
                  <a16:creationId xmlns:a16="http://schemas.microsoft.com/office/drawing/2014/main" id="{00000000-0008-0000-4C00-000001301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ctrlProp" Target="../ctrlProps/ctrlProp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4" Type="http://schemas.openxmlformats.org/officeDocument/2006/relationships/ctrlProp" Target="../ctrlProps/ctrlProp4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7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8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9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9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.bin"/><Relationship Id="rId4" Type="http://schemas.openxmlformats.org/officeDocument/2006/relationships/ctrlProp" Target="../ctrlProps/ctrlProp10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5.bin"/><Relationship Id="rId4" Type="http://schemas.openxmlformats.org/officeDocument/2006/relationships/ctrlProp" Target="../ctrlProps/ctrlProp11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2.xml"/><Relationship Id="rId2" Type="http://schemas.openxmlformats.org/officeDocument/2006/relationships/vmlDrawing" Target="../drawings/vmlDrawing12.vml"/><Relationship Id="rId1" Type="http://schemas.openxmlformats.org/officeDocument/2006/relationships/drawing" Target="../drawings/drawing12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3.xml"/><Relationship Id="rId2" Type="http://schemas.openxmlformats.org/officeDocument/2006/relationships/vmlDrawing" Target="../drawings/vmlDrawing13.vml"/><Relationship Id="rId1" Type="http://schemas.openxmlformats.org/officeDocument/2006/relationships/drawing" Target="../drawings/drawing13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4.xml"/><Relationship Id="rId2" Type="http://schemas.openxmlformats.org/officeDocument/2006/relationships/vmlDrawing" Target="../drawings/vmlDrawing14.vml"/><Relationship Id="rId1" Type="http://schemas.openxmlformats.org/officeDocument/2006/relationships/drawing" Target="../drawings/drawing14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6.bin"/><Relationship Id="rId4" Type="http://schemas.openxmlformats.org/officeDocument/2006/relationships/ctrlProp" Target="../ctrlProps/ctrlProp15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6.xml"/><Relationship Id="rId2" Type="http://schemas.openxmlformats.org/officeDocument/2006/relationships/vmlDrawing" Target="../drawings/vmlDrawing16.vml"/><Relationship Id="rId1" Type="http://schemas.openxmlformats.org/officeDocument/2006/relationships/drawing" Target="../drawings/drawing16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7.xml"/><Relationship Id="rId2" Type="http://schemas.openxmlformats.org/officeDocument/2006/relationships/vmlDrawing" Target="../drawings/vmlDrawing17.vml"/><Relationship Id="rId1" Type="http://schemas.openxmlformats.org/officeDocument/2006/relationships/drawing" Target="../drawings/drawing17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8.xml"/><Relationship Id="rId2" Type="http://schemas.openxmlformats.org/officeDocument/2006/relationships/vmlDrawing" Target="../drawings/vmlDrawing18.vml"/><Relationship Id="rId1" Type="http://schemas.openxmlformats.org/officeDocument/2006/relationships/drawing" Target="../drawings/drawing18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9.xml"/><Relationship Id="rId2" Type="http://schemas.openxmlformats.org/officeDocument/2006/relationships/vmlDrawing" Target="../drawings/vmlDrawing19.vml"/><Relationship Id="rId1" Type="http://schemas.openxmlformats.org/officeDocument/2006/relationships/drawing" Target="../drawings/drawing19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7.bin"/><Relationship Id="rId4" Type="http://schemas.openxmlformats.org/officeDocument/2006/relationships/ctrlProp" Target="../ctrlProps/ctrlProp20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1.xml"/><Relationship Id="rId2" Type="http://schemas.openxmlformats.org/officeDocument/2006/relationships/vmlDrawing" Target="../drawings/vmlDrawing21.vml"/><Relationship Id="rId1" Type="http://schemas.openxmlformats.org/officeDocument/2006/relationships/drawing" Target="../drawings/drawing21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2.xml"/><Relationship Id="rId2" Type="http://schemas.openxmlformats.org/officeDocument/2006/relationships/vmlDrawing" Target="../drawings/vmlDrawing22.vml"/><Relationship Id="rId1" Type="http://schemas.openxmlformats.org/officeDocument/2006/relationships/drawing" Target="../drawings/drawing22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3.xml"/><Relationship Id="rId2" Type="http://schemas.openxmlformats.org/officeDocument/2006/relationships/vmlDrawing" Target="../drawings/vmlDrawing23.vml"/><Relationship Id="rId1" Type="http://schemas.openxmlformats.org/officeDocument/2006/relationships/drawing" Target="../drawings/drawing23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8.bin"/><Relationship Id="rId4" Type="http://schemas.openxmlformats.org/officeDocument/2006/relationships/ctrlProp" Target="../ctrlProps/ctrlProp24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5.xml"/><Relationship Id="rId2" Type="http://schemas.openxmlformats.org/officeDocument/2006/relationships/vmlDrawing" Target="../drawings/vmlDrawing25.vml"/><Relationship Id="rId1" Type="http://schemas.openxmlformats.org/officeDocument/2006/relationships/drawing" Target="../drawings/drawing25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6.xml"/><Relationship Id="rId2" Type="http://schemas.openxmlformats.org/officeDocument/2006/relationships/vmlDrawing" Target="../drawings/vmlDrawing26.vml"/><Relationship Id="rId1" Type="http://schemas.openxmlformats.org/officeDocument/2006/relationships/drawing" Target="../drawings/drawing26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7.xml"/><Relationship Id="rId2" Type="http://schemas.openxmlformats.org/officeDocument/2006/relationships/vmlDrawing" Target="../drawings/vmlDrawing27.vml"/><Relationship Id="rId1" Type="http://schemas.openxmlformats.org/officeDocument/2006/relationships/drawing" Target="../drawings/drawing27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8.xml"/><Relationship Id="rId2" Type="http://schemas.openxmlformats.org/officeDocument/2006/relationships/vmlDrawing" Target="../drawings/vmlDrawing28.vml"/><Relationship Id="rId1" Type="http://schemas.openxmlformats.org/officeDocument/2006/relationships/drawing" Target="../drawings/drawing28.xm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9.xml"/><Relationship Id="rId2" Type="http://schemas.openxmlformats.org/officeDocument/2006/relationships/vmlDrawing" Target="../drawings/vmlDrawing29.vml"/><Relationship Id="rId1" Type="http://schemas.openxmlformats.org/officeDocument/2006/relationships/drawing" Target="../drawings/drawing29.x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0.xml"/><Relationship Id="rId2" Type="http://schemas.openxmlformats.org/officeDocument/2006/relationships/vmlDrawing" Target="../drawings/vmlDrawing30.vml"/><Relationship Id="rId1" Type="http://schemas.openxmlformats.org/officeDocument/2006/relationships/drawing" Target="../drawings/drawing30.x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1.xml"/><Relationship Id="rId2" Type="http://schemas.openxmlformats.org/officeDocument/2006/relationships/vmlDrawing" Target="../drawings/vmlDrawing31.vml"/><Relationship Id="rId1" Type="http://schemas.openxmlformats.org/officeDocument/2006/relationships/drawing" Target="../drawings/drawing31.xm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2.xml"/><Relationship Id="rId2" Type="http://schemas.openxmlformats.org/officeDocument/2006/relationships/vmlDrawing" Target="../drawings/vmlDrawing32.vml"/><Relationship Id="rId1" Type="http://schemas.openxmlformats.org/officeDocument/2006/relationships/drawing" Target="../drawings/drawing32.x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3.xml"/><Relationship Id="rId2" Type="http://schemas.openxmlformats.org/officeDocument/2006/relationships/vmlDrawing" Target="../drawings/vmlDrawing33.vml"/><Relationship Id="rId1" Type="http://schemas.openxmlformats.org/officeDocument/2006/relationships/drawing" Target="../drawings/drawing33.xm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4.xml"/><Relationship Id="rId2" Type="http://schemas.openxmlformats.org/officeDocument/2006/relationships/vmlDrawing" Target="../drawings/vmlDrawing34.vml"/><Relationship Id="rId1" Type="http://schemas.openxmlformats.org/officeDocument/2006/relationships/drawing" Target="../drawings/drawing34.xml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5.xml"/><Relationship Id="rId2" Type="http://schemas.openxmlformats.org/officeDocument/2006/relationships/vmlDrawing" Target="../drawings/vmlDrawing35.vml"/><Relationship Id="rId1" Type="http://schemas.openxmlformats.org/officeDocument/2006/relationships/drawing" Target="../drawings/drawing35.x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6.xml"/><Relationship Id="rId2" Type="http://schemas.openxmlformats.org/officeDocument/2006/relationships/vmlDrawing" Target="../drawings/vmlDrawing36.vml"/><Relationship Id="rId1" Type="http://schemas.openxmlformats.org/officeDocument/2006/relationships/drawing" Target="../drawings/drawing36.xml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7.xml"/><Relationship Id="rId2" Type="http://schemas.openxmlformats.org/officeDocument/2006/relationships/vmlDrawing" Target="../drawings/vmlDrawing37.vml"/><Relationship Id="rId1" Type="http://schemas.openxmlformats.org/officeDocument/2006/relationships/drawing" Target="../drawings/drawing37.xml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8.xml"/><Relationship Id="rId2" Type="http://schemas.openxmlformats.org/officeDocument/2006/relationships/vmlDrawing" Target="../drawings/vmlDrawing38.vml"/><Relationship Id="rId1" Type="http://schemas.openxmlformats.org/officeDocument/2006/relationships/drawing" Target="../drawings/drawing38.x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9.xml"/><Relationship Id="rId2" Type="http://schemas.openxmlformats.org/officeDocument/2006/relationships/vmlDrawing" Target="../drawings/vmlDrawing39.vml"/><Relationship Id="rId1" Type="http://schemas.openxmlformats.org/officeDocument/2006/relationships/drawing" Target="../drawings/drawing39.xml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0.xml"/><Relationship Id="rId2" Type="http://schemas.openxmlformats.org/officeDocument/2006/relationships/vmlDrawing" Target="../drawings/vmlDrawing40.vml"/><Relationship Id="rId1" Type="http://schemas.openxmlformats.org/officeDocument/2006/relationships/drawing" Target="../drawings/drawing40.xml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1.xml"/><Relationship Id="rId2" Type="http://schemas.openxmlformats.org/officeDocument/2006/relationships/vmlDrawing" Target="../drawings/vmlDrawing41.vml"/><Relationship Id="rId1" Type="http://schemas.openxmlformats.org/officeDocument/2006/relationships/drawing" Target="../drawings/drawing41.x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2.xml"/><Relationship Id="rId2" Type="http://schemas.openxmlformats.org/officeDocument/2006/relationships/vmlDrawing" Target="../drawings/vmlDrawing42.vml"/><Relationship Id="rId1" Type="http://schemas.openxmlformats.org/officeDocument/2006/relationships/drawing" Target="../drawings/drawing42.xml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3.xml"/><Relationship Id="rId2" Type="http://schemas.openxmlformats.org/officeDocument/2006/relationships/vmlDrawing" Target="../drawings/vmlDrawing43.vml"/><Relationship Id="rId1" Type="http://schemas.openxmlformats.org/officeDocument/2006/relationships/drawing" Target="../drawings/drawing43.xml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4.xml"/><Relationship Id="rId2" Type="http://schemas.openxmlformats.org/officeDocument/2006/relationships/vmlDrawing" Target="../drawings/vmlDrawing44.vml"/><Relationship Id="rId1" Type="http://schemas.openxmlformats.org/officeDocument/2006/relationships/drawing" Target="../drawings/drawing44.x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5.xml"/><Relationship Id="rId2" Type="http://schemas.openxmlformats.org/officeDocument/2006/relationships/vmlDrawing" Target="../drawings/vmlDrawing45.vml"/><Relationship Id="rId1" Type="http://schemas.openxmlformats.org/officeDocument/2006/relationships/drawing" Target="../drawings/drawing45.xml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6.xml"/><Relationship Id="rId2" Type="http://schemas.openxmlformats.org/officeDocument/2006/relationships/vmlDrawing" Target="../drawings/vmlDrawing46.vml"/><Relationship Id="rId1" Type="http://schemas.openxmlformats.org/officeDocument/2006/relationships/drawing" Target="../drawings/drawing46.xml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7.xml"/><Relationship Id="rId2" Type="http://schemas.openxmlformats.org/officeDocument/2006/relationships/vmlDrawing" Target="../drawings/vmlDrawing47.vml"/><Relationship Id="rId1" Type="http://schemas.openxmlformats.org/officeDocument/2006/relationships/drawing" Target="../drawings/drawing47.x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8.xml"/><Relationship Id="rId2" Type="http://schemas.openxmlformats.org/officeDocument/2006/relationships/vmlDrawing" Target="../drawings/vmlDrawing48.vml"/><Relationship Id="rId1" Type="http://schemas.openxmlformats.org/officeDocument/2006/relationships/drawing" Target="../drawings/drawing48.xml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9.xml"/><Relationship Id="rId2" Type="http://schemas.openxmlformats.org/officeDocument/2006/relationships/vmlDrawing" Target="../drawings/vmlDrawing49.vml"/><Relationship Id="rId1" Type="http://schemas.openxmlformats.org/officeDocument/2006/relationships/drawing" Target="../drawings/drawing49.xml"/></Relationships>
</file>

<file path=xl/worksheets/_rels/sheet5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50.xml"/><Relationship Id="rId2" Type="http://schemas.openxmlformats.org/officeDocument/2006/relationships/vmlDrawing" Target="../drawings/vmlDrawing50.vml"/><Relationship Id="rId1" Type="http://schemas.openxmlformats.org/officeDocument/2006/relationships/drawing" Target="../drawings/drawing50.x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51.xml"/><Relationship Id="rId2" Type="http://schemas.openxmlformats.org/officeDocument/2006/relationships/vmlDrawing" Target="../drawings/vmlDrawing51.vml"/><Relationship Id="rId1" Type="http://schemas.openxmlformats.org/officeDocument/2006/relationships/drawing" Target="../drawings/drawing51.xml"/></Relationships>
</file>

<file path=xl/worksheets/_rels/sheet5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52.xml"/><Relationship Id="rId2" Type="http://schemas.openxmlformats.org/officeDocument/2006/relationships/vmlDrawing" Target="../drawings/vmlDrawing52.vml"/><Relationship Id="rId1" Type="http://schemas.openxmlformats.org/officeDocument/2006/relationships/drawing" Target="../drawings/drawing52.xml"/></Relationships>
</file>

<file path=xl/worksheets/_rels/sheet5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53.xml"/><Relationship Id="rId2" Type="http://schemas.openxmlformats.org/officeDocument/2006/relationships/vmlDrawing" Target="../drawings/vmlDrawing53.vml"/><Relationship Id="rId1" Type="http://schemas.openxmlformats.org/officeDocument/2006/relationships/drawing" Target="../drawings/drawing53.xml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54.xml"/><Relationship Id="rId2" Type="http://schemas.openxmlformats.org/officeDocument/2006/relationships/vmlDrawing" Target="../drawings/vmlDrawing54.vml"/><Relationship Id="rId1" Type="http://schemas.openxmlformats.org/officeDocument/2006/relationships/drawing" Target="../drawings/drawing54.xml"/></Relationships>
</file>

<file path=xl/worksheets/_rels/sheet6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55.xml"/><Relationship Id="rId2" Type="http://schemas.openxmlformats.org/officeDocument/2006/relationships/vmlDrawing" Target="../drawings/vmlDrawing55.vml"/><Relationship Id="rId1" Type="http://schemas.openxmlformats.org/officeDocument/2006/relationships/drawing" Target="../drawings/drawing55.xml"/></Relationships>
</file>

<file path=xl/worksheets/_rels/sheet6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56.xml"/><Relationship Id="rId2" Type="http://schemas.openxmlformats.org/officeDocument/2006/relationships/vmlDrawing" Target="../drawings/vmlDrawing56.vml"/><Relationship Id="rId1" Type="http://schemas.openxmlformats.org/officeDocument/2006/relationships/drawing" Target="../drawings/drawing56.xml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57.xml"/><Relationship Id="rId2" Type="http://schemas.openxmlformats.org/officeDocument/2006/relationships/vmlDrawing" Target="../drawings/vmlDrawing57.vml"/><Relationship Id="rId1" Type="http://schemas.openxmlformats.org/officeDocument/2006/relationships/drawing" Target="../drawings/drawing57.xml"/><Relationship Id="rId4" Type="http://schemas.openxmlformats.org/officeDocument/2006/relationships/ctrlProp" Target="../ctrlProps/ctrlProp58.xml"/></Relationships>
</file>

<file path=xl/worksheets/_rels/sheet6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59.xml"/><Relationship Id="rId2" Type="http://schemas.openxmlformats.org/officeDocument/2006/relationships/vmlDrawing" Target="../drawings/vmlDrawing58.vml"/><Relationship Id="rId1" Type="http://schemas.openxmlformats.org/officeDocument/2006/relationships/drawing" Target="../drawings/drawing58.xml"/></Relationships>
</file>

<file path=xl/worksheets/_rels/sheet6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60.xml"/><Relationship Id="rId2" Type="http://schemas.openxmlformats.org/officeDocument/2006/relationships/vmlDrawing" Target="../drawings/vmlDrawing59.vml"/><Relationship Id="rId1" Type="http://schemas.openxmlformats.org/officeDocument/2006/relationships/drawing" Target="../drawings/drawing59.xml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61.xml"/><Relationship Id="rId2" Type="http://schemas.openxmlformats.org/officeDocument/2006/relationships/vmlDrawing" Target="../drawings/vmlDrawing60.vml"/><Relationship Id="rId1" Type="http://schemas.openxmlformats.org/officeDocument/2006/relationships/drawing" Target="../drawings/drawing60.xml"/></Relationships>
</file>

<file path=xl/worksheets/_rels/sheet6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62.xml"/><Relationship Id="rId2" Type="http://schemas.openxmlformats.org/officeDocument/2006/relationships/vmlDrawing" Target="../drawings/vmlDrawing61.vml"/><Relationship Id="rId1" Type="http://schemas.openxmlformats.org/officeDocument/2006/relationships/drawing" Target="../drawings/drawing61.xml"/></Relationships>
</file>

<file path=xl/worksheets/_rels/sheet6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63.xml"/><Relationship Id="rId2" Type="http://schemas.openxmlformats.org/officeDocument/2006/relationships/vmlDrawing" Target="../drawings/vmlDrawing62.vml"/><Relationship Id="rId1" Type="http://schemas.openxmlformats.org/officeDocument/2006/relationships/drawing" Target="../drawings/drawing62.xml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64.xml"/><Relationship Id="rId2" Type="http://schemas.openxmlformats.org/officeDocument/2006/relationships/vmlDrawing" Target="../drawings/vmlDrawing63.vml"/><Relationship Id="rId1" Type="http://schemas.openxmlformats.org/officeDocument/2006/relationships/drawing" Target="../drawings/drawing63.xml"/></Relationships>
</file>

<file path=xl/worksheets/_rels/sheet70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65.xml"/><Relationship Id="rId2" Type="http://schemas.openxmlformats.org/officeDocument/2006/relationships/vmlDrawing" Target="../drawings/vmlDrawing64.vml"/><Relationship Id="rId1" Type="http://schemas.openxmlformats.org/officeDocument/2006/relationships/drawing" Target="../drawings/drawing64.xml"/></Relationships>
</file>

<file path=xl/worksheets/_rels/sheet7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66.xml"/><Relationship Id="rId2" Type="http://schemas.openxmlformats.org/officeDocument/2006/relationships/vmlDrawing" Target="../drawings/vmlDrawing65.vml"/><Relationship Id="rId1" Type="http://schemas.openxmlformats.org/officeDocument/2006/relationships/drawing" Target="../drawings/drawing65.xml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67.xml"/><Relationship Id="rId2" Type="http://schemas.openxmlformats.org/officeDocument/2006/relationships/vmlDrawing" Target="../drawings/vmlDrawing66.vml"/><Relationship Id="rId1" Type="http://schemas.openxmlformats.org/officeDocument/2006/relationships/drawing" Target="../drawings/drawing66.xml"/></Relationships>
</file>

<file path=xl/worksheets/_rels/sheet7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68.xml"/><Relationship Id="rId2" Type="http://schemas.openxmlformats.org/officeDocument/2006/relationships/vmlDrawing" Target="../drawings/vmlDrawing67.vml"/><Relationship Id="rId1" Type="http://schemas.openxmlformats.org/officeDocument/2006/relationships/drawing" Target="../drawings/drawing67.xml"/></Relationships>
</file>

<file path=xl/worksheets/_rels/sheet7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69.xml"/><Relationship Id="rId2" Type="http://schemas.openxmlformats.org/officeDocument/2006/relationships/vmlDrawing" Target="../drawings/vmlDrawing68.vml"/><Relationship Id="rId1" Type="http://schemas.openxmlformats.org/officeDocument/2006/relationships/drawing" Target="../drawings/drawing68.xml"/></Relationships>
</file>

<file path=xl/worksheets/_rels/sheet7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70.xml"/><Relationship Id="rId2" Type="http://schemas.openxmlformats.org/officeDocument/2006/relationships/vmlDrawing" Target="../drawings/vmlDrawing69.vml"/><Relationship Id="rId1" Type="http://schemas.openxmlformats.org/officeDocument/2006/relationships/drawing" Target="../drawings/drawing69.xml"/></Relationships>
</file>

<file path=xl/worksheets/_rels/sheet7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71.xml"/><Relationship Id="rId2" Type="http://schemas.openxmlformats.org/officeDocument/2006/relationships/vmlDrawing" Target="../drawings/vmlDrawing70.vml"/><Relationship Id="rId1" Type="http://schemas.openxmlformats.org/officeDocument/2006/relationships/drawing" Target="../drawings/drawing70.xml"/></Relationships>
</file>

<file path=xl/worksheets/_rels/sheet7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72.xml"/><Relationship Id="rId2" Type="http://schemas.openxmlformats.org/officeDocument/2006/relationships/vmlDrawing" Target="../drawings/vmlDrawing71.vml"/><Relationship Id="rId1" Type="http://schemas.openxmlformats.org/officeDocument/2006/relationships/drawing" Target="../drawings/drawing7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119"/>
  <sheetViews>
    <sheetView tabSelected="1" zoomScaleNormal="100" zoomScalePageLayoutView="110" workbookViewId="0">
      <pane xSplit="2" ySplit="4" topLeftCell="C5" activePane="bottomRight" state="frozen"/>
      <selection activeCell="H18" sqref="H18"/>
      <selection pane="topRight" activeCell="H18" sqref="H18"/>
      <selection pane="bottomLeft" activeCell="H18" sqref="H18"/>
      <selection pane="bottomRight" activeCell="AD88" sqref="AD88"/>
    </sheetView>
  </sheetViews>
  <sheetFormatPr defaultColWidth="9.1796875" defaultRowHeight="14.5" x14ac:dyDescent="0.35"/>
  <cols>
    <col min="1" max="1" width="7.26953125" style="3" customWidth="1"/>
    <col min="2" max="2" width="37.1796875" style="3" customWidth="1"/>
    <col min="3" max="3" width="8.7265625" style="13" bestFit="1" customWidth="1"/>
    <col min="4" max="6" width="4.7265625" style="13" customWidth="1"/>
    <col min="7" max="8" width="13.7265625" style="3" customWidth="1"/>
    <col min="9" max="9" width="8.1796875" style="3" bestFit="1" customWidth="1"/>
    <col min="10" max="12" width="5.1796875" style="3" customWidth="1"/>
    <col min="13" max="14" width="13.7265625" style="3" customWidth="1"/>
    <col min="15" max="15" width="8.1796875" style="3" bestFit="1" customWidth="1"/>
    <col min="16" max="16" width="9.1796875" style="13"/>
    <col min="17" max="17" width="7.7265625" style="13" customWidth="1"/>
    <col min="18" max="18" width="10.26953125" style="3" bestFit="1" customWidth="1"/>
    <col min="19" max="20" width="3.7265625" style="13" customWidth="1"/>
    <col min="21" max="16384" width="9.1796875" style="3"/>
  </cols>
  <sheetData>
    <row r="1" spans="1:21" ht="21.5" thickBot="1" x14ac:dyDescent="0.55000000000000004">
      <c r="A1" s="88" t="s">
        <v>80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9"/>
    </row>
    <row r="2" spans="1:21" ht="15" thickBot="1" x14ac:dyDescent="0.4">
      <c r="B2" s="30">
        <f>INDEX('KPI 100'!E$18:P$18,Actual_month)</f>
        <v>46054</v>
      </c>
      <c r="C2" s="31"/>
      <c r="D2" s="31"/>
      <c r="E2" s="31"/>
      <c r="F2" s="31"/>
      <c r="O2" s="32"/>
    </row>
    <row r="3" spans="1:21" ht="15" thickBot="1" x14ac:dyDescent="0.4">
      <c r="A3" s="29"/>
      <c r="C3" s="21"/>
      <c r="D3" s="118" t="s">
        <v>17</v>
      </c>
      <c r="E3" s="119"/>
      <c r="F3" s="119"/>
      <c r="G3" s="119"/>
      <c r="H3" s="119"/>
      <c r="I3" s="120"/>
      <c r="J3" s="118" t="s">
        <v>18</v>
      </c>
      <c r="K3" s="119"/>
      <c r="L3" s="119"/>
      <c r="M3" s="119"/>
      <c r="N3" s="119"/>
      <c r="O3" s="120"/>
      <c r="R3" s="6">
        <v>0.9</v>
      </c>
    </row>
    <row r="4" spans="1:21" ht="15" thickBot="1" x14ac:dyDescent="0.4">
      <c r="A4" s="29"/>
      <c r="B4" s="50"/>
      <c r="C4" s="33" t="s">
        <v>14</v>
      </c>
      <c r="G4" s="34" t="s">
        <v>19</v>
      </c>
      <c r="H4" s="35" t="s">
        <v>2</v>
      </c>
      <c r="I4" s="36" t="s">
        <v>22</v>
      </c>
      <c r="J4" s="8"/>
      <c r="K4" s="8"/>
      <c r="L4" s="8"/>
      <c r="M4" s="34" t="s">
        <v>19</v>
      </c>
      <c r="N4" s="35" t="s">
        <v>2</v>
      </c>
      <c r="O4" s="36" t="s">
        <v>22</v>
      </c>
    </row>
    <row r="5" spans="1:21" ht="21.5" thickBot="1" x14ac:dyDescent="0.55000000000000004">
      <c r="A5" s="121" t="s">
        <v>201</v>
      </c>
      <c r="B5" s="122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3"/>
      <c r="P5" s="25"/>
      <c r="Q5" s="5"/>
      <c r="R5" s="5"/>
    </row>
    <row r="6" spans="1:21" ht="15" thickBot="1" x14ac:dyDescent="0.4">
      <c r="A6" s="45"/>
      <c r="B6" s="44" t="s">
        <v>202</v>
      </c>
      <c r="C6" s="40"/>
      <c r="D6" s="40"/>
      <c r="E6" s="40"/>
      <c r="F6" s="40"/>
      <c r="G6" s="41"/>
      <c r="H6" s="41"/>
      <c r="I6" s="41"/>
      <c r="J6" s="41"/>
      <c r="K6" s="41"/>
      <c r="L6" s="41"/>
      <c r="M6" s="41"/>
      <c r="N6" s="41"/>
      <c r="O6" s="42"/>
      <c r="Q6" s="8" t="s">
        <v>28</v>
      </c>
      <c r="R6" s="8" t="s">
        <v>27</v>
      </c>
    </row>
    <row r="7" spans="1:21" ht="20" x14ac:dyDescent="0.35">
      <c r="A7" s="37">
        <v>100</v>
      </c>
      <c r="B7" s="54" t="s">
        <v>205</v>
      </c>
      <c r="C7" s="21" t="s">
        <v>15</v>
      </c>
      <c r="D7" s="38" t="s">
        <v>5</v>
      </c>
      <c r="E7" s="38" t="s">
        <v>5</v>
      </c>
      <c r="F7" s="38" t="s">
        <v>5</v>
      </c>
      <c r="G7" s="23">
        <f>IFERROR(INDEX('KPI 100'!E$19:P$19,Actual_month),0)</f>
        <v>230597.54382175682</v>
      </c>
      <c r="H7" s="23">
        <f>IFERROR(INDEX('KPI 100'!E$20:P$20,Actual_month),0)</f>
        <v>222543</v>
      </c>
      <c r="I7" s="28">
        <f>IFERROR(H7/G7,"")</f>
        <v>0.96507099040056266</v>
      </c>
      <c r="J7" s="38" t="s">
        <v>5</v>
      </c>
      <c r="K7" s="38" t="s">
        <v>5</v>
      </c>
      <c r="L7" s="38" t="s">
        <v>5</v>
      </c>
      <c r="M7" s="26">
        <f>IFERROR(INDEX('KPI 100'!E$26:P$26,Actual_month),0)</f>
        <v>1776711.446560892</v>
      </c>
      <c r="N7" s="27">
        <f>IFERROR(INDEX('KPI 100'!E$27:P$27,Actual_month),0)</f>
        <v>1717654</v>
      </c>
      <c r="O7" s="28">
        <f>IFERROR(N7/M7,"")</f>
        <v>0.96676024873076205</v>
      </c>
      <c r="P7" s="14" t="s">
        <v>20</v>
      </c>
      <c r="Q7" s="5">
        <f>G7*$R$3</f>
        <v>207537.78943958113</v>
      </c>
      <c r="R7" s="5">
        <f>M7*$R$3</f>
        <v>1599040.3019048029</v>
      </c>
      <c r="S7" s="13" t="s">
        <v>23</v>
      </c>
      <c r="U7" s="3" t="s">
        <v>41</v>
      </c>
    </row>
    <row r="8" spans="1:21" ht="20" x14ac:dyDescent="0.35">
      <c r="A8" s="37" t="s">
        <v>88</v>
      </c>
      <c r="B8" s="54" t="s">
        <v>204</v>
      </c>
      <c r="C8" s="21" t="s">
        <v>15</v>
      </c>
      <c r="D8" s="38" t="s">
        <v>5</v>
      </c>
      <c r="E8" s="38" t="s">
        <v>5</v>
      </c>
      <c r="F8" s="38" t="s">
        <v>5</v>
      </c>
      <c r="G8" s="23">
        <f>IFERROR(INDEX('KPI 128a'!E$19:P$19,Actual_month),0)</f>
        <v>183888.91262962579</v>
      </c>
      <c r="H8" s="23">
        <f>IFERROR(INDEX('KPI 128a'!E$20:P$20,Actual_month),0)</f>
        <v>172266</v>
      </c>
      <c r="I8" s="28">
        <f>IFERROR(H8/G8,"")</f>
        <v>0.9367938367603722</v>
      </c>
      <c r="J8" s="38" t="s">
        <v>5</v>
      </c>
      <c r="K8" s="38" t="s">
        <v>5</v>
      </c>
      <c r="L8" s="38" t="s">
        <v>5</v>
      </c>
      <c r="M8" s="26">
        <f>IFERROR(INDEX('KPI 128a'!E$26:P$26,Actual_month),0)</f>
        <v>1382493.6966631464</v>
      </c>
      <c r="N8" s="27">
        <f>IFERROR(INDEX('KPI 128a'!E$27:P$27,Actual_month),0)</f>
        <v>1275843</v>
      </c>
      <c r="O8" s="28">
        <f>IFERROR(N8/M8,"")</f>
        <v>0.92285628721449964</v>
      </c>
      <c r="P8" s="14" t="s">
        <v>20</v>
      </c>
      <c r="Q8" s="5">
        <f>G8*$R$3</f>
        <v>165500.02136666322</v>
      </c>
      <c r="R8" s="5">
        <f>M8*$R$3</f>
        <v>1244244.3269968317</v>
      </c>
      <c r="S8" s="13" t="s">
        <v>23</v>
      </c>
      <c r="U8" s="3" t="s">
        <v>41</v>
      </c>
    </row>
    <row r="9" spans="1:21" ht="20.5" thickBot="1" x14ac:dyDescent="0.4">
      <c r="A9" s="37">
        <v>128</v>
      </c>
      <c r="B9" s="55" t="s">
        <v>87</v>
      </c>
      <c r="C9" s="22" t="s">
        <v>1</v>
      </c>
      <c r="D9" s="38" t="s">
        <v>5</v>
      </c>
      <c r="E9" s="38" t="s">
        <v>5</v>
      </c>
      <c r="F9" s="38" t="s">
        <v>5</v>
      </c>
      <c r="G9" s="47">
        <f>IFERROR(INDEX('KPI 128'!E$19:P$19,Actual_month),0)</f>
        <v>0.20255476453918794</v>
      </c>
      <c r="H9" s="48">
        <f>IFERROR(INDEX('KPI 128'!E$20:P$20,Actual_month),0)</f>
        <v>0.2259203839258031</v>
      </c>
      <c r="I9" s="24">
        <f>IFERROR(G9/H9,"")</f>
        <v>0.89657586898272579</v>
      </c>
      <c r="J9" s="38" t="s">
        <v>5</v>
      </c>
      <c r="K9" s="38" t="s">
        <v>5</v>
      </c>
      <c r="L9" s="38" t="s">
        <v>5</v>
      </c>
      <c r="M9" s="47">
        <f>IFERROR(INDEX('KPI 128'!E$26:P$26,Actual_month),0)</f>
        <v>0.22188057079320161</v>
      </c>
      <c r="N9" s="48">
        <f>IFERROR(INDEX('KPI 128'!E$27:P$27,Actual_month),0)</f>
        <v>0.25721769343534845</v>
      </c>
      <c r="O9" s="24">
        <f t="shared" ref="O9" si="0">IFERROR(M9/N9,"")</f>
        <v>0.86261783872566755</v>
      </c>
      <c r="P9" s="25" t="s">
        <v>20</v>
      </c>
      <c r="Q9" s="46">
        <f>G9/$R$3</f>
        <v>0.2250608494879866</v>
      </c>
      <c r="R9" s="46">
        <f>M9/$R$3</f>
        <v>0.24653396754800178</v>
      </c>
      <c r="S9" s="13" t="s">
        <v>24</v>
      </c>
      <c r="U9" s="3" t="s">
        <v>41</v>
      </c>
    </row>
    <row r="10" spans="1:21" ht="20" hidden="1" x14ac:dyDescent="0.35">
      <c r="A10" s="37"/>
      <c r="B10" s="17" t="s">
        <v>42</v>
      </c>
      <c r="C10" s="22" t="s">
        <v>43</v>
      </c>
      <c r="D10" s="38" t="s">
        <v>5</v>
      </c>
      <c r="E10" s="38" t="s">
        <v>5</v>
      </c>
      <c r="F10" s="38" t="s">
        <v>5</v>
      </c>
      <c r="G10" s="23">
        <f>IFERROR(INDEX(#REF!,Actual_month),0)</f>
        <v>0</v>
      </c>
      <c r="H10" s="27">
        <f>IFERROR(INDEX(#REF!,Actual_month),0)</f>
        <v>0</v>
      </c>
      <c r="I10" s="24" t="str">
        <f t="shared" ref="I10:I11" si="1">IFERROR(H10/G10,"")</f>
        <v/>
      </c>
      <c r="J10" s="20" t="s">
        <v>5</v>
      </c>
      <c r="K10" s="20" t="s">
        <v>5</v>
      </c>
      <c r="L10" s="20" t="s">
        <v>5</v>
      </c>
      <c r="M10" s="23">
        <f>IFERROR(INDEX(#REF!,Actual_month),0)</f>
        <v>0</v>
      </c>
      <c r="N10" s="27">
        <f>IFERROR(INDEX(#REF!,Actual_month),0)</f>
        <v>0</v>
      </c>
      <c r="O10" s="24" t="str">
        <f t="shared" ref="O10:O11" si="2">IFERROR(N10/M10,"")</f>
        <v/>
      </c>
      <c r="P10" s="25" t="s">
        <v>20</v>
      </c>
      <c r="Q10" s="5">
        <f t="shared" ref="Q10:Q11" si="3">G10*$R$3</f>
        <v>0</v>
      </c>
      <c r="R10" s="5">
        <f t="shared" ref="R10:R11" si="4">M10*$R$3</f>
        <v>0</v>
      </c>
      <c r="S10" s="13" t="s">
        <v>23</v>
      </c>
      <c r="U10" s="3" t="s">
        <v>41</v>
      </c>
    </row>
    <row r="11" spans="1:21" ht="20" hidden="1" x14ac:dyDescent="0.35">
      <c r="A11" s="37"/>
      <c r="B11" s="17" t="s">
        <v>44</v>
      </c>
      <c r="C11" s="22" t="s">
        <v>43</v>
      </c>
      <c r="D11" s="38" t="s">
        <v>5</v>
      </c>
      <c r="E11" s="38" t="s">
        <v>5</v>
      </c>
      <c r="F11" s="38" t="s">
        <v>5</v>
      </c>
      <c r="G11" s="23">
        <f>IFERROR(INDEX(#REF!,Actual_month),0)</f>
        <v>0</v>
      </c>
      <c r="H11" s="27">
        <f>IFERROR(INDEX(#REF!,Actual_month),0)</f>
        <v>0</v>
      </c>
      <c r="I11" s="24" t="str">
        <f t="shared" si="1"/>
        <v/>
      </c>
      <c r="J11" s="20" t="s">
        <v>5</v>
      </c>
      <c r="K11" s="20" t="s">
        <v>5</v>
      </c>
      <c r="L11" s="20" t="s">
        <v>5</v>
      </c>
      <c r="M11" s="23">
        <f>IFERROR(INDEX(#REF!,Actual_month),0)</f>
        <v>0</v>
      </c>
      <c r="N11" s="27">
        <f>IFERROR(INDEX(#REF!,Actual_month),0)</f>
        <v>0</v>
      </c>
      <c r="O11" s="24" t="str">
        <f t="shared" si="2"/>
        <v/>
      </c>
      <c r="P11" s="25" t="s">
        <v>20</v>
      </c>
      <c r="Q11" s="5">
        <f t="shared" si="3"/>
        <v>0</v>
      </c>
      <c r="R11" s="5">
        <f t="shared" si="4"/>
        <v>0</v>
      </c>
      <c r="S11" s="13" t="s">
        <v>23</v>
      </c>
      <c r="U11" s="3" t="s">
        <v>41</v>
      </c>
    </row>
    <row r="12" spans="1:21" ht="20" hidden="1" x14ac:dyDescent="0.35">
      <c r="A12" s="37"/>
      <c r="B12" s="17" t="s">
        <v>77</v>
      </c>
      <c r="C12" s="22" t="s">
        <v>43</v>
      </c>
      <c r="D12" s="38" t="s">
        <v>5</v>
      </c>
      <c r="E12" s="38" t="s">
        <v>5</v>
      </c>
      <c r="F12" s="38" t="s">
        <v>5</v>
      </c>
      <c r="G12" s="23">
        <f>IFERROR(INDEX(#REF!,Actual_month),0)</f>
        <v>0</v>
      </c>
      <c r="H12" s="27">
        <f>IFERROR(INDEX(#REF!,Actual_month),0)</f>
        <v>0</v>
      </c>
      <c r="I12" s="24" t="str">
        <f t="shared" ref="I12:I13" si="5">IFERROR(H12/G12,"")</f>
        <v/>
      </c>
      <c r="J12" s="38" t="s">
        <v>5</v>
      </c>
      <c r="K12" s="38" t="s">
        <v>5</v>
      </c>
      <c r="L12" s="38" t="s">
        <v>5</v>
      </c>
      <c r="M12" s="23">
        <f>IFERROR(INDEX(#REF!,Actual_month),0)</f>
        <v>0</v>
      </c>
      <c r="N12" s="27">
        <f>IFERROR(INDEX(#REF!,Actual_month),0)</f>
        <v>0</v>
      </c>
      <c r="O12" s="24" t="str">
        <f t="shared" ref="O12:O13" si="6">IFERROR(N12/M12,"")</f>
        <v/>
      </c>
      <c r="P12" s="25" t="s">
        <v>20</v>
      </c>
      <c r="Q12" s="5">
        <f>G12/$R$3</f>
        <v>0</v>
      </c>
      <c r="R12" s="5">
        <f>M12/$R$3</f>
        <v>0</v>
      </c>
      <c r="S12" s="13" t="s">
        <v>24</v>
      </c>
      <c r="U12" s="3" t="s">
        <v>41</v>
      </c>
    </row>
    <row r="13" spans="1:21" ht="20" hidden="1" x14ac:dyDescent="0.35">
      <c r="A13" s="37"/>
      <c r="B13" s="17" t="s">
        <v>78</v>
      </c>
      <c r="C13" s="22" t="s">
        <v>43</v>
      </c>
      <c r="D13" s="38" t="s">
        <v>5</v>
      </c>
      <c r="E13" s="38" t="s">
        <v>5</v>
      </c>
      <c r="F13" s="38" t="s">
        <v>5</v>
      </c>
      <c r="G13" s="23">
        <f>IFERROR(INDEX(#REF!,Actual_month),0)</f>
        <v>0</v>
      </c>
      <c r="H13" s="27">
        <f>IFERROR(INDEX(#REF!,Actual_month),0)</f>
        <v>0</v>
      </c>
      <c r="I13" s="24" t="str">
        <f t="shared" si="5"/>
        <v/>
      </c>
      <c r="J13" s="38" t="s">
        <v>5</v>
      </c>
      <c r="K13" s="38" t="s">
        <v>5</v>
      </c>
      <c r="L13" s="38" t="s">
        <v>5</v>
      </c>
      <c r="M13" s="23">
        <f>IFERROR(INDEX(#REF!,Actual_month),0)</f>
        <v>0</v>
      </c>
      <c r="N13" s="27">
        <f>IFERROR(INDEX(#REF!,Actual_month),0)</f>
        <v>0</v>
      </c>
      <c r="O13" s="24" t="str">
        <f t="shared" si="6"/>
        <v/>
      </c>
      <c r="P13" s="25" t="s">
        <v>20</v>
      </c>
      <c r="Q13" s="5">
        <f>G13/$R$3</f>
        <v>0</v>
      </c>
      <c r="R13" s="5">
        <f>M13/$R$3</f>
        <v>0</v>
      </c>
      <c r="S13" s="13" t="s">
        <v>24</v>
      </c>
      <c r="U13" s="3" t="s">
        <v>41</v>
      </c>
    </row>
    <row r="14" spans="1:21" ht="20.5" hidden="1" thickBot="1" x14ac:dyDescent="0.4">
      <c r="A14" s="37"/>
      <c r="B14" s="17" t="s">
        <v>76</v>
      </c>
      <c r="C14" s="22" t="s">
        <v>43</v>
      </c>
      <c r="D14" s="38" t="s">
        <v>5</v>
      </c>
      <c r="E14" s="38" t="s">
        <v>5</v>
      </c>
      <c r="F14" s="38" t="s">
        <v>5</v>
      </c>
      <c r="G14" s="23">
        <f>IFERROR(INDEX(#REF!,Actual_month),0)</f>
        <v>0</v>
      </c>
      <c r="H14" s="27">
        <f>IFERROR(INDEX(#REF!,Actual_month),0)</f>
        <v>0</v>
      </c>
      <c r="I14" s="24" t="str">
        <f t="shared" ref="I14" si="7">IFERROR(H14/G14,"")</f>
        <v/>
      </c>
      <c r="J14" s="20" t="s">
        <v>5</v>
      </c>
      <c r="K14" s="20" t="s">
        <v>5</v>
      </c>
      <c r="L14" s="20" t="s">
        <v>5</v>
      </c>
      <c r="M14" s="23">
        <f>IFERROR(INDEX(#REF!,Actual_month),0)</f>
        <v>0</v>
      </c>
      <c r="N14" s="27">
        <f>IFERROR(INDEX(#REF!,Actual_month),0)</f>
        <v>0</v>
      </c>
      <c r="O14" s="24" t="str">
        <f t="shared" ref="O14" si="8">IFERROR(N14/M14,"")</f>
        <v/>
      </c>
      <c r="P14" s="25" t="s">
        <v>20</v>
      </c>
      <c r="Q14" s="5">
        <f t="shared" ref="Q14" si="9">G14*$R$3</f>
        <v>0</v>
      </c>
      <c r="R14" s="5">
        <f t="shared" ref="R14" si="10">M14*$R$3</f>
        <v>0</v>
      </c>
      <c r="S14" s="13" t="s">
        <v>23</v>
      </c>
      <c r="U14" s="3" t="s">
        <v>41</v>
      </c>
    </row>
    <row r="15" spans="1:21" ht="20.5" hidden="1" thickBot="1" x14ac:dyDescent="0.4">
      <c r="A15" s="51"/>
      <c r="B15" s="52" t="s">
        <v>34</v>
      </c>
      <c r="C15" s="53" t="s">
        <v>35</v>
      </c>
      <c r="D15" s="38" t="s">
        <v>5</v>
      </c>
      <c r="E15" s="38" t="s">
        <v>5</v>
      </c>
      <c r="F15" s="38" t="s">
        <v>5</v>
      </c>
      <c r="G15" s="23">
        <f>IFERROR(INDEX(#REF!,Actual_month),0)</f>
        <v>0</v>
      </c>
      <c r="H15" s="16">
        <f>IFERROR(INDEX(#REF!,Actual_month),0)</f>
        <v>0</v>
      </c>
      <c r="I15" s="24" t="str">
        <f>IFERROR(G15/H15,"")</f>
        <v/>
      </c>
      <c r="J15" s="38" t="s">
        <v>5</v>
      </c>
      <c r="K15" s="38" t="s">
        <v>5</v>
      </c>
      <c r="L15" s="38" t="s">
        <v>5</v>
      </c>
      <c r="M15" s="23">
        <f>IFERROR(INDEX(#REF!,Actual_month),0)</f>
        <v>0</v>
      </c>
      <c r="N15" s="16">
        <f>IFERROR(INDEX(#REF!,Actual_month),0)</f>
        <v>0</v>
      </c>
      <c r="O15" s="24" t="str">
        <f>IFERROR(M15/N15,"")</f>
        <v/>
      </c>
      <c r="P15" s="25" t="s">
        <v>20</v>
      </c>
      <c r="Q15" s="5">
        <f>G15/$R$3</f>
        <v>0</v>
      </c>
      <c r="R15" s="5">
        <f>M15/$R$3</f>
        <v>0</v>
      </c>
      <c r="S15" s="13" t="s">
        <v>24</v>
      </c>
      <c r="U15" s="3" t="s">
        <v>41</v>
      </c>
    </row>
    <row r="16" spans="1:21" ht="15" thickBot="1" x14ac:dyDescent="0.4">
      <c r="A16" s="45"/>
      <c r="B16" s="44" t="s">
        <v>141</v>
      </c>
      <c r="C16" s="40"/>
      <c r="D16" s="40"/>
      <c r="E16" s="40"/>
      <c r="F16" s="40"/>
      <c r="G16" s="41"/>
      <c r="H16" s="41"/>
      <c r="I16" s="41"/>
      <c r="J16" s="41"/>
      <c r="K16" s="41"/>
      <c r="L16" s="41"/>
      <c r="M16" s="41"/>
      <c r="N16" s="41"/>
      <c r="O16" s="42"/>
      <c r="Q16" s="8" t="s">
        <v>28</v>
      </c>
      <c r="R16" s="8" t="s">
        <v>27</v>
      </c>
    </row>
    <row r="17" spans="1:21" ht="20" x14ac:dyDescent="0.35">
      <c r="A17" s="37" t="s">
        <v>101</v>
      </c>
      <c r="B17" s="39" t="s">
        <v>33</v>
      </c>
      <c r="C17" s="21" t="s">
        <v>15</v>
      </c>
      <c r="D17" s="38" t="s">
        <v>5</v>
      </c>
      <c r="E17" s="38" t="s">
        <v>5</v>
      </c>
      <c r="F17" s="38" t="s">
        <v>5</v>
      </c>
      <c r="G17" s="23">
        <f>IFERROR(INDEX('KPI RA'!E$19:P$19,Actual_month),0)</f>
        <v>103813.31337297201</v>
      </c>
      <c r="H17" s="27">
        <f>IFERROR(INDEX('KPI RA'!E$20:P$20,Actual_month),0)</f>
        <v>101836</v>
      </c>
      <c r="I17" s="28">
        <f>IFERROR(H17/G17,"")</f>
        <v>0.98095318116022279</v>
      </c>
      <c r="J17" s="38" t="s">
        <v>5</v>
      </c>
      <c r="K17" s="38" t="s">
        <v>5</v>
      </c>
      <c r="L17" s="38" t="s">
        <v>5</v>
      </c>
      <c r="M17" s="23">
        <f>IFERROR(INDEX('KPI RA'!E$26:P$26,Actual_month),0)</f>
        <v>836353.87176464451</v>
      </c>
      <c r="N17" s="27">
        <f>IFERROR(INDEX('KPI RA'!E$27:P$27,Actual_month),0)</f>
        <v>820288</v>
      </c>
      <c r="O17" s="28">
        <f>IFERROR(N17/M17,"")</f>
        <v>0.98079058122760077</v>
      </c>
      <c r="P17" s="14" t="s">
        <v>20</v>
      </c>
      <c r="Q17" s="5">
        <f>G17*$R$3</f>
        <v>93431.98203567481</v>
      </c>
      <c r="R17" s="5">
        <f>M17*$R$3</f>
        <v>752718.48458818009</v>
      </c>
      <c r="S17" s="13" t="s">
        <v>23</v>
      </c>
      <c r="U17" s="3" t="s">
        <v>41</v>
      </c>
    </row>
    <row r="18" spans="1:21" ht="20" x14ac:dyDescent="0.35">
      <c r="A18" s="37" t="s">
        <v>102</v>
      </c>
      <c r="B18" s="39" t="s">
        <v>36</v>
      </c>
      <c r="C18" s="21" t="s">
        <v>15</v>
      </c>
      <c r="D18" s="38" t="s">
        <v>5</v>
      </c>
      <c r="E18" s="38" t="s">
        <v>5</v>
      </c>
      <c r="F18" s="38" t="s">
        <v>5</v>
      </c>
      <c r="G18" s="23">
        <f>IFERROR(INDEX('KPI RA2'!E$19:P$19,Actual_month),0)</f>
        <v>87853.152871839586</v>
      </c>
      <c r="H18" s="27">
        <f>IFERROR(INDEX('KPI RA2'!E$20:P$20,Actual_month),0)</f>
        <v>83599</v>
      </c>
      <c r="I18" s="28">
        <f>IFERROR(H18/G18,"")</f>
        <v>0.9515765486749741</v>
      </c>
      <c r="J18" s="38" t="s">
        <v>5</v>
      </c>
      <c r="K18" s="38" t="s">
        <v>5</v>
      </c>
      <c r="L18" s="38" t="s">
        <v>5</v>
      </c>
      <c r="M18" s="23">
        <f>IFERROR(INDEX('KPI RA2'!E$26:P$26,Actual_month),0)</f>
        <v>689333.08080845501</v>
      </c>
      <c r="N18" s="27">
        <f>IFERROR(INDEX('KPI RA2'!E$27:P$27,Actual_month),0)</f>
        <v>647518</v>
      </c>
      <c r="O18" s="28">
        <f>IFERROR(N18/M18,"")</f>
        <v>0.93933980252418181</v>
      </c>
      <c r="P18" s="14" t="s">
        <v>20</v>
      </c>
      <c r="Q18" s="5">
        <f>G18*$R$3</f>
        <v>79067.83758465563</v>
      </c>
      <c r="R18" s="5">
        <f>M18*$R$3</f>
        <v>620399.7727276095</v>
      </c>
      <c r="S18" s="13" t="s">
        <v>23</v>
      </c>
      <c r="U18" s="3" t="s">
        <v>41</v>
      </c>
    </row>
    <row r="19" spans="1:21" ht="20" x14ac:dyDescent="0.35">
      <c r="A19" s="37" t="s">
        <v>103</v>
      </c>
      <c r="B19" s="17" t="s">
        <v>37</v>
      </c>
      <c r="C19" s="22" t="s">
        <v>15</v>
      </c>
      <c r="D19" s="38" t="s">
        <v>5</v>
      </c>
      <c r="E19" s="38" t="s">
        <v>5</v>
      </c>
      <c r="F19" s="38" t="s">
        <v>5</v>
      </c>
      <c r="G19" s="23">
        <f>IFERROR(INDEX('KPI RA3'!E$19:P$19,Actual_month),0)</f>
        <v>15960.160501132428</v>
      </c>
      <c r="H19" s="27">
        <f>IFERROR(INDEX('KPI RA3'!E$20:P$20,Actual_month),0)</f>
        <v>18237</v>
      </c>
      <c r="I19" s="24">
        <f>IFERROR(G19/H19,"")</f>
        <v>0.87515273899942025</v>
      </c>
      <c r="J19" s="38" t="s">
        <v>5</v>
      </c>
      <c r="K19" s="38" t="s">
        <v>5</v>
      </c>
      <c r="L19" s="38" t="s">
        <v>5</v>
      </c>
      <c r="M19" s="23">
        <f>IFERROR(INDEX('KPI RA3'!E$26:P$26,Actual_month),0)</f>
        <v>147020.79095618956</v>
      </c>
      <c r="N19" s="27">
        <f>IFERROR(INDEX('KPI RA3'!E$27:P$27,Actual_month),0)</f>
        <v>172770</v>
      </c>
      <c r="O19" s="24">
        <f t="shared" ref="O19" si="11">IFERROR(M19/N19,"")</f>
        <v>0.8509624990229181</v>
      </c>
      <c r="P19" s="25" t="s">
        <v>20</v>
      </c>
      <c r="Q19" s="46">
        <f>G19/$R$3</f>
        <v>17733.511667924919</v>
      </c>
      <c r="R19" s="46">
        <f>M19/$R$3</f>
        <v>163356.43439576618</v>
      </c>
      <c r="S19" s="13" t="s">
        <v>24</v>
      </c>
      <c r="U19" s="3" t="s">
        <v>41</v>
      </c>
    </row>
    <row r="20" spans="1:21" ht="20.5" thickBot="1" x14ac:dyDescent="0.4">
      <c r="A20" s="37" t="s">
        <v>144</v>
      </c>
      <c r="B20" s="17" t="s">
        <v>37</v>
      </c>
      <c r="C20" s="22" t="s">
        <v>1</v>
      </c>
      <c r="D20" s="38" t="s">
        <v>5</v>
      </c>
      <c r="E20" s="38" t="s">
        <v>5</v>
      </c>
      <c r="F20" s="38" t="s">
        <v>5</v>
      </c>
      <c r="G20" s="47">
        <f>IFERROR(INDEX('KPI RA4'!E$19:P$19,Actual_month),0)</f>
        <v>0.15373905313851283</v>
      </c>
      <c r="H20" s="49">
        <f>IFERROR(INDEX('KPI RA4'!E$20:P$20,Actual_month),0)</f>
        <v>0.17908205349778075</v>
      </c>
      <c r="I20" s="24">
        <f>IFERROR(G20/H20,"")</f>
        <v>0.85848386332256355</v>
      </c>
      <c r="J20" s="38" t="s">
        <v>5</v>
      </c>
      <c r="K20" s="38" t="s">
        <v>5</v>
      </c>
      <c r="L20" s="38" t="s">
        <v>5</v>
      </c>
      <c r="M20" s="47">
        <f>IFERROR(INDEX('KPI RA4'!E$26:P$26,Actual_month),0)</f>
        <v>0.1757877806507748</v>
      </c>
      <c r="N20" s="49">
        <f>IFERROR(INDEX('KPI RA4'!E$27:P$27,Actual_month),0)</f>
        <v>0.2106211476944683</v>
      </c>
      <c r="O20" s="24">
        <f t="shared" ref="O20" si="12">IFERROR(M20/N20,"")</f>
        <v>0.83461600401957947</v>
      </c>
      <c r="P20" s="25" t="s">
        <v>20</v>
      </c>
      <c r="Q20" s="46">
        <f>G20/$R$3</f>
        <v>0.17082117015390313</v>
      </c>
      <c r="R20" s="46">
        <f>M20/$R$3</f>
        <v>0.19531975627863865</v>
      </c>
      <c r="S20" s="13" t="s">
        <v>24</v>
      </c>
      <c r="U20" s="3" t="s">
        <v>41</v>
      </c>
    </row>
    <row r="21" spans="1:21" ht="20" hidden="1" x14ac:dyDescent="0.35">
      <c r="A21" s="37"/>
      <c r="B21" s="17" t="s">
        <v>90</v>
      </c>
      <c r="C21" s="22" t="s">
        <v>35</v>
      </c>
      <c r="D21" s="38" t="s">
        <v>5</v>
      </c>
      <c r="E21" s="38" t="s">
        <v>5</v>
      </c>
      <c r="F21" s="38" t="s">
        <v>5</v>
      </c>
      <c r="G21" s="27">
        <f>IFERROR(INDEX(#REF!,Actual_month),0)</f>
        <v>0</v>
      </c>
      <c r="H21" s="27">
        <f>IFERROR(INDEX(#REF!,Actual_month),0)</f>
        <v>0</v>
      </c>
      <c r="I21" s="24" t="str">
        <f t="shared" ref="I21" si="13">IFERROR(H21/G21,"")</f>
        <v/>
      </c>
      <c r="J21" s="20" t="s">
        <v>5</v>
      </c>
      <c r="K21" s="20" t="s">
        <v>5</v>
      </c>
      <c r="L21" s="20" t="s">
        <v>5</v>
      </c>
      <c r="M21" s="23">
        <f>IFERROR(INDEX(#REF!,Actual_month),0)</f>
        <v>0</v>
      </c>
      <c r="N21" s="27">
        <f>IFERROR(INDEX(#REF!,Actual_month),0)</f>
        <v>0</v>
      </c>
      <c r="O21" s="24" t="str">
        <f t="shared" ref="O21" si="14">IFERROR(N21/M21,"")</f>
        <v/>
      </c>
      <c r="P21" s="25" t="s">
        <v>20</v>
      </c>
      <c r="Q21" s="5">
        <f t="shared" ref="Q21" si="15">G21*$R$3</f>
        <v>0</v>
      </c>
      <c r="R21" s="5">
        <f t="shared" ref="R21" si="16">M21*$R$3</f>
        <v>0</v>
      </c>
      <c r="S21" s="13" t="s">
        <v>23</v>
      </c>
      <c r="U21" s="3" t="s">
        <v>41</v>
      </c>
    </row>
    <row r="22" spans="1:21" ht="20" hidden="1" x14ac:dyDescent="0.35">
      <c r="A22" s="37"/>
      <c r="B22" s="17" t="s">
        <v>104</v>
      </c>
      <c r="C22" s="22" t="s">
        <v>35</v>
      </c>
      <c r="D22" s="38" t="s">
        <v>5</v>
      </c>
      <c r="E22" s="38" t="s">
        <v>5</v>
      </c>
      <c r="F22" s="38" t="s">
        <v>5</v>
      </c>
      <c r="G22" s="27">
        <f>IFERROR(INDEX(#REF!,Actual_month),0)</f>
        <v>0</v>
      </c>
      <c r="H22" s="27">
        <f>IFERROR(INDEX(#REF!,Actual_month),0)</f>
        <v>0</v>
      </c>
      <c r="I22" s="24" t="str">
        <f t="shared" ref="I22" si="17">IFERROR(H22/G22,"")</f>
        <v/>
      </c>
      <c r="J22" s="20" t="s">
        <v>5</v>
      </c>
      <c r="K22" s="20" t="s">
        <v>5</v>
      </c>
      <c r="L22" s="20" t="s">
        <v>5</v>
      </c>
      <c r="M22" s="23">
        <f>IFERROR(INDEX(#REF!,Actual_month),0)</f>
        <v>0</v>
      </c>
      <c r="N22" s="27">
        <f>IFERROR(INDEX(#REF!,Actual_month),0)</f>
        <v>0</v>
      </c>
      <c r="O22" s="24" t="str">
        <f t="shared" ref="O22" si="18">IFERROR(N22/M22,"")</f>
        <v/>
      </c>
      <c r="P22" s="25" t="s">
        <v>20</v>
      </c>
      <c r="Q22" s="5">
        <f t="shared" ref="Q22" si="19">G22*$R$3</f>
        <v>0</v>
      </c>
      <c r="R22" s="5">
        <f t="shared" ref="R22" si="20">M22*$R$3</f>
        <v>0</v>
      </c>
      <c r="S22" s="13" t="s">
        <v>23</v>
      </c>
      <c r="U22" s="3" t="s">
        <v>41</v>
      </c>
    </row>
    <row r="23" spans="1:21" ht="20" hidden="1" x14ac:dyDescent="0.35">
      <c r="A23" s="37"/>
      <c r="B23" s="17" t="s">
        <v>42</v>
      </c>
      <c r="C23" s="22" t="s">
        <v>35</v>
      </c>
      <c r="D23" s="38" t="s">
        <v>5</v>
      </c>
      <c r="E23" s="38" t="s">
        <v>5</v>
      </c>
      <c r="F23" s="38" t="s">
        <v>5</v>
      </c>
      <c r="G23" s="27">
        <f>IFERROR(INDEX(#REF!,Actual_month),0)</f>
        <v>0</v>
      </c>
      <c r="H23" s="27">
        <f>IFERROR(INDEX(#REF!,Actual_month),0)</f>
        <v>0</v>
      </c>
      <c r="I23" s="24" t="str">
        <f t="shared" ref="I23:I24" si="21">IFERROR(H23/G23,"")</f>
        <v/>
      </c>
      <c r="J23" s="20" t="s">
        <v>5</v>
      </c>
      <c r="K23" s="20" t="s">
        <v>5</v>
      </c>
      <c r="L23" s="20" t="s">
        <v>5</v>
      </c>
      <c r="M23" s="23">
        <f>IFERROR(INDEX(#REF!,Actual_month),0)</f>
        <v>0</v>
      </c>
      <c r="N23" s="27">
        <f>IFERROR(INDEX(#REF!,Actual_month),0)</f>
        <v>0</v>
      </c>
      <c r="O23" s="24" t="str">
        <f t="shared" ref="O23:O24" si="22">IFERROR(N23/M23,"")</f>
        <v/>
      </c>
      <c r="P23" s="25" t="s">
        <v>20</v>
      </c>
      <c r="Q23" s="5">
        <f t="shared" ref="Q23:Q24" si="23">G23*$R$3</f>
        <v>0</v>
      </c>
      <c r="R23" s="5">
        <f t="shared" ref="R23:R24" si="24">M23*$R$3</f>
        <v>0</v>
      </c>
      <c r="S23" s="13" t="s">
        <v>23</v>
      </c>
      <c r="U23" s="3" t="s">
        <v>41</v>
      </c>
    </row>
    <row r="24" spans="1:21" ht="20.5" hidden="1" thickBot="1" x14ac:dyDescent="0.4">
      <c r="A24" s="37"/>
      <c r="B24" s="17" t="s">
        <v>44</v>
      </c>
      <c r="C24" s="22" t="s">
        <v>35</v>
      </c>
      <c r="D24" s="38" t="s">
        <v>5</v>
      </c>
      <c r="E24" s="38" t="s">
        <v>5</v>
      </c>
      <c r="F24" s="38" t="s">
        <v>5</v>
      </c>
      <c r="G24" s="27">
        <f>IFERROR(INDEX(#REF!,Actual_month),0)</f>
        <v>0</v>
      </c>
      <c r="H24" s="27">
        <f>IFERROR(INDEX(#REF!,Actual_month),0)</f>
        <v>0</v>
      </c>
      <c r="I24" s="24" t="str">
        <f t="shared" si="21"/>
        <v/>
      </c>
      <c r="J24" s="20" t="s">
        <v>5</v>
      </c>
      <c r="K24" s="20" t="s">
        <v>5</v>
      </c>
      <c r="L24" s="20" t="s">
        <v>5</v>
      </c>
      <c r="M24" s="23">
        <f>IFERROR(INDEX(#REF!,Actual_month),0)</f>
        <v>0</v>
      </c>
      <c r="N24" s="27">
        <f>IFERROR(INDEX(#REF!,Actual_month),0)</f>
        <v>0</v>
      </c>
      <c r="O24" s="24" t="str">
        <f t="shared" si="22"/>
        <v/>
      </c>
      <c r="P24" s="25" t="s">
        <v>20</v>
      </c>
      <c r="Q24" s="5">
        <f t="shared" si="23"/>
        <v>0</v>
      </c>
      <c r="R24" s="5">
        <f t="shared" si="24"/>
        <v>0</v>
      </c>
      <c r="S24" s="13" t="s">
        <v>23</v>
      </c>
      <c r="U24" s="3" t="s">
        <v>41</v>
      </c>
    </row>
    <row r="25" spans="1:21" ht="15" thickBot="1" x14ac:dyDescent="0.4">
      <c r="A25" s="45"/>
      <c r="B25" s="44" t="s">
        <v>142</v>
      </c>
      <c r="C25" s="40"/>
      <c r="D25" s="40"/>
      <c r="E25" s="40"/>
      <c r="F25" s="40"/>
      <c r="G25" s="41"/>
      <c r="H25" s="41"/>
      <c r="I25" s="41"/>
      <c r="J25" s="41"/>
      <c r="K25" s="41"/>
      <c r="L25" s="41"/>
      <c r="M25" s="41"/>
      <c r="N25" s="41"/>
      <c r="O25" s="42"/>
      <c r="Q25" s="8" t="s">
        <v>28</v>
      </c>
      <c r="R25" s="8" t="s">
        <v>27</v>
      </c>
    </row>
    <row r="26" spans="1:21" ht="20" x14ac:dyDescent="0.35">
      <c r="A26" s="37" t="s">
        <v>145</v>
      </c>
      <c r="B26" s="39" t="s">
        <v>33</v>
      </c>
      <c r="C26" s="21" t="s">
        <v>15</v>
      </c>
      <c r="D26" s="38" t="s">
        <v>5</v>
      </c>
      <c r="E26" s="38" t="s">
        <v>5</v>
      </c>
      <c r="F26" s="38" t="s">
        <v>5</v>
      </c>
      <c r="G26" s="23">
        <f>IFERROR(INDEX('KPI RA6 (B)'!E$19:P$19,Actual_month),0)</f>
        <v>89353.394344216111</v>
      </c>
      <c r="H26" s="27">
        <f>IFERROR(INDEX('KPI RA6 (B)'!E$20:P$20,Actual_month),0)</f>
        <v>77635</v>
      </c>
      <c r="I26" s="28">
        <f>IFERROR(H26/G26,"")</f>
        <v>0.86885339465590605</v>
      </c>
      <c r="J26" s="38" t="s">
        <v>5</v>
      </c>
      <c r="K26" s="38" t="s">
        <v>5</v>
      </c>
      <c r="L26" s="38" t="s">
        <v>5</v>
      </c>
      <c r="M26" s="23">
        <f>IFERROR(INDEX('KPI RA6 (B)'!E$26:P$26,Actual_month),0)</f>
        <v>649012.4083186998</v>
      </c>
      <c r="N26" s="23">
        <f>IFERROR(INDEX('KPI RA6 (B)'!E$27:P$27,Actual_month),0)</f>
        <v>576686</v>
      </c>
      <c r="O26" s="28">
        <f>IFERROR(N26/M26,"")</f>
        <v>0.88855928270144313</v>
      </c>
      <c r="P26" s="14" t="s">
        <v>20</v>
      </c>
      <c r="Q26" s="5">
        <f>G26*$R$3</f>
        <v>80418.054909794504</v>
      </c>
      <c r="R26" s="5">
        <f>M26*$R$3</f>
        <v>584111.1674868298</v>
      </c>
      <c r="S26" s="13" t="s">
        <v>23</v>
      </c>
      <c r="U26" s="3" t="s">
        <v>41</v>
      </c>
    </row>
    <row r="27" spans="1:21" ht="20" x14ac:dyDescent="0.35">
      <c r="A27" s="37" t="s">
        <v>146</v>
      </c>
      <c r="B27" s="39" t="s">
        <v>36</v>
      </c>
      <c r="C27" s="21" t="s">
        <v>15</v>
      </c>
      <c r="D27" s="38" t="s">
        <v>5</v>
      </c>
      <c r="E27" s="38" t="s">
        <v>5</v>
      </c>
      <c r="F27" s="38" t="s">
        <v>5</v>
      </c>
      <c r="G27" s="23">
        <f>IFERROR(INDEX('KPI RB2'!E$19:P$19,Actual_month),0)</f>
        <v>64564.49839540563</v>
      </c>
      <c r="H27" s="27">
        <f>IFERROR(INDEX('KPI RB2'!E$20:P$20,Actual_month),0)</f>
        <v>55022</v>
      </c>
      <c r="I27" s="28">
        <f>IFERROR(H27/G27,"")</f>
        <v>0.85220208268380715</v>
      </c>
      <c r="J27" s="38" t="s">
        <v>5</v>
      </c>
      <c r="K27" s="38" t="s">
        <v>5</v>
      </c>
      <c r="L27" s="38" t="s">
        <v>5</v>
      </c>
      <c r="M27" s="23">
        <f>IFERROR(INDEX('KPI RB2'!E$26:P$26,Actual_month),0)</f>
        <v>452009.09535415098</v>
      </c>
      <c r="N27" s="27">
        <f>IFERROR(INDEX('KPI RB2'!E$27:P$27,Actual_month),0)</f>
        <v>395248</v>
      </c>
      <c r="O27" s="28">
        <f>IFERROR(N27/M27,"")</f>
        <v>0.87442488229207327</v>
      </c>
      <c r="P27" s="14" t="s">
        <v>20</v>
      </c>
      <c r="Q27" s="5">
        <f>G27*$R$3</f>
        <v>58108.048555865069</v>
      </c>
      <c r="R27" s="5">
        <f>M27*$R$3</f>
        <v>406808.18581873592</v>
      </c>
      <c r="S27" s="13" t="s">
        <v>23</v>
      </c>
      <c r="U27" s="3" t="s">
        <v>41</v>
      </c>
    </row>
    <row r="28" spans="1:21" ht="20" x14ac:dyDescent="0.35">
      <c r="A28" s="37" t="s">
        <v>147</v>
      </c>
      <c r="B28" s="17" t="s">
        <v>37</v>
      </c>
      <c r="C28" s="22" t="s">
        <v>15</v>
      </c>
      <c r="D28" s="38" t="s">
        <v>5</v>
      </c>
      <c r="E28" s="38" t="s">
        <v>5</v>
      </c>
      <c r="F28" s="38" t="s">
        <v>5</v>
      </c>
      <c r="G28" s="23">
        <f>IFERROR(INDEX('KPI RB3 (2)'!E$19:P$19,Actual_month),0)</f>
        <v>24788.895948810481</v>
      </c>
      <c r="H28" s="27">
        <f>IFERROR(INDEX('KPI RB3 (2)'!E$20:P$20,Actual_month),0)</f>
        <v>22613</v>
      </c>
      <c r="I28" s="24">
        <f>IFERROR(G28/H28,"")</f>
        <v>1.0962232321589565</v>
      </c>
      <c r="J28" s="38" t="s">
        <v>5</v>
      </c>
      <c r="K28" s="38" t="s">
        <v>5</v>
      </c>
      <c r="L28" s="38" t="s">
        <v>5</v>
      </c>
      <c r="M28" s="23">
        <f>IFERROR(INDEX('KPI RB3 (2)'!E$26:P$26,Actual_month),0)</f>
        <v>197003.31296454891</v>
      </c>
      <c r="N28" s="27">
        <f>IFERROR(INDEX('KPI RB3 (2)'!E$27:P$27,Actual_month),0)</f>
        <v>181438</v>
      </c>
      <c r="O28" s="24">
        <f t="shared" ref="O28:O29" si="25">IFERROR(M28/N28,"")</f>
        <v>1.0857886052786567</v>
      </c>
      <c r="P28" s="25" t="s">
        <v>20</v>
      </c>
      <c r="Q28" s="46">
        <f>G28/$R$3</f>
        <v>27543.217720900535</v>
      </c>
      <c r="R28" s="46">
        <f>M28/$R$3</f>
        <v>218892.56996060989</v>
      </c>
      <c r="S28" s="13" t="s">
        <v>24</v>
      </c>
      <c r="U28" s="3" t="s">
        <v>41</v>
      </c>
    </row>
    <row r="29" spans="1:21" ht="20.5" thickBot="1" x14ac:dyDescent="0.4">
      <c r="A29" s="37" t="s">
        <v>148</v>
      </c>
      <c r="B29" s="17" t="s">
        <v>37</v>
      </c>
      <c r="C29" s="22" t="s">
        <v>1</v>
      </c>
      <c r="D29" s="38" t="s">
        <v>5</v>
      </c>
      <c r="E29" s="38" t="s">
        <v>5</v>
      </c>
      <c r="F29" s="38" t="s">
        <v>5</v>
      </c>
      <c r="G29" s="47">
        <f>IFERROR(INDEX('KPI RB4'!E$19:P$19,Actual_month),0)</f>
        <v>0.27742534159716653</v>
      </c>
      <c r="H29" s="49">
        <f>IFERROR(INDEX('KPI RB4'!E$20:P$20,Actual_month),0)</f>
        <v>0.29127326592387454</v>
      </c>
      <c r="I29" s="24">
        <f>IFERROR(G29/H29,"")</f>
        <v>0.95245727656197865</v>
      </c>
      <c r="J29" s="38" t="s">
        <v>5</v>
      </c>
      <c r="K29" s="38" t="s">
        <v>5</v>
      </c>
      <c r="L29" s="38" t="s">
        <v>5</v>
      </c>
      <c r="M29" s="47">
        <f>IFERROR(INDEX('KPI RB4'!E$26:P$26,Actual_month),0)</f>
        <v>0.30468409791690798</v>
      </c>
      <c r="N29" s="49">
        <f>IFERROR(INDEX('KPI RB4'!E$27:P$27,Actual_month),0)</f>
        <v>0.31392198975992935</v>
      </c>
      <c r="O29" s="24">
        <f t="shared" si="25"/>
        <v>0.97057265134536763</v>
      </c>
      <c r="P29" s="25" t="s">
        <v>20</v>
      </c>
      <c r="Q29" s="46">
        <f>G29/$R$3</f>
        <v>0.30825037955240725</v>
      </c>
      <c r="R29" s="46">
        <f>M29/$R$3</f>
        <v>0.3385378865743422</v>
      </c>
      <c r="S29" s="13" t="s">
        <v>24</v>
      </c>
      <c r="U29" s="3" t="s">
        <v>41</v>
      </c>
    </row>
    <row r="30" spans="1:21" ht="15" thickBot="1" x14ac:dyDescent="0.4">
      <c r="A30" s="45"/>
      <c r="B30" s="44" t="s">
        <v>143</v>
      </c>
      <c r="C30" s="40"/>
      <c r="D30" s="40"/>
      <c r="E30" s="40"/>
      <c r="F30" s="40"/>
      <c r="G30" s="41"/>
      <c r="H30" s="41"/>
      <c r="I30" s="41"/>
      <c r="J30" s="41"/>
      <c r="K30" s="41"/>
      <c r="L30" s="41"/>
      <c r="M30" s="41"/>
      <c r="N30" s="41"/>
      <c r="O30" s="42"/>
      <c r="Q30" s="8" t="s">
        <v>28</v>
      </c>
      <c r="R30" s="8" t="s">
        <v>27</v>
      </c>
    </row>
    <row r="31" spans="1:21" ht="20" x14ac:dyDescent="0.35">
      <c r="A31" s="37" t="s">
        <v>162</v>
      </c>
      <c r="B31" s="39" t="s">
        <v>33</v>
      </c>
      <c r="C31" s="21" t="s">
        <v>15</v>
      </c>
      <c r="D31" s="38" t="s">
        <v>5</v>
      </c>
      <c r="E31" s="38" t="s">
        <v>5</v>
      </c>
      <c r="F31" s="38" t="s">
        <v>5</v>
      </c>
      <c r="G31" s="23">
        <f>IFERROR(INDEX('KPI RA6 (B) (2)'!E$19:P$19,Actual_month),0)</f>
        <v>37430.836104568712</v>
      </c>
      <c r="H31" s="27">
        <f>IFERROR(INDEX('KPI RA6 (B) (2)'!E$20:P$20,Actual_month),0)</f>
        <v>43072</v>
      </c>
      <c r="I31" s="28">
        <f>IFERROR(H31/G31,"")</f>
        <v>1.1507090004527776</v>
      </c>
      <c r="J31" s="38" t="s">
        <v>5</v>
      </c>
      <c r="K31" s="38" t="s">
        <v>5</v>
      </c>
      <c r="L31" s="38" t="s">
        <v>5</v>
      </c>
      <c r="M31" s="23">
        <f>IFERROR(INDEX('KPI RA6 (B) (2)'!E$26:P$26,Actual_month),0)</f>
        <v>291345.16647754761</v>
      </c>
      <c r="N31" s="23">
        <f>IFERROR(INDEX('KPI RA6 (B) (2)'!E$27:P$27,Actual_month),0)</f>
        <v>320680</v>
      </c>
      <c r="O31" s="28">
        <f>IFERROR(N31/M31,"")</f>
        <v>1.1006875585997171</v>
      </c>
      <c r="P31" s="14" t="s">
        <v>20</v>
      </c>
      <c r="Q31" s="5">
        <f>G31*$R$3</f>
        <v>33687.752494111839</v>
      </c>
      <c r="R31" s="5">
        <f>M31*$R$3</f>
        <v>262210.64982979285</v>
      </c>
      <c r="S31" s="13" t="s">
        <v>23</v>
      </c>
      <c r="U31" s="3" t="s">
        <v>41</v>
      </c>
    </row>
    <row r="32" spans="1:21" ht="20" x14ac:dyDescent="0.35">
      <c r="A32" s="37" t="s">
        <v>163</v>
      </c>
      <c r="B32" s="39" t="s">
        <v>36</v>
      </c>
      <c r="C32" s="21" t="s">
        <v>15</v>
      </c>
      <c r="D32" s="38" t="s">
        <v>5</v>
      </c>
      <c r="E32" s="38" t="s">
        <v>5</v>
      </c>
      <c r="F32" s="38" t="s">
        <v>5</v>
      </c>
      <c r="G32" s="23">
        <f>IFERROR(INDEX('KPI RB2 (3)'!E$19:P$19,Actual_month),0)</f>
        <v>31471.261362380574</v>
      </c>
      <c r="H32" s="27">
        <f>IFERROR(INDEX('KPI RB2 (3)'!E$20:P$20,Actual_month),0)</f>
        <v>33645</v>
      </c>
      <c r="I32" s="28">
        <f>IFERROR(H32/G32,"")</f>
        <v>1.069070591502183</v>
      </c>
      <c r="J32" s="38" t="s">
        <v>5</v>
      </c>
      <c r="K32" s="38" t="s">
        <v>5</v>
      </c>
      <c r="L32" s="38" t="s">
        <v>5</v>
      </c>
      <c r="M32" s="23">
        <f>IFERROR(INDEX('KPI RB2 (3)'!E$26:P$26,Actual_month),0)</f>
        <v>241151.52050054018</v>
      </c>
      <c r="N32" s="27">
        <f>IFERROR(INDEX('KPI RB2 (3)'!E$27:P$27,Actual_month),0)</f>
        <v>233077</v>
      </c>
      <c r="O32" s="28">
        <f>IFERROR(N32/M32,"")</f>
        <v>0.96651681696312552</v>
      </c>
      <c r="P32" s="14" t="s">
        <v>20</v>
      </c>
      <c r="Q32" s="5">
        <f>G32*$R$3</f>
        <v>28324.135226142516</v>
      </c>
      <c r="R32" s="5">
        <f>M32*$R$3</f>
        <v>217036.36845048616</v>
      </c>
      <c r="S32" s="13" t="s">
        <v>23</v>
      </c>
      <c r="U32" s="3" t="s">
        <v>41</v>
      </c>
    </row>
    <row r="33" spans="1:21" ht="20" x14ac:dyDescent="0.35">
      <c r="A33" s="37" t="s">
        <v>149</v>
      </c>
      <c r="B33" s="17" t="s">
        <v>37</v>
      </c>
      <c r="C33" s="22" t="s">
        <v>15</v>
      </c>
      <c r="D33" s="38" t="s">
        <v>5</v>
      </c>
      <c r="E33" s="38" t="s">
        <v>5</v>
      </c>
      <c r="F33" s="38" t="s">
        <v>5</v>
      </c>
      <c r="G33" s="23">
        <f>IFERROR(INDEX('KPI RB3 (3)'!E$19:P$19,Actual_month),0)</f>
        <v>5959.5747421881388</v>
      </c>
      <c r="H33" s="27">
        <f>IFERROR(INDEX('KPI RB3 (3)'!E$20:P$20,Actual_month),0)</f>
        <v>9427</v>
      </c>
      <c r="I33" s="24">
        <f>IFERROR(G33/H33,"")</f>
        <v>0.6321814725987206</v>
      </c>
      <c r="J33" s="38" t="s">
        <v>5</v>
      </c>
      <c r="K33" s="38" t="s">
        <v>5</v>
      </c>
      <c r="L33" s="38" t="s">
        <v>5</v>
      </c>
      <c r="M33" s="23">
        <f>IFERROR(INDEX('KPI RB3 (3)'!E$26:P$26,Actual_month),0)</f>
        <v>50193.645977007429</v>
      </c>
      <c r="N33" s="27">
        <f>IFERROR(INDEX('KPI RB3 (3)'!E$27:P$27,Actual_month),0)</f>
        <v>87603</v>
      </c>
      <c r="O33" s="24">
        <f t="shared" ref="O33:O34" si="26">IFERROR(M33/N33,"")</f>
        <v>0.5729672040570235</v>
      </c>
      <c r="P33" s="25" t="s">
        <v>20</v>
      </c>
      <c r="Q33" s="46">
        <f>G33/$R$3</f>
        <v>6621.7497135423764</v>
      </c>
      <c r="R33" s="46">
        <f>M33/$R$3</f>
        <v>55770.717752230477</v>
      </c>
      <c r="S33" s="13" t="s">
        <v>24</v>
      </c>
      <c r="U33" s="3" t="s">
        <v>41</v>
      </c>
    </row>
    <row r="34" spans="1:21" ht="20.5" thickBot="1" x14ac:dyDescent="0.4">
      <c r="A34" s="37" t="s">
        <v>164</v>
      </c>
      <c r="B34" s="17" t="s">
        <v>37</v>
      </c>
      <c r="C34" s="22" t="s">
        <v>1</v>
      </c>
      <c r="D34" s="38" t="s">
        <v>5</v>
      </c>
      <c r="E34" s="38" t="s">
        <v>5</v>
      </c>
      <c r="F34" s="38" t="s">
        <v>5</v>
      </c>
      <c r="G34" s="47">
        <f>IFERROR(INDEX('KPI RB4 (2)'!E$19:P$19,Actual_month),0)</f>
        <v>0.15921564577235633</v>
      </c>
      <c r="H34" s="49">
        <f>IFERROR(INDEX('KPI RB4 (2)'!E$20:P$20,Actual_month),0)</f>
        <v>0.21886608469539376</v>
      </c>
      <c r="I34" s="24">
        <f>IFERROR(G34/H34,"")</f>
        <v>0.72745691043883864</v>
      </c>
      <c r="J34" s="38" t="s">
        <v>5</v>
      </c>
      <c r="K34" s="38" t="s">
        <v>5</v>
      </c>
      <c r="L34" s="38" t="s">
        <v>5</v>
      </c>
      <c r="M34" s="47">
        <f>IFERROR(INDEX('KPI RB4 (2)'!E$26:P$26,Actual_month),0)</f>
        <v>0.17243800303750137</v>
      </c>
      <c r="N34" s="49">
        <f>IFERROR(INDEX('KPI RB4 (2)'!E$27:P$27,Actual_month),0)</f>
        <v>0.26963775910833204</v>
      </c>
      <c r="O34" s="24">
        <f t="shared" si="26"/>
        <v>0.63951726793657693</v>
      </c>
      <c r="P34" s="25" t="s">
        <v>20</v>
      </c>
      <c r="Q34" s="46">
        <f>G34/$R$3</f>
        <v>0.17690627308039591</v>
      </c>
      <c r="R34" s="46">
        <f>M34/$R$3</f>
        <v>0.19159778115277928</v>
      </c>
      <c r="S34" s="13" t="s">
        <v>24</v>
      </c>
      <c r="U34" s="3" t="s">
        <v>41</v>
      </c>
    </row>
    <row r="35" spans="1:21" ht="15" thickBot="1" x14ac:dyDescent="0.4">
      <c r="A35" s="45"/>
      <c r="B35" s="44" t="s">
        <v>81</v>
      </c>
      <c r="C35" s="40"/>
      <c r="D35" s="40"/>
      <c r="E35" s="40"/>
      <c r="F35" s="40"/>
      <c r="G35" s="41"/>
      <c r="H35" s="41"/>
      <c r="I35" s="41"/>
      <c r="J35" s="41"/>
      <c r="K35" s="41"/>
      <c r="L35" s="41"/>
      <c r="M35" s="41"/>
      <c r="N35" s="41"/>
      <c r="O35" s="42"/>
      <c r="Q35" s="8" t="s">
        <v>28</v>
      </c>
      <c r="R35" s="8" t="s">
        <v>27</v>
      </c>
    </row>
    <row r="36" spans="1:21" ht="20" x14ac:dyDescent="0.35">
      <c r="A36" s="37">
        <v>101</v>
      </c>
      <c r="B36" s="39" t="s">
        <v>33</v>
      </c>
      <c r="C36" s="21" t="s">
        <v>15</v>
      </c>
      <c r="D36" s="38" t="s">
        <v>5</v>
      </c>
      <c r="E36" s="38" t="s">
        <v>5</v>
      </c>
      <c r="F36" s="38" t="s">
        <v>5</v>
      </c>
      <c r="G36" s="23">
        <f>IFERROR(INDEX('KPI 101'!E$19:P$19,Actual_month),0)</f>
        <v>20399.039974193442</v>
      </c>
      <c r="H36" s="27">
        <f>IFERROR(INDEX('KPI 101'!E$20:P$20,Actual_month),0)</f>
        <v>19812</v>
      </c>
      <c r="I36" s="28">
        <f>IFERROR(H36/G36,"")</f>
        <v>0.97122217638986452</v>
      </c>
      <c r="J36" s="38" t="s">
        <v>5</v>
      </c>
      <c r="K36" s="38" t="s">
        <v>5</v>
      </c>
      <c r="L36" s="38" t="s">
        <v>5</v>
      </c>
      <c r="M36" s="23">
        <f>IFERROR(INDEX('KPI 101'!E$26:P$26,Actual_month),0)</f>
        <v>165895.34272510189</v>
      </c>
      <c r="N36" s="27">
        <f>IFERROR(INDEX('KPI 101'!E$27:P$27,Actual_month),0)</f>
        <v>167638</v>
      </c>
      <c r="O36" s="28">
        <f>IFERROR(N36/M36,"")</f>
        <v>1.0105045581525804</v>
      </c>
      <c r="P36" s="14" t="s">
        <v>20</v>
      </c>
      <c r="Q36" s="5">
        <f>G36*$R$3</f>
        <v>18359.135976774098</v>
      </c>
      <c r="R36" s="5">
        <f>M36*$R$3</f>
        <v>149305.80845259171</v>
      </c>
      <c r="S36" s="13" t="s">
        <v>23</v>
      </c>
      <c r="U36" s="3" t="s">
        <v>41</v>
      </c>
    </row>
    <row r="37" spans="1:21" ht="20" x14ac:dyDescent="0.35">
      <c r="A37" s="37">
        <v>108</v>
      </c>
      <c r="B37" s="39" t="s">
        <v>36</v>
      </c>
      <c r="C37" s="21" t="s">
        <v>15</v>
      </c>
      <c r="D37" s="38" t="s">
        <v>5</v>
      </c>
      <c r="E37" s="38" t="s">
        <v>5</v>
      </c>
      <c r="F37" s="38" t="s">
        <v>5</v>
      </c>
      <c r="G37" s="23">
        <f>IFERROR(INDEX('KPI 108'!E$19:P$19,Actual_month),0)</f>
        <v>16218.62495618647</v>
      </c>
      <c r="H37" s="27">
        <f>IFERROR(INDEX('KPI 108'!E$20:P$20,Actual_month),0)</f>
        <v>15811</v>
      </c>
      <c r="I37" s="28">
        <f>IFERROR(H37/G37,"")</f>
        <v>0.97486686095229147</v>
      </c>
      <c r="J37" s="38" t="s">
        <v>5</v>
      </c>
      <c r="K37" s="38" t="s">
        <v>5</v>
      </c>
      <c r="L37" s="38" t="s">
        <v>5</v>
      </c>
      <c r="M37" s="23">
        <f>IFERROR(INDEX('KPI 108'!E$26:P$26,Actual_month),0)</f>
        <v>129411.97896950578</v>
      </c>
      <c r="N37" s="27">
        <f>IFERROR(INDEX('KPI 108'!E$27:P$27,Actual_month),0)</f>
        <v>125957</v>
      </c>
      <c r="O37" s="28">
        <f>IFERROR(N37/M37,"")</f>
        <v>0.97330247943801318</v>
      </c>
      <c r="P37" s="14" t="s">
        <v>20</v>
      </c>
      <c r="Q37" s="5">
        <f>G37*$R$3</f>
        <v>14596.762460567823</v>
      </c>
      <c r="R37" s="5">
        <f>M37*$R$3</f>
        <v>116470.78107255521</v>
      </c>
      <c r="S37" s="13" t="s">
        <v>23</v>
      </c>
      <c r="U37" s="3" t="s">
        <v>41</v>
      </c>
    </row>
    <row r="38" spans="1:21" ht="20.5" thickBot="1" x14ac:dyDescent="0.4">
      <c r="A38" s="37">
        <v>122</v>
      </c>
      <c r="B38" s="17" t="s">
        <v>37</v>
      </c>
      <c r="C38" s="22" t="s">
        <v>1</v>
      </c>
      <c r="D38" s="38" t="s">
        <v>5</v>
      </c>
      <c r="E38" s="38" t="s">
        <v>5</v>
      </c>
      <c r="F38" s="38" t="s">
        <v>5</v>
      </c>
      <c r="G38" s="47">
        <f>IFERROR(INDEX('KPI 122'!E$19:P$19,Actual_month),0)</f>
        <v>0.20493194891992761</v>
      </c>
      <c r="H38" s="49">
        <f>IFERROR(INDEX('KPI 122'!E$20:P$20,Actual_month),0)</f>
        <v>0.20194831415303857</v>
      </c>
      <c r="I38" s="24">
        <f>IFERROR(G38/H38,"")</f>
        <v>1.0147742494380418</v>
      </c>
      <c r="J38" s="38" t="s">
        <v>5</v>
      </c>
      <c r="K38" s="38" t="s">
        <v>5</v>
      </c>
      <c r="L38" s="38" t="s">
        <v>5</v>
      </c>
      <c r="M38" s="47">
        <f>IFERROR(INDEX('KPI 122'!E$26:P$26,Actual_month),0)</f>
        <v>0.21991795041558901</v>
      </c>
      <c r="N38" s="49">
        <f>IFERROR(INDEX('KPI 122'!E$27:P$27,Actual_month),0)</f>
        <v>0.24863694389100324</v>
      </c>
      <c r="O38" s="24">
        <f t="shared" ref="O38" si="27">IFERROR(M38/N38,"")</f>
        <v>0.88449426289600797</v>
      </c>
      <c r="P38" s="25" t="s">
        <v>20</v>
      </c>
      <c r="Q38" s="46">
        <f>G38/$R$3</f>
        <v>0.22770216546658623</v>
      </c>
      <c r="R38" s="46">
        <f>M38/$R$3</f>
        <v>0.24435327823954334</v>
      </c>
      <c r="S38" s="13" t="s">
        <v>24</v>
      </c>
      <c r="U38" s="3" t="s">
        <v>41</v>
      </c>
    </row>
    <row r="39" spans="1:21" ht="20" hidden="1" x14ac:dyDescent="0.35">
      <c r="A39" s="37"/>
      <c r="B39" s="17" t="s">
        <v>90</v>
      </c>
      <c r="C39" s="22" t="s">
        <v>35</v>
      </c>
      <c r="D39" s="38" t="s">
        <v>5</v>
      </c>
      <c r="E39" s="38" t="s">
        <v>5</v>
      </c>
      <c r="F39" s="38" t="s">
        <v>5</v>
      </c>
      <c r="G39" s="27">
        <f>IFERROR(INDEX(#REF!,Actual_month),0)</f>
        <v>0</v>
      </c>
      <c r="H39" s="27">
        <f>IFERROR(INDEX(#REF!,Actual_month),0)</f>
        <v>0</v>
      </c>
      <c r="I39" s="24" t="str">
        <f t="shared" ref="I39:I40" si="28">IFERROR(H39/G39,"")</f>
        <v/>
      </c>
      <c r="J39" s="20" t="s">
        <v>5</v>
      </c>
      <c r="K39" s="20" t="s">
        <v>5</v>
      </c>
      <c r="L39" s="20" t="s">
        <v>5</v>
      </c>
      <c r="M39" s="27">
        <f>IFERROR(INDEX(#REF!,Actual_month),0)</f>
        <v>0</v>
      </c>
      <c r="N39" s="27">
        <f>IFERROR(INDEX(#REF!,Actual_month),0)</f>
        <v>0</v>
      </c>
      <c r="O39" s="24" t="str">
        <f t="shared" ref="O39:O40" si="29">IFERROR(N39/M39,"")</f>
        <v/>
      </c>
      <c r="P39" s="25" t="s">
        <v>20</v>
      </c>
      <c r="Q39" s="5">
        <f t="shared" ref="Q39:Q40" si="30">G39*$R$3</f>
        <v>0</v>
      </c>
      <c r="R39" s="5">
        <f t="shared" ref="R39:R40" si="31">M39*$R$3</f>
        <v>0</v>
      </c>
      <c r="S39" s="13" t="s">
        <v>23</v>
      </c>
      <c r="U39" s="3" t="s">
        <v>41</v>
      </c>
    </row>
    <row r="40" spans="1:21" ht="20.5" hidden="1" thickBot="1" x14ac:dyDescent="0.4">
      <c r="A40" s="37"/>
      <c r="B40" s="17" t="s">
        <v>104</v>
      </c>
      <c r="C40" s="22" t="s">
        <v>35</v>
      </c>
      <c r="D40" s="38" t="s">
        <v>5</v>
      </c>
      <c r="E40" s="38" t="s">
        <v>5</v>
      </c>
      <c r="F40" s="38" t="s">
        <v>5</v>
      </c>
      <c r="G40" s="27">
        <f>IFERROR(INDEX(#REF!,Actual_month),0)</f>
        <v>0</v>
      </c>
      <c r="H40" s="27">
        <f>IFERROR(INDEX(#REF!,Actual_month),0)</f>
        <v>0</v>
      </c>
      <c r="I40" s="24" t="str">
        <f t="shared" si="28"/>
        <v/>
      </c>
      <c r="J40" s="20" t="s">
        <v>5</v>
      </c>
      <c r="K40" s="20" t="s">
        <v>5</v>
      </c>
      <c r="L40" s="20" t="s">
        <v>5</v>
      </c>
      <c r="M40" s="27">
        <f>IFERROR(INDEX(#REF!,Actual_month),0)</f>
        <v>0</v>
      </c>
      <c r="N40" s="27">
        <f>IFERROR(SUM(#REF!:INDEX(#REF!,Actual_month)),0)</f>
        <v>0</v>
      </c>
      <c r="O40" s="24" t="str">
        <f t="shared" si="29"/>
        <v/>
      </c>
      <c r="P40" s="25" t="s">
        <v>20</v>
      </c>
      <c r="Q40" s="5">
        <f t="shared" si="30"/>
        <v>0</v>
      </c>
      <c r="R40" s="5">
        <f t="shared" si="31"/>
        <v>0</v>
      </c>
      <c r="S40" s="13" t="s">
        <v>23</v>
      </c>
      <c r="U40" s="3" t="s">
        <v>41</v>
      </c>
    </row>
    <row r="41" spans="1:21" ht="15" thickBot="1" x14ac:dyDescent="0.4">
      <c r="A41" s="45"/>
      <c r="B41" s="44" t="s">
        <v>82</v>
      </c>
      <c r="C41" s="40"/>
      <c r="D41" s="40"/>
      <c r="E41" s="40"/>
      <c r="F41" s="40"/>
      <c r="G41" s="41"/>
      <c r="H41" s="41"/>
      <c r="I41" s="41"/>
      <c r="J41" s="41"/>
      <c r="K41" s="41"/>
      <c r="L41" s="41"/>
      <c r="M41" s="41"/>
      <c r="N41" s="41"/>
      <c r="O41" s="42"/>
      <c r="Q41" s="8" t="s">
        <v>28</v>
      </c>
      <c r="R41" s="8" t="s">
        <v>27</v>
      </c>
    </row>
    <row r="42" spans="1:21" ht="20" x14ac:dyDescent="0.35">
      <c r="A42" s="37">
        <v>102</v>
      </c>
      <c r="B42" s="39" t="s">
        <v>33</v>
      </c>
      <c r="C42" s="21" t="s">
        <v>15</v>
      </c>
      <c r="D42" s="38" t="s">
        <v>5</v>
      </c>
      <c r="E42" s="38" t="s">
        <v>5</v>
      </c>
      <c r="F42" s="38" t="s">
        <v>5</v>
      </c>
      <c r="G42" s="23">
        <f>IFERROR(INDEX('KPI 102'!E$19:P$19,Actual_month),0)</f>
        <v>19601.739845279593</v>
      </c>
      <c r="H42" s="27">
        <f>IFERROR(INDEX('KPI 102'!E$20:P$20,Actual_month),0)</f>
        <v>20893</v>
      </c>
      <c r="I42" s="28">
        <f>IFERROR(H42/G42,"")</f>
        <v>1.0658747725922586</v>
      </c>
      <c r="J42" s="38" t="s">
        <v>5</v>
      </c>
      <c r="K42" s="38" t="s">
        <v>5</v>
      </c>
      <c r="L42" s="38" t="s">
        <v>5</v>
      </c>
      <c r="M42" s="23">
        <f>IFERROR(INDEX('KPI 102'!E$26:P$26,Actual_month),0)</f>
        <v>154600.02021292958</v>
      </c>
      <c r="N42" s="27">
        <f>IFERROR(INDEX('KPI 102'!E$27:P$27,Actual_month),0)</f>
        <v>158283</v>
      </c>
      <c r="O42" s="28">
        <f>IFERROR(N42/M42,"")</f>
        <v>1.0238226345766184</v>
      </c>
      <c r="P42" s="14" t="s">
        <v>20</v>
      </c>
      <c r="Q42" s="5">
        <f>G42*$R$3</f>
        <v>17641.565860751634</v>
      </c>
      <c r="R42" s="5">
        <f>M42*$R$3</f>
        <v>139140.01819163663</v>
      </c>
      <c r="S42" s="13" t="s">
        <v>23</v>
      </c>
      <c r="U42" s="3" t="s">
        <v>41</v>
      </c>
    </row>
    <row r="43" spans="1:21" ht="20" x14ac:dyDescent="0.35">
      <c r="A43" s="37">
        <v>109</v>
      </c>
      <c r="B43" s="39" t="s">
        <v>36</v>
      </c>
      <c r="C43" s="21" t="s">
        <v>15</v>
      </c>
      <c r="D43" s="38" t="s">
        <v>5</v>
      </c>
      <c r="E43" s="38" t="s">
        <v>5</v>
      </c>
      <c r="F43" s="38" t="s">
        <v>5</v>
      </c>
      <c r="G43" s="23">
        <f>IFERROR(INDEX('KPI 109'!E$19:P$19,Actual_month),0)</f>
        <v>17168.19102616256</v>
      </c>
      <c r="H43" s="27">
        <f>IFERROR(INDEX('KPI 109'!E$20:P$20,Actual_month),0)</f>
        <v>17374</v>
      </c>
      <c r="I43" s="28">
        <f t="shared" ref="I43" si="32">IFERROR(H43/G43,"")</f>
        <v>1.0119878077733298</v>
      </c>
      <c r="J43" s="38" t="s">
        <v>5</v>
      </c>
      <c r="K43" s="38" t="s">
        <v>5</v>
      </c>
      <c r="L43" s="38" t="s">
        <v>5</v>
      </c>
      <c r="M43" s="23">
        <f>IFERROR(INDEX('KPI 109'!E$26:P$26,Actual_month),0)</f>
        <v>130834.10228977131</v>
      </c>
      <c r="N43" s="27">
        <f>IFERROR(INDEX('KPI 109'!E$27:P$27,Actual_month),0)</f>
        <v>127731</v>
      </c>
      <c r="O43" s="28">
        <f t="shared" ref="O43:O46" si="33">IFERROR(N43/M43,"")</f>
        <v>0.97628216011374036</v>
      </c>
      <c r="P43" s="14" t="s">
        <v>20</v>
      </c>
      <c r="Q43" s="5">
        <f>G43*$R$3</f>
        <v>15451.371923546305</v>
      </c>
      <c r="R43" s="5">
        <f>M43*$R$3</f>
        <v>117750.69206079419</v>
      </c>
      <c r="S43" s="13" t="s">
        <v>23</v>
      </c>
      <c r="U43" s="3" t="s">
        <v>41</v>
      </c>
    </row>
    <row r="44" spans="1:21" ht="20.5" thickBot="1" x14ac:dyDescent="0.4">
      <c r="A44" s="37">
        <v>123</v>
      </c>
      <c r="B44" s="17" t="s">
        <v>37</v>
      </c>
      <c r="C44" s="22" t="s">
        <v>1</v>
      </c>
      <c r="D44" s="38" t="s">
        <v>5</v>
      </c>
      <c r="E44" s="38" t="s">
        <v>5</v>
      </c>
      <c r="F44" s="38" t="s">
        <v>5</v>
      </c>
      <c r="G44" s="47">
        <f>IFERROR(INDEX('KPI 123'!E$19:P$19,Actual_month),0)</f>
        <v>0.12414963356954613</v>
      </c>
      <c r="H44" s="49">
        <f>IFERROR(INDEX('KPI 123'!E$20:P$20,Actual_month),0)</f>
        <v>0.16842961757526445</v>
      </c>
      <c r="I44" s="24">
        <f>IFERROR(G44/H44,"")</f>
        <v>0.7371009645264357</v>
      </c>
      <c r="J44" s="38" t="s">
        <v>5</v>
      </c>
      <c r="K44" s="38" t="s">
        <v>5</v>
      </c>
      <c r="L44" s="38" t="s">
        <v>5</v>
      </c>
      <c r="M44" s="47">
        <f>IFERROR(INDEX('KPI 123'!E$26:P$26,Actual_month),0)</f>
        <v>0.15372519285848493</v>
      </c>
      <c r="N44" s="49">
        <f>IFERROR(INDEX('KPI 123'!E$27:P$27,Actual_month),0)</f>
        <v>0.19302136047459298</v>
      </c>
      <c r="O44" s="24">
        <f t="shared" ref="O44" si="34">IFERROR(M44/N44,"")</f>
        <v>0.79641544583724699</v>
      </c>
      <c r="P44" s="25" t="s">
        <v>20</v>
      </c>
      <c r="Q44" s="46">
        <f>G44/$R$3</f>
        <v>0.1379440372994957</v>
      </c>
      <c r="R44" s="46">
        <f>M44/$R$3</f>
        <v>0.17080576984276102</v>
      </c>
      <c r="S44" s="13" t="s">
        <v>24</v>
      </c>
      <c r="U44" s="3" t="s">
        <v>41</v>
      </c>
    </row>
    <row r="45" spans="1:21" ht="20" hidden="1" x14ac:dyDescent="0.35">
      <c r="A45" s="37"/>
      <c r="B45" s="17" t="s">
        <v>90</v>
      </c>
      <c r="C45" s="22" t="s">
        <v>35</v>
      </c>
      <c r="D45" s="38" t="s">
        <v>5</v>
      </c>
      <c r="E45" s="38" t="s">
        <v>5</v>
      </c>
      <c r="F45" s="38" t="s">
        <v>5</v>
      </c>
      <c r="G45" s="27">
        <f>IFERROR(INDEX(#REF!,Actual_month),0)</f>
        <v>0</v>
      </c>
      <c r="H45" s="27">
        <f>IFERROR(INDEX(#REF!,Actual_month),0)</f>
        <v>0</v>
      </c>
      <c r="I45" s="24" t="str">
        <f t="shared" ref="I45:I46" si="35">IFERROR(H45/G45,"")</f>
        <v/>
      </c>
      <c r="J45" s="20" t="s">
        <v>5</v>
      </c>
      <c r="K45" s="20" t="s">
        <v>5</v>
      </c>
      <c r="L45" s="20" t="s">
        <v>5</v>
      </c>
      <c r="M45" s="27">
        <f>IFERROR(INDEX(#REF!,Actual_month),0)</f>
        <v>0</v>
      </c>
      <c r="N45" s="27">
        <f>IFERROR(INDEX(#REF!,Actual_month),0)</f>
        <v>0</v>
      </c>
      <c r="O45" s="28" t="str">
        <f t="shared" si="33"/>
        <v/>
      </c>
      <c r="P45" s="25" t="s">
        <v>20</v>
      </c>
      <c r="Q45" s="5">
        <f t="shared" ref="Q45:Q46" si="36">G45*$R$3</f>
        <v>0</v>
      </c>
      <c r="R45" s="5">
        <f t="shared" ref="R45:R46" si="37">M45*$R$3</f>
        <v>0</v>
      </c>
      <c r="S45" s="13" t="s">
        <v>23</v>
      </c>
      <c r="U45" s="3" t="s">
        <v>41</v>
      </c>
    </row>
    <row r="46" spans="1:21" ht="20.5" hidden="1" thickBot="1" x14ac:dyDescent="0.4">
      <c r="A46" s="37"/>
      <c r="B46" s="17" t="s">
        <v>104</v>
      </c>
      <c r="C46" s="22" t="s">
        <v>35</v>
      </c>
      <c r="D46" s="38" t="s">
        <v>5</v>
      </c>
      <c r="E46" s="38" t="s">
        <v>5</v>
      </c>
      <c r="F46" s="38" t="s">
        <v>5</v>
      </c>
      <c r="G46" s="27">
        <f>IFERROR(INDEX(#REF!,Actual_month),0)</f>
        <v>0</v>
      </c>
      <c r="H46" s="27">
        <f>IFERROR(INDEX(#REF!,Actual_month),0)</f>
        <v>0</v>
      </c>
      <c r="I46" s="24" t="str">
        <f t="shared" si="35"/>
        <v/>
      </c>
      <c r="J46" s="20" t="s">
        <v>5</v>
      </c>
      <c r="K46" s="20" t="s">
        <v>5</v>
      </c>
      <c r="L46" s="20" t="s">
        <v>5</v>
      </c>
      <c r="M46" s="27">
        <f>IFERROR(INDEX(#REF!,Actual_month),0)</f>
        <v>0</v>
      </c>
      <c r="N46" s="27">
        <f>IFERROR(INDEX(#REF!,Actual_month),0)</f>
        <v>0</v>
      </c>
      <c r="O46" s="28" t="str">
        <f t="shared" si="33"/>
        <v/>
      </c>
      <c r="P46" s="25" t="s">
        <v>20</v>
      </c>
      <c r="Q46" s="5">
        <f t="shared" si="36"/>
        <v>0</v>
      </c>
      <c r="R46" s="5">
        <f t="shared" si="37"/>
        <v>0</v>
      </c>
      <c r="S46" s="13" t="s">
        <v>23</v>
      </c>
      <c r="U46" s="3" t="s">
        <v>41</v>
      </c>
    </row>
    <row r="47" spans="1:21" ht="15" thickBot="1" x14ac:dyDescent="0.4">
      <c r="A47" s="45"/>
      <c r="B47" s="44" t="s">
        <v>83</v>
      </c>
      <c r="C47" s="40"/>
      <c r="D47" s="40"/>
      <c r="E47" s="40"/>
      <c r="F47" s="40"/>
      <c r="G47" s="41"/>
      <c r="H47" s="41"/>
      <c r="I47" s="41"/>
      <c r="J47" s="41"/>
      <c r="K47" s="41"/>
      <c r="L47" s="41"/>
      <c r="M47" s="41"/>
      <c r="N47" s="41"/>
      <c r="O47" s="42"/>
      <c r="Q47" s="8" t="s">
        <v>28</v>
      </c>
      <c r="R47" s="8" t="s">
        <v>27</v>
      </c>
    </row>
    <row r="48" spans="1:21" ht="20" x14ac:dyDescent="0.35">
      <c r="A48" s="37">
        <v>104</v>
      </c>
      <c r="B48" s="39" t="s">
        <v>33</v>
      </c>
      <c r="C48" s="21" t="s">
        <v>15</v>
      </c>
      <c r="D48" s="38" t="s">
        <v>5</v>
      </c>
      <c r="E48" s="38" t="s">
        <v>5</v>
      </c>
      <c r="F48" s="38" t="s">
        <v>5</v>
      </c>
      <c r="G48" s="23">
        <f>IFERROR(INDEX('KPI 104'!E$19:P$19,Actual_month),0)</f>
        <v>25783.999701244837</v>
      </c>
      <c r="H48" s="27">
        <f>IFERROR(INDEX('KPI 104'!E$20:P$20,Actual_month),0)</f>
        <v>26597</v>
      </c>
      <c r="I48" s="28">
        <f>IFERROR(H48/G48,"")</f>
        <v>1.031531194080642</v>
      </c>
      <c r="J48" s="38" t="s">
        <v>5</v>
      </c>
      <c r="K48" s="38" t="s">
        <v>5</v>
      </c>
      <c r="L48" s="38" t="s">
        <v>5</v>
      </c>
      <c r="M48" s="23">
        <f>IFERROR(INDEX('KPI 104'!E$26:P$26,Actual_month),0)</f>
        <v>209089.34734794308</v>
      </c>
      <c r="N48" s="27">
        <f>IFERROR(INDEX('KPI 104'!E$27:P$27,Actual_month),0)</f>
        <v>210015</v>
      </c>
      <c r="O48" s="28">
        <f>IFERROR(N48/M48,"")</f>
        <v>1.0044270674895577</v>
      </c>
      <c r="P48" s="14" t="s">
        <v>20</v>
      </c>
      <c r="Q48" s="5">
        <f>G48*$R$3</f>
        <v>23205.599731120354</v>
      </c>
      <c r="R48" s="5">
        <f>M48*$R$3</f>
        <v>188180.41261314877</v>
      </c>
      <c r="S48" s="13" t="s">
        <v>23</v>
      </c>
      <c r="U48" s="3" t="s">
        <v>41</v>
      </c>
    </row>
    <row r="49" spans="1:21" ht="20" x14ac:dyDescent="0.35">
      <c r="A49" s="37">
        <v>111</v>
      </c>
      <c r="B49" s="39" t="s">
        <v>36</v>
      </c>
      <c r="C49" s="21" t="s">
        <v>15</v>
      </c>
      <c r="D49" s="38" t="s">
        <v>5</v>
      </c>
      <c r="E49" s="38" t="s">
        <v>5</v>
      </c>
      <c r="F49" s="38" t="s">
        <v>5</v>
      </c>
      <c r="G49" s="23">
        <f>IFERROR(INDEX('KPI 111'!E$19:P$19,Actual_month),0)</f>
        <v>21596.292915128477</v>
      </c>
      <c r="H49" s="27">
        <f>IFERROR(INDEX('KPI 111'!E$20:P$20,Actual_month),0)</f>
        <v>21183</v>
      </c>
      <c r="I49" s="28">
        <f>IFERROR(H49/G49,"")</f>
        <v>0.98086278433281671</v>
      </c>
      <c r="J49" s="38" t="s">
        <v>5</v>
      </c>
      <c r="K49" s="38" t="s">
        <v>5</v>
      </c>
      <c r="L49" s="38" t="s">
        <v>5</v>
      </c>
      <c r="M49" s="23">
        <f>IFERROR(INDEX('KPI 111'!E$26:P$26,Actual_month),0)</f>
        <v>170748.56220691337</v>
      </c>
      <c r="N49" s="27">
        <f>IFERROR(INDEX('KPI 111'!E$27:P$27,Actual_month),0)</f>
        <v>157584</v>
      </c>
      <c r="O49" s="28">
        <f>IFERROR(N49/M49,"")</f>
        <v>0.92290088984198571</v>
      </c>
      <c r="P49" s="14" t="s">
        <v>20</v>
      </c>
      <c r="Q49" s="5">
        <f>G49*$R$3</f>
        <v>19436.66362361563</v>
      </c>
      <c r="R49" s="5">
        <f>M49*$R$3</f>
        <v>153673.70598622205</v>
      </c>
      <c r="S49" s="13" t="s">
        <v>23</v>
      </c>
      <c r="U49" s="3" t="s">
        <v>41</v>
      </c>
    </row>
    <row r="50" spans="1:21" ht="20.5" thickBot="1" x14ac:dyDescent="0.4">
      <c r="A50" s="37">
        <v>125</v>
      </c>
      <c r="B50" s="17" t="s">
        <v>37</v>
      </c>
      <c r="C50" s="22" t="s">
        <v>1</v>
      </c>
      <c r="D50" s="38" t="s">
        <v>5</v>
      </c>
      <c r="E50" s="38" t="s">
        <v>5</v>
      </c>
      <c r="F50" s="38" t="s">
        <v>5</v>
      </c>
      <c r="G50" s="47">
        <f>IFERROR(INDEX('KPI 125'!E$19:P$19,Actual_month),0)</f>
        <v>0.16241494084077962</v>
      </c>
      <c r="H50" s="49">
        <f>IFERROR(INDEX('KPI 125'!E$20:P$20,Actual_month),0)</f>
        <v>0.20355679211941197</v>
      </c>
      <c r="I50" s="24">
        <f>IFERROR(G50/H50,"")</f>
        <v>0.79788514620284734</v>
      </c>
      <c r="J50" s="38" t="s">
        <v>5</v>
      </c>
      <c r="K50" s="38" t="s">
        <v>5</v>
      </c>
      <c r="L50" s="38" t="s">
        <v>5</v>
      </c>
      <c r="M50" s="47">
        <f>IFERROR(INDEX('KPI 125'!E$26:P$26,Actual_month),0)</f>
        <v>0.18337034204438579</v>
      </c>
      <c r="N50" s="49">
        <f>IFERROR(INDEX('KPI 125'!E$27:P$27,Actual_month),0)</f>
        <v>0.24965359617170202</v>
      </c>
      <c r="O50" s="24">
        <f t="shared" ref="O50" si="38">IFERROR(M50/N50,"")</f>
        <v>0.7344991013799409</v>
      </c>
      <c r="P50" s="25" t="s">
        <v>20</v>
      </c>
      <c r="Q50" s="46">
        <f>G50/$R$3</f>
        <v>0.18046104537864402</v>
      </c>
      <c r="R50" s="46">
        <f>M50/$R$3</f>
        <v>0.20374482449376199</v>
      </c>
      <c r="S50" s="13" t="s">
        <v>24</v>
      </c>
      <c r="U50" s="3" t="s">
        <v>41</v>
      </c>
    </row>
    <row r="51" spans="1:21" ht="20" hidden="1" x14ac:dyDescent="0.35">
      <c r="A51" s="37"/>
      <c r="B51" s="17" t="s">
        <v>90</v>
      </c>
      <c r="C51" s="22" t="s">
        <v>35</v>
      </c>
      <c r="D51" s="38" t="s">
        <v>5</v>
      </c>
      <c r="E51" s="38" t="s">
        <v>5</v>
      </c>
      <c r="F51" s="38" t="s">
        <v>5</v>
      </c>
      <c r="G51" s="27">
        <f>IFERROR(INDEX(#REF!,Actual_month),0)</f>
        <v>0</v>
      </c>
      <c r="H51" s="16">
        <f>IFERROR(INDEX(#REF!,Actual_month),0)</f>
        <v>0</v>
      </c>
      <c r="I51" s="24" t="str">
        <f t="shared" ref="I51:I52" si="39">IFERROR(H51/G51,"")</f>
        <v/>
      </c>
      <c r="J51" s="20" t="s">
        <v>5</v>
      </c>
      <c r="K51" s="20" t="s">
        <v>5</v>
      </c>
      <c r="L51" s="20" t="s">
        <v>5</v>
      </c>
      <c r="M51" s="27">
        <f>IFERROR(INDEX(#REF!,Actual_month),0)</f>
        <v>0</v>
      </c>
      <c r="N51" s="27">
        <f>IFERROR(INDEX(#REF!,Actual_month),0)</f>
        <v>0</v>
      </c>
      <c r="O51" s="24" t="str">
        <f t="shared" ref="O51:O52" si="40">IFERROR(N51/M51,"")</f>
        <v/>
      </c>
      <c r="P51" s="25" t="s">
        <v>20</v>
      </c>
      <c r="Q51" s="5">
        <f>G51/$R$3</f>
        <v>0</v>
      </c>
      <c r="R51" s="5">
        <f>M51*$R$3</f>
        <v>0</v>
      </c>
      <c r="S51" s="13" t="s">
        <v>23</v>
      </c>
      <c r="U51" s="3" t="s">
        <v>41</v>
      </c>
    </row>
    <row r="52" spans="1:21" ht="20.5" hidden="1" thickBot="1" x14ac:dyDescent="0.4">
      <c r="A52" s="37"/>
      <c r="B52" s="17" t="s">
        <v>104</v>
      </c>
      <c r="C52" s="22" t="s">
        <v>35</v>
      </c>
      <c r="D52" s="38" t="s">
        <v>5</v>
      </c>
      <c r="E52" s="38" t="s">
        <v>5</v>
      </c>
      <c r="F52" s="38" t="s">
        <v>5</v>
      </c>
      <c r="G52" s="27">
        <f>IFERROR(INDEX(#REF!,Actual_month),0)</f>
        <v>0</v>
      </c>
      <c r="H52" s="16">
        <f>IFERROR(INDEX(#REF!,Actual_month),0)</f>
        <v>0</v>
      </c>
      <c r="I52" s="24" t="str">
        <f t="shared" si="39"/>
        <v/>
      </c>
      <c r="J52" s="20" t="s">
        <v>5</v>
      </c>
      <c r="K52" s="20" t="s">
        <v>5</v>
      </c>
      <c r="L52" s="20" t="s">
        <v>5</v>
      </c>
      <c r="M52" s="27">
        <f>IFERROR(INDEX(#REF!,Actual_month),0)</f>
        <v>0</v>
      </c>
      <c r="N52" s="27">
        <f>IFERROR(INDEX(#REF!,Actual_month),0)</f>
        <v>0</v>
      </c>
      <c r="O52" s="24" t="str">
        <f t="shared" si="40"/>
        <v/>
      </c>
      <c r="P52" s="25" t="s">
        <v>20</v>
      </c>
      <c r="Q52" s="5">
        <f t="shared" ref="Q52" si="41">G52*$R$3</f>
        <v>0</v>
      </c>
      <c r="R52" s="5">
        <f t="shared" ref="R52" si="42">M52*$R$3</f>
        <v>0</v>
      </c>
      <c r="S52" s="13" t="s">
        <v>23</v>
      </c>
      <c r="U52" s="3" t="s">
        <v>41</v>
      </c>
    </row>
    <row r="53" spans="1:21" ht="15" thickBot="1" x14ac:dyDescent="0.4">
      <c r="A53" s="45"/>
      <c r="B53" s="44" t="s">
        <v>84</v>
      </c>
      <c r="C53" s="40"/>
      <c r="D53" s="40"/>
      <c r="E53" s="40"/>
      <c r="F53" s="40"/>
      <c r="G53" s="41"/>
      <c r="H53" s="41"/>
      <c r="I53" s="41"/>
      <c r="J53" s="41"/>
      <c r="K53" s="41"/>
      <c r="L53" s="41"/>
      <c r="M53" s="41"/>
      <c r="N53" s="41"/>
      <c r="O53" s="42"/>
      <c r="Q53" s="8" t="s">
        <v>28</v>
      </c>
      <c r="R53" s="8" t="s">
        <v>27</v>
      </c>
    </row>
    <row r="54" spans="1:21" ht="20" x14ac:dyDescent="0.35">
      <c r="A54" s="37">
        <v>103</v>
      </c>
      <c r="B54" s="39" t="s">
        <v>33</v>
      </c>
      <c r="C54" s="21" t="s">
        <v>15</v>
      </c>
      <c r="D54" s="38" t="s">
        <v>5</v>
      </c>
      <c r="E54" s="38" t="s">
        <v>5</v>
      </c>
      <c r="F54" s="38" t="s">
        <v>5</v>
      </c>
      <c r="G54" s="23">
        <f>IFERROR(INDEX('KPI 103'!E$19:P$19,Actual_month),0)</f>
        <v>16726.452927764873</v>
      </c>
      <c r="H54" s="27">
        <f>IFERROR(INDEX('KPI 103'!E$20:P$20,Actual_month),0)</f>
        <v>14546</v>
      </c>
      <c r="I54" s="28">
        <f>IFERROR(H54/G54,"")</f>
        <v>0.86964044695062293</v>
      </c>
      <c r="J54" s="38" t="s">
        <v>5</v>
      </c>
      <c r="K54" s="38" t="s">
        <v>5</v>
      </c>
      <c r="L54" s="38" t="s">
        <v>5</v>
      </c>
      <c r="M54" s="23">
        <f>IFERROR(INDEX('KPI 103'!E$26:P$26,Actual_month),0)</f>
        <v>133847.96282374166</v>
      </c>
      <c r="N54" s="27">
        <f>IFERROR(INDEX('KPI 103'!E$27:P$27,Actual_month),0)</f>
        <v>121581</v>
      </c>
      <c r="O54" s="28">
        <f>IFERROR(N54/M54,"")</f>
        <v>0.90835151641496803</v>
      </c>
      <c r="P54" s="14" t="s">
        <v>20</v>
      </c>
      <c r="Q54" s="5">
        <f>G54*$R$3</f>
        <v>15053.807634988385</v>
      </c>
      <c r="R54" s="5">
        <f>M54*$R$3</f>
        <v>120463.16654136749</v>
      </c>
      <c r="S54" s="13" t="s">
        <v>23</v>
      </c>
      <c r="U54" s="3" t="s">
        <v>41</v>
      </c>
    </row>
    <row r="55" spans="1:21" ht="20" x14ac:dyDescent="0.35">
      <c r="A55" s="37">
        <v>110</v>
      </c>
      <c r="B55" s="39" t="s">
        <v>36</v>
      </c>
      <c r="C55" s="21" t="s">
        <v>15</v>
      </c>
      <c r="D55" s="38" t="s">
        <v>5</v>
      </c>
      <c r="E55" s="38" t="s">
        <v>5</v>
      </c>
      <c r="F55" s="38" t="s">
        <v>5</v>
      </c>
      <c r="G55" s="23">
        <f>IFERROR(INDEX('KPI 110'!E$19:P$19,Actual_month),0)</f>
        <v>14080.942938452383</v>
      </c>
      <c r="H55" s="27">
        <f>IFERROR(INDEX('KPI 110'!E$20:P$20,Actual_month),0)</f>
        <v>12061</v>
      </c>
      <c r="I55" s="28">
        <f>IFERROR(H55/G55,"")</f>
        <v>0.856547750581653</v>
      </c>
      <c r="J55" s="38" t="s">
        <v>5</v>
      </c>
      <c r="K55" s="38" t="s">
        <v>5</v>
      </c>
      <c r="L55" s="38" t="s">
        <v>5</v>
      </c>
      <c r="M55" s="23">
        <f>IFERROR(INDEX('KPI 110'!E$26:P$26,Actual_month),0)</f>
        <v>110287.71152387623</v>
      </c>
      <c r="N55" s="27">
        <f>IFERROR(INDEX('KPI 110'!E$27:P$27,Actual_month),0)</f>
        <v>97037</v>
      </c>
      <c r="O55" s="28">
        <f>IFERROR(N55/M55,"")</f>
        <v>0.87985323713052488</v>
      </c>
      <c r="P55" s="14" t="s">
        <v>20</v>
      </c>
      <c r="Q55" s="5">
        <f>G55*$R$3</f>
        <v>12672.848644607146</v>
      </c>
      <c r="R55" s="5">
        <f>M55*$R$3</f>
        <v>99258.940371488614</v>
      </c>
      <c r="S55" s="13" t="s">
        <v>23</v>
      </c>
      <c r="U55" s="3" t="s">
        <v>41</v>
      </c>
    </row>
    <row r="56" spans="1:21" ht="20.5" thickBot="1" x14ac:dyDescent="0.4">
      <c r="A56" s="37">
        <v>124</v>
      </c>
      <c r="B56" s="17" t="s">
        <v>37</v>
      </c>
      <c r="C56" s="22" t="s">
        <v>1</v>
      </c>
      <c r="D56" s="38" t="s">
        <v>5</v>
      </c>
      <c r="E56" s="38" t="s">
        <v>5</v>
      </c>
      <c r="F56" s="38" t="s">
        <v>5</v>
      </c>
      <c r="G56" s="47">
        <f>IFERROR(INDEX('KPI 124'!E$19:P$19,Actual_month),0)</f>
        <v>0.1581632400328648</v>
      </c>
      <c r="H56" s="49">
        <f>IFERROR(INDEX('KPI 124'!E$20:P$20,Actual_month),0)</f>
        <v>0.17083734359961503</v>
      </c>
      <c r="I56" s="24">
        <f>IFERROR(G56/H56,"")</f>
        <v>0.9258118670092762</v>
      </c>
      <c r="J56" s="38" t="s">
        <v>5</v>
      </c>
      <c r="K56" s="38" t="s">
        <v>5</v>
      </c>
      <c r="L56" s="38" t="s">
        <v>5</v>
      </c>
      <c r="M56" s="47">
        <f>IFERROR(INDEX('KPI 124'!E$26:P$26,Actual_month),0)</f>
        <v>0.17602248702799353</v>
      </c>
      <c r="N56" s="49">
        <f>IFERROR(INDEX('KPI 124'!E$27:P$27,Actual_month),0)</f>
        <v>0.20187364802066113</v>
      </c>
      <c r="O56" s="24">
        <f t="shared" ref="O56" si="43">IFERROR(M56/N56,"")</f>
        <v>0.87194385574276734</v>
      </c>
      <c r="P56" s="25" t="s">
        <v>20</v>
      </c>
      <c r="Q56" s="46">
        <f>G56/$R$3</f>
        <v>0.17573693336984977</v>
      </c>
      <c r="R56" s="46">
        <f>M56/$R$3</f>
        <v>0.19558054114221501</v>
      </c>
      <c r="S56" s="13" t="s">
        <v>24</v>
      </c>
      <c r="U56" s="3" t="s">
        <v>41</v>
      </c>
    </row>
    <row r="57" spans="1:21" ht="20" hidden="1" x14ac:dyDescent="0.35">
      <c r="A57" s="37"/>
      <c r="B57" s="17" t="s">
        <v>38</v>
      </c>
      <c r="C57" s="22" t="s">
        <v>35</v>
      </c>
      <c r="D57" s="38" t="s">
        <v>5</v>
      </c>
      <c r="E57" s="38" t="s">
        <v>5</v>
      </c>
      <c r="F57" s="38" t="s">
        <v>5</v>
      </c>
      <c r="G57" s="16">
        <f>IFERROR(INDEX(#REF!,Actual_month),0)</f>
        <v>0</v>
      </c>
      <c r="H57" s="16">
        <f>IFERROR(INDEX(#REF!,Actual_month),0)</f>
        <v>0</v>
      </c>
      <c r="I57" s="24" t="str">
        <f t="shared" ref="I57:I58" si="44">IFERROR(H57/G57,"")</f>
        <v/>
      </c>
      <c r="J57" s="20" t="s">
        <v>5</v>
      </c>
      <c r="K57" s="20" t="s">
        <v>5</v>
      </c>
      <c r="L57" s="20" t="s">
        <v>5</v>
      </c>
      <c r="M57" s="27">
        <f>IFERROR(INDEX(#REF!,Actual_month),0)</f>
        <v>0</v>
      </c>
      <c r="N57" s="27">
        <f>IFERROR(INDEX(#REF!,Actual_month),0)</f>
        <v>0</v>
      </c>
      <c r="O57" s="24" t="str">
        <f t="shared" ref="O57:O58" si="45">IFERROR(N57/M57,"")</f>
        <v/>
      </c>
      <c r="P57" s="25" t="s">
        <v>20</v>
      </c>
      <c r="Q57" s="5">
        <f t="shared" ref="Q57:Q58" si="46">G57*$R$3</f>
        <v>0</v>
      </c>
      <c r="R57" s="5">
        <f t="shared" ref="R57:R58" si="47">M57*$R$3</f>
        <v>0</v>
      </c>
      <c r="S57" s="13" t="s">
        <v>23</v>
      </c>
      <c r="U57" s="3" t="s">
        <v>41</v>
      </c>
    </row>
    <row r="58" spans="1:21" ht="20.5" hidden="1" thickBot="1" x14ac:dyDescent="0.4">
      <c r="A58" s="37"/>
      <c r="B58" s="17" t="s">
        <v>104</v>
      </c>
      <c r="C58" s="22" t="s">
        <v>35</v>
      </c>
      <c r="D58" s="38" t="s">
        <v>5</v>
      </c>
      <c r="E58" s="38" t="s">
        <v>5</v>
      </c>
      <c r="F58" s="38" t="s">
        <v>5</v>
      </c>
      <c r="G58" s="16">
        <f>IFERROR(INDEX(#REF!,Actual_month),0)</f>
        <v>0</v>
      </c>
      <c r="H58" s="16">
        <f>IFERROR(INDEX(#REF!,Actual_month),0)</f>
        <v>0</v>
      </c>
      <c r="I58" s="24" t="str">
        <f t="shared" si="44"/>
        <v/>
      </c>
      <c r="J58" s="20" t="s">
        <v>5</v>
      </c>
      <c r="K58" s="20" t="s">
        <v>5</v>
      </c>
      <c r="L58" s="20" t="s">
        <v>5</v>
      </c>
      <c r="M58" s="27">
        <f>IFERROR(INDEX(#REF!,Actual_month),0)</f>
        <v>0</v>
      </c>
      <c r="N58" s="27">
        <f>IFERROR(INDEX(#REF!,Actual_month),0)</f>
        <v>0</v>
      </c>
      <c r="O58" s="24" t="str">
        <f t="shared" si="45"/>
        <v/>
      </c>
      <c r="P58" s="25" t="s">
        <v>20</v>
      </c>
      <c r="Q58" s="5">
        <f t="shared" si="46"/>
        <v>0</v>
      </c>
      <c r="R58" s="5">
        <f t="shared" si="47"/>
        <v>0</v>
      </c>
      <c r="S58" s="13" t="s">
        <v>23</v>
      </c>
      <c r="U58" s="3" t="s">
        <v>41</v>
      </c>
    </row>
    <row r="59" spans="1:21" ht="15" collapsed="1" thickBot="1" x14ac:dyDescent="0.4">
      <c r="A59" s="45"/>
      <c r="B59" s="44" t="s">
        <v>85</v>
      </c>
      <c r="C59" s="40"/>
      <c r="D59" s="40"/>
      <c r="E59" s="40"/>
      <c r="F59" s="40"/>
      <c r="G59" s="41"/>
      <c r="H59" s="41"/>
      <c r="I59" s="41"/>
      <c r="J59" s="41"/>
      <c r="K59" s="41"/>
      <c r="L59" s="41"/>
      <c r="M59" s="41"/>
      <c r="N59" s="41"/>
      <c r="O59" s="42"/>
      <c r="Q59" s="8" t="s">
        <v>28</v>
      </c>
      <c r="R59" s="8" t="s">
        <v>27</v>
      </c>
    </row>
    <row r="60" spans="1:21" ht="20" x14ac:dyDescent="0.35">
      <c r="A60" s="37">
        <v>105</v>
      </c>
      <c r="B60" s="39" t="s">
        <v>33</v>
      </c>
      <c r="C60" s="21" t="s">
        <v>15</v>
      </c>
      <c r="D60" s="38" t="s">
        <v>5</v>
      </c>
      <c r="E60" s="38" t="s">
        <v>5</v>
      </c>
      <c r="F60" s="38" t="s">
        <v>5</v>
      </c>
      <c r="G60" s="23">
        <f>IFERROR(INDEX('KPI 105'!E$19:P$19,Actual_month),0)</f>
        <v>12367.784871204738</v>
      </c>
      <c r="H60" s="27">
        <f>IFERROR(INDEX('KPI 105'!E$20:P$20,Actual_month),0)</f>
        <v>11406</v>
      </c>
      <c r="I60" s="28">
        <f>IFERROR(H60/G60,"")</f>
        <v>0.92223467005445647</v>
      </c>
      <c r="J60" s="38" t="s">
        <v>5</v>
      </c>
      <c r="K60" s="38" t="s">
        <v>5</v>
      </c>
      <c r="L60" s="38" t="s">
        <v>5</v>
      </c>
      <c r="M60" s="23">
        <f>IFERROR(INDEX('KPI 105'!E$26:P$26,Actual_month),0)</f>
        <v>101970.15447683597</v>
      </c>
      <c r="N60" s="27">
        <f>IFERROR(INDEX('KPI 105'!E$27:P$27,Actual_month),0)</f>
        <v>96736</v>
      </c>
      <c r="O60" s="28">
        <f>IFERROR(N60/M60,"")</f>
        <v>0.94866974063450116</v>
      </c>
      <c r="P60" s="14" t="s">
        <v>20</v>
      </c>
      <c r="Q60" s="5">
        <f>G60*$R$3</f>
        <v>11131.006384084265</v>
      </c>
      <c r="R60" s="5">
        <f>M60*$R$3</f>
        <v>91773.139029152386</v>
      </c>
      <c r="S60" s="13" t="s">
        <v>23</v>
      </c>
      <c r="U60" s="3" t="s">
        <v>41</v>
      </c>
    </row>
    <row r="61" spans="1:21" ht="20" x14ac:dyDescent="0.35">
      <c r="A61" s="37">
        <v>112</v>
      </c>
      <c r="B61" s="39" t="s">
        <v>36</v>
      </c>
      <c r="C61" s="21" t="s">
        <v>15</v>
      </c>
      <c r="D61" s="38" t="s">
        <v>5</v>
      </c>
      <c r="E61" s="38" t="s">
        <v>5</v>
      </c>
      <c r="F61" s="38" t="s">
        <v>5</v>
      </c>
      <c r="G61" s="23">
        <f>IFERROR(INDEX('KPI 112'!E$19:P$19,Actual_month),0)</f>
        <v>10832.328911377692</v>
      </c>
      <c r="H61" s="27">
        <f>IFERROR(INDEX('KPI 112'!E$20:P$20,Actual_month),0)</f>
        <v>10175</v>
      </c>
      <c r="I61" s="28">
        <f>IFERROR(H61/G61,"")</f>
        <v>0.93931785890592101</v>
      </c>
      <c r="J61" s="38" t="s">
        <v>5</v>
      </c>
      <c r="K61" s="38" t="s">
        <v>5</v>
      </c>
      <c r="L61" s="38" t="s">
        <v>5</v>
      </c>
      <c r="M61" s="23">
        <f>IFERROR(INDEX('KPI 112'!E$26:P$26,Actual_month),0)</f>
        <v>86236.369726028264</v>
      </c>
      <c r="N61" s="27">
        <f>IFERROR(INDEX('KPI 112'!E$27:P$27,Actual_month),0)</f>
        <v>82306</v>
      </c>
      <c r="O61" s="28">
        <f>IFERROR(N61/M61,"")</f>
        <v>0.95442329334461784</v>
      </c>
      <c r="P61" s="14" t="s">
        <v>20</v>
      </c>
      <c r="Q61" s="5">
        <f>G61*$R$3</f>
        <v>9749.0960202399237</v>
      </c>
      <c r="R61" s="5">
        <f>M61*$R$3</f>
        <v>77612.732753425444</v>
      </c>
      <c r="S61" s="13" t="s">
        <v>23</v>
      </c>
      <c r="U61" s="3" t="s">
        <v>41</v>
      </c>
    </row>
    <row r="62" spans="1:21" ht="20.5" thickBot="1" x14ac:dyDescent="0.4">
      <c r="A62" s="37">
        <v>126</v>
      </c>
      <c r="B62" s="17" t="s">
        <v>37</v>
      </c>
      <c r="C62" s="22" t="s">
        <v>1</v>
      </c>
      <c r="D62" s="38" t="s">
        <v>5</v>
      </c>
      <c r="E62" s="38" t="s">
        <v>5</v>
      </c>
      <c r="F62" s="38" t="s">
        <v>5</v>
      </c>
      <c r="G62" s="47">
        <f>IFERROR(INDEX('KPI 126'!E$19:P$19,Actual_month),0)</f>
        <v>0.12414963356954627</v>
      </c>
      <c r="H62" s="49">
        <f>IFERROR(INDEX('KPI 126'!E$20:P$20,Actual_month),0)</f>
        <v>0.10792565316500087</v>
      </c>
      <c r="I62" s="24">
        <f>IFERROR(G62/H62,"")</f>
        <v>1.1503255243657553</v>
      </c>
      <c r="J62" s="38" t="s">
        <v>5</v>
      </c>
      <c r="K62" s="38" t="s">
        <v>5</v>
      </c>
      <c r="L62" s="38" t="s">
        <v>5</v>
      </c>
      <c r="M62" s="47">
        <f>IFERROR(INDEX('KPI 126'!E$26:P$26,Actual_month),0)</f>
        <v>0.15429793974061176</v>
      </c>
      <c r="N62" s="49">
        <f>IFERROR(INDEX('KPI 126'!E$27:P$27,Actual_month),0)</f>
        <v>0.14916887198147535</v>
      </c>
      <c r="O62" s="24">
        <f t="shared" ref="O62" si="48">IFERROR(M62/N62,"")</f>
        <v>1.0343843034475273</v>
      </c>
      <c r="P62" s="25" t="s">
        <v>20</v>
      </c>
      <c r="Q62" s="46">
        <f>G62/$R$3</f>
        <v>0.13794403729949584</v>
      </c>
      <c r="R62" s="46">
        <f>M62/$R$3</f>
        <v>0.17144215526734641</v>
      </c>
      <c r="S62" s="13" t="s">
        <v>24</v>
      </c>
      <c r="U62" s="3" t="s">
        <v>41</v>
      </c>
    </row>
    <row r="63" spans="1:21" ht="20" hidden="1" x14ac:dyDescent="0.35">
      <c r="A63" s="37"/>
      <c r="B63" s="17" t="s">
        <v>90</v>
      </c>
      <c r="C63" s="22" t="s">
        <v>35</v>
      </c>
      <c r="D63" s="38" t="s">
        <v>5</v>
      </c>
      <c r="E63" s="38" t="s">
        <v>5</v>
      </c>
      <c r="F63" s="38" t="s">
        <v>5</v>
      </c>
      <c r="G63" s="16">
        <f>IFERROR(INDEX(#REF!,Actual_month),0)</f>
        <v>0</v>
      </c>
      <c r="H63" s="16">
        <f>IFERROR(INDEX(#REF!,Actual_month),0)</f>
        <v>0</v>
      </c>
      <c r="I63" s="24" t="str">
        <f t="shared" ref="I63:I64" si="49">IFERROR(H63/G63,"")</f>
        <v/>
      </c>
      <c r="J63" s="20" t="s">
        <v>5</v>
      </c>
      <c r="K63" s="20" t="s">
        <v>5</v>
      </c>
      <c r="L63" s="20" t="s">
        <v>5</v>
      </c>
      <c r="M63" s="27">
        <f>IFERROR(INDEX(#REF!,Actual_month),0)</f>
        <v>0</v>
      </c>
      <c r="N63" s="27">
        <f>IFERROR(INDEX(#REF!,Actual_month),0)</f>
        <v>0</v>
      </c>
      <c r="O63" s="24" t="str">
        <f t="shared" ref="O63:O64" si="50">IFERROR(N63/M63,"")</f>
        <v/>
      </c>
      <c r="P63" s="25" t="s">
        <v>20</v>
      </c>
      <c r="Q63" s="5">
        <f t="shared" ref="Q63:Q64" si="51">G63*$R$3</f>
        <v>0</v>
      </c>
      <c r="R63" s="5">
        <f t="shared" ref="R63:R64" si="52">M63*$R$3</f>
        <v>0</v>
      </c>
      <c r="S63" s="13" t="s">
        <v>23</v>
      </c>
      <c r="U63" s="3" t="s">
        <v>41</v>
      </c>
    </row>
    <row r="64" spans="1:21" ht="20.5" hidden="1" thickBot="1" x14ac:dyDescent="0.4">
      <c r="A64" s="37"/>
      <c r="B64" s="17" t="s">
        <v>104</v>
      </c>
      <c r="C64" s="22" t="s">
        <v>35</v>
      </c>
      <c r="D64" s="38" t="s">
        <v>5</v>
      </c>
      <c r="E64" s="38" t="s">
        <v>5</v>
      </c>
      <c r="F64" s="38" t="s">
        <v>5</v>
      </c>
      <c r="G64" s="16">
        <f>IFERROR(INDEX(#REF!,Actual_month),0)</f>
        <v>0</v>
      </c>
      <c r="H64" s="16">
        <f>IFERROR(INDEX(#REF!,Actual_month),0)</f>
        <v>0</v>
      </c>
      <c r="I64" s="24" t="str">
        <f t="shared" si="49"/>
        <v/>
      </c>
      <c r="J64" s="20" t="s">
        <v>5</v>
      </c>
      <c r="K64" s="20" t="s">
        <v>5</v>
      </c>
      <c r="L64" s="20" t="s">
        <v>5</v>
      </c>
      <c r="M64" s="27">
        <f>IFERROR(INDEX(#REF!,Actual_month),0)</f>
        <v>0</v>
      </c>
      <c r="N64" s="27">
        <f>IFERROR(INDEX(#REF!,Actual_month),0)</f>
        <v>0</v>
      </c>
      <c r="O64" s="24" t="str">
        <f t="shared" si="50"/>
        <v/>
      </c>
      <c r="P64" s="25" t="s">
        <v>20</v>
      </c>
      <c r="Q64" s="5">
        <f t="shared" si="51"/>
        <v>0</v>
      </c>
      <c r="R64" s="5">
        <f t="shared" si="52"/>
        <v>0</v>
      </c>
      <c r="S64" s="13" t="s">
        <v>23</v>
      </c>
      <c r="U64" s="3" t="s">
        <v>41</v>
      </c>
    </row>
    <row r="65" spans="1:21" ht="15" collapsed="1" thickBot="1" x14ac:dyDescent="0.4">
      <c r="A65" s="45"/>
      <c r="B65" s="44" t="s">
        <v>194</v>
      </c>
      <c r="C65" s="40"/>
      <c r="D65" s="40"/>
      <c r="E65" s="40"/>
      <c r="F65" s="40"/>
      <c r="G65" s="41"/>
      <c r="H65" s="41"/>
      <c r="I65" s="41"/>
      <c r="J65" s="41"/>
      <c r="K65" s="41"/>
      <c r="L65" s="41"/>
      <c r="M65" s="41"/>
      <c r="N65" s="41"/>
      <c r="O65" s="42"/>
      <c r="Q65" s="8" t="s">
        <v>28</v>
      </c>
      <c r="R65" s="8" t="s">
        <v>27</v>
      </c>
    </row>
    <row r="66" spans="1:21" ht="20" x14ac:dyDescent="0.35">
      <c r="A66" s="37" t="s">
        <v>195</v>
      </c>
      <c r="B66" s="39" t="s">
        <v>33</v>
      </c>
      <c r="C66" s="21" t="s">
        <v>15</v>
      </c>
      <c r="D66" s="38" t="s">
        <v>5</v>
      </c>
      <c r="E66" s="38" t="s">
        <v>5</v>
      </c>
      <c r="F66" s="38" t="s">
        <v>5</v>
      </c>
      <c r="G66" s="23">
        <f>IFERROR(INDEX('KPI 105B'!E$19:P$19,Actual_month),0)</f>
        <v>6851.8598682267821</v>
      </c>
      <c r="H66" s="27">
        <f>IFERROR(INDEX('KPI 105B'!E$20:P$20,Actual_month),0)</f>
        <v>6609</v>
      </c>
      <c r="I66" s="28">
        <f>IFERROR(H66/G66,"")</f>
        <v>0.96455562826774033</v>
      </c>
      <c r="J66" s="38" t="s">
        <v>5</v>
      </c>
      <c r="K66" s="38" t="s">
        <v>5</v>
      </c>
      <c r="L66" s="38" t="s">
        <v>5</v>
      </c>
      <c r="M66" s="23">
        <f>IFERROR(INDEX('KPI 105B'!E$26:P$26,Actual_month),0)</f>
        <v>54323.533461093866</v>
      </c>
      <c r="N66" s="27">
        <f>IFERROR(INDEX('KPI 105B'!E$27:P$27,Actual_month),0)</f>
        <v>50295</v>
      </c>
      <c r="O66" s="28">
        <f>IFERROR(N66/M66,"")</f>
        <v>0.92584183678001963</v>
      </c>
      <c r="P66" s="14" t="s">
        <v>20</v>
      </c>
      <c r="Q66" s="5">
        <f>G66*$R$3</f>
        <v>6166.6738814041037</v>
      </c>
      <c r="R66" s="5">
        <f>M66*$R$3</f>
        <v>48891.180114984483</v>
      </c>
      <c r="S66" s="13" t="s">
        <v>23</v>
      </c>
      <c r="U66" s="3" t="s">
        <v>41</v>
      </c>
    </row>
    <row r="67" spans="1:21" ht="20" x14ac:dyDescent="0.35">
      <c r="A67" s="37" t="s">
        <v>196</v>
      </c>
      <c r="B67" s="39" t="s">
        <v>36</v>
      </c>
      <c r="C67" s="21" t="s">
        <v>15</v>
      </c>
      <c r="D67" s="38" t="s">
        <v>5</v>
      </c>
      <c r="E67" s="38" t="s">
        <v>5</v>
      </c>
      <c r="F67" s="38" t="s">
        <v>5</v>
      </c>
      <c r="G67" s="23">
        <f>IFERROR(INDEX('KPI 112B'!E$19:P$19,Actual_month),0)</f>
        <v>6088.6001507289257</v>
      </c>
      <c r="H67" s="27">
        <f>IFERROR(INDEX('KPI 112B'!E$20:P$20,Actual_month),0)</f>
        <v>5420</v>
      </c>
      <c r="I67" s="28">
        <f>IFERROR(H67/G67,"")</f>
        <v>0.89018819857157461</v>
      </c>
      <c r="J67" s="38" t="s">
        <v>5</v>
      </c>
      <c r="K67" s="38" t="s">
        <v>5</v>
      </c>
      <c r="L67" s="38" t="s">
        <v>5</v>
      </c>
      <c r="M67" s="23">
        <f>IFERROR(INDEX('KPI 112B'!E$26:P$26,Actual_month),0)</f>
        <v>47144.896020092638</v>
      </c>
      <c r="N67" s="27">
        <f>IFERROR(INDEX('KPI 112B'!E$27:P$27,Actual_month),0)</f>
        <v>44878</v>
      </c>
      <c r="O67" s="28">
        <f>IFERROR(N67/M67,"")</f>
        <v>0.95191640640958231</v>
      </c>
      <c r="P67" s="14" t="s">
        <v>20</v>
      </c>
      <c r="Q67" s="5">
        <f>G67*$R$3</f>
        <v>5479.7401356560331</v>
      </c>
      <c r="R67" s="5">
        <f>M67*$R$3</f>
        <v>42430.406418083374</v>
      </c>
      <c r="S67" s="13" t="s">
        <v>23</v>
      </c>
      <c r="U67" s="3" t="s">
        <v>41</v>
      </c>
    </row>
    <row r="68" spans="1:21" ht="20.5" thickBot="1" x14ac:dyDescent="0.4">
      <c r="A68" s="37" t="s">
        <v>197</v>
      </c>
      <c r="B68" s="17" t="s">
        <v>37</v>
      </c>
      <c r="C68" s="22" t="s">
        <v>1</v>
      </c>
      <c r="D68" s="38" t="s">
        <v>5</v>
      </c>
      <c r="E68" s="38" t="s">
        <v>5</v>
      </c>
      <c r="F68" s="38" t="s">
        <v>5</v>
      </c>
      <c r="G68" s="47">
        <f>IFERROR(INDEX('KPI 126B'!E$19:P$19,Actual_month),0)</f>
        <v>0.11139453114580161</v>
      </c>
      <c r="H68" s="49">
        <f>IFERROR(INDEX('KPI 126B'!E$20:P$20,Actual_month),0)</f>
        <v>0.17990618853079135</v>
      </c>
      <c r="I68" s="24">
        <f>IFERROR(G68/H68,"")</f>
        <v>0.61918120802573828</v>
      </c>
      <c r="J68" s="38" t="s">
        <v>5</v>
      </c>
      <c r="K68" s="38" t="s">
        <v>5</v>
      </c>
      <c r="L68" s="38" t="s">
        <v>5</v>
      </c>
      <c r="M68" s="47">
        <f>IFERROR(INDEX('KPI 126B'!E$26:P$26,Actual_month),0)</f>
        <v>0.13214599610208563</v>
      </c>
      <c r="N68" s="49">
        <f>IFERROR(INDEX('KPI 126B'!E$27:P$27,Actual_month),0)</f>
        <v>0.10770454319514862</v>
      </c>
      <c r="O68" s="24">
        <f t="shared" ref="O68" si="53">IFERROR(M68/N68,"")</f>
        <v>1.2269305656183123</v>
      </c>
      <c r="P68" s="25" t="s">
        <v>20</v>
      </c>
      <c r="Q68" s="46">
        <f>G68/$R$3</f>
        <v>0.12377170127311291</v>
      </c>
      <c r="R68" s="46">
        <f>M68/$R$3</f>
        <v>0.14682888455787294</v>
      </c>
      <c r="S68" s="13" t="s">
        <v>24</v>
      </c>
      <c r="U68" s="3" t="s">
        <v>41</v>
      </c>
    </row>
    <row r="69" spans="1:21" ht="15" thickBot="1" x14ac:dyDescent="0.4">
      <c r="A69" s="45"/>
      <c r="B69" s="44" t="s">
        <v>86</v>
      </c>
      <c r="C69" s="40"/>
      <c r="D69" s="40"/>
      <c r="E69" s="40"/>
      <c r="F69" s="40"/>
      <c r="G69" s="41"/>
      <c r="H69" s="41"/>
      <c r="I69" s="41"/>
      <c r="J69" s="41"/>
      <c r="K69" s="41"/>
      <c r="L69" s="41"/>
      <c r="M69" s="41"/>
      <c r="N69" s="41"/>
      <c r="O69" s="42"/>
      <c r="Q69" s="8" t="s">
        <v>28</v>
      </c>
      <c r="R69" s="8" t="s">
        <v>27</v>
      </c>
    </row>
    <row r="70" spans="1:21" ht="20" x14ac:dyDescent="0.35">
      <c r="A70" s="37">
        <v>106</v>
      </c>
      <c r="B70" s="39" t="s">
        <v>33</v>
      </c>
      <c r="C70" s="21" t="s">
        <v>15</v>
      </c>
      <c r="D70" s="38" t="s">
        <v>5</v>
      </c>
      <c r="E70" s="38" t="s">
        <v>5</v>
      </c>
      <c r="F70" s="38" t="s">
        <v>5</v>
      </c>
      <c r="G70" s="23">
        <f>IFERROR(INDEX('KPI 106'!E$19:P$19,Actual_month),0)</f>
        <v>9597.6641063916541</v>
      </c>
      <c r="H70" s="27">
        <f>IFERROR(INDEX('KPI 106'!E$20:P$20,Actual_month),0)</f>
        <v>9112</v>
      </c>
      <c r="I70" s="28">
        <f>IFERROR(H70/G70,"")</f>
        <v>0.94939767624622107</v>
      </c>
      <c r="J70" s="38" t="s">
        <v>5</v>
      </c>
      <c r="K70" s="38" t="s">
        <v>5</v>
      </c>
      <c r="L70" s="38" t="s">
        <v>5</v>
      </c>
      <c r="M70" s="23">
        <f>IFERROR(INDEX('KPI 106'!E$26:P$26,Actual_month),0)</f>
        <v>71834.911627477544</v>
      </c>
      <c r="N70" s="27">
        <f>IFERROR(INDEX('KPI 106'!E$27:P$27,Actual_month),0)</f>
        <v>70353</v>
      </c>
      <c r="O70" s="28">
        <f>IFERROR(N70/M70,"")</f>
        <v>0.97937059301802354</v>
      </c>
      <c r="P70" s="14" t="s">
        <v>20</v>
      </c>
      <c r="Q70" s="5">
        <f>G70*$R$3</f>
        <v>8637.8976957524883</v>
      </c>
      <c r="R70" s="5">
        <f>M70*$R$3</f>
        <v>64651.420464729788</v>
      </c>
      <c r="S70" s="13" t="s">
        <v>23</v>
      </c>
      <c r="U70" s="3" t="s">
        <v>41</v>
      </c>
    </row>
    <row r="71" spans="1:21" ht="20" x14ac:dyDescent="0.35">
      <c r="A71" s="37">
        <v>113</v>
      </c>
      <c r="B71" s="39" t="s">
        <v>36</v>
      </c>
      <c r="C71" s="21" t="s">
        <v>15</v>
      </c>
      <c r="D71" s="38" t="s">
        <v>5</v>
      </c>
      <c r="E71" s="38" t="s">
        <v>5</v>
      </c>
      <c r="F71" s="38" t="s">
        <v>5</v>
      </c>
      <c r="G71" s="23">
        <f>IFERROR(INDEX('KPI 113'!E$19:P$19,Actual_month),0)</f>
        <v>8487.7304169300241</v>
      </c>
      <c r="H71" s="27">
        <f>IFERROR(INDEX('KPI 113'!E$20:P$20,Actual_month),0)</f>
        <v>7181</v>
      </c>
      <c r="I71" s="28">
        <f>IFERROR(H71/G71,"")</f>
        <v>0.84604477843410786</v>
      </c>
      <c r="J71" s="38" t="s">
        <v>5</v>
      </c>
      <c r="K71" s="38" t="s">
        <v>5</v>
      </c>
      <c r="L71" s="38" t="s">
        <v>5</v>
      </c>
      <c r="M71" s="23">
        <f>IFERROR(INDEX('KPI 113'!E$26:P$26,Actual_month),0)</f>
        <v>61865.086481984479</v>
      </c>
      <c r="N71" s="27">
        <f>IFERROR(INDEX('KPI 113'!E$27:P$27,Actual_month),0)</f>
        <v>50827</v>
      </c>
      <c r="O71" s="28">
        <f>IFERROR(N71/M71,"")</f>
        <v>0.82157809663453973</v>
      </c>
      <c r="P71" s="14" t="s">
        <v>20</v>
      </c>
      <c r="Q71" s="5">
        <f>G71*$R$3</f>
        <v>7638.9573752370216</v>
      </c>
      <c r="R71" s="5">
        <f>M71*$R$3</f>
        <v>55678.577833786032</v>
      </c>
      <c r="S71" s="13" t="s">
        <v>23</v>
      </c>
      <c r="U71" s="3" t="s">
        <v>41</v>
      </c>
    </row>
    <row r="72" spans="1:21" ht="20.5" thickBot="1" x14ac:dyDescent="0.4">
      <c r="A72" s="37">
        <v>127</v>
      </c>
      <c r="B72" s="17" t="s">
        <v>37</v>
      </c>
      <c r="C72" s="22" t="s">
        <v>1</v>
      </c>
      <c r="D72" s="38" t="s">
        <v>5</v>
      </c>
      <c r="E72" s="38" t="s">
        <v>5</v>
      </c>
      <c r="F72" s="38" t="s">
        <v>5</v>
      </c>
      <c r="G72" s="47">
        <f>IFERROR(INDEX('KPI 127'!E$19:P$19,Actual_month),0)</f>
        <v>0.11564623195371665</v>
      </c>
      <c r="H72" s="49">
        <f>IFERROR(INDEX('KPI 127'!E$20:P$20,Actual_month),0)</f>
        <v>0.21191834942932397</v>
      </c>
      <c r="I72" s="24">
        <f>IFERROR(G72/H72,"")</f>
        <v>0.54571127165316735</v>
      </c>
      <c r="J72" s="38" t="s">
        <v>5</v>
      </c>
      <c r="K72" s="38" t="s">
        <v>5</v>
      </c>
      <c r="L72" s="38" t="s">
        <v>5</v>
      </c>
      <c r="M72" s="47">
        <f>IFERROR(INDEX('KPI 127'!E$26:P$26,Actual_month),0)</f>
        <v>0.13878801991425449</v>
      </c>
      <c r="N72" s="49">
        <f>IFERROR(INDEX('KPI 127'!E$27:P$27,Actual_month),0)</f>
        <v>0.27754324620129917</v>
      </c>
      <c r="O72" s="24">
        <f t="shared" ref="O72" si="54">IFERROR(M72/N72,"")</f>
        <v>0.50005907840968689</v>
      </c>
      <c r="P72" s="25" t="s">
        <v>20</v>
      </c>
      <c r="Q72" s="46">
        <f>G72/$R$3</f>
        <v>0.12849581328190737</v>
      </c>
      <c r="R72" s="46">
        <f>M72/$R$3</f>
        <v>0.15420891101583831</v>
      </c>
      <c r="S72" s="13" t="s">
        <v>24</v>
      </c>
      <c r="U72" s="3" t="s">
        <v>41</v>
      </c>
    </row>
    <row r="73" spans="1:21" ht="20" hidden="1" x14ac:dyDescent="0.35">
      <c r="A73" s="37"/>
      <c r="B73" s="17" t="s">
        <v>90</v>
      </c>
      <c r="C73" s="22" t="s">
        <v>35</v>
      </c>
      <c r="D73" s="38" t="s">
        <v>5</v>
      </c>
      <c r="E73" s="38" t="s">
        <v>5</v>
      </c>
      <c r="F73" s="38" t="s">
        <v>5</v>
      </c>
      <c r="G73" s="16">
        <f>IFERROR(INDEX(#REF!,Actual_month),0)</f>
        <v>0</v>
      </c>
      <c r="H73" s="27">
        <f>IFERROR(INDEX(#REF!,Actual_month),0)</f>
        <v>0</v>
      </c>
      <c r="I73" s="24" t="str">
        <f t="shared" ref="I73:I74" si="55">IFERROR(H73/G73,"")</f>
        <v/>
      </c>
      <c r="J73" s="20" t="s">
        <v>5</v>
      </c>
      <c r="K73" s="20" t="s">
        <v>5</v>
      </c>
      <c r="L73" s="20" t="s">
        <v>5</v>
      </c>
      <c r="M73" s="27">
        <f>IFERROR(INDEX(#REF!,Actual_month),0)</f>
        <v>0</v>
      </c>
      <c r="N73" s="27">
        <f>IFERROR(INDEX(#REF!,Actual_month),0)</f>
        <v>0</v>
      </c>
      <c r="O73" s="24" t="str">
        <f t="shared" ref="O73:O74" si="56">IFERROR(N73/M73,"")</f>
        <v/>
      </c>
      <c r="P73" s="25" t="s">
        <v>20</v>
      </c>
      <c r="Q73" s="5">
        <f t="shared" ref="Q73:Q74" si="57">G73*$R$3</f>
        <v>0</v>
      </c>
      <c r="R73" s="5">
        <f t="shared" ref="R73:R74" si="58">M73*$R$3</f>
        <v>0</v>
      </c>
      <c r="S73" s="13" t="s">
        <v>23</v>
      </c>
      <c r="U73" s="3" t="s">
        <v>41</v>
      </c>
    </row>
    <row r="74" spans="1:21" ht="20.5" hidden="1" thickBot="1" x14ac:dyDescent="0.4">
      <c r="A74" s="37"/>
      <c r="B74" s="17" t="s">
        <v>104</v>
      </c>
      <c r="C74" s="22" t="s">
        <v>35</v>
      </c>
      <c r="D74" s="38" t="s">
        <v>5</v>
      </c>
      <c r="E74" s="38" t="s">
        <v>5</v>
      </c>
      <c r="F74" s="38" t="s">
        <v>5</v>
      </c>
      <c r="G74" s="16">
        <f>IFERROR(INDEX(#REF!,Actual_month),0)</f>
        <v>0</v>
      </c>
      <c r="H74" s="27">
        <f>IFERROR(INDEX(#REF!,Actual_month),0)</f>
        <v>0</v>
      </c>
      <c r="I74" s="24" t="str">
        <f t="shared" si="55"/>
        <v/>
      </c>
      <c r="J74" s="20" t="s">
        <v>5</v>
      </c>
      <c r="K74" s="20" t="s">
        <v>5</v>
      </c>
      <c r="L74" s="20" t="s">
        <v>5</v>
      </c>
      <c r="M74" s="27">
        <f>IFERROR(INDEX(#REF!,Actual_month),0)</f>
        <v>0</v>
      </c>
      <c r="N74" s="27">
        <f>IFERROR(INDEX(#REF!,Actual_month),0)</f>
        <v>0</v>
      </c>
      <c r="O74" s="24" t="str">
        <f t="shared" si="56"/>
        <v/>
      </c>
      <c r="P74" s="25" t="s">
        <v>20</v>
      </c>
      <c r="Q74" s="5">
        <f t="shared" si="57"/>
        <v>0</v>
      </c>
      <c r="R74" s="5">
        <f t="shared" si="58"/>
        <v>0</v>
      </c>
      <c r="S74" s="13" t="s">
        <v>23</v>
      </c>
      <c r="U74" s="3" t="s">
        <v>41</v>
      </c>
    </row>
    <row r="75" spans="1:21" ht="15" thickBot="1" x14ac:dyDescent="0.4">
      <c r="A75" s="45"/>
      <c r="B75" s="44" t="s">
        <v>96</v>
      </c>
      <c r="C75" s="40"/>
      <c r="D75" s="40"/>
      <c r="E75" s="40"/>
      <c r="F75" s="40"/>
      <c r="G75" s="41"/>
      <c r="H75" s="41"/>
      <c r="I75" s="41"/>
      <c r="J75" s="41"/>
      <c r="K75" s="41"/>
      <c r="L75" s="41"/>
      <c r="M75" s="41"/>
      <c r="N75" s="41"/>
      <c r="O75" s="42"/>
      <c r="Q75" s="8" t="s">
        <v>28</v>
      </c>
      <c r="R75" s="8" t="s">
        <v>27</v>
      </c>
    </row>
    <row r="76" spans="1:21" ht="20" x14ac:dyDescent="0.35">
      <c r="A76" s="37" t="s">
        <v>53</v>
      </c>
      <c r="B76" s="39" t="s">
        <v>33</v>
      </c>
      <c r="C76" s="21" t="s">
        <v>15</v>
      </c>
      <c r="D76" s="38" t="s">
        <v>5</v>
      </c>
      <c r="E76" s="38" t="s">
        <v>5</v>
      </c>
      <c r="F76" s="38" t="s">
        <v>5</v>
      </c>
      <c r="G76" s="23">
        <f>IFERROR(INDEX('KPI 103 (3)'!E$19:P$19,Actual_month),0)</f>
        <v>41670.497002455661</v>
      </c>
      <c r="H76" s="27">
        <f>IFERROR(INDEX('KPI 103 (3)'!E$20:P$20,Actual_month),0)</f>
        <v>37061</v>
      </c>
      <c r="I76" s="28">
        <f>IFERROR(H76/G76,"")</f>
        <v>0.88938224081694972</v>
      </c>
      <c r="J76" s="38" t="s">
        <v>5</v>
      </c>
      <c r="K76" s="38" t="s">
        <v>5</v>
      </c>
      <c r="L76" s="38" t="s">
        <v>5</v>
      </c>
      <c r="M76" s="23">
        <f>IFERROR(INDEX('KPI 103 (3)'!E$26:P$26,Actual_month),0)</f>
        <v>313078.8333308404</v>
      </c>
      <c r="N76" s="27">
        <f>IFERROR(INDEX('KPI 103 (3)'!E$27:P$27,Actual_month),0)</f>
        <v>283207</v>
      </c>
      <c r="O76" s="28">
        <f>IFERROR(N76/M76,"")</f>
        <v>0.90458686391208731</v>
      </c>
      <c r="P76" s="14" t="s">
        <v>20</v>
      </c>
      <c r="Q76" s="5">
        <f>G76*$R$3</f>
        <v>37503.447302210094</v>
      </c>
      <c r="R76" s="5">
        <f>M76*$R$3</f>
        <v>281770.94999775634</v>
      </c>
      <c r="S76" s="13" t="s">
        <v>23</v>
      </c>
      <c r="U76" s="3" t="s">
        <v>41</v>
      </c>
    </row>
    <row r="77" spans="1:21" ht="20" x14ac:dyDescent="0.35">
      <c r="A77" s="37" t="s">
        <v>62</v>
      </c>
      <c r="B77" s="39" t="s">
        <v>36</v>
      </c>
      <c r="C77" s="21" t="s">
        <v>15</v>
      </c>
      <c r="D77" s="38" t="s">
        <v>5</v>
      </c>
      <c r="E77" s="38" t="s">
        <v>5</v>
      </c>
      <c r="F77" s="38" t="s">
        <v>5</v>
      </c>
      <c r="G77" s="23">
        <f>IFERROR(INDEX('KPI 110 (3)'!E$19:P$19,Actual_month),0)</f>
        <v>31004.835010021769</v>
      </c>
      <c r="H77" s="27">
        <f>IFERROR(INDEX('KPI 110 (3)'!E$20:P$20,Actual_month),0)</f>
        <v>26800</v>
      </c>
      <c r="I77" s="28">
        <f>IFERROR(H77/G77,"")</f>
        <v>0.86438131315123501</v>
      </c>
      <c r="J77" s="38" t="s">
        <v>5</v>
      </c>
      <c r="K77" s="38" t="s">
        <v>5</v>
      </c>
      <c r="L77" s="38" t="s">
        <v>5</v>
      </c>
      <c r="M77" s="23">
        <f>IFERROR(INDEX('KPI 110 (3)'!E$26:P$26,Actual_month),0)</f>
        <v>228405.72897862166</v>
      </c>
      <c r="N77" s="27">
        <f>IFERROR(INDEX('KPI 110 (3)'!E$27:P$27,Actual_month),0)</f>
        <v>200670</v>
      </c>
      <c r="O77" s="28">
        <f>IFERROR(N77/M77,"")</f>
        <v>0.87856815543703959</v>
      </c>
      <c r="P77" s="14" t="s">
        <v>20</v>
      </c>
      <c r="Q77" s="5">
        <f>G77*$R$3</f>
        <v>27904.351509019591</v>
      </c>
      <c r="R77" s="5">
        <f>M77*$R$3</f>
        <v>205565.15608075951</v>
      </c>
      <c r="S77" s="13" t="s">
        <v>23</v>
      </c>
      <c r="U77" s="3" t="s">
        <v>41</v>
      </c>
    </row>
    <row r="78" spans="1:21" ht="20.5" thickBot="1" x14ac:dyDescent="0.4">
      <c r="A78" s="37" t="s">
        <v>150</v>
      </c>
      <c r="B78" s="17" t="s">
        <v>37</v>
      </c>
      <c r="C78" s="22" t="s">
        <v>1</v>
      </c>
      <c r="D78" s="38" t="s">
        <v>5</v>
      </c>
      <c r="E78" s="38" t="s">
        <v>5</v>
      </c>
      <c r="F78" s="38" t="s">
        <v>5</v>
      </c>
      <c r="G78" s="47">
        <f>IFERROR(INDEX('KPI 124 (3)'!E$19:P$19,Actual_month),0)</f>
        <v>0.25595235861490589</v>
      </c>
      <c r="H78" s="49">
        <f>IFERROR(INDEX('KPI 124 (3)'!E$20:P$20,Actual_month),0)</f>
        <v>0.2768678664903807</v>
      </c>
      <c r="I78" s="24">
        <f>IFERROR(G78/H78,"")</f>
        <v>0.92445671597573609</v>
      </c>
      <c r="J78" s="38" t="s">
        <v>5</v>
      </c>
      <c r="K78" s="38" t="s">
        <v>5</v>
      </c>
      <c r="L78" s="38" t="s">
        <v>5</v>
      </c>
      <c r="M78" s="47">
        <f>IFERROR(INDEX('KPI 124 (3)'!E$26:P$26,Actual_month),0)</f>
        <v>0.27045298288416059</v>
      </c>
      <c r="N78" s="49">
        <f>IFERROR(INDEX('KPI 124 (3)'!E$27:P$27,Actual_month),0)</f>
        <v>0.29143700544124967</v>
      </c>
      <c r="O78" s="24">
        <f t="shared" ref="O78" si="59">IFERROR(M78/N78,"")</f>
        <v>0.92799808478227308</v>
      </c>
      <c r="P78" s="25" t="s">
        <v>20</v>
      </c>
      <c r="Q78" s="46">
        <f>G78/$R$3</f>
        <v>0.28439150957211767</v>
      </c>
      <c r="R78" s="46">
        <f>M78/$R$3</f>
        <v>0.30050331431573396</v>
      </c>
      <c r="S78" s="13" t="s">
        <v>24</v>
      </c>
      <c r="U78" s="3" t="s">
        <v>41</v>
      </c>
    </row>
    <row r="79" spans="1:21" ht="20" hidden="1" x14ac:dyDescent="0.35">
      <c r="A79" s="37"/>
      <c r="B79" s="17" t="s">
        <v>90</v>
      </c>
      <c r="C79" s="22" t="s">
        <v>35</v>
      </c>
      <c r="D79" s="38" t="s">
        <v>5</v>
      </c>
      <c r="E79" s="38" t="s">
        <v>5</v>
      </c>
      <c r="F79" s="38" t="s">
        <v>5</v>
      </c>
      <c r="G79" s="16">
        <f>IFERROR(INDEX(#REF!,Actual_month),0)</f>
        <v>0</v>
      </c>
      <c r="H79" s="16">
        <f>IFERROR(INDEX(#REF!,Actual_month),0)</f>
        <v>0</v>
      </c>
      <c r="I79" s="24" t="str">
        <f t="shared" ref="I79:I80" si="60">IFERROR(H79/G79,"")</f>
        <v/>
      </c>
      <c r="J79" s="20" t="s">
        <v>5</v>
      </c>
      <c r="K79" s="20" t="s">
        <v>5</v>
      </c>
      <c r="L79" s="20" t="s">
        <v>5</v>
      </c>
      <c r="M79" s="27">
        <f>IFERROR(INDEX(#REF!,Actual_month),0)</f>
        <v>0</v>
      </c>
      <c r="N79" s="27">
        <f>IFERROR(INDEX(#REF!,Actual_month),0)</f>
        <v>0</v>
      </c>
      <c r="O79" s="24" t="str">
        <f t="shared" ref="O79:O80" si="61">IFERROR(N79/M79,"")</f>
        <v/>
      </c>
      <c r="P79" s="25" t="s">
        <v>20</v>
      </c>
      <c r="Q79" s="5">
        <f t="shared" ref="Q79:Q80" si="62">G79*$R$3</f>
        <v>0</v>
      </c>
      <c r="R79" s="5">
        <f t="shared" ref="R79:R80" si="63">M79*$R$3</f>
        <v>0</v>
      </c>
      <c r="S79" s="13" t="s">
        <v>23</v>
      </c>
      <c r="U79" s="3" t="s">
        <v>41</v>
      </c>
    </row>
    <row r="80" spans="1:21" ht="20.5" hidden="1" thickBot="1" x14ac:dyDescent="0.4">
      <c r="A80" s="37"/>
      <c r="B80" s="17" t="s">
        <v>104</v>
      </c>
      <c r="C80" s="22" t="s">
        <v>35</v>
      </c>
      <c r="D80" s="38" t="s">
        <v>5</v>
      </c>
      <c r="E80" s="38" t="s">
        <v>5</v>
      </c>
      <c r="F80" s="38" t="s">
        <v>5</v>
      </c>
      <c r="G80" s="16">
        <f>IFERROR(INDEX(#REF!,Actual_month),0)</f>
        <v>0</v>
      </c>
      <c r="H80" s="16">
        <f>IFERROR(INDEX(#REF!,Actual_month),0)</f>
        <v>0</v>
      </c>
      <c r="I80" s="24" t="str">
        <f t="shared" si="60"/>
        <v/>
      </c>
      <c r="J80" s="20" t="s">
        <v>5</v>
      </c>
      <c r="K80" s="20" t="s">
        <v>5</v>
      </c>
      <c r="L80" s="20" t="s">
        <v>5</v>
      </c>
      <c r="M80" s="27">
        <f>IFERROR(INDEX(#REF!,Actual_month),0)</f>
        <v>0</v>
      </c>
      <c r="N80" s="27">
        <f>IFERROR(INDEX(#REF!,Actual_month),0)</f>
        <v>0</v>
      </c>
      <c r="O80" s="24" t="str">
        <f t="shared" si="61"/>
        <v/>
      </c>
      <c r="P80" s="25" t="s">
        <v>20</v>
      </c>
      <c r="Q80" s="5">
        <f t="shared" si="62"/>
        <v>0</v>
      </c>
      <c r="R80" s="5">
        <f t="shared" si="63"/>
        <v>0</v>
      </c>
      <c r="S80" s="13" t="s">
        <v>23</v>
      </c>
      <c r="U80" s="3" t="s">
        <v>41</v>
      </c>
    </row>
    <row r="81" spans="1:21" ht="15" thickBot="1" x14ac:dyDescent="0.4">
      <c r="A81" s="45"/>
      <c r="B81" s="44" t="s">
        <v>39</v>
      </c>
      <c r="C81" s="40"/>
      <c r="D81" s="40"/>
      <c r="E81" s="40"/>
      <c r="F81" s="40"/>
      <c r="G81" s="41"/>
      <c r="H81" s="41"/>
      <c r="I81" s="41"/>
      <c r="J81" s="41"/>
      <c r="K81" s="41"/>
      <c r="L81" s="41"/>
      <c r="M81" s="41"/>
      <c r="N81" s="41"/>
      <c r="O81" s="42"/>
      <c r="Q81" s="8" t="s">
        <v>28</v>
      </c>
      <c r="R81" s="8" t="s">
        <v>27</v>
      </c>
    </row>
    <row r="82" spans="1:21" ht="20" x14ac:dyDescent="0.35">
      <c r="A82" s="37" t="s">
        <v>52</v>
      </c>
      <c r="B82" s="39" t="s">
        <v>33</v>
      </c>
      <c r="C82" s="21" t="s">
        <v>15</v>
      </c>
      <c r="D82" s="38" t="s">
        <v>5</v>
      </c>
      <c r="E82" s="38" t="s">
        <v>5</v>
      </c>
      <c r="F82" s="38" t="s">
        <v>5</v>
      </c>
      <c r="G82" s="23">
        <f>IFERROR(INDEX('KPI 103 (2)'!E$19:P$19,Actual_month),0)</f>
        <v>2082.4361850577488</v>
      </c>
      <c r="H82" s="27">
        <f>IFERROR(INDEX('KPI 103 (2)'!E$20:P$20,Actual_month),0)</f>
        <v>1973</v>
      </c>
      <c r="I82" s="28">
        <f>IFERROR(H82/G82,"")</f>
        <v>0.9474480006431919</v>
      </c>
      <c r="J82" s="38" t="s">
        <v>5</v>
      </c>
      <c r="K82" s="38" t="s">
        <v>5</v>
      </c>
      <c r="L82" s="38" t="s">
        <v>5</v>
      </c>
      <c r="M82" s="23">
        <f>IFERROR(INDEX('KPI 103 (2)'!E$26:P$26,Actual_month),0)</f>
        <v>16627.510716998582</v>
      </c>
      <c r="N82" s="27">
        <f>IFERROR(INDEX('KPI 103 (2)'!E$27:P$27,Actual_month),0)</f>
        <v>15740</v>
      </c>
      <c r="O82" s="28">
        <f>IFERROR(N82/M82,"")</f>
        <v>0.94662395760230877</v>
      </c>
      <c r="P82" s="14" t="s">
        <v>20</v>
      </c>
      <c r="Q82" s="5">
        <f>G82*$R$3</f>
        <v>1874.1925665519741</v>
      </c>
      <c r="R82" s="5">
        <f>M82*$R$3</f>
        <v>14964.759645298724</v>
      </c>
      <c r="S82" s="13" t="s">
        <v>23</v>
      </c>
      <c r="U82" s="3" t="s">
        <v>41</v>
      </c>
    </row>
    <row r="83" spans="1:21" ht="20" x14ac:dyDescent="0.35">
      <c r="A83" s="37" t="s">
        <v>60</v>
      </c>
      <c r="B83" s="39" t="s">
        <v>36</v>
      </c>
      <c r="C83" s="21" t="s">
        <v>15</v>
      </c>
      <c r="D83" s="38" t="s">
        <v>5</v>
      </c>
      <c r="E83" s="38" t="s">
        <v>5</v>
      </c>
      <c r="F83" s="38" t="s">
        <v>5</v>
      </c>
      <c r="G83" s="23">
        <f>IFERROR(INDEX('KPI 110 (2)'!E$19:P$19,Actual_month),0)</f>
        <v>1868.1719738030713</v>
      </c>
      <c r="H83" s="27">
        <f>IFERROR(INDEX('KPI 110 (2)'!E$20:P$20,Actual_month),0)</f>
        <v>1575</v>
      </c>
      <c r="I83" s="28">
        <f>IFERROR(H83/G83,"")</f>
        <v>0.84307013598632685</v>
      </c>
      <c r="J83" s="38" t="s">
        <v>5</v>
      </c>
      <c r="K83" s="38" t="s">
        <v>5</v>
      </c>
      <c r="L83" s="38" t="s">
        <v>5</v>
      </c>
      <c r="M83" s="23">
        <f>IFERROR(INDEX('KPI 110 (2)'!E$26:P$26,Actual_month),0)</f>
        <v>14669.460072267388</v>
      </c>
      <c r="N83" s="27">
        <f>IFERROR(INDEX('KPI 110 (2)'!E$27:P$27,Actual_month),0)</f>
        <v>12025</v>
      </c>
      <c r="O83" s="28">
        <f>IFERROR(N83/M83,"")</f>
        <v>0.81973023824736813</v>
      </c>
      <c r="P83" s="14" t="s">
        <v>20</v>
      </c>
      <c r="Q83" s="5">
        <f>G83*$R$3</f>
        <v>1681.3547764227642</v>
      </c>
      <c r="R83" s="5">
        <f>M83*$R$3</f>
        <v>13202.514065040648</v>
      </c>
      <c r="S83" s="13" t="s">
        <v>23</v>
      </c>
      <c r="U83" s="3" t="s">
        <v>41</v>
      </c>
    </row>
    <row r="84" spans="1:21" ht="20.5" thickBot="1" x14ac:dyDescent="0.4">
      <c r="A84" s="37" t="s">
        <v>69</v>
      </c>
      <c r="B84" s="17" t="s">
        <v>37</v>
      </c>
      <c r="C84" s="22" t="s">
        <v>1</v>
      </c>
      <c r="D84" s="38" t="s">
        <v>5</v>
      </c>
      <c r="E84" s="38" t="s">
        <v>5</v>
      </c>
      <c r="F84" s="38" t="s">
        <v>5</v>
      </c>
      <c r="G84" s="47">
        <f>IFERROR(INDEX('KPI 124 (2)'!E$19:P$19,Actual_month),0)</f>
        <v>0.10289112952997198</v>
      </c>
      <c r="H84" s="49">
        <f>IFERROR(INDEX('KPI 124 (2)'!E$20:P$20,Actual_month),0)</f>
        <v>0.20172326406487581</v>
      </c>
      <c r="I84" s="24">
        <f>IFERROR(G84/H84,"")</f>
        <v>0.51006080040863</v>
      </c>
      <c r="J84" s="38" t="s">
        <v>5</v>
      </c>
      <c r="K84" s="38" t="s">
        <v>5</v>
      </c>
      <c r="L84" s="38" t="s">
        <v>5</v>
      </c>
      <c r="M84" s="47">
        <f>IFERROR(INDEX('KPI 124 (2)'!E$26:P$26,Actual_month),0)</f>
        <v>0.11775969825293492</v>
      </c>
      <c r="N84" s="49">
        <f>IFERROR(INDEX('KPI 124 (2)'!E$27:P$27,Actual_month),0)</f>
        <v>0.23602287166454891</v>
      </c>
      <c r="O84" s="24">
        <f t="shared" ref="O84" si="64">IFERROR(M84/N84,"")</f>
        <v>0.49893341870826263</v>
      </c>
      <c r="P84" s="25" t="s">
        <v>20</v>
      </c>
      <c r="Q84" s="46">
        <f>G84/$R$3</f>
        <v>0.11432347725552441</v>
      </c>
      <c r="R84" s="46">
        <f>M84/$R$3</f>
        <v>0.1308441091699277</v>
      </c>
      <c r="S84" s="13" t="s">
        <v>24</v>
      </c>
      <c r="U84" s="3" t="s">
        <v>41</v>
      </c>
    </row>
    <row r="85" spans="1:21" ht="20" hidden="1" x14ac:dyDescent="0.35">
      <c r="A85" s="37"/>
      <c r="B85" s="17" t="s">
        <v>90</v>
      </c>
      <c r="C85" s="22" t="s">
        <v>35</v>
      </c>
      <c r="D85" s="38" t="s">
        <v>5</v>
      </c>
      <c r="E85" s="38" t="s">
        <v>5</v>
      </c>
      <c r="F85" s="38" t="s">
        <v>5</v>
      </c>
      <c r="G85" s="16">
        <f>IFERROR(INDEX(#REF!,Actual_month),0)</f>
        <v>0</v>
      </c>
      <c r="H85" s="16">
        <f>IFERROR(INDEX(#REF!,Actual_month),0)</f>
        <v>0</v>
      </c>
      <c r="I85" s="24" t="str">
        <f t="shared" ref="I85:I86" si="65">IFERROR(H85/G85,"")</f>
        <v/>
      </c>
      <c r="J85" s="20" t="s">
        <v>5</v>
      </c>
      <c r="K85" s="20" t="s">
        <v>5</v>
      </c>
      <c r="L85" s="20" t="s">
        <v>5</v>
      </c>
      <c r="M85" s="27">
        <f>IFERROR(INDEX(#REF!,Actual_month),0)</f>
        <v>0</v>
      </c>
      <c r="N85" s="27">
        <f>IFERROR(INDEX(#REF!,Actual_month),0)</f>
        <v>0</v>
      </c>
      <c r="O85" s="24" t="str">
        <f t="shared" ref="O85:O86" si="66">IFERROR(N85/M85,"")</f>
        <v/>
      </c>
      <c r="P85" s="25" t="s">
        <v>20</v>
      </c>
      <c r="Q85" s="5">
        <f t="shared" ref="Q85:Q86" si="67">G85*$R$3</f>
        <v>0</v>
      </c>
      <c r="R85" s="5">
        <f t="shared" ref="R85:R86" si="68">M85*$R$3</f>
        <v>0</v>
      </c>
      <c r="S85" s="13" t="s">
        <v>23</v>
      </c>
      <c r="U85" s="3" t="s">
        <v>41</v>
      </c>
    </row>
    <row r="86" spans="1:21" ht="20.5" hidden="1" thickBot="1" x14ac:dyDescent="0.4">
      <c r="A86" s="37"/>
      <c r="B86" s="17" t="s">
        <v>104</v>
      </c>
      <c r="C86" s="22" t="s">
        <v>35</v>
      </c>
      <c r="D86" s="38" t="s">
        <v>5</v>
      </c>
      <c r="E86" s="38" t="s">
        <v>5</v>
      </c>
      <c r="F86" s="38" t="s">
        <v>5</v>
      </c>
      <c r="G86" s="16">
        <f>IFERROR(INDEX(#REF!,Actual_month),0)</f>
        <v>0</v>
      </c>
      <c r="H86" s="16">
        <f>IFERROR(INDEX(#REF!,Actual_month),0)</f>
        <v>0</v>
      </c>
      <c r="I86" s="24" t="str">
        <f t="shared" si="65"/>
        <v/>
      </c>
      <c r="J86" s="20" t="s">
        <v>5</v>
      </c>
      <c r="K86" s="20" t="s">
        <v>5</v>
      </c>
      <c r="L86" s="20" t="s">
        <v>5</v>
      </c>
      <c r="M86" s="27">
        <f>IFERROR(INDEX(#REF!,Actual_month),0)</f>
        <v>0</v>
      </c>
      <c r="N86" s="27">
        <f>IFERROR(INDEX(#REF!,Actual_month),0)</f>
        <v>0</v>
      </c>
      <c r="O86" s="24" t="str">
        <f t="shared" si="66"/>
        <v/>
      </c>
      <c r="P86" s="25" t="s">
        <v>20</v>
      </c>
      <c r="Q86" s="5">
        <f t="shared" si="67"/>
        <v>0</v>
      </c>
      <c r="R86" s="5">
        <f t="shared" si="68"/>
        <v>0</v>
      </c>
      <c r="S86" s="13" t="s">
        <v>23</v>
      </c>
      <c r="U86" s="3" t="s">
        <v>41</v>
      </c>
    </row>
    <row r="87" spans="1:21" ht="15" thickBot="1" x14ac:dyDescent="0.4">
      <c r="A87" s="45"/>
      <c r="B87" s="44" t="s">
        <v>40</v>
      </c>
      <c r="C87" s="40"/>
      <c r="D87" s="40"/>
      <c r="E87" s="40"/>
      <c r="F87" s="40"/>
      <c r="G87" s="41"/>
      <c r="H87" s="41"/>
      <c r="I87" s="41"/>
      <c r="J87" s="41"/>
      <c r="K87" s="41"/>
      <c r="L87" s="41"/>
      <c r="M87" s="41"/>
      <c r="N87" s="41"/>
      <c r="O87" s="42"/>
      <c r="Q87" s="8" t="s">
        <v>28</v>
      </c>
      <c r="R87" s="8" t="s">
        <v>27</v>
      </c>
    </row>
    <row r="88" spans="1:21" ht="20" x14ac:dyDescent="0.35">
      <c r="A88" s="37" t="s">
        <v>54</v>
      </c>
      <c r="B88" s="39" t="s">
        <v>33</v>
      </c>
      <c r="C88" s="21" t="s">
        <v>15</v>
      </c>
      <c r="D88" s="38" t="s">
        <v>5</v>
      </c>
      <c r="E88" s="38" t="s">
        <v>5</v>
      </c>
      <c r="F88" s="38" t="s">
        <v>5</v>
      </c>
      <c r="G88" s="23">
        <f>IFERROR(INDEX('KPI 103 (4)'!E$19:P$19,Actual_month),0)</f>
        <v>35485.172162980591</v>
      </c>
      <c r="H88" s="27">
        <f>IFERROR(INDEX('KPI 103 (4)'!E$20:P$20,Actual_month),0)</f>
        <v>42601</v>
      </c>
      <c r="I88" s="28">
        <f>IFERROR(H88/G88,"")</f>
        <v>1.2005296128855449</v>
      </c>
      <c r="J88" s="38" t="s">
        <v>5</v>
      </c>
      <c r="K88" s="38" t="s">
        <v>5</v>
      </c>
      <c r="L88" s="38" t="s">
        <v>5</v>
      </c>
      <c r="M88" s="23">
        <f>IFERROR(INDEX('KPI 103 (4)'!E$26:P$26,Actual_month),0)</f>
        <v>280869.81114699761</v>
      </c>
      <c r="N88" s="27">
        <f>IFERROR(INDEX('KPI 103 (4)'!E$27:P$27,Actual_month),0)</f>
        <v>318051</v>
      </c>
      <c r="O88" s="28">
        <f>IFERROR(N88/M88,"")</f>
        <v>1.1323787298505463</v>
      </c>
      <c r="P88" s="14" t="s">
        <v>20</v>
      </c>
      <c r="Q88" s="5">
        <f>G88*$R$3</f>
        <v>31936.654946682531</v>
      </c>
      <c r="R88" s="5">
        <f>M88*$R$3</f>
        <v>252782.83003229785</v>
      </c>
      <c r="S88" s="13" t="s">
        <v>23</v>
      </c>
      <c r="U88" s="3" t="s">
        <v>41</v>
      </c>
    </row>
    <row r="89" spans="1:21" ht="20" x14ac:dyDescent="0.35">
      <c r="A89" s="37" t="s">
        <v>63</v>
      </c>
      <c r="B89" s="39" t="s">
        <v>36</v>
      </c>
      <c r="C89" s="21" t="s">
        <v>15</v>
      </c>
      <c r="D89" s="38" t="s">
        <v>5</v>
      </c>
      <c r="E89" s="38" t="s">
        <v>5</v>
      </c>
      <c r="F89" s="38" t="s">
        <v>5</v>
      </c>
      <c r="G89" s="23">
        <f>IFERROR(INDEX('KPI 110 (4)'!E$19:P$19,Actual_month),0)</f>
        <v>30023.594695713906</v>
      </c>
      <c r="H89" s="27">
        <f>IFERROR(INDEX('KPI 110 (4)'!E$20:P$20,Actual_month),0)</f>
        <v>33446</v>
      </c>
      <c r="I89" s="28">
        <f>IFERROR(H89/G89,"")</f>
        <v>1.1139905244182726</v>
      </c>
      <c r="J89" s="38" t="s">
        <v>5</v>
      </c>
      <c r="K89" s="38" t="s">
        <v>5</v>
      </c>
      <c r="L89" s="38" t="s">
        <v>5</v>
      </c>
      <c r="M89" s="23">
        <f>IFERROR(INDEX('KPI 110 (4)'!E$26:P$26,Actual_month),0)</f>
        <v>233476.18716720684</v>
      </c>
      <c r="N89" s="27">
        <f>IFERROR(INDEX('KPI 110 (4)'!E$27:P$27,Actual_month),0)</f>
        <v>232119</v>
      </c>
      <c r="O89" s="28">
        <f>IFERROR(N89/M89,"")</f>
        <v>0.99418704244028588</v>
      </c>
      <c r="P89" s="14" t="s">
        <v>20</v>
      </c>
      <c r="Q89" s="5">
        <f>G89*$R$3</f>
        <v>27021.235226142515</v>
      </c>
      <c r="R89" s="5">
        <f>M89*$R$3</f>
        <v>210128.56845048617</v>
      </c>
      <c r="S89" s="13" t="s">
        <v>23</v>
      </c>
      <c r="U89" s="3" t="s">
        <v>41</v>
      </c>
    </row>
    <row r="90" spans="1:21" ht="20.5" thickBot="1" x14ac:dyDescent="0.4">
      <c r="A90" s="37" t="s">
        <v>151</v>
      </c>
      <c r="B90" s="17" t="s">
        <v>37</v>
      </c>
      <c r="C90" s="22" t="s">
        <v>1</v>
      </c>
      <c r="D90" s="38" t="s">
        <v>5</v>
      </c>
      <c r="E90" s="38" t="s">
        <v>5</v>
      </c>
      <c r="F90" s="38" t="s">
        <v>5</v>
      </c>
      <c r="G90" s="47">
        <f>IFERROR(INDEX('KPI 124 (4)'!E$19:P$19,Actual_month),0)</f>
        <v>0.15391153922494982</v>
      </c>
      <c r="H90" s="49">
        <f>IFERROR(INDEX('KPI 124 (4)'!E$20:P$20,Actual_month),0)</f>
        <v>0.21490105866059483</v>
      </c>
      <c r="I90" s="24">
        <f>IFERROR(G90/H90,"")</f>
        <v>0.71619721272769932</v>
      </c>
      <c r="J90" s="38" t="s">
        <v>5</v>
      </c>
      <c r="K90" s="38" t="s">
        <v>5</v>
      </c>
      <c r="L90" s="38" t="s">
        <v>5</v>
      </c>
      <c r="M90" s="47">
        <f>IFERROR(INDEX('KPI 124 (4)'!E$26:P$26,Actual_month),0)</f>
        <v>0.16873876115858738</v>
      </c>
      <c r="N90" s="49">
        <f>IFERROR(INDEX('KPI 124 (4)'!E$27:P$27,Actual_month),0)</f>
        <v>0.27018308384504369</v>
      </c>
      <c r="O90" s="24">
        <f t="shared" ref="O90" si="69">IFERROR(M90/N90,"")</f>
        <v>0.62453488485372011</v>
      </c>
      <c r="P90" s="25" t="s">
        <v>20</v>
      </c>
      <c r="Q90" s="46">
        <f>G90/$R$3</f>
        <v>0.17101282136105536</v>
      </c>
      <c r="R90" s="46">
        <f>M90/$R$3</f>
        <v>0.18748751239843042</v>
      </c>
      <c r="S90" s="13" t="s">
        <v>24</v>
      </c>
      <c r="U90" s="3" t="s">
        <v>41</v>
      </c>
    </row>
    <row r="91" spans="1:21" ht="20" hidden="1" x14ac:dyDescent="0.35">
      <c r="A91" s="37"/>
      <c r="B91" s="17" t="s">
        <v>90</v>
      </c>
      <c r="C91" s="22" t="s">
        <v>35</v>
      </c>
      <c r="D91" s="38" t="s">
        <v>5</v>
      </c>
      <c r="E91" s="38" t="s">
        <v>5</v>
      </c>
      <c r="F91" s="38" t="s">
        <v>5</v>
      </c>
      <c r="G91" s="16">
        <f>IFERROR(INDEX(#REF!,Actual_month),0)</f>
        <v>0</v>
      </c>
      <c r="H91" s="16">
        <f>IFERROR(INDEX(#REF!,Actual_month),0)</f>
        <v>0</v>
      </c>
      <c r="I91" s="24" t="str">
        <f t="shared" ref="I91:I92" si="70">IFERROR(H91/G91,"")</f>
        <v/>
      </c>
      <c r="J91" s="20" t="s">
        <v>5</v>
      </c>
      <c r="K91" s="20" t="s">
        <v>5</v>
      </c>
      <c r="L91" s="20" t="s">
        <v>5</v>
      </c>
      <c r="M91" s="27">
        <f>IFERROR(INDEX(#REF!,Actual_month),0)</f>
        <v>0</v>
      </c>
      <c r="N91" s="27">
        <f>IFERROR(INDEX(#REF!,Actual_month),0)</f>
        <v>0</v>
      </c>
      <c r="O91" s="24" t="str">
        <f t="shared" ref="O91:O92" si="71">IFERROR(N91/M91,"")</f>
        <v/>
      </c>
      <c r="P91" s="25" t="s">
        <v>20</v>
      </c>
      <c r="Q91" s="5">
        <f t="shared" ref="Q91:Q92" si="72">G91*$R$3</f>
        <v>0</v>
      </c>
      <c r="R91" s="5">
        <f t="shared" ref="R91:R92" si="73">M91*$R$3</f>
        <v>0</v>
      </c>
      <c r="S91" s="13" t="s">
        <v>23</v>
      </c>
      <c r="U91" s="3" t="s">
        <v>41</v>
      </c>
    </row>
    <row r="92" spans="1:21" ht="20.5" hidden="1" thickBot="1" x14ac:dyDescent="0.4">
      <c r="A92" s="37"/>
      <c r="B92" s="17" t="s">
        <v>104</v>
      </c>
      <c r="C92" s="22" t="s">
        <v>35</v>
      </c>
      <c r="D92" s="38" t="s">
        <v>5</v>
      </c>
      <c r="E92" s="38" t="s">
        <v>5</v>
      </c>
      <c r="F92" s="38" t="s">
        <v>5</v>
      </c>
      <c r="G92" s="16">
        <f>IFERROR(INDEX(#REF!,Actual_month),0)</f>
        <v>0</v>
      </c>
      <c r="H92" s="16">
        <f>IFERROR(INDEX(#REF!,Actual_month),0)</f>
        <v>0</v>
      </c>
      <c r="I92" s="24" t="str">
        <f t="shared" si="70"/>
        <v/>
      </c>
      <c r="J92" s="20" t="s">
        <v>5</v>
      </c>
      <c r="K92" s="20" t="s">
        <v>5</v>
      </c>
      <c r="L92" s="20" t="s">
        <v>5</v>
      </c>
      <c r="M92" s="27">
        <f>IFERROR(INDEX(#REF!,Actual_month),0)</f>
        <v>0</v>
      </c>
      <c r="N92" s="27">
        <f>IFERROR(INDEX(#REF!,Actual_month),0)</f>
        <v>0</v>
      </c>
      <c r="O92" s="24" t="str">
        <f t="shared" si="71"/>
        <v/>
      </c>
      <c r="P92" s="25" t="s">
        <v>20</v>
      </c>
      <c r="Q92" s="5">
        <f t="shared" si="72"/>
        <v>0</v>
      </c>
      <c r="R92" s="5">
        <f t="shared" si="73"/>
        <v>0</v>
      </c>
      <c r="S92" s="13" t="s">
        <v>23</v>
      </c>
      <c r="U92" s="3" t="s">
        <v>41</v>
      </c>
    </row>
    <row r="93" spans="1:21" ht="15" thickBot="1" x14ac:dyDescent="0.4">
      <c r="A93" s="45"/>
      <c r="B93" s="44" t="s">
        <v>91</v>
      </c>
      <c r="C93" s="40"/>
      <c r="D93" s="40"/>
      <c r="E93" s="40"/>
      <c r="F93" s="40"/>
      <c r="G93" s="41"/>
      <c r="H93" s="41"/>
      <c r="I93" s="41"/>
      <c r="J93" s="41"/>
      <c r="K93" s="41"/>
      <c r="L93" s="41"/>
      <c r="M93" s="41"/>
      <c r="N93" s="41"/>
      <c r="O93" s="42"/>
      <c r="Q93" s="8" t="s">
        <v>28</v>
      </c>
      <c r="R93" s="8" t="s">
        <v>27</v>
      </c>
    </row>
    <row r="94" spans="1:21" ht="20" x14ac:dyDescent="0.35">
      <c r="A94" s="37" t="s">
        <v>92</v>
      </c>
      <c r="B94" s="39" t="s">
        <v>33</v>
      </c>
      <c r="C94" s="21" t="s">
        <v>15</v>
      </c>
      <c r="D94" s="38" t="s">
        <v>5</v>
      </c>
      <c r="E94" s="38" t="s">
        <v>5</v>
      </c>
      <c r="F94" s="38" t="s">
        <v>5</v>
      </c>
      <c r="G94" s="23">
        <f>IFERROR(INDEX('KPI 103 (5)'!E$19:P$19,Actual_month),0)</f>
        <v>31130.555206562884</v>
      </c>
      <c r="H94" s="27">
        <f>IFERROR(INDEX('KPI 103 (5)'!E$20:P$20,Actual_month),0)</f>
        <v>24972</v>
      </c>
      <c r="I94" s="28">
        <f>IFERROR(H94/G94,"")</f>
        <v>0.80217008126907585</v>
      </c>
      <c r="J94" s="38" t="s">
        <v>5</v>
      </c>
      <c r="K94" s="38" t="s">
        <v>5</v>
      </c>
      <c r="L94" s="38" t="s">
        <v>5</v>
      </c>
      <c r="M94" s="23">
        <f>IFERROR(INDEX('KPI 103 (5)'!E$26:P$26,Actual_month),0)</f>
        <v>206383.00994412048</v>
      </c>
      <c r="N94" s="27">
        <f>IFERROR(INDEX('KPI 103 (5)'!E$27:P$27,Actual_month),0)</f>
        <v>175192</v>
      </c>
      <c r="O94" s="28">
        <f>IFERROR(N94/M94,"")</f>
        <v>0.84886832519515221</v>
      </c>
      <c r="P94" s="14" t="s">
        <v>20</v>
      </c>
      <c r="Q94" s="5">
        <f>G94*$R$3</f>
        <v>28017.499685906594</v>
      </c>
      <c r="R94" s="5">
        <f>M94*$R$3</f>
        <v>185744.70894970844</v>
      </c>
      <c r="S94" s="13" t="s">
        <v>23</v>
      </c>
      <c r="U94" s="3" t="s">
        <v>41</v>
      </c>
    </row>
    <row r="95" spans="1:21" ht="20" x14ac:dyDescent="0.35">
      <c r="A95" s="37" t="s">
        <v>94</v>
      </c>
      <c r="B95" s="39" t="s">
        <v>36</v>
      </c>
      <c r="C95" s="21" t="s">
        <v>15</v>
      </c>
      <c r="D95" s="38" t="s">
        <v>5</v>
      </c>
      <c r="E95" s="38" t="s">
        <v>5</v>
      </c>
      <c r="F95" s="38" t="s">
        <v>5</v>
      </c>
      <c r="G95" s="23">
        <f>IFERROR(INDEX('KPI 110 (5)'!E$19:P$19,Actual_month),0)</f>
        <v>19986.028815109647</v>
      </c>
      <c r="H95" s="27">
        <f>IFERROR(INDEX('KPI 110 (5)'!E$20:P$20,Actual_month),0)</f>
        <v>15292</v>
      </c>
      <c r="I95" s="28">
        <f>IFERROR(H95/G95,"")</f>
        <v>0.76513449177252701</v>
      </c>
      <c r="J95" s="38" t="s">
        <v>5</v>
      </c>
      <c r="K95" s="38" t="s">
        <v>5</v>
      </c>
      <c r="L95" s="38" t="s">
        <v>5</v>
      </c>
      <c r="M95" s="23">
        <f>IFERROR(INDEX('KPI 110 (5)'!E$26:P$26,Actual_month),0)</f>
        <v>123022.44901961212</v>
      </c>
      <c r="N95" s="27">
        <f>IFERROR(INDEX('KPI 110 (5)'!E$27:P$27,Actual_month),0)</f>
        <v>106366</v>
      </c>
      <c r="O95" s="28">
        <f>IFERROR(N95/M95,"")</f>
        <v>0.86460642628763829</v>
      </c>
      <c r="P95" s="14" t="s">
        <v>20</v>
      </c>
      <c r="Q95" s="5">
        <f>G95*$R$3</f>
        <v>17987.425933598683</v>
      </c>
      <c r="R95" s="5">
        <f>M95*$R$3</f>
        <v>110720.20411765091</v>
      </c>
      <c r="S95" s="13" t="s">
        <v>23</v>
      </c>
      <c r="U95" s="3" t="s">
        <v>41</v>
      </c>
    </row>
    <row r="96" spans="1:21" ht="20.5" thickBot="1" x14ac:dyDescent="0.4">
      <c r="A96" s="37" t="s">
        <v>152</v>
      </c>
      <c r="B96" s="17" t="s">
        <v>37</v>
      </c>
      <c r="C96" s="22" t="s">
        <v>1</v>
      </c>
      <c r="D96" s="38" t="s">
        <v>5</v>
      </c>
      <c r="E96" s="38" t="s">
        <v>5</v>
      </c>
      <c r="F96" s="38" t="s">
        <v>5</v>
      </c>
      <c r="G96" s="47">
        <f>IFERROR(INDEX('KPI 124 (5)'!E$19:P$19,Actual_month),0)</f>
        <v>0.35799317800486158</v>
      </c>
      <c r="H96" s="49">
        <f>IFERROR(INDEX('KPI 124 (5)'!E$20:P$20,Actual_month),0)</f>
        <v>0.38763415024827808</v>
      </c>
      <c r="I96" s="24">
        <f>IFERROR(G96/H96,"")</f>
        <v>0.92353364061336807</v>
      </c>
      <c r="J96" s="38" t="s">
        <v>5</v>
      </c>
      <c r="K96" s="38" t="s">
        <v>5</v>
      </c>
      <c r="L96" s="38" t="s">
        <v>5</v>
      </c>
      <c r="M96" s="47">
        <f>IFERROR(INDEX('KPI 124 (5)'!E$26:P$26,Actual_month),0)</f>
        <v>0.4039119351301193</v>
      </c>
      <c r="N96" s="49">
        <f>IFERROR(INDEX('KPI 124 (5)'!E$27:P$27,Actual_month),0)</f>
        <v>0.39286040458468424</v>
      </c>
      <c r="O96" s="24">
        <f t="shared" ref="O96" si="74">IFERROR(M96/N96,"")</f>
        <v>1.0281309351017909</v>
      </c>
      <c r="P96" s="25" t="s">
        <v>20</v>
      </c>
      <c r="Q96" s="46">
        <f>G96/$R$3</f>
        <v>0.39777019778317951</v>
      </c>
      <c r="R96" s="46">
        <f>M96/$R$3</f>
        <v>0.4487910390334659</v>
      </c>
      <c r="S96" s="13" t="s">
        <v>24</v>
      </c>
      <c r="U96" s="3" t="s">
        <v>41</v>
      </c>
    </row>
    <row r="97" spans="1:21" ht="20" hidden="1" x14ac:dyDescent="0.35">
      <c r="A97" s="37"/>
      <c r="B97" s="17" t="s">
        <v>90</v>
      </c>
      <c r="C97" s="22" t="s">
        <v>35</v>
      </c>
      <c r="D97" s="38" t="s">
        <v>5</v>
      </c>
      <c r="E97" s="38" t="s">
        <v>5</v>
      </c>
      <c r="F97" s="38" t="s">
        <v>5</v>
      </c>
      <c r="G97" s="16">
        <f>IFERROR(INDEX(#REF!,Actual_month),0)</f>
        <v>0</v>
      </c>
      <c r="H97" s="16">
        <f>IFERROR(INDEX(#REF!,Actual_month),0)</f>
        <v>0</v>
      </c>
      <c r="I97" s="24" t="str">
        <f t="shared" ref="I97:I98" si="75">IFERROR(H97/G97,"")</f>
        <v/>
      </c>
      <c r="J97" s="20" t="s">
        <v>5</v>
      </c>
      <c r="K97" s="20" t="s">
        <v>5</v>
      </c>
      <c r="L97" s="20" t="s">
        <v>5</v>
      </c>
      <c r="M97" s="27">
        <f>IFERROR(INDEX(#REF!,Actual_month),0)</f>
        <v>0</v>
      </c>
      <c r="N97" s="27">
        <f>IFERROR(INDEX(#REF!,Actual_month),0)</f>
        <v>0</v>
      </c>
      <c r="O97" s="24" t="str">
        <f t="shared" ref="O97:O98" si="76">IFERROR(N97/M97,"")</f>
        <v/>
      </c>
      <c r="P97" s="25" t="s">
        <v>20</v>
      </c>
      <c r="Q97" s="5">
        <f t="shared" ref="Q97:Q98" si="77">G97*$R$3</f>
        <v>0</v>
      </c>
      <c r="R97" s="5">
        <f t="shared" ref="R97:R98" si="78">M97*$R$3</f>
        <v>0</v>
      </c>
      <c r="S97" s="13" t="s">
        <v>23</v>
      </c>
      <c r="U97" s="3" t="s">
        <v>41</v>
      </c>
    </row>
    <row r="98" spans="1:21" ht="20.5" hidden="1" thickBot="1" x14ac:dyDescent="0.4">
      <c r="A98" s="68"/>
      <c r="B98" s="17" t="s">
        <v>104</v>
      </c>
      <c r="C98" s="22" t="s">
        <v>35</v>
      </c>
      <c r="D98" s="38" t="s">
        <v>5</v>
      </c>
      <c r="E98" s="38" t="s">
        <v>5</v>
      </c>
      <c r="F98" s="38" t="s">
        <v>5</v>
      </c>
      <c r="G98" s="16">
        <f>IFERROR(INDEX(#REF!,Actual_month),0)</f>
        <v>0</v>
      </c>
      <c r="H98" s="16">
        <f>IFERROR(INDEX(#REF!,Actual_month),0)</f>
        <v>0</v>
      </c>
      <c r="I98" s="24" t="str">
        <f t="shared" si="75"/>
        <v/>
      </c>
      <c r="J98" s="20" t="s">
        <v>5</v>
      </c>
      <c r="K98" s="20" t="s">
        <v>5</v>
      </c>
      <c r="L98" s="20" t="s">
        <v>5</v>
      </c>
      <c r="M98" s="27">
        <f>IFERROR(INDEX(#REF!,Actual_month),0)</f>
        <v>0</v>
      </c>
      <c r="N98" s="27">
        <f>IFERROR(INDEX(#REF!,Actual_month),0)</f>
        <v>0</v>
      </c>
      <c r="O98" s="24" t="str">
        <f t="shared" si="76"/>
        <v/>
      </c>
      <c r="P98" s="25" t="s">
        <v>20</v>
      </c>
      <c r="Q98" s="5">
        <f t="shared" si="77"/>
        <v>0</v>
      </c>
      <c r="R98" s="5">
        <f t="shared" si="78"/>
        <v>0</v>
      </c>
      <c r="S98" s="13" t="s">
        <v>23</v>
      </c>
      <c r="U98" s="3" t="s">
        <v>41</v>
      </c>
    </row>
    <row r="99" spans="1:21" ht="15" hidden="1" thickBot="1" x14ac:dyDescent="0.4">
      <c r="A99" s="69"/>
      <c r="B99" s="44" t="s">
        <v>132</v>
      </c>
      <c r="C99" s="40"/>
      <c r="D99" s="40"/>
      <c r="E99" s="40"/>
      <c r="F99" s="40"/>
      <c r="G99" s="41"/>
      <c r="H99" s="41"/>
      <c r="I99" s="41"/>
      <c r="J99" s="41"/>
      <c r="K99" s="41"/>
      <c r="L99" s="41"/>
      <c r="M99" s="41"/>
      <c r="N99" s="41"/>
      <c r="O99" s="42"/>
      <c r="P99" s="25"/>
      <c r="Q99" s="5"/>
      <c r="R99" s="5"/>
    </row>
    <row r="100" spans="1:21" ht="20" hidden="1" x14ac:dyDescent="0.35">
      <c r="A100" s="37" t="s">
        <v>153</v>
      </c>
      <c r="B100" s="39" t="s">
        <v>134</v>
      </c>
      <c r="C100" s="21" t="s">
        <v>15</v>
      </c>
      <c r="D100" s="38" t="s">
        <v>5</v>
      </c>
      <c r="E100" s="38" t="s">
        <v>5</v>
      </c>
      <c r="F100" s="38" t="s">
        <v>5</v>
      </c>
      <c r="G100" s="23">
        <f>IFERROR(INDEX('KPI Y'!E$19:P$19,Actual_month),0)</f>
        <v>0</v>
      </c>
      <c r="H100" s="27">
        <f>IFERROR(INDEX('KPI Y'!E$20:P$20,Actual_month),0)</f>
        <v>235</v>
      </c>
      <c r="I100" s="28" t="str">
        <f>IFERROR(H100/G100,"")</f>
        <v/>
      </c>
      <c r="J100" s="38" t="s">
        <v>5</v>
      </c>
      <c r="K100" s="38" t="s">
        <v>5</v>
      </c>
      <c r="L100" s="38" t="s">
        <v>5</v>
      </c>
      <c r="M100" s="23">
        <f>IFERROR(INDEX('KPI Y'!E$26:P$26,Actual_month),0)</f>
        <v>0</v>
      </c>
      <c r="N100" s="27">
        <f>IFERROR(INDEX('KPI Y'!E$27:P$27,Actual_month),0)</f>
        <v>1261</v>
      </c>
      <c r="O100" s="28" t="str">
        <f>IFERROR(N100/M100,"")</f>
        <v/>
      </c>
      <c r="P100" s="14" t="s">
        <v>20</v>
      </c>
      <c r="Q100" s="5">
        <f>G100*$R$3</f>
        <v>0</v>
      </c>
      <c r="R100" s="5">
        <f>M100*$R$3</f>
        <v>0</v>
      </c>
      <c r="S100" s="13" t="s">
        <v>23</v>
      </c>
      <c r="U100" s="3" t="s">
        <v>41</v>
      </c>
    </row>
    <row r="101" spans="1:21" ht="20" hidden="1" x14ac:dyDescent="0.35">
      <c r="A101" s="37" t="s">
        <v>154</v>
      </c>
      <c r="B101" s="39" t="s">
        <v>135</v>
      </c>
      <c r="C101" s="21" t="s">
        <v>15</v>
      </c>
      <c r="D101" s="38" t="s">
        <v>5</v>
      </c>
      <c r="E101" s="38" t="s">
        <v>5</v>
      </c>
      <c r="F101" s="38" t="s">
        <v>5</v>
      </c>
      <c r="G101" s="23">
        <f>IFERROR(INDEX('KPI z'!E$19:P$19,Actual_month),0)</f>
        <v>0</v>
      </c>
      <c r="H101" s="27">
        <f>IFERROR(INDEX('KPI z'!E$20:P$20,Actual_month),0)</f>
        <v>0</v>
      </c>
      <c r="I101" s="28" t="str">
        <f>IFERROR(H101/G101,"")</f>
        <v/>
      </c>
      <c r="J101" s="38" t="s">
        <v>5</v>
      </c>
      <c r="K101" s="38" t="s">
        <v>5</v>
      </c>
      <c r="L101" s="38" t="s">
        <v>5</v>
      </c>
      <c r="M101" s="23">
        <f>IFERROR(INDEX('KPI z'!E$26:P$26,Actual_month),0)</f>
        <v>0</v>
      </c>
      <c r="N101" s="27">
        <f>IFERROR(INDEX('KPI z'!E$27:P$27,Actual_month),0)</f>
        <v>821</v>
      </c>
      <c r="O101" s="28" t="str">
        <f>IFERROR(N101/M101,"")</f>
        <v/>
      </c>
      <c r="P101" s="14" t="s">
        <v>20</v>
      </c>
      <c r="Q101" s="5">
        <f>G101*$R$3</f>
        <v>0</v>
      </c>
      <c r="R101" s="5">
        <f>M101*$R$3</f>
        <v>0</v>
      </c>
      <c r="S101" s="13" t="s">
        <v>23</v>
      </c>
      <c r="U101" s="3" t="s">
        <v>41</v>
      </c>
    </row>
    <row r="102" spans="1:21" ht="20.5" hidden="1" thickBot="1" x14ac:dyDescent="0.4">
      <c r="A102" s="37" t="s">
        <v>155</v>
      </c>
      <c r="B102" s="17" t="s">
        <v>37</v>
      </c>
      <c r="C102" s="22" t="s">
        <v>1</v>
      </c>
      <c r="D102" s="38" t="s">
        <v>5</v>
      </c>
      <c r="E102" s="38" t="s">
        <v>5</v>
      </c>
      <c r="F102" s="38" t="s">
        <v>5</v>
      </c>
      <c r="G102" s="47">
        <f>IFERROR(INDEX('KPI k'!E$19:P$19,Actual_month),0)</f>
        <v>0</v>
      </c>
      <c r="H102" s="49">
        <f>IFERROR(INDEX('KPI k'!E$20:P$20,Actual_month),0)</f>
        <v>1</v>
      </c>
      <c r="I102" s="24">
        <f>IFERROR(G102/H102,"")</f>
        <v>0</v>
      </c>
      <c r="J102" s="38" t="s">
        <v>5</v>
      </c>
      <c r="K102" s="38" t="s">
        <v>5</v>
      </c>
      <c r="L102" s="38" t="s">
        <v>5</v>
      </c>
      <c r="M102" s="47">
        <f>IFERROR(INDEX('KPI k'!E$26:P$26,Actual_month),0)</f>
        <v>0</v>
      </c>
      <c r="N102" s="49">
        <f>IFERROR(INDEX('KPI k'!E$27:P$27,Actual_month),0)</f>
        <v>0</v>
      </c>
      <c r="O102" s="24" t="str">
        <f t="shared" ref="O102" si="79">IFERROR(M102/N102,"")</f>
        <v/>
      </c>
      <c r="P102" s="25" t="s">
        <v>20</v>
      </c>
      <c r="Q102" s="46">
        <f>G102/$R$3</f>
        <v>0</v>
      </c>
      <c r="R102" s="46">
        <f>M102/$R$3</f>
        <v>0</v>
      </c>
      <c r="S102" s="13" t="s">
        <v>24</v>
      </c>
      <c r="U102" s="3" t="s">
        <v>41</v>
      </c>
    </row>
    <row r="103" spans="1:21" ht="15" hidden="1" thickBot="1" x14ac:dyDescent="0.4">
      <c r="A103" s="69"/>
      <c r="B103" s="44" t="s">
        <v>133</v>
      </c>
      <c r="C103" s="40"/>
      <c r="D103" s="40"/>
      <c r="E103" s="40"/>
      <c r="F103" s="40"/>
      <c r="G103" s="41"/>
      <c r="H103" s="41"/>
      <c r="I103" s="41"/>
      <c r="J103" s="41"/>
      <c r="K103" s="41"/>
      <c r="L103" s="41"/>
      <c r="M103" s="41"/>
      <c r="N103" s="41"/>
      <c r="O103" s="42"/>
      <c r="P103" s="25"/>
      <c r="Q103" s="5"/>
      <c r="R103" s="5"/>
    </row>
    <row r="104" spans="1:21" ht="20" hidden="1" x14ac:dyDescent="0.35">
      <c r="A104" s="37" t="s">
        <v>156</v>
      </c>
      <c r="B104" s="39" t="s">
        <v>136</v>
      </c>
      <c r="C104" s="21" t="s">
        <v>15</v>
      </c>
      <c r="D104" s="38" t="s">
        <v>5</v>
      </c>
      <c r="E104" s="38" t="s">
        <v>5</v>
      </c>
      <c r="F104" s="38" t="s">
        <v>5</v>
      </c>
      <c r="G104" s="23">
        <f>IFERROR(INDEX('KPI Y (2)'!E$19:P$19,Actual_month),0)</f>
        <v>0</v>
      </c>
      <c r="H104" s="27">
        <f>IFERROR(INDEX('KPI Y (2)'!E$20:P$20,Actual_month),0)</f>
        <v>0</v>
      </c>
      <c r="I104" s="28" t="str">
        <f>IFERROR(H104/G104,"")</f>
        <v/>
      </c>
      <c r="J104" s="38" t="s">
        <v>5</v>
      </c>
      <c r="K104" s="38" t="s">
        <v>5</v>
      </c>
      <c r="L104" s="38" t="s">
        <v>5</v>
      </c>
      <c r="M104" s="23">
        <f>IFERROR(INDEX('KPI Y (2)'!E$26:P$26,Actual_month),0)</f>
        <v>0</v>
      </c>
      <c r="N104" s="27">
        <f>IFERROR(INDEX('KPI Y (2)'!E$27:P$27,Actual_month),0)</f>
        <v>872</v>
      </c>
      <c r="O104" s="28" t="str">
        <f>IFERROR(N104/M104,"")</f>
        <v/>
      </c>
      <c r="P104" s="14" t="s">
        <v>20</v>
      </c>
      <c r="Q104" s="5">
        <f>G104*$R$3</f>
        <v>0</v>
      </c>
      <c r="R104" s="5">
        <f>M104*$R$3</f>
        <v>0</v>
      </c>
      <c r="S104" s="13" t="s">
        <v>23</v>
      </c>
      <c r="U104" s="3" t="s">
        <v>41</v>
      </c>
    </row>
    <row r="105" spans="1:21" ht="20" hidden="1" x14ac:dyDescent="0.35">
      <c r="A105" s="37" t="s">
        <v>157</v>
      </c>
      <c r="B105" s="39" t="s">
        <v>137</v>
      </c>
      <c r="C105" s="21" t="s">
        <v>15</v>
      </c>
      <c r="D105" s="38" t="s">
        <v>5</v>
      </c>
      <c r="E105" s="38" t="s">
        <v>5</v>
      </c>
      <c r="F105" s="38" t="s">
        <v>5</v>
      </c>
      <c r="G105" s="23">
        <f>IFERROR(INDEX('KPI z (2)'!E$19:P$19,Actual_month),0)</f>
        <v>0</v>
      </c>
      <c r="H105" s="27">
        <f>IFERROR(INDEX('KPI z (2)'!E$20:P$20,Actual_month),0)</f>
        <v>0</v>
      </c>
      <c r="I105" s="28" t="str">
        <f>IFERROR(H105/G105,"")</f>
        <v/>
      </c>
      <c r="J105" s="38" t="s">
        <v>5</v>
      </c>
      <c r="K105" s="38" t="s">
        <v>5</v>
      </c>
      <c r="L105" s="38" t="s">
        <v>5</v>
      </c>
      <c r="M105" s="23">
        <f>IFERROR(INDEX('KPI z (2)'!E$26:P$26,Actual_month),0)</f>
        <v>0</v>
      </c>
      <c r="N105" s="27">
        <f>IFERROR(INDEX('KPI z (2)'!E$27:P$27,Actual_month),0)</f>
        <v>1140</v>
      </c>
      <c r="O105" s="28" t="str">
        <f>IFERROR(N105/M105,"")</f>
        <v/>
      </c>
      <c r="P105" s="14" t="s">
        <v>20</v>
      </c>
      <c r="Q105" s="5">
        <f>G105*$R$3</f>
        <v>0</v>
      </c>
      <c r="R105" s="5">
        <f>M105*$R$3</f>
        <v>0</v>
      </c>
      <c r="S105" s="13" t="s">
        <v>23</v>
      </c>
      <c r="U105" s="3" t="s">
        <v>41</v>
      </c>
    </row>
    <row r="106" spans="1:21" ht="20.5" hidden="1" thickBot="1" x14ac:dyDescent="0.4">
      <c r="A106" s="37" t="s">
        <v>158</v>
      </c>
      <c r="B106" s="17" t="s">
        <v>37</v>
      </c>
      <c r="C106" s="22" t="s">
        <v>1</v>
      </c>
      <c r="D106" s="38" t="s">
        <v>5</v>
      </c>
      <c r="E106" s="38" t="s">
        <v>5</v>
      </c>
      <c r="F106" s="38" t="s">
        <v>5</v>
      </c>
      <c r="G106" s="47">
        <f>IFERROR(INDEX('KPI k (2)'!E$19:P$19,Actual_month),0)</f>
        <v>0</v>
      </c>
      <c r="H106" s="49">
        <f>IFERROR(INDEX('KPI k (2)'!E$20:P$20,Actual_month),0)</f>
        <v>0</v>
      </c>
      <c r="I106" s="24" t="str">
        <f>IFERROR(G106/H106,"")</f>
        <v/>
      </c>
      <c r="J106" s="38" t="s">
        <v>5</v>
      </c>
      <c r="K106" s="38" t="s">
        <v>5</v>
      </c>
      <c r="L106" s="38" t="s">
        <v>5</v>
      </c>
      <c r="M106" s="47">
        <f>IFERROR(INDEX('KPI k (2)'!E$26:P$26,Actual_month),0)</f>
        <v>0</v>
      </c>
      <c r="N106" s="49">
        <f>IFERROR(INDEX('KPI k (2)'!E$27:P$27,Actual_month),0)</f>
        <v>0.39286040458468424</v>
      </c>
      <c r="O106" s="24">
        <f t="shared" ref="O106" si="80">IFERROR(M106/N106,"")</f>
        <v>0</v>
      </c>
      <c r="P106" s="25" t="s">
        <v>20</v>
      </c>
      <c r="Q106" s="46">
        <f>G106/$R$3</f>
        <v>0</v>
      </c>
      <c r="R106" s="46">
        <f>M106/$R$3</f>
        <v>0</v>
      </c>
      <c r="S106" s="13" t="s">
        <v>24</v>
      </c>
      <c r="U106" s="3" t="s">
        <v>41</v>
      </c>
    </row>
    <row r="107" spans="1:21" ht="15" hidden="1" thickBot="1" x14ac:dyDescent="0.4">
      <c r="A107" s="69"/>
      <c r="B107" s="44" t="s">
        <v>138</v>
      </c>
      <c r="C107" s="40"/>
      <c r="D107" s="40"/>
      <c r="E107" s="40"/>
      <c r="F107" s="40"/>
      <c r="G107" s="41"/>
      <c r="H107" s="41"/>
      <c r="I107" s="41"/>
      <c r="J107" s="41"/>
      <c r="K107" s="41"/>
      <c r="L107" s="41"/>
      <c r="M107" s="41"/>
      <c r="N107" s="41"/>
      <c r="O107" s="42"/>
      <c r="P107" s="25"/>
      <c r="Q107" s="5"/>
      <c r="R107" s="5"/>
    </row>
    <row r="108" spans="1:21" ht="20" hidden="1" x14ac:dyDescent="0.35">
      <c r="A108" s="37" t="s">
        <v>159</v>
      </c>
      <c r="B108" s="39" t="s">
        <v>139</v>
      </c>
      <c r="C108" s="21" t="s">
        <v>15</v>
      </c>
      <c r="D108" s="38" t="s">
        <v>5</v>
      </c>
      <c r="E108" s="38" t="s">
        <v>5</v>
      </c>
      <c r="F108" s="38" t="s">
        <v>5</v>
      </c>
      <c r="G108" s="23">
        <f>IFERROR(INDEX('KPI Y (3)'!E$19:P$19,Actual_month),0)</f>
        <v>0</v>
      </c>
      <c r="H108" s="27">
        <f>IFERROR(INDEX('KPI Y (3)'!E$20:P$20,Actual_month),0)</f>
        <v>292</v>
      </c>
      <c r="I108" s="28" t="str">
        <f>IFERROR(H108/G108,"")</f>
        <v/>
      </c>
      <c r="J108" s="38" t="s">
        <v>5</v>
      </c>
      <c r="K108" s="38" t="s">
        <v>5</v>
      </c>
      <c r="L108" s="38" t="s">
        <v>5</v>
      </c>
      <c r="M108" s="23">
        <f>IFERROR(INDEX('KPI Y (3)'!E$26:P$26,Actual_month),0)</f>
        <v>0</v>
      </c>
      <c r="N108" s="27">
        <f>IFERROR(INDEX('KPI Y (3)'!E$27:P$27,Actual_month),0)</f>
        <v>1004</v>
      </c>
      <c r="O108" s="28" t="str">
        <f>IFERROR(N108/M108,"")</f>
        <v/>
      </c>
      <c r="P108" s="14" t="s">
        <v>20</v>
      </c>
      <c r="Q108" s="5">
        <f>G108*$R$3</f>
        <v>0</v>
      </c>
      <c r="R108" s="5">
        <f>M108*$R$3</f>
        <v>0</v>
      </c>
      <c r="S108" s="13" t="s">
        <v>23</v>
      </c>
      <c r="U108" s="3" t="s">
        <v>41</v>
      </c>
    </row>
    <row r="109" spans="1:21" ht="20" hidden="1" x14ac:dyDescent="0.35">
      <c r="A109" s="37" t="s">
        <v>160</v>
      </c>
      <c r="B109" s="39" t="s">
        <v>140</v>
      </c>
      <c r="C109" s="21" t="s">
        <v>15</v>
      </c>
      <c r="D109" s="38" t="s">
        <v>5</v>
      </c>
      <c r="E109" s="38" t="s">
        <v>5</v>
      </c>
      <c r="F109" s="38" t="s">
        <v>5</v>
      </c>
      <c r="G109" s="23">
        <f>IFERROR(INDEX('KPI z (3)'!E$19:P$19,Actual_month),0)</f>
        <v>0</v>
      </c>
      <c r="H109" s="27">
        <f>IFERROR(INDEX('KPI z (3)'!E$20:P$20,Actual_month),0)</f>
        <v>0</v>
      </c>
      <c r="I109" s="28" t="str">
        <f>IFERROR(H109/G109,"")</f>
        <v/>
      </c>
      <c r="J109" s="38" t="s">
        <v>5</v>
      </c>
      <c r="K109" s="38" t="s">
        <v>5</v>
      </c>
      <c r="L109" s="38" t="s">
        <v>5</v>
      </c>
      <c r="M109" s="23">
        <f>IFERROR(INDEX('KPI z (3)'!E$26:P$26,Actual_month),0)</f>
        <v>0</v>
      </c>
      <c r="N109" s="27">
        <f>IFERROR(INDEX('KPI z (3)'!E$27:P$27,Actual_month),0)</f>
        <v>555</v>
      </c>
      <c r="O109" s="28" t="str">
        <f>IFERROR(N109/M109,"")</f>
        <v/>
      </c>
      <c r="P109" s="14" t="s">
        <v>20</v>
      </c>
      <c r="Q109" s="5">
        <f>G109*$R$3</f>
        <v>0</v>
      </c>
      <c r="R109" s="5">
        <f>M109*$R$3</f>
        <v>0</v>
      </c>
      <c r="S109" s="13" t="s">
        <v>23</v>
      </c>
      <c r="U109" s="3" t="s">
        <v>41</v>
      </c>
    </row>
    <row r="110" spans="1:21" ht="20" hidden="1" x14ac:dyDescent="0.35">
      <c r="A110" s="68" t="s">
        <v>161</v>
      </c>
      <c r="B110" s="76" t="s">
        <v>37</v>
      </c>
      <c r="C110" s="77" t="s">
        <v>1</v>
      </c>
      <c r="D110" s="78" t="s">
        <v>5</v>
      </c>
      <c r="E110" s="78" t="s">
        <v>5</v>
      </c>
      <c r="F110" s="78" t="s">
        <v>5</v>
      </c>
      <c r="G110" s="79">
        <f>IFERROR(INDEX('KPI k (3)'!E$19:P$19,Actual_month),0)</f>
        <v>0</v>
      </c>
      <c r="H110" s="80">
        <f>IFERROR(INDEX('KPI k (3)'!E$20:P$20,Actual_month),0)</f>
        <v>1</v>
      </c>
      <c r="I110" s="81">
        <f>IFERROR(G110/H110,"")</f>
        <v>0</v>
      </c>
      <c r="J110" s="78" t="s">
        <v>5</v>
      </c>
      <c r="K110" s="78" t="s">
        <v>5</v>
      </c>
      <c r="L110" s="78" t="s">
        <v>5</v>
      </c>
      <c r="M110" s="79">
        <f>IFERROR(INDEX('KPI k (3)'!E$26:P$26,Actual_month),0)</f>
        <v>0</v>
      </c>
      <c r="N110" s="80">
        <f>IFERROR(INDEX('KPI k (3)'!E$27:P$27,Actual_month),0)</f>
        <v>0.39286040458468424</v>
      </c>
      <c r="O110" s="81">
        <f t="shared" ref="O110" si="81">IFERROR(M110/N110,"")</f>
        <v>0</v>
      </c>
      <c r="P110" s="25" t="s">
        <v>20</v>
      </c>
      <c r="Q110" s="46">
        <f>G110/$R$3</f>
        <v>0</v>
      </c>
      <c r="R110" s="46">
        <f>M110/$R$3</f>
        <v>0</v>
      </c>
      <c r="S110" s="13" t="s">
        <v>24</v>
      </c>
      <c r="U110" s="3" t="s">
        <v>41</v>
      </c>
    </row>
    <row r="111" spans="1:21" ht="15" thickBot="1" x14ac:dyDescent="0.4">
      <c r="A111" s="45"/>
      <c r="B111" s="44" t="s">
        <v>187</v>
      </c>
      <c r="C111" s="40"/>
      <c r="D111" s="40"/>
      <c r="E111" s="40"/>
      <c r="F111" s="40"/>
      <c r="G111" s="41"/>
      <c r="H111" s="41"/>
      <c r="I111" s="41"/>
      <c r="J111" s="41"/>
      <c r="K111" s="41"/>
      <c r="L111" s="41"/>
      <c r="M111" s="41"/>
      <c r="N111" s="41"/>
      <c r="O111" s="42"/>
      <c r="Q111" s="8" t="s">
        <v>28</v>
      </c>
      <c r="R111" s="8" t="s">
        <v>27</v>
      </c>
    </row>
    <row r="112" spans="1:21" ht="20" x14ac:dyDescent="0.35">
      <c r="A112" s="37" t="s">
        <v>188</v>
      </c>
      <c r="B112" s="39" t="s">
        <v>33</v>
      </c>
      <c r="C112" s="21" t="s">
        <v>15</v>
      </c>
      <c r="D112" s="38" t="s">
        <v>5</v>
      </c>
      <c r="E112" s="38" t="s">
        <v>5</v>
      </c>
      <c r="F112" s="38" t="s">
        <v>5</v>
      </c>
      <c r="G112" s="23">
        <f>IFERROR(INDEX('KPI 103(7)'!E$19:P$19,Actual_month),0)</f>
        <v>6954.6780288059153</v>
      </c>
      <c r="H112" s="27">
        <f>IFERROR(INDEX('KPI 103(7)'!E$20:P$20,Actual_month),0)</f>
        <v>6490</v>
      </c>
      <c r="I112" s="28">
        <f>IFERROR(H112/G112,"")</f>
        <v>0.9331848251089061</v>
      </c>
      <c r="J112" s="38" t="s">
        <v>5</v>
      </c>
      <c r="K112" s="38" t="s">
        <v>5</v>
      </c>
      <c r="L112" s="38" t="s">
        <v>5</v>
      </c>
      <c r="M112" s="23">
        <f>IFERROR(INDEX('KPI 103(7)'!E$26:P$26,Actual_month),0)</f>
        <v>57715.653416261426</v>
      </c>
      <c r="N112" s="27">
        <f>IFERROR(INDEX('KPI 103(7)'!E$27:P$27,Actual_month),0)</f>
        <v>47934</v>
      </c>
      <c r="O112" s="28">
        <f>IFERROR(N112/M112,"")</f>
        <v>0.83051992245997097</v>
      </c>
      <c r="P112" s="14" t="s">
        <v>20</v>
      </c>
      <c r="Q112" s="5">
        <f>G112*$R$3</f>
        <v>6259.2102259253243</v>
      </c>
      <c r="R112" s="5">
        <f>M112*$R$3</f>
        <v>51944.088074635285</v>
      </c>
      <c r="S112" s="13" t="s">
        <v>23</v>
      </c>
      <c r="U112" s="3" t="s">
        <v>41</v>
      </c>
    </row>
    <row r="113" spans="1:21" ht="20" x14ac:dyDescent="0.35">
      <c r="A113" s="37" t="s">
        <v>189</v>
      </c>
      <c r="B113" s="39" t="s">
        <v>36</v>
      </c>
      <c r="C113" s="21" t="s">
        <v>15</v>
      </c>
      <c r="D113" s="38" t="s">
        <v>5</v>
      </c>
      <c r="E113" s="38" t="s">
        <v>5</v>
      </c>
      <c r="F113" s="38" t="s">
        <v>5</v>
      </c>
      <c r="G113" s="23">
        <f>IFERROR(INDEX('KPI 110(7)'!E$19:P$19,Actual_month),0)</f>
        <v>5085.9041533441923</v>
      </c>
      <c r="H113" s="27">
        <f>IFERROR(INDEX('KPI 110(7)'!E$20:P$20,Actual_month),0)</f>
        <v>5749</v>
      </c>
      <c r="I113" s="28">
        <f>IFERROR(H113/G113,"")</f>
        <v>1.1303791472790132</v>
      </c>
      <c r="J113" s="38" t="s">
        <v>5</v>
      </c>
      <c r="K113" s="38" t="s">
        <v>5</v>
      </c>
      <c r="L113" s="38" t="s">
        <v>5</v>
      </c>
      <c r="M113" s="23">
        <f>IFERROR(INDEX('KPI 110(7)'!E$26:P$26,Actual_month),0)</f>
        <v>38715.830873932668</v>
      </c>
      <c r="N113" s="27">
        <f>IFERROR(INDEX('KPI 110(7)'!E$27:P$27,Actual_month),0)</f>
        <v>37385</v>
      </c>
      <c r="O113" s="28">
        <f t="shared" ref="O113:O114" si="82">IFERROR(N113/M113,"")</f>
        <v>0.96562566671328465</v>
      </c>
      <c r="P113" s="14" t="s">
        <v>20</v>
      </c>
      <c r="Q113" s="5">
        <f>G113*$R$3</f>
        <v>4577.3137380097733</v>
      </c>
      <c r="R113" s="5">
        <f>M113*$R$3</f>
        <v>34844.247786539403</v>
      </c>
      <c r="S113" s="13" t="s">
        <v>23</v>
      </c>
      <c r="U113" s="3" t="s">
        <v>41</v>
      </c>
    </row>
    <row r="114" spans="1:21" ht="20" x14ac:dyDescent="0.35">
      <c r="A114" s="37" t="s">
        <v>190</v>
      </c>
      <c r="B114" s="17" t="s">
        <v>37</v>
      </c>
      <c r="C114" s="22" t="s">
        <v>1</v>
      </c>
      <c r="D114" s="38" t="s">
        <v>5</v>
      </c>
      <c r="E114" s="38" t="s">
        <v>5</v>
      </c>
      <c r="F114" s="38" t="s">
        <v>5</v>
      </c>
      <c r="G114" s="47">
        <f>IFERROR(INDEX('KPI 124(7)'!E$19:P$19,Actual_month),0)</f>
        <v>0.26870746103865034</v>
      </c>
      <c r="H114" s="49">
        <f>IFERROR(INDEX('KPI 124(7)'!E$20:P$20,Actual_month),0)</f>
        <v>0.11417565485362095</v>
      </c>
      <c r="I114" s="24">
        <f>IFERROR(G114/H114,"")</f>
        <v>2.3534567100416206</v>
      </c>
      <c r="J114" s="38" t="s">
        <v>5</v>
      </c>
      <c r="K114" s="38" t="s">
        <v>5</v>
      </c>
      <c r="L114" s="38" t="s">
        <v>5</v>
      </c>
      <c r="M114" s="47">
        <f>IFERROR(INDEX('KPI 124(7)'!E$26:P$26,Actual_month),0)</f>
        <v>0.32919704478257789</v>
      </c>
      <c r="N114" s="49">
        <f>IFERROR(INDEX('KPI 124(7)'!E$27:P$27,Actual_month),0)</f>
        <v>0.22007343430550341</v>
      </c>
      <c r="O114" s="28">
        <f t="shared" si="82"/>
        <v>0.66851582598760428</v>
      </c>
      <c r="P114" s="25" t="s">
        <v>20</v>
      </c>
      <c r="Q114" s="46">
        <f>G114/$R$3</f>
        <v>0.29856384559850035</v>
      </c>
      <c r="R114" s="46">
        <f>M114/$R$3</f>
        <v>0.36577449420286429</v>
      </c>
      <c r="S114" s="13" t="s">
        <v>24</v>
      </c>
      <c r="U114" s="3" t="s">
        <v>41</v>
      </c>
    </row>
    <row r="115" spans="1:21" x14ac:dyDescent="0.35">
      <c r="A115" s="82"/>
      <c r="B115" s="83" t="s">
        <v>180</v>
      </c>
      <c r="C115" s="84"/>
      <c r="D115" s="84"/>
      <c r="E115" s="84"/>
      <c r="F115" s="84"/>
      <c r="G115" s="83"/>
      <c r="H115" s="83"/>
      <c r="I115" s="83"/>
      <c r="J115" s="83"/>
      <c r="K115" s="83"/>
      <c r="L115" s="83"/>
      <c r="M115" s="83"/>
      <c r="N115" s="83"/>
      <c r="O115" s="85"/>
    </row>
    <row r="116" spans="1:21" ht="19.5" customHeight="1" x14ac:dyDescent="0.35">
      <c r="A116" s="37" t="s">
        <v>181</v>
      </c>
      <c r="B116" s="39" t="s">
        <v>33</v>
      </c>
      <c r="C116" s="21" t="s">
        <v>15</v>
      </c>
      <c r="D116" s="38" t="s">
        <v>5</v>
      </c>
      <c r="E116" s="38" t="s">
        <v>5</v>
      </c>
      <c r="F116" s="38" t="s">
        <v>5</v>
      </c>
      <c r="G116" s="26">
        <f>IFERROR(INDEX('KPI 103 (6)'!E$19:P$19,Actual_month),0)</f>
        <v>1945.6639415881207</v>
      </c>
      <c r="H116" s="27">
        <f>IFERROR(INDEX('KPI 103 (6)'!E$20:P$20,Actual_month),0)</f>
        <v>471</v>
      </c>
      <c r="I116" s="24">
        <f>IFERROR(G116/H116,"")</f>
        <v>4.1309213197200014</v>
      </c>
      <c r="J116" s="38" t="s">
        <v>5</v>
      </c>
      <c r="K116" s="38" t="s">
        <v>5</v>
      </c>
      <c r="L116" s="38" t="s">
        <v>5</v>
      </c>
      <c r="M116" s="26">
        <f>IFERROR(INDEX('KPI 103 (6)'!E$26:P$26,Actual_month),0)</f>
        <v>10475.355330549995</v>
      </c>
      <c r="N116" s="27">
        <f>IFERROR(INDEX('KPI 103 (6)'!E$27:P$27,Actual_month),0)</f>
        <v>2629</v>
      </c>
      <c r="O116" s="28">
        <f>IFERROR(N116/M116,"")</f>
        <v>0.25097000693932237</v>
      </c>
      <c r="P116" s="25" t="s">
        <v>20</v>
      </c>
      <c r="Q116" s="5">
        <f>G116*$R$3</f>
        <v>1751.0975474293086</v>
      </c>
      <c r="R116" s="5">
        <f>M116*$R$3</f>
        <v>9427.8197974949962</v>
      </c>
      <c r="S116" s="13" t="s">
        <v>23</v>
      </c>
    </row>
    <row r="117" spans="1:21" ht="20" x14ac:dyDescent="0.35">
      <c r="A117" s="37" t="s">
        <v>182</v>
      </c>
      <c r="B117" s="39" t="s">
        <v>36</v>
      </c>
      <c r="C117" s="21" t="s">
        <v>15</v>
      </c>
      <c r="D117" s="38" t="s">
        <v>5</v>
      </c>
      <c r="E117" s="38" t="s">
        <v>5</v>
      </c>
      <c r="F117" s="38" t="s">
        <v>5</v>
      </c>
      <c r="G117" s="23">
        <f>IFERROR(INDEX('KPI 110 (6)'!E$19:P$19,Actual_month),0)</f>
        <v>1447.6666666666667</v>
      </c>
      <c r="H117" s="27">
        <f>IFERROR(INDEX('KPI 110 (6)'!E$20:P$20,Actual_month),0)</f>
        <v>199</v>
      </c>
      <c r="I117" s="24">
        <f>IFERROR(G117/H117,"")</f>
        <v>7.2747068676716919</v>
      </c>
      <c r="J117" s="38" t="s">
        <v>5</v>
      </c>
      <c r="K117" s="38" t="s">
        <v>5</v>
      </c>
      <c r="L117" s="38" t="s">
        <v>5</v>
      </c>
      <c r="M117" s="23">
        <f>IFERROR(INDEX('KPI 110 (6)'!E$26:P$26,Actual_month),0)</f>
        <v>7675.3333333333339</v>
      </c>
      <c r="N117" s="27">
        <f>IFERROR(INDEX('KPI 110 (6)'!E$27:P$27,Actual_month),0)</f>
        <v>958</v>
      </c>
      <c r="O117" s="28">
        <f>IFERROR(N117/M117,"")</f>
        <v>0.12481542604012855</v>
      </c>
      <c r="P117" s="25" t="s">
        <v>20</v>
      </c>
      <c r="Q117" s="5">
        <f>G117*$R$3</f>
        <v>1302.9000000000001</v>
      </c>
      <c r="R117" s="5">
        <f>M117*$R$3</f>
        <v>6907.8000000000011</v>
      </c>
      <c r="S117" s="13" t="s">
        <v>23</v>
      </c>
    </row>
    <row r="118" spans="1:21" ht="20" x14ac:dyDescent="0.35">
      <c r="A118" s="37" t="s">
        <v>183</v>
      </c>
      <c r="B118" s="17" t="s">
        <v>37</v>
      </c>
      <c r="C118" s="22" t="s">
        <v>1</v>
      </c>
      <c r="D118" s="38" t="s">
        <v>5</v>
      </c>
      <c r="E118" s="38" t="s">
        <v>5</v>
      </c>
      <c r="F118" s="38" t="s">
        <v>5</v>
      </c>
      <c r="G118" s="47">
        <f>IFERROR(INDEX('KPI 124 (6)'!E$19:P$19,Actual_month),0)</f>
        <v>0.25595235861490589</v>
      </c>
      <c r="H118" s="49">
        <f>IFERROR(INDEX('KPI 124 (6)'!E$20:P$20,Actual_month),0)</f>
        <v>0.57749469214437366</v>
      </c>
      <c r="I118" s="24">
        <f>IFERROR(G118/H118,"")</f>
        <v>0.44321162098389955</v>
      </c>
      <c r="J118" s="38" t="s">
        <v>5</v>
      </c>
      <c r="K118" s="38" t="s">
        <v>5</v>
      </c>
      <c r="L118" s="38" t="s">
        <v>5</v>
      </c>
      <c r="M118" s="47">
        <f>IFERROR(INDEX('KPI 124 (6)'!E$26:P$26,Actual_month),0)</f>
        <v>0.26729613543998509</v>
      </c>
      <c r="N118" s="49">
        <f>IFERROR(INDEX('KPI 124 (6)'!E$27:P$27,Actual_month),0)</f>
        <v>0.63560289083301635</v>
      </c>
      <c r="O118" s="24">
        <f t="shared" ref="O118" si="83">IFERROR(M118/N118,"")</f>
        <v>0.42053952128768451</v>
      </c>
      <c r="P118" s="25" t="s">
        <v>20</v>
      </c>
      <c r="Q118" s="46">
        <f>G118/$R$3</f>
        <v>0.28439150957211767</v>
      </c>
      <c r="R118" s="46">
        <f>M118/$R$3</f>
        <v>0.29699570604442788</v>
      </c>
      <c r="S118" s="13" t="s">
        <v>24</v>
      </c>
    </row>
    <row r="119" spans="1:21" x14ac:dyDescent="0.35">
      <c r="A119" s="82"/>
      <c r="B119" s="83"/>
      <c r="C119" s="84"/>
      <c r="D119" s="84"/>
      <c r="E119" s="84"/>
      <c r="F119" s="84"/>
      <c r="G119" s="83"/>
      <c r="H119" s="83"/>
      <c r="I119" s="83"/>
      <c r="J119" s="83"/>
      <c r="K119" s="83"/>
      <c r="L119" s="83"/>
      <c r="M119" s="83"/>
      <c r="N119" s="83"/>
      <c r="O119" s="85"/>
    </row>
  </sheetData>
  <sheetProtection algorithmName="SHA-512" hashValue="uJyJeUomdB6QWQ3x1JxSFPW6ElilR69bslCVz1xmPUj02WTSSstHkcAeeh/6zixM6lyGsKaWSHr01bygFiMqPg==" saltValue="5u56ILxWm4vP4+tS2/2RuQ==" spinCount="100000" sheet="1" objects="1" scenarios="1"/>
  <protectedRanges>
    <protectedRange sqref="A120:XFD1048576" name="Blank Down"/>
    <protectedRange sqref="V1:XFD1048576" name="Blank Left"/>
  </protectedRanges>
  <mergeCells count="3">
    <mergeCell ref="J3:O3"/>
    <mergeCell ref="D3:I3"/>
    <mergeCell ref="A5:O5"/>
  </mergeCells>
  <conditionalFormatting sqref="D7:D8">
    <cfRule type="expression" dxfId="539" priority="459">
      <formula>H7&gt;=G7</formula>
    </cfRule>
  </conditionalFormatting>
  <conditionalFormatting sqref="D9">
    <cfRule type="expression" dxfId="538" priority="447">
      <formula>H9&lt;=G9</formula>
    </cfRule>
  </conditionalFormatting>
  <conditionalFormatting sqref="D10:D11">
    <cfRule type="expression" dxfId="537" priority="435">
      <formula>H10&gt;=G10</formula>
    </cfRule>
  </conditionalFormatting>
  <conditionalFormatting sqref="D12:D13">
    <cfRule type="expression" dxfId="536" priority="192">
      <formula>H12&lt;=G12</formula>
    </cfRule>
  </conditionalFormatting>
  <conditionalFormatting sqref="D14">
    <cfRule type="expression" dxfId="535" priority="417">
      <formula>H14&gt;=G14</formula>
    </cfRule>
  </conditionalFormatting>
  <conditionalFormatting sqref="D15">
    <cfRule type="expression" dxfId="534" priority="360">
      <formula>H15&lt;=G15</formula>
    </cfRule>
  </conditionalFormatting>
  <conditionalFormatting sqref="D17:D18">
    <cfRule type="expression" dxfId="533" priority="318">
      <formula>H17&gt;=G17</formula>
    </cfRule>
  </conditionalFormatting>
  <conditionalFormatting sqref="D19:D20">
    <cfRule type="expression" dxfId="532" priority="240">
      <formula>H19&lt;=G19</formula>
    </cfRule>
  </conditionalFormatting>
  <conditionalFormatting sqref="D21:D24">
    <cfRule type="expression" dxfId="531" priority="210">
      <formula>H21&gt;=G21</formula>
    </cfRule>
  </conditionalFormatting>
  <conditionalFormatting sqref="D26:D27">
    <cfRule type="expression" dxfId="530" priority="276">
      <formula>H26&gt;=G26</formula>
    </cfRule>
  </conditionalFormatting>
  <conditionalFormatting sqref="D28:D29">
    <cfRule type="expression" dxfId="529" priority="237">
      <formula>H28&lt;=G28</formula>
    </cfRule>
  </conditionalFormatting>
  <conditionalFormatting sqref="D31:D32">
    <cfRule type="expression" dxfId="528" priority="108">
      <formula>H31&gt;=G31</formula>
    </cfRule>
  </conditionalFormatting>
  <conditionalFormatting sqref="D33:D34">
    <cfRule type="expression" dxfId="527" priority="96">
      <formula>H33&lt;=G33</formula>
    </cfRule>
  </conditionalFormatting>
  <conditionalFormatting sqref="D36:D37">
    <cfRule type="expression" dxfId="526" priority="1263">
      <formula>H36&gt;=G36</formula>
    </cfRule>
  </conditionalFormatting>
  <conditionalFormatting sqref="D38">
    <cfRule type="expression" dxfId="525" priority="399">
      <formula>H38&lt;=G38</formula>
    </cfRule>
  </conditionalFormatting>
  <conditionalFormatting sqref="D39:D40">
    <cfRule type="expression" dxfId="524" priority="1236">
      <formula>H39&gt;=G39</formula>
    </cfRule>
  </conditionalFormatting>
  <conditionalFormatting sqref="D42:D43">
    <cfRule type="expression" dxfId="523" priority="843">
      <formula>H42&gt;=G42</formula>
    </cfRule>
  </conditionalFormatting>
  <conditionalFormatting sqref="D44">
    <cfRule type="expression" dxfId="522" priority="819">
      <formula>H44&lt;=G44</formula>
    </cfRule>
  </conditionalFormatting>
  <conditionalFormatting sqref="D45:D46">
    <cfRule type="expression" dxfId="521" priority="834">
      <formula>H45&gt;=G45</formula>
    </cfRule>
  </conditionalFormatting>
  <conditionalFormatting sqref="D48:D49">
    <cfRule type="expression" dxfId="520" priority="795">
      <formula>H48&gt;=G48</formula>
    </cfRule>
  </conditionalFormatting>
  <conditionalFormatting sqref="D50">
    <cfRule type="expression" dxfId="519" priority="771">
      <formula>H50&lt;=G50</formula>
    </cfRule>
  </conditionalFormatting>
  <conditionalFormatting sqref="D51:D52">
    <cfRule type="expression" dxfId="518" priority="786">
      <formula>H51&gt;=G51</formula>
    </cfRule>
  </conditionalFormatting>
  <conditionalFormatting sqref="D54:D55">
    <cfRule type="expression" dxfId="517" priority="747">
      <formula>H54&gt;=G54</formula>
    </cfRule>
  </conditionalFormatting>
  <conditionalFormatting sqref="D56">
    <cfRule type="expression" dxfId="516" priority="723">
      <formula>H56&lt;=G56</formula>
    </cfRule>
  </conditionalFormatting>
  <conditionalFormatting sqref="D57:D58">
    <cfRule type="expression" dxfId="515" priority="738">
      <formula>H57&gt;=G57</formula>
    </cfRule>
  </conditionalFormatting>
  <conditionalFormatting sqref="D60:D61">
    <cfRule type="expression" dxfId="514" priority="699">
      <formula>H60&gt;=G60</formula>
    </cfRule>
  </conditionalFormatting>
  <conditionalFormatting sqref="D62">
    <cfRule type="expression" dxfId="513" priority="675">
      <formula>H62&lt;=G62</formula>
    </cfRule>
  </conditionalFormatting>
  <conditionalFormatting sqref="D63:D64">
    <cfRule type="expression" dxfId="512" priority="690">
      <formula>H63&gt;=G63</formula>
    </cfRule>
  </conditionalFormatting>
  <conditionalFormatting sqref="D66:D67">
    <cfRule type="expression" dxfId="511" priority="48">
      <formula>H66&gt;=G66</formula>
    </cfRule>
  </conditionalFormatting>
  <conditionalFormatting sqref="D68">
    <cfRule type="expression" dxfId="510" priority="42">
      <formula>H68&lt;=G68</formula>
    </cfRule>
  </conditionalFormatting>
  <conditionalFormatting sqref="D70:D71">
    <cfRule type="expression" dxfId="509" priority="651">
      <formula>H70&gt;=G70</formula>
    </cfRule>
  </conditionalFormatting>
  <conditionalFormatting sqref="D72">
    <cfRule type="expression" dxfId="508" priority="627">
      <formula>H72&lt;=G72</formula>
    </cfRule>
  </conditionalFormatting>
  <conditionalFormatting sqref="D73:D74">
    <cfRule type="expression" dxfId="507" priority="642">
      <formula>H73&gt;=G73</formula>
    </cfRule>
  </conditionalFormatting>
  <conditionalFormatting sqref="D76:D77">
    <cfRule type="expression" dxfId="506" priority="603">
      <formula>H76&gt;=G76</formula>
    </cfRule>
  </conditionalFormatting>
  <conditionalFormatting sqref="D78">
    <cfRule type="expression" dxfId="505" priority="579">
      <formula>H78&lt;=G78</formula>
    </cfRule>
  </conditionalFormatting>
  <conditionalFormatting sqref="D79:D80">
    <cfRule type="expression" dxfId="504" priority="594">
      <formula>H79&gt;=G79</formula>
    </cfRule>
  </conditionalFormatting>
  <conditionalFormatting sqref="D82:D83">
    <cfRule type="expression" dxfId="503" priority="555">
      <formula>H82&gt;=G82</formula>
    </cfRule>
  </conditionalFormatting>
  <conditionalFormatting sqref="D84">
    <cfRule type="expression" dxfId="502" priority="531">
      <formula>H84&lt;=G84</formula>
    </cfRule>
  </conditionalFormatting>
  <conditionalFormatting sqref="D85:D86">
    <cfRule type="expression" dxfId="501" priority="546">
      <formula>H85&gt;=G85</formula>
    </cfRule>
  </conditionalFormatting>
  <conditionalFormatting sqref="D88:D89">
    <cfRule type="expression" dxfId="500" priority="507">
      <formula>H88&gt;=G88</formula>
    </cfRule>
  </conditionalFormatting>
  <conditionalFormatting sqref="D90">
    <cfRule type="expression" dxfId="499" priority="483">
      <formula>H90&lt;=G90</formula>
    </cfRule>
  </conditionalFormatting>
  <conditionalFormatting sqref="D91:D92">
    <cfRule type="expression" dxfId="498" priority="498">
      <formula>H91&gt;=G91</formula>
    </cfRule>
  </conditionalFormatting>
  <conditionalFormatting sqref="D94:D95">
    <cfRule type="expression" dxfId="497" priority="348">
      <formula>H94&gt;=G94</formula>
    </cfRule>
  </conditionalFormatting>
  <conditionalFormatting sqref="D96">
    <cfRule type="expression" dxfId="496" priority="330">
      <formula>H96&lt;=G96</formula>
    </cfRule>
  </conditionalFormatting>
  <conditionalFormatting sqref="D97:D98">
    <cfRule type="expression" dxfId="495" priority="339">
      <formula>H97&gt;=G97</formula>
    </cfRule>
  </conditionalFormatting>
  <conditionalFormatting sqref="D100:D101">
    <cfRule type="expression" dxfId="494" priority="162">
      <formula>H100&gt;=G100</formula>
    </cfRule>
  </conditionalFormatting>
  <conditionalFormatting sqref="D102">
    <cfRule type="expression" dxfId="493" priority="156">
      <formula>H102&lt;=G102</formula>
    </cfRule>
  </conditionalFormatting>
  <conditionalFormatting sqref="D104:D105">
    <cfRule type="expression" dxfId="492" priority="144">
      <formula>H104&gt;=G104</formula>
    </cfRule>
  </conditionalFormatting>
  <conditionalFormatting sqref="D106">
    <cfRule type="expression" dxfId="491" priority="138">
      <formula>H106&lt;=G106</formula>
    </cfRule>
  </conditionalFormatting>
  <conditionalFormatting sqref="D108:D109">
    <cfRule type="expression" dxfId="490" priority="126">
      <formula>H108&gt;=G108</formula>
    </cfRule>
  </conditionalFormatting>
  <conditionalFormatting sqref="D110">
    <cfRule type="expression" dxfId="489" priority="120">
      <formula>H110&lt;=G110</formula>
    </cfRule>
  </conditionalFormatting>
  <conditionalFormatting sqref="D112:D113">
    <cfRule type="expression" dxfId="488" priority="66">
      <formula>H112&gt;=G112</formula>
    </cfRule>
  </conditionalFormatting>
  <conditionalFormatting sqref="D114">
    <cfRule type="expression" dxfId="487" priority="60">
      <formula>H114&lt;=G114</formula>
    </cfRule>
  </conditionalFormatting>
  <conditionalFormatting sqref="D116:D117">
    <cfRule type="expression" dxfId="486" priority="84">
      <formula>H116&gt;=G116</formula>
    </cfRule>
  </conditionalFormatting>
  <conditionalFormatting sqref="D118">
    <cfRule type="expression" dxfId="485" priority="78">
      <formula>H118&lt;=G118</formula>
    </cfRule>
  </conditionalFormatting>
  <conditionalFormatting sqref="E7:E8">
    <cfRule type="expression" dxfId="484" priority="457">
      <formula>AND(H7&gt;=Q7,H7&lt;G7)</formula>
    </cfRule>
  </conditionalFormatting>
  <conditionalFormatting sqref="E9">
    <cfRule type="expression" dxfId="483" priority="445">
      <formula>AND(H9&gt;G9,H9&lt;=Q9)</formula>
    </cfRule>
  </conditionalFormatting>
  <conditionalFormatting sqref="E10:E11">
    <cfRule type="expression" dxfId="482" priority="433">
      <formula>AND(H10&gt;=Q10,H10&lt;G10)</formula>
    </cfRule>
  </conditionalFormatting>
  <conditionalFormatting sqref="E12:E13">
    <cfRule type="expression" dxfId="481" priority="190">
      <formula>AND(H12&gt;G12,H12&lt;=Q12)</formula>
    </cfRule>
  </conditionalFormatting>
  <conditionalFormatting sqref="E14">
    <cfRule type="expression" dxfId="480" priority="415">
      <formula>AND(H14&gt;=Q14,H14&lt;G14)</formula>
    </cfRule>
  </conditionalFormatting>
  <conditionalFormatting sqref="E15">
    <cfRule type="expression" dxfId="479" priority="358">
      <formula>AND(H15&gt;G15,H15&lt;=Q15)</formula>
    </cfRule>
  </conditionalFormatting>
  <conditionalFormatting sqref="E17:E18">
    <cfRule type="expression" dxfId="478" priority="316">
      <formula>AND(H17&gt;=Q17,H17&lt;G17)</formula>
    </cfRule>
  </conditionalFormatting>
  <conditionalFormatting sqref="E19:E20">
    <cfRule type="expression" dxfId="477" priority="238">
      <formula>AND(H19&gt;G19,H19&lt;=Q19)</formula>
    </cfRule>
  </conditionalFormatting>
  <conditionalFormatting sqref="E21:E24">
    <cfRule type="expression" dxfId="476" priority="208">
      <formula>AND(H21&gt;=Q21,H21&lt;G21)</formula>
    </cfRule>
  </conditionalFormatting>
  <conditionalFormatting sqref="E26:E27">
    <cfRule type="expression" dxfId="475" priority="274">
      <formula>AND(H26&gt;=Q26,H26&lt;G26)</formula>
    </cfRule>
  </conditionalFormatting>
  <conditionalFormatting sqref="E28:E29">
    <cfRule type="expression" dxfId="474" priority="235">
      <formula>AND(H28&gt;G28,H28&lt;=Q28)</formula>
    </cfRule>
  </conditionalFormatting>
  <conditionalFormatting sqref="E31:E32">
    <cfRule type="expression" dxfId="473" priority="106">
      <formula>AND(H31&gt;=Q31,H31&lt;G31)</formula>
    </cfRule>
  </conditionalFormatting>
  <conditionalFormatting sqref="E33:E34">
    <cfRule type="expression" dxfId="472" priority="94">
      <formula>AND(H33&gt;G33,H33&lt;=Q33)</formula>
    </cfRule>
  </conditionalFormatting>
  <conditionalFormatting sqref="E36:E37">
    <cfRule type="expression" dxfId="471" priority="1261">
      <formula>AND(H36&gt;=Q36,H36&lt;G36)</formula>
    </cfRule>
  </conditionalFormatting>
  <conditionalFormatting sqref="E38">
    <cfRule type="expression" dxfId="470" priority="397">
      <formula>AND(H38&gt;G38,H38&lt;=Q38)</formula>
    </cfRule>
  </conditionalFormatting>
  <conditionalFormatting sqref="E39:E40">
    <cfRule type="expression" dxfId="469" priority="1234">
      <formula>AND(H39&gt;=Q39,H39&lt;G39)</formula>
    </cfRule>
  </conditionalFormatting>
  <conditionalFormatting sqref="E42:E43">
    <cfRule type="expression" dxfId="468" priority="841">
      <formula>AND(H42&gt;=Q42,H42&lt;G42)</formula>
    </cfRule>
  </conditionalFormatting>
  <conditionalFormatting sqref="E44">
    <cfRule type="expression" dxfId="467" priority="817">
      <formula>AND(H44&gt;G44,H44&lt;=Q44)</formula>
    </cfRule>
  </conditionalFormatting>
  <conditionalFormatting sqref="E45:E46">
    <cfRule type="expression" dxfId="466" priority="832">
      <formula>AND(H45&gt;=Q45,H45&lt;G45)</formula>
    </cfRule>
  </conditionalFormatting>
  <conditionalFormatting sqref="E48:E49">
    <cfRule type="expression" dxfId="465" priority="793">
      <formula>AND(H48&gt;=Q48,H48&lt;G48)</formula>
    </cfRule>
  </conditionalFormatting>
  <conditionalFormatting sqref="E50">
    <cfRule type="expression" dxfId="464" priority="769">
      <formula>AND(H50&gt;G50,H50&lt;=Q50)</formula>
    </cfRule>
  </conditionalFormatting>
  <conditionalFormatting sqref="E51:E52">
    <cfRule type="expression" dxfId="463" priority="784">
      <formula>AND(H51&gt;=Q51,H51&lt;G51)</formula>
    </cfRule>
  </conditionalFormatting>
  <conditionalFormatting sqref="E54:E55">
    <cfRule type="expression" dxfId="462" priority="745">
      <formula>AND(H54&gt;=Q54,H54&lt;G54)</formula>
    </cfRule>
  </conditionalFormatting>
  <conditionalFormatting sqref="E56">
    <cfRule type="expression" dxfId="461" priority="721">
      <formula>AND(H56&gt;G56,H56&lt;=Q56)</formula>
    </cfRule>
  </conditionalFormatting>
  <conditionalFormatting sqref="E57:E58">
    <cfRule type="expression" dxfId="460" priority="736">
      <formula>AND(H57&gt;=Q57,H57&lt;G57)</formula>
    </cfRule>
  </conditionalFormatting>
  <conditionalFormatting sqref="E60:E61">
    <cfRule type="expression" dxfId="459" priority="697">
      <formula>AND(H60&gt;=Q60,H60&lt;G60)</formula>
    </cfRule>
  </conditionalFormatting>
  <conditionalFormatting sqref="E62">
    <cfRule type="expression" dxfId="458" priority="673">
      <formula>AND(H62&gt;G62,H62&lt;=Q62)</formula>
    </cfRule>
  </conditionalFormatting>
  <conditionalFormatting sqref="E63:E64">
    <cfRule type="expression" dxfId="457" priority="688">
      <formula>AND(H63&gt;=Q63,H63&lt;G63)</formula>
    </cfRule>
  </conditionalFormatting>
  <conditionalFormatting sqref="E66:E67">
    <cfRule type="expression" dxfId="456" priority="46">
      <formula>AND(H66&gt;=Q66,H66&lt;G66)</formula>
    </cfRule>
  </conditionalFormatting>
  <conditionalFormatting sqref="E68">
    <cfRule type="expression" dxfId="455" priority="40">
      <formula>AND(H68&gt;G68,H68&lt;=Q68)</formula>
    </cfRule>
  </conditionalFormatting>
  <conditionalFormatting sqref="E70:E71">
    <cfRule type="expression" dxfId="454" priority="649">
      <formula>AND(H70&gt;=Q70,H70&lt;G70)</formula>
    </cfRule>
  </conditionalFormatting>
  <conditionalFormatting sqref="E72">
    <cfRule type="expression" dxfId="453" priority="625">
      <formula>AND(H72&gt;G72,H72&lt;=Q72)</formula>
    </cfRule>
  </conditionalFormatting>
  <conditionalFormatting sqref="E73:E74">
    <cfRule type="expression" dxfId="452" priority="640">
      <formula>AND(H73&gt;=Q73,H73&lt;G73)</formula>
    </cfRule>
  </conditionalFormatting>
  <conditionalFormatting sqref="E76:E77">
    <cfRule type="expression" dxfId="451" priority="601">
      <formula>AND(H76&gt;=Q76,H76&lt;G76)</formula>
    </cfRule>
  </conditionalFormatting>
  <conditionalFormatting sqref="E78">
    <cfRule type="expression" dxfId="450" priority="577">
      <formula>AND(H78&gt;G78,H78&lt;=Q78)</formula>
    </cfRule>
  </conditionalFormatting>
  <conditionalFormatting sqref="E79:E80">
    <cfRule type="expression" dxfId="449" priority="592">
      <formula>AND(H79&gt;=Q79,H79&lt;G79)</formula>
    </cfRule>
  </conditionalFormatting>
  <conditionalFormatting sqref="E82:E83">
    <cfRule type="expression" dxfId="448" priority="553">
      <formula>AND(H82&gt;=Q82,H82&lt;G82)</formula>
    </cfRule>
  </conditionalFormatting>
  <conditionalFormatting sqref="E84">
    <cfRule type="expression" dxfId="447" priority="529">
      <formula>AND(H84&gt;G84,H84&lt;=Q84)</formula>
    </cfRule>
  </conditionalFormatting>
  <conditionalFormatting sqref="E85:E86">
    <cfRule type="expression" dxfId="446" priority="544">
      <formula>AND(H85&gt;=Q85,H85&lt;G85)</formula>
    </cfRule>
  </conditionalFormatting>
  <conditionalFormatting sqref="E88:E89">
    <cfRule type="expression" dxfId="445" priority="505">
      <formula>AND(H88&gt;=Q88,H88&lt;G88)</formula>
    </cfRule>
  </conditionalFormatting>
  <conditionalFormatting sqref="E90">
    <cfRule type="expression" dxfId="444" priority="481">
      <formula>AND(H90&gt;G90,H90&lt;=Q90)</formula>
    </cfRule>
  </conditionalFormatting>
  <conditionalFormatting sqref="E91:E92">
    <cfRule type="expression" dxfId="443" priority="496">
      <formula>AND(H91&gt;=Q91,H91&lt;G91)</formula>
    </cfRule>
  </conditionalFormatting>
  <conditionalFormatting sqref="E94:E95">
    <cfRule type="expression" dxfId="442" priority="346">
      <formula>AND(H94&gt;=Q94,H94&lt;G94)</formula>
    </cfRule>
  </conditionalFormatting>
  <conditionalFormatting sqref="E96">
    <cfRule type="expression" dxfId="441" priority="328">
      <formula>AND(H96&gt;G96,H96&lt;=Q96)</formula>
    </cfRule>
  </conditionalFormatting>
  <conditionalFormatting sqref="E97:E98">
    <cfRule type="expression" dxfId="440" priority="337">
      <formula>AND(H97&gt;=Q97,H97&lt;G97)</formula>
    </cfRule>
  </conditionalFormatting>
  <conditionalFormatting sqref="E100:E101">
    <cfRule type="expression" dxfId="439" priority="160">
      <formula>AND(H100&gt;=Q100,H100&lt;G100)</formula>
    </cfRule>
  </conditionalFormatting>
  <conditionalFormatting sqref="E102">
    <cfRule type="expression" dxfId="438" priority="154">
      <formula>AND(H102&gt;G102,H102&lt;=Q102)</formula>
    </cfRule>
  </conditionalFormatting>
  <conditionalFormatting sqref="E104:E105">
    <cfRule type="expression" dxfId="437" priority="142">
      <formula>AND(H104&gt;=Q104,H104&lt;G104)</formula>
    </cfRule>
  </conditionalFormatting>
  <conditionalFormatting sqref="E106">
    <cfRule type="expression" dxfId="436" priority="136">
      <formula>AND(H106&gt;G106,H106&lt;=Q106)</formula>
    </cfRule>
  </conditionalFormatting>
  <conditionalFormatting sqref="E108:E109">
    <cfRule type="expression" dxfId="435" priority="124">
      <formula>AND(H108&gt;=Q108,H108&lt;G108)</formula>
    </cfRule>
  </conditionalFormatting>
  <conditionalFormatting sqref="E110">
    <cfRule type="expression" dxfId="434" priority="118">
      <formula>AND(H110&gt;G110,H110&lt;=Q110)</formula>
    </cfRule>
  </conditionalFormatting>
  <conditionalFormatting sqref="E112:E113">
    <cfRule type="expression" dxfId="433" priority="64">
      <formula>AND(H112&gt;=Q112,H112&lt;G112)</formula>
    </cfRule>
  </conditionalFormatting>
  <conditionalFormatting sqref="E114">
    <cfRule type="expression" dxfId="432" priority="58">
      <formula>AND(H114&gt;G114,H114&lt;=Q114)</formula>
    </cfRule>
  </conditionalFormatting>
  <conditionalFormatting sqref="E116:E117">
    <cfRule type="expression" dxfId="431" priority="82">
      <formula>AND(H116&gt;=Q116,H116&lt;G116)</formula>
    </cfRule>
  </conditionalFormatting>
  <conditionalFormatting sqref="E118">
    <cfRule type="expression" dxfId="430" priority="76">
      <formula>AND(H118&gt;G118,H118&lt;=Q118)</formula>
    </cfRule>
  </conditionalFormatting>
  <conditionalFormatting sqref="F7:F8">
    <cfRule type="expression" dxfId="429" priority="458">
      <formula>H7&lt;Q7</formula>
    </cfRule>
  </conditionalFormatting>
  <conditionalFormatting sqref="F9">
    <cfRule type="expression" dxfId="428" priority="446">
      <formula>H9&gt;Q9</formula>
    </cfRule>
  </conditionalFormatting>
  <conditionalFormatting sqref="F10:F11">
    <cfRule type="expression" dxfId="427" priority="434">
      <formula>H10&lt;Q10</formula>
    </cfRule>
  </conditionalFormatting>
  <conditionalFormatting sqref="F12:F13">
    <cfRule type="expression" dxfId="426" priority="191">
      <formula>H12&gt;Q12</formula>
    </cfRule>
  </conditionalFormatting>
  <conditionalFormatting sqref="F14">
    <cfRule type="expression" dxfId="425" priority="416">
      <formula>H14&lt;Q14</formula>
    </cfRule>
  </conditionalFormatting>
  <conditionalFormatting sqref="F15">
    <cfRule type="expression" dxfId="424" priority="359">
      <formula>H15&gt;Q15</formula>
    </cfRule>
  </conditionalFormatting>
  <conditionalFormatting sqref="F17:F18">
    <cfRule type="expression" dxfId="423" priority="317">
      <formula>H17&lt;Q17</formula>
    </cfRule>
  </conditionalFormatting>
  <conditionalFormatting sqref="F19:F20">
    <cfRule type="expression" dxfId="422" priority="239">
      <formula>H19&gt;Q19</formula>
    </cfRule>
  </conditionalFormatting>
  <conditionalFormatting sqref="F21:F24">
    <cfRule type="expression" dxfId="421" priority="209">
      <formula>H21&lt;Q21</formula>
    </cfRule>
  </conditionalFormatting>
  <conditionalFormatting sqref="F26:F27">
    <cfRule type="expression" dxfId="420" priority="275">
      <formula>H26&lt;Q26</formula>
    </cfRule>
  </conditionalFormatting>
  <conditionalFormatting sqref="F28:F29">
    <cfRule type="expression" dxfId="419" priority="236">
      <formula>H28&gt;Q28</formula>
    </cfRule>
  </conditionalFormatting>
  <conditionalFormatting sqref="F31:F32">
    <cfRule type="expression" dxfId="418" priority="107">
      <formula>H31&lt;Q31</formula>
    </cfRule>
  </conditionalFormatting>
  <conditionalFormatting sqref="F33:F34">
    <cfRule type="expression" dxfId="417" priority="95">
      <formula>H33&gt;Q33</formula>
    </cfRule>
  </conditionalFormatting>
  <conditionalFormatting sqref="F36:F37">
    <cfRule type="expression" dxfId="416" priority="1262">
      <formula>H36&lt;Q36</formula>
    </cfRule>
  </conditionalFormatting>
  <conditionalFormatting sqref="F38">
    <cfRule type="expression" dxfId="415" priority="398">
      <formula>H38&gt;Q38</formula>
    </cfRule>
  </conditionalFormatting>
  <conditionalFormatting sqref="F39:F40">
    <cfRule type="expression" dxfId="414" priority="1235">
      <formula>H39&lt;Q39</formula>
    </cfRule>
  </conditionalFormatting>
  <conditionalFormatting sqref="F42:F43">
    <cfRule type="expression" dxfId="413" priority="842">
      <formula>H42&lt;Q42</formula>
    </cfRule>
  </conditionalFormatting>
  <conditionalFormatting sqref="F44">
    <cfRule type="expression" dxfId="412" priority="818">
      <formula>H44&gt;Q44</formula>
    </cfRule>
  </conditionalFormatting>
  <conditionalFormatting sqref="F45:F46">
    <cfRule type="expression" dxfId="411" priority="833">
      <formula>H45&lt;Q45</formula>
    </cfRule>
  </conditionalFormatting>
  <conditionalFormatting sqref="F48:F49">
    <cfRule type="expression" dxfId="410" priority="794">
      <formula>H48&lt;Q48</formula>
    </cfRule>
  </conditionalFormatting>
  <conditionalFormatting sqref="F50">
    <cfRule type="expression" dxfId="409" priority="770">
      <formula>H50&gt;Q50</formula>
    </cfRule>
  </conditionalFormatting>
  <conditionalFormatting sqref="F51:F52">
    <cfRule type="expression" dxfId="408" priority="785">
      <formula>H51&lt;Q51</formula>
    </cfRule>
  </conditionalFormatting>
  <conditionalFormatting sqref="F54:F55">
    <cfRule type="expression" dxfId="407" priority="746">
      <formula>H54&lt;Q54</formula>
    </cfRule>
  </conditionalFormatting>
  <conditionalFormatting sqref="F56">
    <cfRule type="expression" dxfId="406" priority="722">
      <formula>H56&gt;Q56</formula>
    </cfRule>
  </conditionalFormatting>
  <conditionalFormatting sqref="F57:F58">
    <cfRule type="expression" dxfId="405" priority="737">
      <formula>H57&lt;Q57</formula>
    </cfRule>
  </conditionalFormatting>
  <conditionalFormatting sqref="F60:F61">
    <cfRule type="expression" dxfId="404" priority="698">
      <formula>H60&lt;Q60</formula>
    </cfRule>
  </conditionalFormatting>
  <conditionalFormatting sqref="F62">
    <cfRule type="expression" dxfId="403" priority="674">
      <formula>H62&gt;Q62</formula>
    </cfRule>
  </conditionalFormatting>
  <conditionalFormatting sqref="F63:F64">
    <cfRule type="expression" dxfId="402" priority="689">
      <formula>H63&lt;Q63</formula>
    </cfRule>
  </conditionalFormatting>
  <conditionalFormatting sqref="F66:F67">
    <cfRule type="expression" dxfId="401" priority="47">
      <formula>H66&lt;Q66</formula>
    </cfRule>
  </conditionalFormatting>
  <conditionalFormatting sqref="F68">
    <cfRule type="expression" dxfId="400" priority="41">
      <formula>H68&gt;Q68</formula>
    </cfRule>
  </conditionalFormatting>
  <conditionalFormatting sqref="F70:F71">
    <cfRule type="expression" dxfId="399" priority="650">
      <formula>H70&lt;Q70</formula>
    </cfRule>
  </conditionalFormatting>
  <conditionalFormatting sqref="F72">
    <cfRule type="expression" dxfId="398" priority="626">
      <formula>H72&gt;Q72</formula>
    </cfRule>
  </conditionalFormatting>
  <conditionalFormatting sqref="F73:F74">
    <cfRule type="expression" dxfId="397" priority="641">
      <formula>H73&lt;Q73</formula>
    </cfRule>
  </conditionalFormatting>
  <conditionalFormatting sqref="F76:F77">
    <cfRule type="expression" dxfId="396" priority="602">
      <formula>H76&lt;Q76</formula>
    </cfRule>
  </conditionalFormatting>
  <conditionalFormatting sqref="F78">
    <cfRule type="expression" dxfId="395" priority="578">
      <formula>H78&gt;Q78</formula>
    </cfRule>
  </conditionalFormatting>
  <conditionalFormatting sqref="F79:F80">
    <cfRule type="expression" dxfId="394" priority="593">
      <formula>H79&lt;Q79</formula>
    </cfRule>
  </conditionalFormatting>
  <conditionalFormatting sqref="F82:F83">
    <cfRule type="expression" dxfId="393" priority="554">
      <formula>H82&lt;Q82</formula>
    </cfRule>
  </conditionalFormatting>
  <conditionalFormatting sqref="F84">
    <cfRule type="expression" dxfId="392" priority="530">
      <formula>H84&gt;Q84</formula>
    </cfRule>
  </conditionalFormatting>
  <conditionalFormatting sqref="F85:F86">
    <cfRule type="expression" dxfId="391" priority="545">
      <formula>H85&lt;Q85</formula>
    </cfRule>
  </conditionalFormatting>
  <conditionalFormatting sqref="F88:F89">
    <cfRule type="expression" dxfId="390" priority="506">
      <formula>H88&lt;Q88</formula>
    </cfRule>
  </conditionalFormatting>
  <conditionalFormatting sqref="F90">
    <cfRule type="expression" dxfId="389" priority="482">
      <formula>H90&gt;Q90</formula>
    </cfRule>
  </conditionalFormatting>
  <conditionalFormatting sqref="F91:F92">
    <cfRule type="expression" dxfId="388" priority="497">
      <formula>H91&lt;Q91</formula>
    </cfRule>
  </conditionalFormatting>
  <conditionalFormatting sqref="F94:F95">
    <cfRule type="expression" dxfId="387" priority="347">
      <formula>H94&lt;Q94</formula>
    </cfRule>
  </conditionalFormatting>
  <conditionalFormatting sqref="F96">
    <cfRule type="expression" dxfId="386" priority="329">
      <formula>H96&gt;Q96</formula>
    </cfRule>
  </conditionalFormatting>
  <conditionalFormatting sqref="F97:F98">
    <cfRule type="expression" dxfId="385" priority="338">
      <formula>H97&lt;Q97</formula>
    </cfRule>
  </conditionalFormatting>
  <conditionalFormatting sqref="F100:F101">
    <cfRule type="expression" dxfId="384" priority="161">
      <formula>H100&lt;Q100</formula>
    </cfRule>
  </conditionalFormatting>
  <conditionalFormatting sqref="F102">
    <cfRule type="expression" dxfId="383" priority="155">
      <formula>H102&gt;Q102</formula>
    </cfRule>
  </conditionalFormatting>
  <conditionalFormatting sqref="F104:F105">
    <cfRule type="expression" dxfId="382" priority="143">
      <formula>H104&lt;Q104</formula>
    </cfRule>
  </conditionalFormatting>
  <conditionalFormatting sqref="F106">
    <cfRule type="expression" dxfId="381" priority="137">
      <formula>H106&gt;Q106</formula>
    </cfRule>
  </conditionalFormatting>
  <conditionalFormatting sqref="F108:F109">
    <cfRule type="expression" dxfId="380" priority="125">
      <formula>H108&lt;Q108</formula>
    </cfRule>
  </conditionalFormatting>
  <conditionalFormatting sqref="F110">
    <cfRule type="expression" dxfId="379" priority="119">
      <formula>H110&gt;Q110</formula>
    </cfRule>
  </conditionalFormatting>
  <conditionalFormatting sqref="F112:F113">
    <cfRule type="expression" dxfId="378" priority="65">
      <formula>H112&lt;Q112</formula>
    </cfRule>
  </conditionalFormatting>
  <conditionalFormatting sqref="F114">
    <cfRule type="expression" dxfId="377" priority="59">
      <formula>H114&gt;Q114</formula>
    </cfRule>
  </conditionalFormatting>
  <conditionalFormatting sqref="F116:F117">
    <cfRule type="expression" dxfId="376" priority="83">
      <formula>H116&lt;Q116</formula>
    </cfRule>
  </conditionalFormatting>
  <conditionalFormatting sqref="F118">
    <cfRule type="expression" dxfId="375" priority="77">
      <formula>H118&gt;Q118</formula>
    </cfRule>
  </conditionalFormatting>
  <conditionalFormatting sqref="J7:J8">
    <cfRule type="expression" dxfId="374" priority="456">
      <formula>N7&gt;=M7</formula>
    </cfRule>
  </conditionalFormatting>
  <conditionalFormatting sqref="J9">
    <cfRule type="expression" dxfId="373" priority="444">
      <formula>N9&lt;=M9</formula>
    </cfRule>
  </conditionalFormatting>
  <conditionalFormatting sqref="J10:J11">
    <cfRule type="expression" dxfId="372" priority="432">
      <formula>N10&gt;=M10</formula>
    </cfRule>
  </conditionalFormatting>
  <conditionalFormatting sqref="J12:J13">
    <cfRule type="expression" dxfId="371" priority="189">
      <formula>N12&lt;=M12</formula>
    </cfRule>
  </conditionalFormatting>
  <conditionalFormatting sqref="J14">
    <cfRule type="expression" dxfId="370" priority="414">
      <formula>N14&gt;=M14</formula>
    </cfRule>
  </conditionalFormatting>
  <conditionalFormatting sqref="J15">
    <cfRule type="expression" dxfId="369" priority="357">
      <formula>N15&lt;=M15</formula>
    </cfRule>
  </conditionalFormatting>
  <conditionalFormatting sqref="J17:J18">
    <cfRule type="expression" dxfId="368" priority="315">
      <formula>N17&gt;=M17</formula>
    </cfRule>
  </conditionalFormatting>
  <conditionalFormatting sqref="J19:J20">
    <cfRule type="expression" dxfId="367" priority="234">
      <formula>N19&lt;=M19</formula>
    </cfRule>
  </conditionalFormatting>
  <conditionalFormatting sqref="J21:J24">
    <cfRule type="expression" dxfId="366" priority="207">
      <formula>N21&gt;=M21</formula>
    </cfRule>
  </conditionalFormatting>
  <conditionalFormatting sqref="J26:J27">
    <cfRule type="expression" dxfId="365" priority="273">
      <formula>N26&gt;=M26</formula>
    </cfRule>
  </conditionalFormatting>
  <conditionalFormatting sqref="J28:J29">
    <cfRule type="expression" dxfId="364" priority="231">
      <formula>N28&lt;=M28</formula>
    </cfRule>
  </conditionalFormatting>
  <conditionalFormatting sqref="J31:J32">
    <cfRule type="expression" dxfId="363" priority="105">
      <formula>N31&gt;=M31</formula>
    </cfRule>
  </conditionalFormatting>
  <conditionalFormatting sqref="J33:J34">
    <cfRule type="expression" dxfId="362" priority="93">
      <formula>N33&lt;=M33</formula>
    </cfRule>
  </conditionalFormatting>
  <conditionalFormatting sqref="J36:J37">
    <cfRule type="expression" dxfId="361" priority="1260">
      <formula>N36&gt;=M36</formula>
    </cfRule>
  </conditionalFormatting>
  <conditionalFormatting sqref="J38">
    <cfRule type="expression" dxfId="360" priority="396">
      <formula>N38&lt;=M38</formula>
    </cfRule>
  </conditionalFormatting>
  <conditionalFormatting sqref="J39:J40">
    <cfRule type="expression" dxfId="359" priority="1227">
      <formula>N39&gt;=M39</formula>
    </cfRule>
  </conditionalFormatting>
  <conditionalFormatting sqref="J42:J43">
    <cfRule type="expression" dxfId="358" priority="840">
      <formula>N42&gt;=M42</formula>
    </cfRule>
  </conditionalFormatting>
  <conditionalFormatting sqref="J44">
    <cfRule type="expression" dxfId="357" priority="816">
      <formula>N44&lt;=M44</formula>
    </cfRule>
  </conditionalFormatting>
  <conditionalFormatting sqref="J45:J46">
    <cfRule type="expression" dxfId="356" priority="828">
      <formula>N45&gt;=M45</formula>
    </cfRule>
  </conditionalFormatting>
  <conditionalFormatting sqref="J48:J49">
    <cfRule type="expression" dxfId="355" priority="792">
      <formula>N48&gt;=M48</formula>
    </cfRule>
  </conditionalFormatting>
  <conditionalFormatting sqref="J50">
    <cfRule type="expression" dxfId="354" priority="393">
      <formula>N50&lt;=M50</formula>
    </cfRule>
  </conditionalFormatting>
  <conditionalFormatting sqref="J51:J52">
    <cfRule type="expression" dxfId="353" priority="780">
      <formula>N51&gt;=M51</formula>
    </cfRule>
  </conditionalFormatting>
  <conditionalFormatting sqref="J54:J55">
    <cfRule type="expression" dxfId="352" priority="744">
      <formula>N54&gt;=M54</formula>
    </cfRule>
  </conditionalFormatting>
  <conditionalFormatting sqref="J56">
    <cfRule type="expression" dxfId="351" priority="720">
      <formula>N56&lt;=M56</formula>
    </cfRule>
  </conditionalFormatting>
  <conditionalFormatting sqref="J57:J58">
    <cfRule type="expression" dxfId="350" priority="732">
      <formula>N57&gt;=M57</formula>
    </cfRule>
  </conditionalFormatting>
  <conditionalFormatting sqref="J60:J61">
    <cfRule type="expression" dxfId="349" priority="696">
      <formula>N60&gt;=M60</formula>
    </cfRule>
  </conditionalFormatting>
  <conditionalFormatting sqref="J62">
    <cfRule type="expression" dxfId="348" priority="672">
      <formula>N62&lt;=M62</formula>
    </cfRule>
  </conditionalFormatting>
  <conditionalFormatting sqref="J63:J64">
    <cfRule type="expression" dxfId="347" priority="684">
      <formula>N63&gt;=M63</formula>
    </cfRule>
  </conditionalFormatting>
  <conditionalFormatting sqref="J66:J67">
    <cfRule type="expression" dxfId="346" priority="45">
      <formula>N66&gt;=M66</formula>
    </cfRule>
  </conditionalFormatting>
  <conditionalFormatting sqref="J68">
    <cfRule type="expression" dxfId="345" priority="39">
      <formula>N68&lt;=M68</formula>
    </cfRule>
  </conditionalFormatting>
  <conditionalFormatting sqref="J70:J71">
    <cfRule type="expression" dxfId="344" priority="648">
      <formula>N70&gt;=M70</formula>
    </cfRule>
  </conditionalFormatting>
  <conditionalFormatting sqref="J72">
    <cfRule type="expression" dxfId="343" priority="624">
      <formula>N72&lt;=M72</formula>
    </cfRule>
  </conditionalFormatting>
  <conditionalFormatting sqref="J73:J74">
    <cfRule type="expression" dxfId="342" priority="636">
      <formula>N73&gt;=M73</formula>
    </cfRule>
  </conditionalFormatting>
  <conditionalFormatting sqref="J76:J77">
    <cfRule type="expression" dxfId="341" priority="600">
      <formula>N76&gt;=M76</formula>
    </cfRule>
  </conditionalFormatting>
  <conditionalFormatting sqref="J78">
    <cfRule type="expression" dxfId="340" priority="576">
      <formula>N78&lt;=M78</formula>
    </cfRule>
  </conditionalFormatting>
  <conditionalFormatting sqref="J79:J80">
    <cfRule type="expression" dxfId="339" priority="588">
      <formula>N79&gt;=M79</formula>
    </cfRule>
  </conditionalFormatting>
  <conditionalFormatting sqref="J82:J83">
    <cfRule type="expression" dxfId="338" priority="552">
      <formula>N82&gt;=M82</formula>
    </cfRule>
  </conditionalFormatting>
  <conditionalFormatting sqref="J84">
    <cfRule type="expression" dxfId="337" priority="528">
      <formula>N84&lt;=M84</formula>
    </cfRule>
  </conditionalFormatting>
  <conditionalFormatting sqref="J85:J86">
    <cfRule type="expression" dxfId="336" priority="540">
      <formula>N85&gt;=M85</formula>
    </cfRule>
  </conditionalFormatting>
  <conditionalFormatting sqref="J88:J89">
    <cfRule type="expression" dxfId="335" priority="504">
      <formula>N88&gt;=M88</formula>
    </cfRule>
  </conditionalFormatting>
  <conditionalFormatting sqref="J90">
    <cfRule type="expression" dxfId="334" priority="480">
      <formula>N90&lt;=M90</formula>
    </cfRule>
  </conditionalFormatting>
  <conditionalFormatting sqref="J91:J92">
    <cfRule type="expression" dxfId="333" priority="492">
      <formula>N91&gt;=M91</formula>
    </cfRule>
  </conditionalFormatting>
  <conditionalFormatting sqref="J94:J95">
    <cfRule type="expression" dxfId="332" priority="345">
      <formula>N94&gt;=M94</formula>
    </cfRule>
  </conditionalFormatting>
  <conditionalFormatting sqref="J96">
    <cfRule type="expression" dxfId="331" priority="327">
      <formula>N96&lt;=M96</formula>
    </cfRule>
  </conditionalFormatting>
  <conditionalFormatting sqref="J97:J98">
    <cfRule type="expression" dxfId="330" priority="333">
      <formula>N97&gt;=M97</formula>
    </cfRule>
  </conditionalFormatting>
  <conditionalFormatting sqref="J100:J101">
    <cfRule type="expression" dxfId="329" priority="159">
      <formula>N100&gt;=M100</formula>
    </cfRule>
  </conditionalFormatting>
  <conditionalFormatting sqref="J102">
    <cfRule type="expression" dxfId="328" priority="153">
      <formula>N102&lt;=M102</formula>
    </cfRule>
  </conditionalFormatting>
  <conditionalFormatting sqref="J104:J105">
    <cfRule type="expression" dxfId="327" priority="141">
      <formula>N104&gt;=M104</formula>
    </cfRule>
  </conditionalFormatting>
  <conditionalFormatting sqref="J106">
    <cfRule type="expression" dxfId="326" priority="135">
      <formula>N106&lt;=M106</formula>
    </cfRule>
  </conditionalFormatting>
  <conditionalFormatting sqref="J108:J109">
    <cfRule type="expression" dxfId="325" priority="123">
      <formula>N108&gt;=M108</formula>
    </cfRule>
  </conditionalFormatting>
  <conditionalFormatting sqref="J110">
    <cfRule type="expression" dxfId="324" priority="117">
      <formula>N110&lt;=M110</formula>
    </cfRule>
  </conditionalFormatting>
  <conditionalFormatting sqref="J112:J113">
    <cfRule type="expression" dxfId="323" priority="63">
      <formula>N112&gt;=M112</formula>
    </cfRule>
  </conditionalFormatting>
  <conditionalFormatting sqref="J114">
    <cfRule type="expression" dxfId="322" priority="57">
      <formula>N114&lt;=M114</formula>
    </cfRule>
  </conditionalFormatting>
  <conditionalFormatting sqref="J116:J117">
    <cfRule type="expression" dxfId="321" priority="81">
      <formula>N116&gt;=M116</formula>
    </cfRule>
  </conditionalFormatting>
  <conditionalFormatting sqref="J118">
    <cfRule type="expression" dxfId="320" priority="75">
      <formula>N118&lt;=M118</formula>
    </cfRule>
  </conditionalFormatting>
  <conditionalFormatting sqref="K7:K8">
    <cfRule type="expression" dxfId="319" priority="454">
      <formula>AND(N7&gt;=R7,N7&lt;M7)</formula>
    </cfRule>
  </conditionalFormatting>
  <conditionalFormatting sqref="K9">
    <cfRule type="expression" dxfId="318" priority="442">
      <formula>AND(N9&gt;M9,N9&lt;=R9)</formula>
    </cfRule>
  </conditionalFormatting>
  <conditionalFormatting sqref="K10:K11">
    <cfRule type="expression" dxfId="317" priority="430">
      <formula>AND(N10&gt;=R10,N10&lt;M10)</formula>
    </cfRule>
  </conditionalFormatting>
  <conditionalFormatting sqref="K12:K13">
    <cfRule type="expression" dxfId="316" priority="187">
      <formula>AND(N12&gt;M12,N12&lt;=R12)</formula>
    </cfRule>
  </conditionalFormatting>
  <conditionalFormatting sqref="K14">
    <cfRule type="expression" dxfId="315" priority="412">
      <formula>AND(N14&gt;=R14,N14&lt;M14)</formula>
    </cfRule>
  </conditionalFormatting>
  <conditionalFormatting sqref="K15">
    <cfRule type="expression" dxfId="314" priority="355">
      <formula>AND(N15&gt;M15,N15&lt;=R15)</formula>
    </cfRule>
  </conditionalFormatting>
  <conditionalFormatting sqref="K17:K18">
    <cfRule type="expression" dxfId="313" priority="313">
      <formula>AND(N17&gt;=R17,N17&lt;M17)</formula>
    </cfRule>
  </conditionalFormatting>
  <conditionalFormatting sqref="K19:K20">
    <cfRule type="expression" dxfId="312" priority="232">
      <formula>AND(N19&gt;M19,N19&lt;=R19)</formula>
    </cfRule>
  </conditionalFormatting>
  <conditionalFormatting sqref="K21:K24">
    <cfRule type="expression" dxfId="311" priority="205">
      <formula>AND(N21&gt;=R21,N21&lt;M21)</formula>
    </cfRule>
  </conditionalFormatting>
  <conditionalFormatting sqref="K26:K27">
    <cfRule type="expression" dxfId="310" priority="271">
      <formula>AND(N26&gt;=R26,N26&lt;M26)</formula>
    </cfRule>
  </conditionalFormatting>
  <conditionalFormatting sqref="K28:K29">
    <cfRule type="expression" dxfId="309" priority="229">
      <formula>AND(N28&gt;M28,N28&lt;=R28)</formula>
    </cfRule>
  </conditionalFormatting>
  <conditionalFormatting sqref="K31:K32">
    <cfRule type="expression" dxfId="308" priority="103">
      <formula>AND(N31&gt;=R31,N31&lt;M31)</formula>
    </cfRule>
  </conditionalFormatting>
  <conditionalFormatting sqref="K33:K34">
    <cfRule type="expression" dxfId="307" priority="91">
      <formula>AND(N33&gt;M33,N33&lt;=R33)</formula>
    </cfRule>
  </conditionalFormatting>
  <conditionalFormatting sqref="K36:K37">
    <cfRule type="expression" dxfId="306" priority="1258">
      <formula>AND(N36&gt;=R36,N36&lt;M36)</formula>
    </cfRule>
  </conditionalFormatting>
  <conditionalFormatting sqref="K38">
    <cfRule type="expression" dxfId="305" priority="394">
      <formula>AND(N38&gt;M38,N38&lt;=R38)</formula>
    </cfRule>
  </conditionalFormatting>
  <conditionalFormatting sqref="K39:K40">
    <cfRule type="expression" dxfId="304" priority="1225">
      <formula>AND(N39&gt;=R39,N39&lt;M39)</formula>
    </cfRule>
  </conditionalFormatting>
  <conditionalFormatting sqref="K42:K43">
    <cfRule type="expression" dxfId="303" priority="838">
      <formula>AND(N42&gt;=R42,N42&lt;M42)</formula>
    </cfRule>
  </conditionalFormatting>
  <conditionalFormatting sqref="K44">
    <cfRule type="expression" dxfId="302" priority="814">
      <formula>AND(N44&gt;M44,N44&lt;=R44)</formula>
    </cfRule>
  </conditionalFormatting>
  <conditionalFormatting sqref="K45:K46">
    <cfRule type="expression" dxfId="301" priority="826">
      <formula>AND(N45&gt;=R45,N45&lt;M45)</formula>
    </cfRule>
  </conditionalFormatting>
  <conditionalFormatting sqref="K48:K49">
    <cfRule type="expression" dxfId="300" priority="790">
      <formula>AND(N48&gt;=R48,N48&lt;M48)</formula>
    </cfRule>
  </conditionalFormatting>
  <conditionalFormatting sqref="K50">
    <cfRule type="expression" dxfId="299" priority="391">
      <formula>AND(N50&gt;M50,N50&lt;=R50)</formula>
    </cfRule>
  </conditionalFormatting>
  <conditionalFormatting sqref="K51:K52">
    <cfRule type="expression" dxfId="298" priority="778">
      <formula>AND(N51&gt;=R51,N51&lt;M51)</formula>
    </cfRule>
  </conditionalFormatting>
  <conditionalFormatting sqref="K54:K55">
    <cfRule type="expression" dxfId="297" priority="742">
      <formula>AND(N54&gt;=R54,N54&lt;M54)</formula>
    </cfRule>
  </conditionalFormatting>
  <conditionalFormatting sqref="K56">
    <cfRule type="expression" dxfId="296" priority="718">
      <formula>AND(N56&gt;M56,N56&lt;=R56)</formula>
    </cfRule>
  </conditionalFormatting>
  <conditionalFormatting sqref="K57:K58">
    <cfRule type="expression" dxfId="295" priority="730">
      <formula>AND(N57&gt;=R57,N57&lt;M57)</formula>
    </cfRule>
  </conditionalFormatting>
  <conditionalFormatting sqref="K60:K61">
    <cfRule type="expression" dxfId="294" priority="694">
      <formula>AND(N60&gt;=R60,N60&lt;M60)</formula>
    </cfRule>
  </conditionalFormatting>
  <conditionalFormatting sqref="K62">
    <cfRule type="expression" dxfId="293" priority="670">
      <formula>AND(N62&gt;M62,N62&lt;=R62)</formula>
    </cfRule>
  </conditionalFormatting>
  <conditionalFormatting sqref="K63:K64">
    <cfRule type="expression" dxfId="292" priority="682">
      <formula>AND(N63&gt;=R63,N63&lt;M63)</formula>
    </cfRule>
  </conditionalFormatting>
  <conditionalFormatting sqref="K66:K67">
    <cfRule type="expression" dxfId="291" priority="43">
      <formula>AND(N66&gt;=R66,N66&lt;M66)</formula>
    </cfRule>
  </conditionalFormatting>
  <conditionalFormatting sqref="K68">
    <cfRule type="expression" dxfId="290" priority="37">
      <formula>AND(N68&gt;M68,N68&lt;=R68)</formula>
    </cfRule>
  </conditionalFormatting>
  <conditionalFormatting sqref="K70:K71">
    <cfRule type="expression" dxfId="289" priority="646">
      <formula>AND(N70&gt;=R70,N70&lt;M70)</formula>
    </cfRule>
  </conditionalFormatting>
  <conditionalFormatting sqref="K72">
    <cfRule type="expression" dxfId="288" priority="622">
      <formula>AND(N72&gt;M72,N72&lt;=R72)</formula>
    </cfRule>
  </conditionalFormatting>
  <conditionalFormatting sqref="K73:K74">
    <cfRule type="expression" dxfId="287" priority="634">
      <formula>AND(N73&gt;=R73,N73&lt;M73)</formula>
    </cfRule>
  </conditionalFormatting>
  <conditionalFormatting sqref="K76:K77">
    <cfRule type="expression" dxfId="286" priority="598">
      <formula>AND(N76&gt;=R76,N76&lt;M76)</formula>
    </cfRule>
  </conditionalFormatting>
  <conditionalFormatting sqref="K78">
    <cfRule type="expression" dxfId="285" priority="574">
      <formula>AND(N78&gt;M78,N78&lt;=R78)</formula>
    </cfRule>
  </conditionalFormatting>
  <conditionalFormatting sqref="K79:K80">
    <cfRule type="expression" dxfId="284" priority="586">
      <formula>AND(N79&gt;=R79,N79&lt;M79)</formula>
    </cfRule>
  </conditionalFormatting>
  <conditionalFormatting sqref="K82:K83">
    <cfRule type="expression" dxfId="283" priority="550">
      <formula>AND(N82&gt;=R82,N82&lt;M82)</formula>
    </cfRule>
  </conditionalFormatting>
  <conditionalFormatting sqref="K84">
    <cfRule type="expression" dxfId="282" priority="526">
      <formula>AND(N84&gt;M84,N84&lt;=R84)</formula>
    </cfRule>
  </conditionalFormatting>
  <conditionalFormatting sqref="K85:K86">
    <cfRule type="expression" dxfId="281" priority="538">
      <formula>AND(N85&gt;=R85,N85&lt;M85)</formula>
    </cfRule>
  </conditionalFormatting>
  <conditionalFormatting sqref="K88:K89">
    <cfRule type="expression" dxfId="280" priority="502">
      <formula>AND(N88&gt;=R88,N88&lt;M88)</formula>
    </cfRule>
  </conditionalFormatting>
  <conditionalFormatting sqref="K90">
    <cfRule type="expression" dxfId="279" priority="478">
      <formula>AND(N90&gt;M90,N90&lt;=R90)</formula>
    </cfRule>
  </conditionalFormatting>
  <conditionalFormatting sqref="K91:K92">
    <cfRule type="expression" dxfId="278" priority="490">
      <formula>AND(N91&gt;=R91,N91&lt;M91)</formula>
    </cfRule>
  </conditionalFormatting>
  <conditionalFormatting sqref="K94:K95">
    <cfRule type="expression" dxfId="277" priority="343">
      <formula>AND(N94&gt;=R94,N94&lt;M94)</formula>
    </cfRule>
  </conditionalFormatting>
  <conditionalFormatting sqref="K96">
    <cfRule type="expression" dxfId="276" priority="325">
      <formula>AND(N96&gt;M96,N96&lt;=R96)</formula>
    </cfRule>
  </conditionalFormatting>
  <conditionalFormatting sqref="K97:K98">
    <cfRule type="expression" dxfId="275" priority="331">
      <formula>AND(N97&gt;=R97,N97&lt;M97)</formula>
    </cfRule>
  </conditionalFormatting>
  <conditionalFormatting sqref="K100:K101">
    <cfRule type="expression" dxfId="274" priority="157">
      <formula>AND(N100&gt;=R100,N100&lt;M100)</formula>
    </cfRule>
  </conditionalFormatting>
  <conditionalFormatting sqref="K102">
    <cfRule type="expression" dxfId="273" priority="151">
      <formula>AND(N102&gt;M102,N102&lt;=R102)</formula>
    </cfRule>
  </conditionalFormatting>
  <conditionalFormatting sqref="K104:K105">
    <cfRule type="expression" dxfId="272" priority="139">
      <formula>AND(N104&gt;=R104,N104&lt;M104)</formula>
    </cfRule>
  </conditionalFormatting>
  <conditionalFormatting sqref="K106">
    <cfRule type="expression" dxfId="271" priority="133">
      <formula>AND(N106&gt;M106,N106&lt;=R106)</formula>
    </cfRule>
  </conditionalFormatting>
  <conditionalFormatting sqref="K108:K109">
    <cfRule type="expression" dxfId="270" priority="121">
      <formula>AND(N108&gt;=R108,N108&lt;M108)</formula>
    </cfRule>
  </conditionalFormatting>
  <conditionalFormatting sqref="K110">
    <cfRule type="expression" dxfId="269" priority="115">
      <formula>AND(N110&gt;M110,N110&lt;=R110)</formula>
    </cfRule>
  </conditionalFormatting>
  <conditionalFormatting sqref="K112:K113">
    <cfRule type="expression" dxfId="268" priority="61">
      <formula>AND(N112&gt;=R112,N112&lt;M112)</formula>
    </cfRule>
  </conditionalFormatting>
  <conditionalFormatting sqref="K114">
    <cfRule type="expression" dxfId="267" priority="55">
      <formula>AND(N114&gt;M114,N114&lt;=R114)</formula>
    </cfRule>
  </conditionalFormatting>
  <conditionalFormatting sqref="K116:K117">
    <cfRule type="expression" dxfId="266" priority="79">
      <formula>AND(N116&gt;=R116,N116&lt;M116)</formula>
    </cfRule>
  </conditionalFormatting>
  <conditionalFormatting sqref="K118">
    <cfRule type="expression" dxfId="265" priority="73">
      <formula>AND(N118&gt;M118,N118&lt;=R118)</formula>
    </cfRule>
  </conditionalFormatting>
  <conditionalFormatting sqref="L7:L8">
    <cfRule type="expression" dxfId="264" priority="455">
      <formula>N7&lt;R7</formula>
    </cfRule>
  </conditionalFormatting>
  <conditionalFormatting sqref="L9">
    <cfRule type="expression" dxfId="263" priority="443">
      <formula>N9&gt;R9</formula>
    </cfRule>
  </conditionalFormatting>
  <conditionalFormatting sqref="L10:L11">
    <cfRule type="expression" dxfId="262" priority="431">
      <formula>N10&lt;R10</formula>
    </cfRule>
  </conditionalFormatting>
  <conditionalFormatting sqref="L12:L13">
    <cfRule type="expression" dxfId="261" priority="188">
      <formula>N12&gt;R12</formula>
    </cfRule>
  </conditionalFormatting>
  <conditionalFormatting sqref="L14">
    <cfRule type="expression" dxfId="260" priority="413">
      <formula>N14&lt;R14</formula>
    </cfRule>
  </conditionalFormatting>
  <conditionalFormatting sqref="L15">
    <cfRule type="expression" dxfId="259" priority="356">
      <formula>N15&gt;R15</formula>
    </cfRule>
  </conditionalFormatting>
  <conditionalFormatting sqref="L17:L18">
    <cfRule type="expression" dxfId="258" priority="314">
      <formula>N17&lt;R17</formula>
    </cfRule>
  </conditionalFormatting>
  <conditionalFormatting sqref="L19:L20">
    <cfRule type="expression" dxfId="257" priority="233">
      <formula>N19&gt;R19</formula>
    </cfRule>
  </conditionalFormatting>
  <conditionalFormatting sqref="L21:L24">
    <cfRule type="expression" dxfId="256" priority="206">
      <formula>N21&lt;R21</formula>
    </cfRule>
  </conditionalFormatting>
  <conditionalFormatting sqref="L26:L27">
    <cfRule type="expression" dxfId="255" priority="272">
      <formula>N26&lt;R26</formula>
    </cfRule>
  </conditionalFormatting>
  <conditionalFormatting sqref="L28:L29">
    <cfRule type="expression" dxfId="254" priority="230">
      <formula>N28&gt;R28</formula>
    </cfRule>
  </conditionalFormatting>
  <conditionalFormatting sqref="L31:L32">
    <cfRule type="expression" dxfId="253" priority="104">
      <formula>N31&lt;R31</formula>
    </cfRule>
  </conditionalFormatting>
  <conditionalFormatting sqref="L33:L34">
    <cfRule type="expression" dxfId="252" priority="92">
      <formula>N33&gt;R33</formula>
    </cfRule>
  </conditionalFormatting>
  <conditionalFormatting sqref="L36:L37">
    <cfRule type="expression" dxfId="251" priority="1259">
      <formula>N36&lt;R36</formula>
    </cfRule>
  </conditionalFormatting>
  <conditionalFormatting sqref="L38">
    <cfRule type="expression" dxfId="250" priority="395">
      <formula>N38&gt;R38</formula>
    </cfRule>
  </conditionalFormatting>
  <conditionalFormatting sqref="L39:L40">
    <cfRule type="expression" dxfId="249" priority="1226">
      <formula>N39&lt;R39</formula>
    </cfRule>
  </conditionalFormatting>
  <conditionalFormatting sqref="L42:L43">
    <cfRule type="expression" dxfId="248" priority="839">
      <formula>N42&lt;R42</formula>
    </cfRule>
  </conditionalFormatting>
  <conditionalFormatting sqref="L44">
    <cfRule type="expression" dxfId="247" priority="815">
      <formula>N44&gt;R44</formula>
    </cfRule>
  </conditionalFormatting>
  <conditionalFormatting sqref="L45:L46">
    <cfRule type="expression" dxfId="246" priority="827">
      <formula>N45&lt;R45</formula>
    </cfRule>
  </conditionalFormatting>
  <conditionalFormatting sqref="L48:L49">
    <cfRule type="expression" dxfId="245" priority="791">
      <formula>N48&lt;R48</formula>
    </cfRule>
  </conditionalFormatting>
  <conditionalFormatting sqref="L50">
    <cfRule type="expression" dxfId="244" priority="392">
      <formula>N50&gt;R50</formula>
    </cfRule>
  </conditionalFormatting>
  <conditionalFormatting sqref="L51:L52">
    <cfRule type="expression" dxfId="243" priority="779">
      <formula>N51&lt;R51</formula>
    </cfRule>
  </conditionalFormatting>
  <conditionalFormatting sqref="L54:L55">
    <cfRule type="expression" dxfId="242" priority="743">
      <formula>N54&lt;R54</formula>
    </cfRule>
  </conditionalFormatting>
  <conditionalFormatting sqref="L56">
    <cfRule type="expression" dxfId="241" priority="719">
      <formula>N56&gt;R56</formula>
    </cfRule>
  </conditionalFormatting>
  <conditionalFormatting sqref="L57:L58">
    <cfRule type="expression" dxfId="240" priority="731">
      <formula>N57&lt;R57</formula>
    </cfRule>
  </conditionalFormatting>
  <conditionalFormatting sqref="L60:L61">
    <cfRule type="expression" dxfId="239" priority="695">
      <formula>N60&lt;R60</formula>
    </cfRule>
  </conditionalFormatting>
  <conditionalFormatting sqref="L62">
    <cfRule type="expression" dxfId="238" priority="671">
      <formula>N62&gt;R62</formula>
    </cfRule>
  </conditionalFormatting>
  <conditionalFormatting sqref="L63:L64">
    <cfRule type="expression" dxfId="237" priority="683">
      <formula>N63&lt;R63</formula>
    </cfRule>
  </conditionalFormatting>
  <conditionalFormatting sqref="L66:L67">
    <cfRule type="expression" dxfId="236" priority="44">
      <formula>N66&lt;R66</formula>
    </cfRule>
  </conditionalFormatting>
  <conditionalFormatting sqref="L68">
    <cfRule type="expression" dxfId="235" priority="38">
      <formula>N68&gt;R68</formula>
    </cfRule>
  </conditionalFormatting>
  <conditionalFormatting sqref="L70:L71">
    <cfRule type="expression" dxfId="234" priority="647">
      <formula>N70&lt;R70</formula>
    </cfRule>
  </conditionalFormatting>
  <conditionalFormatting sqref="L72">
    <cfRule type="expression" dxfId="233" priority="623">
      <formula>N72&gt;R72</formula>
    </cfRule>
  </conditionalFormatting>
  <conditionalFormatting sqref="L73:L74">
    <cfRule type="expression" dxfId="232" priority="635">
      <formula>N73&lt;R73</formula>
    </cfRule>
  </conditionalFormatting>
  <conditionalFormatting sqref="L76:L77">
    <cfRule type="expression" dxfId="231" priority="599">
      <formula>N76&lt;R76</formula>
    </cfRule>
  </conditionalFormatting>
  <conditionalFormatting sqref="L78">
    <cfRule type="expression" dxfId="230" priority="575">
      <formula>N78&gt;R78</formula>
    </cfRule>
  </conditionalFormatting>
  <conditionalFormatting sqref="L79:L80">
    <cfRule type="expression" dxfId="229" priority="587">
      <formula>N79&lt;R79</formula>
    </cfRule>
  </conditionalFormatting>
  <conditionalFormatting sqref="L82:L83">
    <cfRule type="expression" dxfId="228" priority="551">
      <formula>N82&lt;R82</formula>
    </cfRule>
  </conditionalFormatting>
  <conditionalFormatting sqref="L84">
    <cfRule type="expression" dxfId="227" priority="527">
      <formula>N84&gt;R84</formula>
    </cfRule>
  </conditionalFormatting>
  <conditionalFormatting sqref="L85:L86">
    <cfRule type="expression" dxfId="226" priority="539">
      <formula>N85&lt;R85</formula>
    </cfRule>
  </conditionalFormatting>
  <conditionalFormatting sqref="L88:L89">
    <cfRule type="expression" dxfId="225" priority="503">
      <formula>N88&lt;R88</formula>
    </cfRule>
  </conditionalFormatting>
  <conditionalFormatting sqref="L90">
    <cfRule type="expression" dxfId="224" priority="479">
      <formula>N90&gt;R90</formula>
    </cfRule>
  </conditionalFormatting>
  <conditionalFormatting sqref="L91:L92">
    <cfRule type="expression" dxfId="223" priority="491">
      <formula>N91&lt;R91</formula>
    </cfRule>
  </conditionalFormatting>
  <conditionalFormatting sqref="L94:L95">
    <cfRule type="expression" dxfId="222" priority="344">
      <formula>N94&lt;R94</formula>
    </cfRule>
  </conditionalFormatting>
  <conditionalFormatting sqref="L96">
    <cfRule type="expression" dxfId="221" priority="326">
      <formula>N96&gt;R96</formula>
    </cfRule>
  </conditionalFormatting>
  <conditionalFormatting sqref="L97:L98">
    <cfRule type="expression" dxfId="220" priority="332">
      <formula>N97&lt;R97</formula>
    </cfRule>
  </conditionalFormatting>
  <conditionalFormatting sqref="L100:L101">
    <cfRule type="expression" dxfId="219" priority="158">
      <formula>N100&lt;R100</formula>
    </cfRule>
  </conditionalFormatting>
  <conditionalFormatting sqref="L102">
    <cfRule type="expression" dxfId="218" priority="152">
      <formula>N102&gt;R102</formula>
    </cfRule>
  </conditionalFormatting>
  <conditionalFormatting sqref="L104:L105">
    <cfRule type="expression" dxfId="217" priority="140">
      <formula>N104&lt;R104</formula>
    </cfRule>
  </conditionalFormatting>
  <conditionalFormatting sqref="L106">
    <cfRule type="expression" dxfId="216" priority="134">
      <formula>N106&gt;R106</formula>
    </cfRule>
  </conditionalFormatting>
  <conditionalFormatting sqref="L108:L109">
    <cfRule type="expression" dxfId="215" priority="122">
      <formula>N108&lt;R108</formula>
    </cfRule>
  </conditionalFormatting>
  <conditionalFormatting sqref="L110">
    <cfRule type="expression" dxfId="214" priority="116">
      <formula>N110&gt;R110</formula>
    </cfRule>
  </conditionalFormatting>
  <conditionalFormatting sqref="L112:L113">
    <cfRule type="expression" dxfId="213" priority="62">
      <formula>N112&lt;R112</formula>
    </cfRule>
  </conditionalFormatting>
  <conditionalFormatting sqref="L114">
    <cfRule type="expression" dxfId="212" priority="56">
      <formula>N114&gt;R114</formula>
    </cfRule>
  </conditionalFormatting>
  <conditionalFormatting sqref="L116:L117">
    <cfRule type="expression" dxfId="211" priority="80">
      <formula>N116&lt;R116</formula>
    </cfRule>
  </conditionalFormatting>
  <conditionalFormatting sqref="L118">
    <cfRule type="expression" dxfId="210" priority="74">
      <formula>N118&gt;R118</formula>
    </cfRule>
  </conditionalFormatting>
  <hyperlinks>
    <hyperlink ref="P36" location="'KPI 101'!A1" display="details"/>
    <hyperlink ref="P38" location="'KPI 122'!A1" display="details"/>
    <hyperlink ref="P37" location="'KPI 108'!A1" display="details"/>
    <hyperlink ref="P39" location="'KPI RB5 (B)'!A1" display="details"/>
    <hyperlink ref="P40" location="'KPI RB6 (C)'!A1" display="details"/>
    <hyperlink ref="P42" location="'KPI 102'!A1" display="details"/>
    <hyperlink ref="P44" location="'KPI 123'!A1" display="details"/>
    <hyperlink ref="P43" location="'KPI 109'!A1" display="details"/>
    <hyperlink ref="P45" location="'KPI 123A'!A1" display="details"/>
    <hyperlink ref="P46" location="'KPI 123B'!A1" display="details"/>
    <hyperlink ref="P48" location="'KPI 104'!A1" display="details"/>
    <hyperlink ref="P50" location="'KPI 125'!A1" display="details"/>
    <hyperlink ref="P49" location="'KPI 111'!A1" display="details"/>
    <hyperlink ref="P51" location="'KPI 125B'!A1" display="details"/>
    <hyperlink ref="P52" location="'KPI 125C'!A1" display="details"/>
    <hyperlink ref="P54" location="'KPI 103'!A1" display="details"/>
    <hyperlink ref="P56" location="'KPI 124'!A1" display="details"/>
    <hyperlink ref="P55" location="'KPI 110'!A1" display="details"/>
    <hyperlink ref="P57" location="'KPI 124B'!A1" display="details"/>
    <hyperlink ref="P58" location="'KPI 124C'!A1" display="details"/>
    <hyperlink ref="P60" location="'KPI 105'!A1" display="details"/>
    <hyperlink ref="P62" location="'KPI 126'!A1" display="details"/>
    <hyperlink ref="P61" location="'KPI 112'!A1" display="details"/>
    <hyperlink ref="P63" location="'KPI 126B'!A1" display="details"/>
    <hyperlink ref="P64" location="'KPI 126C'!A1" display="details"/>
    <hyperlink ref="P70" location="'KPI 106'!A1" display="details"/>
    <hyperlink ref="P72" location="'KPI 127'!A1" display="details"/>
    <hyperlink ref="P71" location="'KPI 113'!A1" display="details"/>
    <hyperlink ref="P73" location="'KPI 127B'!A1" display="details"/>
    <hyperlink ref="P74" location="'KPI 127C'!A1" display="details"/>
    <hyperlink ref="P76" location="'KPI 103 (3)'!A1" display="details"/>
    <hyperlink ref="P78" location="'KPI 124 (3)'!A1" display="details"/>
    <hyperlink ref="P77" location="'KPI 110 (3)'!A1" display="details"/>
    <hyperlink ref="P79" location="'KPI 124D'!A1" display="details"/>
    <hyperlink ref="P80" location="'KPI 124E'!A1" display="details"/>
    <hyperlink ref="P82" location="'KPI 103 (2)'!A1" display="details"/>
    <hyperlink ref="P84" location="'KPI 124 (2)'!A1" display="details"/>
    <hyperlink ref="P83" location="'KPI 110 (2)'!A1" display="details"/>
    <hyperlink ref="P85" location="'KPI 124F'!A1" display="details"/>
    <hyperlink ref="P86" location="'KPI 124G'!A1" display="details"/>
    <hyperlink ref="P88" location="'KPI 103 (4)'!A1" display="details"/>
    <hyperlink ref="P90" location="'KPI 124 (4)'!A1" display="details"/>
    <hyperlink ref="P89" location="'KPI 110 (4)'!A1" display="details"/>
    <hyperlink ref="P91" location="'KPI 124K'!A1" display="details"/>
    <hyperlink ref="P92" location="'KPI 124M'!A1" display="details"/>
    <hyperlink ref="P7" location="'KPI 100'!A1" display="details"/>
    <hyperlink ref="P8" location="'KPI 128a'!A1" display="details"/>
    <hyperlink ref="P9" location="'KPI 128'!A1" display="details"/>
    <hyperlink ref="P10" location="'KPI 129'!A1" display="details"/>
    <hyperlink ref="P11" location="'KPI 129a'!A1" display="details"/>
    <hyperlink ref="P12" location="'KPI 129b'!A1" display="details"/>
    <hyperlink ref="P13" location="'KPI 129c'!A1" display="details"/>
    <hyperlink ref="P14" location="'KPI 129d'!A1" display="details"/>
    <hyperlink ref="P15" location="'KPI 135'!A1" display="details"/>
    <hyperlink ref="P94" location="'KPI 103 (5)'!A1" display="details"/>
    <hyperlink ref="P96" location="'KPI 124 (5)'!A1" display="details"/>
    <hyperlink ref="P95" location="'KPI 110 (5)'!A1" display="details"/>
    <hyperlink ref="P97" location="'KPI 124N'!A1" display="details"/>
    <hyperlink ref="P98" location="'KPI 124P'!A1" display="details"/>
    <hyperlink ref="P17" location="'KPI RA'!A1" display="details"/>
    <hyperlink ref="P20" location="'KPI RA4'!A1" display="details"/>
    <hyperlink ref="P18" location="'KPI RA2'!A1" display="details"/>
    <hyperlink ref="P21" location="'KPI RA5'!A1" display="details"/>
    <hyperlink ref="P19" location="'KPI RA3'!A1" display="details"/>
    <hyperlink ref="P29" location="'KPI RB4'!A1" display="details"/>
    <hyperlink ref="P27" location="'KPI RB2'!A1" display="details"/>
    <hyperlink ref="P28" location="'KPI RB3 (2)'!A1" display="details"/>
    <hyperlink ref="P23" location="'KPI 129e'!A1" display="details"/>
    <hyperlink ref="P24" location="'KPI 129f'!A1" display="details"/>
    <hyperlink ref="P26" location="'KPI RA6 (B)'!A1" display="details"/>
    <hyperlink ref="P22" location="'KPI RA6'!A1" display="details"/>
    <hyperlink ref="P100" location="'KPI Y'!A1" display="details"/>
    <hyperlink ref="P102" location="'KPI k'!A1" display="details"/>
    <hyperlink ref="P101" location="'KPI z'!A1" display="details"/>
    <hyperlink ref="P104" location="'KPI Y (2)'!A1" display="details"/>
    <hyperlink ref="P106" location="'KPI k (2)'!A1" display="details"/>
    <hyperlink ref="P105" location="'KPI z (2)'!A1" display="details"/>
    <hyperlink ref="P108" location="'KPI Y (3)'!A1" display="details"/>
    <hyperlink ref="P110" location="'KPI k (3)'!A1" display="details"/>
    <hyperlink ref="P109" location="'KPI z (3)'!A1" display="details"/>
    <hyperlink ref="P34" location="'KPI RB4 (2)'!A1" display="details"/>
    <hyperlink ref="P32" location="'KPI RB2 (3)'!A1" display="details"/>
    <hyperlink ref="P33" location="'KPI RB3 (3)'!A1" display="details"/>
    <hyperlink ref="P31" location="'KPI RA6 (B) (2)'!A1" display="details"/>
    <hyperlink ref="P116" location="'KPI 103 (6)'!A1" display="'KPI 103 (6)'!A1"/>
    <hyperlink ref="P117" location="'KPI 110 (6)'!A1" display="'KPI 110 (6)'!A1"/>
    <hyperlink ref="P118" location="'KPI 124 (6)'!A1" display="'KPI 124 (6)'!A1"/>
    <hyperlink ref="P112" location="'KPI 103(7)'!A1" display="details"/>
    <hyperlink ref="P114" location="'KPI 124(7)'!A1" display="details"/>
    <hyperlink ref="P113" location="'KPI 110(7)'!A1" display="details"/>
    <hyperlink ref="A1" location="'KPI 124(7)'!A1" display="NAIVAWASS DISTRIBUTION DASHBOARD - NON-REVENUE WATER &amp; ZONAL PERFORMANCE"/>
    <hyperlink ref="P66" location="'KPI 105B'!A1" display="details"/>
    <hyperlink ref="P68" location="'KPI 126B'!A1" display="details"/>
    <hyperlink ref="P67" location="'KPI 112B'!A1" display="details"/>
  </hyperlinks>
  <pageMargins left="0.511811023622047" right="0.511811023622047" top="0.74803149606299202" bottom="0.74803149606299202" header="0.31496062992126" footer="0.31496062992126"/>
  <pageSetup paperSize="9" scale="80" fitToWidth="0" orientation="landscape" r:id="rId1"/>
  <ignoredErrors>
    <ignoredError sqref="Q14:R14" formula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44065" r:id="rId4" name="Spinner 1">
              <controlPr defaultSize="0" autoPict="0">
                <anchor moveWithCells="1" sizeWithCells="1">
                  <from>
                    <xdr:col>1</xdr:col>
                    <xdr:colOff>1009650</xdr:colOff>
                    <xdr:row>1</xdr:row>
                    <xdr:rowOff>12700</xdr:rowOff>
                  </from>
                  <to>
                    <xdr:col>1</xdr:col>
                    <xdr:colOff>1651000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6"/>
  <sheetViews>
    <sheetView workbookViewId="0">
      <selection activeCell="E36" sqref="E36"/>
    </sheetView>
  </sheetViews>
  <sheetFormatPr defaultColWidth="9.1796875" defaultRowHeight="14.5" x14ac:dyDescent="0.35"/>
  <cols>
    <col min="1" max="1" width="7.81640625" style="57" customWidth="1"/>
    <col min="2" max="2" width="41.453125" style="57" bestFit="1" customWidth="1"/>
    <col min="3" max="3" width="9.1796875" style="57"/>
    <col min="4" max="9" width="13.26953125" style="57" customWidth="1"/>
    <col min="10" max="11" width="13.26953125" style="57" bestFit="1" customWidth="1"/>
    <col min="12" max="12" width="13.26953125" style="93" bestFit="1" customWidth="1"/>
    <col min="13" max="15" width="13.26953125" style="57" bestFit="1" customWidth="1"/>
    <col min="16" max="16384" width="9.1796875" style="57"/>
  </cols>
  <sheetData>
    <row r="1" spans="1:17" x14ac:dyDescent="0.35">
      <c r="A1" s="57" t="str">
        <f>'Distribution Dashboard'!A1</f>
        <v>NAIVAWASS DISTRIBUTION DASHBOARD - NON-REVENUE WATER &amp; ZONAL PERFORMANCE</v>
      </c>
      <c r="B1" s="57">
        <f>'Distribution Dashboard'!B1</f>
        <v>0</v>
      </c>
      <c r="C1" s="57">
        <f>'Distribution Dashboard'!D1</f>
        <v>0</v>
      </c>
    </row>
    <row r="2" spans="1:17" x14ac:dyDescent="0.35">
      <c r="A2" s="57">
        <f>'Distribution Dashboard'!A2</f>
        <v>0</v>
      </c>
      <c r="B2" s="57">
        <f>'Distribution Dashboard'!B2</f>
        <v>46054</v>
      </c>
      <c r="C2" s="57">
        <f>'Distribution Dashboard'!D2</f>
        <v>0</v>
      </c>
    </row>
    <row r="3" spans="1:17" x14ac:dyDescent="0.35">
      <c r="A3" s="57">
        <f>'Distribution Dashboard'!A3</f>
        <v>0</v>
      </c>
      <c r="B3" s="57">
        <f>'Distribution Dashboard'!B3</f>
        <v>0</v>
      </c>
      <c r="C3" s="57" t="str">
        <f>'Distribution Dashboard'!D3</f>
        <v>Monthly</v>
      </c>
    </row>
    <row r="4" spans="1:17" x14ac:dyDescent="0.35">
      <c r="A4" s="57">
        <f>'Distribution Dashboard'!A4</f>
        <v>0</v>
      </c>
      <c r="B4" s="57">
        <f>'Distribution Dashboard'!B4</f>
        <v>0</v>
      </c>
      <c r="C4" s="57" t="str">
        <f>'Distribution Dashboard'!C4</f>
        <v>Unit</v>
      </c>
      <c r="D4" s="71">
        <v>45839</v>
      </c>
      <c r="E4" s="71">
        <v>45870</v>
      </c>
      <c r="F4" s="71">
        <v>45901</v>
      </c>
      <c r="G4" s="71">
        <v>45931</v>
      </c>
      <c r="H4" s="71">
        <v>45962</v>
      </c>
      <c r="I4" s="71">
        <v>45992</v>
      </c>
      <c r="J4" s="71">
        <v>46023</v>
      </c>
      <c r="K4" s="71">
        <v>46054</v>
      </c>
      <c r="L4" s="71">
        <v>46082</v>
      </c>
      <c r="M4" s="71">
        <v>46113</v>
      </c>
      <c r="N4" s="71">
        <v>46143</v>
      </c>
      <c r="O4" s="71">
        <v>46174</v>
      </c>
    </row>
    <row r="5" spans="1:17" x14ac:dyDescent="0.35">
      <c r="A5" s="57" t="e">
        <f>'Distribution Dashboard'!#REF!</f>
        <v>#REF!</v>
      </c>
      <c r="B5" s="57" t="e">
        <f>'Distribution Dashboard'!#REF!</f>
        <v>#REF!</v>
      </c>
      <c r="C5" s="57" t="e">
        <f>'Distribution Dashboard'!#REF!</f>
        <v>#REF!</v>
      </c>
      <c r="D5" s="71"/>
      <c r="E5" s="71"/>
      <c r="F5" s="71"/>
      <c r="G5" s="71"/>
      <c r="H5" s="71"/>
      <c r="I5" s="71"/>
      <c r="J5" s="71"/>
      <c r="K5" s="71"/>
      <c r="L5" s="94"/>
      <c r="M5" s="71"/>
      <c r="N5" s="71"/>
      <c r="O5" s="71"/>
    </row>
    <row r="6" spans="1:17" x14ac:dyDescent="0.35">
      <c r="A6" s="57" t="e">
        <f>'Distribution Dashboard'!#REF!</f>
        <v>#REF!</v>
      </c>
      <c r="B6" s="57" t="e">
        <f>'Distribution Dashboard'!#REF!</f>
        <v>#REF!</v>
      </c>
      <c r="C6" s="57" t="e">
        <f>'Distribution Dashboard'!#REF!</f>
        <v>#REF!</v>
      </c>
      <c r="D6" s="91">
        <f>D11</f>
        <v>214810.56914782134</v>
      </c>
      <c r="E6" s="91">
        <f t="shared" ref="E6:O6" si="0">E11</f>
        <v>215882.83666165808</v>
      </c>
      <c r="F6" s="91">
        <f t="shared" si="0"/>
        <v>217038.89692224737</v>
      </c>
      <c r="G6" s="91">
        <f t="shared" si="0"/>
        <v>220378.22782870446</v>
      </c>
      <c r="H6" s="91">
        <f t="shared" si="0"/>
        <v>223369.42690525271</v>
      </c>
      <c r="I6" s="91">
        <f t="shared" si="0"/>
        <v>226152.02068992931</v>
      </c>
      <c r="J6" s="91">
        <f t="shared" si="0"/>
        <v>228481.92458352185</v>
      </c>
      <c r="K6" s="91">
        <f t="shared" si="0"/>
        <v>230597.54382175682</v>
      </c>
      <c r="L6" s="91">
        <f t="shared" si="0"/>
        <v>232389.43623022985</v>
      </c>
      <c r="M6" s="91">
        <f t="shared" si="0"/>
        <v>233508.46181669243</v>
      </c>
      <c r="N6" s="91">
        <f t="shared" si="0"/>
        <v>234597.58058775531</v>
      </c>
      <c r="O6" s="91">
        <f t="shared" si="0"/>
        <v>235619.07480443019</v>
      </c>
    </row>
    <row r="7" spans="1:17" x14ac:dyDescent="0.35">
      <c r="A7" s="57" t="e">
        <f>'Distribution Dashboard'!#REF!</f>
        <v>#REF!</v>
      </c>
      <c r="B7" s="57" t="e">
        <f>'Distribution Dashboard'!#REF!</f>
        <v>#REF!</v>
      </c>
      <c r="C7" s="57" t="e">
        <f>'Distribution Dashboard'!#REF!</f>
        <v>#REF!</v>
      </c>
      <c r="D7" s="91">
        <f>D16</f>
        <v>162967.7442335966</v>
      </c>
      <c r="E7" s="91">
        <f t="shared" ref="E7:O7" si="1">E16</f>
        <v>164996.22762758762</v>
      </c>
      <c r="F7" s="91">
        <f t="shared" si="1"/>
        <v>167133.6122432423</v>
      </c>
      <c r="G7" s="91">
        <f t="shared" si="1"/>
        <v>170794.2475474836</v>
      </c>
      <c r="H7" s="91">
        <f t="shared" si="1"/>
        <v>174251.4018390667</v>
      </c>
      <c r="I7" s="91">
        <f t="shared" si="1"/>
        <v>177638.11139871617</v>
      </c>
      <c r="J7" s="91">
        <f t="shared" si="1"/>
        <v>180823.43914382733</v>
      </c>
      <c r="K7" s="91">
        <f t="shared" si="1"/>
        <v>183888.91262962579</v>
      </c>
      <c r="L7" s="91">
        <f t="shared" si="1"/>
        <v>186764.48642215956</v>
      </c>
      <c r="M7" s="91">
        <f t="shared" si="1"/>
        <v>189206.27401245051</v>
      </c>
      <c r="N7" s="91">
        <f t="shared" si="1"/>
        <v>191648.06160274139</v>
      </c>
      <c r="O7" s="91">
        <f t="shared" si="1"/>
        <v>194059.95820076609</v>
      </c>
    </row>
    <row r="8" spans="1:17" x14ac:dyDescent="0.35">
      <c r="A8" s="57" t="e">
        <f>'Distribution Dashboard'!#REF!</f>
        <v>#REF!</v>
      </c>
      <c r="B8" s="57" t="e">
        <f>'Distribution Dashboard'!#REF!</f>
        <v>#REF!</v>
      </c>
      <c r="C8" s="57" t="e">
        <f>'Distribution Dashboard'!#REF!</f>
        <v>#REF!</v>
      </c>
      <c r="D8" s="70">
        <f>(D6-D7)/D6</f>
        <v>0.24134205835351252</v>
      </c>
      <c r="E8" s="70">
        <f t="shared" ref="E8:O8" si="2">(E6-E7)/E6</f>
        <v>0.23571400960337752</v>
      </c>
      <c r="F8" s="70">
        <f t="shared" si="2"/>
        <v>0.22993705454042773</v>
      </c>
      <c r="G8" s="70">
        <f t="shared" si="2"/>
        <v>0.2249949133802886</v>
      </c>
      <c r="H8" s="70">
        <f t="shared" si="2"/>
        <v>0.21989591747943441</v>
      </c>
      <c r="I8" s="70">
        <f t="shared" si="2"/>
        <v>0.21451901753170363</v>
      </c>
      <c r="J8" s="70">
        <f t="shared" si="2"/>
        <v>0.20858755250143604</v>
      </c>
      <c r="K8" s="70">
        <f t="shared" si="2"/>
        <v>0.20255476453918794</v>
      </c>
      <c r="L8" s="96">
        <f t="shared" si="2"/>
        <v>0.19632970649693959</v>
      </c>
      <c r="M8" s="70">
        <f t="shared" si="2"/>
        <v>0.18972412159958379</v>
      </c>
      <c r="N8" s="70">
        <f t="shared" si="2"/>
        <v>0.18307741655906762</v>
      </c>
      <c r="O8" s="70">
        <f t="shared" si="2"/>
        <v>0.17638264914739699</v>
      </c>
    </row>
    <row r="9" spans="1:17" x14ac:dyDescent="0.35">
      <c r="A9" s="57" t="e">
        <f>'Distribution Dashboard'!#REF!</f>
        <v>#REF!</v>
      </c>
      <c r="D9" s="70"/>
      <c r="E9" s="70"/>
      <c r="F9" s="70"/>
      <c r="G9" s="70"/>
      <c r="H9" s="70"/>
      <c r="I9" s="70"/>
      <c r="J9" s="70"/>
      <c r="K9" s="70"/>
      <c r="L9" s="96"/>
      <c r="M9" s="70"/>
      <c r="N9" s="70"/>
      <c r="O9" s="70"/>
    </row>
    <row r="10" spans="1:17" x14ac:dyDescent="0.35">
      <c r="A10" s="57" t="e">
        <f>'Distribution Dashboard'!#REF!</f>
        <v>#REF!</v>
      </c>
      <c r="B10" s="57" t="e">
        <f>'Distribution Dashboard'!#REF!</f>
        <v>#REF!</v>
      </c>
      <c r="C10" s="57" t="e">
        <f>'Distribution Dashboard'!#REF!</f>
        <v>#REF!</v>
      </c>
      <c r="D10" s="59">
        <f>D6</f>
        <v>214810.56914782134</v>
      </c>
      <c r="E10" s="59">
        <f t="shared" ref="E10:O10" si="3">E6</f>
        <v>215882.83666165808</v>
      </c>
      <c r="F10" s="59">
        <f t="shared" si="3"/>
        <v>217038.89692224737</v>
      </c>
      <c r="G10" s="59">
        <f>G6</f>
        <v>220378.22782870446</v>
      </c>
      <c r="H10" s="59">
        <f>H6</f>
        <v>223369.42690525271</v>
      </c>
      <c r="I10" s="59">
        <f t="shared" si="3"/>
        <v>226152.02068992931</v>
      </c>
      <c r="J10" s="59">
        <f t="shared" si="3"/>
        <v>228481.92458352185</v>
      </c>
      <c r="K10" s="59">
        <f t="shared" si="3"/>
        <v>230597.54382175682</v>
      </c>
      <c r="L10" s="59">
        <f t="shared" si="3"/>
        <v>232389.43623022985</v>
      </c>
      <c r="M10" s="59">
        <f t="shared" si="3"/>
        <v>233508.46181669243</v>
      </c>
      <c r="N10" s="59">
        <f t="shared" si="3"/>
        <v>234597.58058775531</v>
      </c>
      <c r="O10" s="59">
        <f t="shared" si="3"/>
        <v>235619.07480443019</v>
      </c>
    </row>
    <row r="11" spans="1:17" x14ac:dyDescent="0.35">
      <c r="A11" s="57" t="e">
        <f>'Distribution Dashboard'!#REF!</f>
        <v>#REF!</v>
      </c>
      <c r="B11" s="57" t="e">
        <f>'Distribution Dashboard'!#REF!</f>
        <v>#REF!</v>
      </c>
      <c r="C11" s="57" t="e">
        <f>'Distribution Dashboard'!#REF!</f>
        <v>#REF!</v>
      </c>
      <c r="D11" s="59">
        <f>D15</f>
        <v>214810.56914782134</v>
      </c>
      <c r="E11" s="59">
        <f t="shared" ref="E11:O11" si="4">E15</f>
        <v>215882.83666165808</v>
      </c>
      <c r="F11" s="59">
        <f t="shared" si="4"/>
        <v>217038.89692224737</v>
      </c>
      <c r="G11" s="59">
        <f t="shared" si="4"/>
        <v>220378.22782870446</v>
      </c>
      <c r="H11" s="59">
        <f t="shared" si="4"/>
        <v>223369.42690525271</v>
      </c>
      <c r="I11" s="59">
        <f t="shared" si="4"/>
        <v>226152.02068992931</v>
      </c>
      <c r="J11" s="59">
        <f t="shared" si="4"/>
        <v>228481.92458352185</v>
      </c>
      <c r="K11" s="59">
        <f t="shared" si="4"/>
        <v>230597.54382175682</v>
      </c>
      <c r="L11" s="59">
        <f t="shared" si="4"/>
        <v>232389.43623022985</v>
      </c>
      <c r="M11" s="59">
        <f t="shared" si="4"/>
        <v>233508.46181669243</v>
      </c>
      <c r="N11" s="59">
        <f t="shared" si="4"/>
        <v>234597.58058775531</v>
      </c>
      <c r="O11" s="59">
        <f t="shared" si="4"/>
        <v>235619.07480443019</v>
      </c>
    </row>
    <row r="12" spans="1:17" x14ac:dyDescent="0.35">
      <c r="A12" s="57" t="e">
        <f>'Distribution Dashboard'!#REF!</f>
        <v>#REF!</v>
      </c>
      <c r="B12" s="57" t="e">
        <f>'Distribution Dashboard'!#REF!</f>
        <v>#REF!</v>
      </c>
      <c r="C12" s="57" t="e">
        <f>'Distribution Dashboard'!#REF!</f>
        <v>#REF!</v>
      </c>
      <c r="D12" s="70">
        <f>(D10-D11)/D10</f>
        <v>0</v>
      </c>
      <c r="E12" s="70">
        <f t="shared" ref="E12:O12" si="5">(E10-E11)/E10</f>
        <v>0</v>
      </c>
      <c r="F12" s="70">
        <f t="shared" si="5"/>
        <v>0</v>
      </c>
      <c r="G12" s="70">
        <f t="shared" si="5"/>
        <v>0</v>
      </c>
      <c r="H12" s="70">
        <f t="shared" si="5"/>
        <v>0</v>
      </c>
      <c r="I12" s="70">
        <f t="shared" si="5"/>
        <v>0</v>
      </c>
      <c r="J12" s="70">
        <f t="shared" si="5"/>
        <v>0</v>
      </c>
      <c r="K12" s="70">
        <f t="shared" si="5"/>
        <v>0</v>
      </c>
      <c r="L12" s="96">
        <f t="shared" si="5"/>
        <v>0</v>
      </c>
      <c r="M12" s="70">
        <f t="shared" si="5"/>
        <v>0</v>
      </c>
      <c r="N12" s="70">
        <f t="shared" si="5"/>
        <v>0</v>
      </c>
      <c r="O12" s="70">
        <f t="shared" si="5"/>
        <v>0</v>
      </c>
    </row>
    <row r="13" spans="1:17" x14ac:dyDescent="0.35">
      <c r="A13" s="57" t="e">
        <f>'Distribution Dashboard'!#REF!</f>
        <v>#REF!</v>
      </c>
      <c r="D13" s="91"/>
      <c r="E13" s="91"/>
      <c r="F13" s="91"/>
      <c r="G13" s="91"/>
      <c r="H13" s="91"/>
      <c r="I13" s="91"/>
      <c r="J13" s="91"/>
      <c r="K13" s="91"/>
      <c r="L13" s="95"/>
      <c r="M13" s="91"/>
      <c r="N13" s="91"/>
      <c r="O13" s="91"/>
    </row>
    <row r="14" spans="1:17" x14ac:dyDescent="0.35">
      <c r="A14" s="57">
        <f>'Distribution Dashboard'!A6</f>
        <v>0</v>
      </c>
      <c r="B14" s="57" t="str">
        <f>'Distribution Dashboard'!B6</f>
        <v>REGIONAL  NRW</v>
      </c>
      <c r="C14" s="57">
        <f>'Distribution Dashboard'!C6</f>
        <v>0</v>
      </c>
      <c r="D14"/>
      <c r="E14"/>
      <c r="F14"/>
      <c r="G14"/>
      <c r="H14"/>
      <c r="I14"/>
      <c r="J14"/>
      <c r="K14"/>
      <c r="M14"/>
      <c r="N14"/>
      <c r="O14"/>
    </row>
    <row r="15" spans="1:17" x14ac:dyDescent="0.35">
      <c r="A15" s="57">
        <f>'Distribution Dashboard'!A7</f>
        <v>100</v>
      </c>
      <c r="B15" s="57" t="str">
        <f>'Distribution Dashboard'!B7</f>
        <v>WATER AVAILABLE FOR SALES- REGIONS</v>
      </c>
      <c r="C15" s="57" t="str">
        <f>'Distribution Dashboard'!C7</f>
        <v>m3</v>
      </c>
      <c r="D15" s="105">
        <f>D26+D35+D40</f>
        <v>214810.56914782134</v>
      </c>
      <c r="E15" s="105">
        <f t="shared" ref="E15:O15" si="6">E26+E35+E40</f>
        <v>215882.83666165808</v>
      </c>
      <c r="F15" s="105">
        <f t="shared" si="6"/>
        <v>217038.89692224737</v>
      </c>
      <c r="G15" s="105">
        <f t="shared" si="6"/>
        <v>220378.22782870446</v>
      </c>
      <c r="H15" s="105">
        <f t="shared" si="6"/>
        <v>223369.42690525271</v>
      </c>
      <c r="I15" s="105">
        <f t="shared" si="6"/>
        <v>226152.02068992931</v>
      </c>
      <c r="J15" s="105">
        <f t="shared" si="6"/>
        <v>228481.92458352185</v>
      </c>
      <c r="K15" s="105">
        <f t="shared" si="6"/>
        <v>230597.54382175682</v>
      </c>
      <c r="L15" s="105">
        <f t="shared" si="6"/>
        <v>232389.43623022985</v>
      </c>
      <c r="M15" s="105">
        <f t="shared" si="6"/>
        <v>233508.46181669243</v>
      </c>
      <c r="N15" s="105">
        <f t="shared" si="6"/>
        <v>234597.58058775531</v>
      </c>
      <c r="O15" s="105">
        <f t="shared" si="6"/>
        <v>235619.07480443019</v>
      </c>
      <c r="P15" s="66">
        <f t="shared" ref="P15:Q15" si="7">P26+P35+P40</f>
        <v>0</v>
      </c>
      <c r="Q15" s="66">
        <f t="shared" si="7"/>
        <v>0</v>
      </c>
    </row>
    <row r="16" spans="1:17" x14ac:dyDescent="0.35">
      <c r="A16" s="57" t="str">
        <f>'Distribution Dashboard'!A8</f>
        <v>128a</v>
      </c>
      <c r="B16" s="57" t="str">
        <f>'Distribution Dashboard'!B8</f>
        <v>VOLUME WATER BILLED(CUSTOMERS-M3)</v>
      </c>
      <c r="C16" s="57" t="str">
        <f>'Distribution Dashboard'!C8</f>
        <v>m3</v>
      </c>
      <c r="D16" s="98">
        <f>D27+D36+D41</f>
        <v>162967.7442335966</v>
      </c>
      <c r="E16" s="98">
        <f t="shared" ref="E16:O16" si="8">E27+E36+E41</f>
        <v>164996.22762758762</v>
      </c>
      <c r="F16" s="98">
        <f t="shared" si="8"/>
        <v>167133.6122432423</v>
      </c>
      <c r="G16" s="98">
        <f t="shared" si="8"/>
        <v>170794.2475474836</v>
      </c>
      <c r="H16" s="98">
        <f t="shared" si="8"/>
        <v>174251.4018390667</v>
      </c>
      <c r="I16" s="98">
        <f t="shared" si="8"/>
        <v>177638.11139871617</v>
      </c>
      <c r="J16" s="98">
        <f t="shared" si="8"/>
        <v>180823.43914382733</v>
      </c>
      <c r="K16" s="98">
        <f t="shared" si="8"/>
        <v>183888.91262962579</v>
      </c>
      <c r="L16" s="98">
        <f t="shared" si="8"/>
        <v>186764.48642215956</v>
      </c>
      <c r="M16" s="98">
        <f t="shared" si="8"/>
        <v>189206.27401245051</v>
      </c>
      <c r="N16" s="98">
        <f t="shared" si="8"/>
        <v>191648.06160274139</v>
      </c>
      <c r="O16" s="98">
        <f t="shared" si="8"/>
        <v>194059.95820076609</v>
      </c>
    </row>
    <row r="17" spans="1:15" x14ac:dyDescent="0.35">
      <c r="A17" s="57">
        <f>'Distribution Dashboard'!A9</f>
        <v>128</v>
      </c>
      <c r="B17" s="57" t="str">
        <f>'Distribution Dashboard'!B9</f>
        <v>GLOBAL NRW</v>
      </c>
      <c r="C17" s="57" t="str">
        <f>'Distribution Dashboard'!C9</f>
        <v>%</v>
      </c>
      <c r="D17" s="70">
        <f>(D15-D16)/D15</f>
        <v>0.24134205835351252</v>
      </c>
      <c r="E17" s="70">
        <f t="shared" ref="E17:O17" si="9">(E15-E16)/E15</f>
        <v>0.23571400960337752</v>
      </c>
      <c r="F17" s="70">
        <f t="shared" si="9"/>
        <v>0.22993705454042773</v>
      </c>
      <c r="G17" s="70">
        <f t="shared" si="9"/>
        <v>0.2249949133802886</v>
      </c>
      <c r="H17" s="70">
        <f t="shared" si="9"/>
        <v>0.21989591747943441</v>
      </c>
      <c r="I17" s="70">
        <f t="shared" si="9"/>
        <v>0.21451901753170363</v>
      </c>
      <c r="J17" s="70">
        <f t="shared" si="9"/>
        <v>0.20858755250143604</v>
      </c>
      <c r="K17" s="70">
        <f t="shared" si="9"/>
        <v>0.20255476453918794</v>
      </c>
      <c r="L17" s="96">
        <f t="shared" si="9"/>
        <v>0.19632970649693959</v>
      </c>
      <c r="M17" s="70">
        <f t="shared" si="9"/>
        <v>0.18972412159958379</v>
      </c>
      <c r="N17" s="70">
        <f t="shared" si="9"/>
        <v>0.18307741655906762</v>
      </c>
      <c r="O17" s="70">
        <f t="shared" si="9"/>
        <v>0.17638264914739699</v>
      </c>
    </row>
    <row r="18" spans="1:15" hidden="1" x14ac:dyDescent="0.35">
      <c r="A18" s="57">
        <f>'Distribution Dashboard'!A10</f>
        <v>0</v>
      </c>
      <c r="B18" s="57" t="str">
        <f>'Distribution Dashboard'!B10</f>
        <v>Number of Active water Connections</v>
      </c>
      <c r="C18" s="57" t="str">
        <f>'Distribution Dashboard'!C10</f>
        <v>NO.</v>
      </c>
      <c r="D18" s="62"/>
      <c r="E18" s="62"/>
      <c r="F18" s="62"/>
      <c r="G18" s="62"/>
      <c r="H18" s="62"/>
      <c r="I18" s="62"/>
      <c r="J18" s="62"/>
      <c r="K18" s="62"/>
      <c r="L18" s="99"/>
      <c r="M18" s="62"/>
      <c r="N18" s="62"/>
      <c r="O18" s="62"/>
    </row>
    <row r="19" spans="1:15" hidden="1" x14ac:dyDescent="0.35">
      <c r="A19" s="57">
        <f>'Distribution Dashboard'!A11</f>
        <v>0</v>
      </c>
      <c r="B19" s="57" t="str">
        <f>'Distribution Dashboard'!B11</f>
        <v>Number of Active sewer Connections</v>
      </c>
      <c r="C19" s="57" t="str">
        <f>'Distribution Dashboard'!C11</f>
        <v>NO.</v>
      </c>
      <c r="D19" s="63"/>
      <c r="E19" s="63"/>
      <c r="F19" s="63"/>
      <c r="G19" s="63"/>
      <c r="H19" s="63"/>
      <c r="I19" s="63"/>
      <c r="J19" s="63"/>
      <c r="K19" s="63"/>
      <c r="L19" s="100"/>
      <c r="M19" s="63"/>
      <c r="N19" s="63"/>
      <c r="O19" s="63"/>
    </row>
    <row r="20" spans="1:15" hidden="1" x14ac:dyDescent="0.35">
      <c r="A20" s="57">
        <f>'Distribution Dashboard'!A12</f>
        <v>0</v>
      </c>
      <c r="B20" s="57" t="str">
        <f>'Distribution Dashboard'!B12</f>
        <v>Number of In-active Sewer Connections</v>
      </c>
      <c r="C20" s="57" t="str">
        <f>'Distribution Dashboard'!C12</f>
        <v>NO.</v>
      </c>
      <c r="D20"/>
      <c r="E20"/>
      <c r="F20"/>
      <c r="G20"/>
      <c r="H20"/>
      <c r="I20"/>
      <c r="J20"/>
      <c r="K20"/>
      <c r="M20"/>
      <c r="N20"/>
      <c r="O20"/>
    </row>
    <row r="21" spans="1:15" hidden="1" x14ac:dyDescent="0.35">
      <c r="A21" s="57">
        <f>'Distribution Dashboard'!A13</f>
        <v>0</v>
      </c>
      <c r="B21" s="57" t="str">
        <f>'Distribution Dashboard'!B13</f>
        <v>Number of In-active Water Connections</v>
      </c>
      <c r="C21" s="57" t="str">
        <f>'Distribution Dashboard'!C13</f>
        <v>NO.</v>
      </c>
      <c r="D21"/>
      <c r="E21"/>
      <c r="F21"/>
      <c r="G21"/>
      <c r="H21"/>
      <c r="I21"/>
      <c r="J21"/>
      <c r="K21"/>
      <c r="M21"/>
      <c r="N21"/>
      <c r="O21"/>
    </row>
    <row r="22" spans="1:15" hidden="1" x14ac:dyDescent="0.35">
      <c r="A22" s="57">
        <f>'Distribution Dashboard'!A14</f>
        <v>0</v>
      </c>
      <c r="B22" s="57" t="str">
        <f>'Distribution Dashboard'!B14</f>
        <v>Number of Connections</v>
      </c>
      <c r="C22" s="57" t="str">
        <f>'Distribution Dashboard'!C14</f>
        <v>NO.</v>
      </c>
      <c r="D22" s="64">
        <f>SUM(D18:D21)</f>
        <v>0</v>
      </c>
      <c r="E22" s="64">
        <f t="shared" ref="E22:O22" si="10">SUM(E18:E21)</f>
        <v>0</v>
      </c>
      <c r="F22" s="64">
        <f t="shared" si="10"/>
        <v>0</v>
      </c>
      <c r="G22" s="64">
        <f t="shared" si="10"/>
        <v>0</v>
      </c>
      <c r="H22" s="64">
        <f t="shared" si="10"/>
        <v>0</v>
      </c>
      <c r="I22" s="64">
        <f t="shared" si="10"/>
        <v>0</v>
      </c>
      <c r="J22" s="64">
        <f t="shared" si="10"/>
        <v>0</v>
      </c>
      <c r="K22" s="64">
        <f t="shared" si="10"/>
        <v>0</v>
      </c>
      <c r="L22" s="99">
        <f t="shared" si="10"/>
        <v>0</v>
      </c>
      <c r="M22" s="64">
        <f t="shared" si="10"/>
        <v>0</v>
      </c>
      <c r="N22" s="64">
        <f t="shared" si="10"/>
        <v>0</v>
      </c>
      <c r="O22" s="64">
        <f t="shared" si="10"/>
        <v>0</v>
      </c>
    </row>
    <row r="23" spans="1:15" hidden="1" x14ac:dyDescent="0.35">
      <c r="A23" s="57">
        <f>'Distribution Dashboard'!A15</f>
        <v>0</v>
      </c>
      <c r="B23" s="57" t="str">
        <f>'Distribution Dashboard'!B15</f>
        <v>Maintenance, repair and operational cost</v>
      </c>
      <c r="C23" s="57" t="str">
        <f>'Distribution Dashboard'!C15</f>
        <v>KES</v>
      </c>
      <c r="D23"/>
      <c r="E23"/>
      <c r="F23"/>
      <c r="G23"/>
      <c r="H23"/>
      <c r="I23"/>
      <c r="J23"/>
      <c r="K23"/>
      <c r="M23"/>
      <c r="N23"/>
      <c r="O23"/>
    </row>
    <row r="24" spans="1:15" x14ac:dyDescent="0.35">
      <c r="A24" s="57" t="e">
        <f>'Distribution Dashboard'!#REF!</f>
        <v>#REF!</v>
      </c>
      <c r="B24" s="57" t="e">
        <f>'Distribution Dashboard'!#REF!</f>
        <v>#REF!</v>
      </c>
      <c r="C24" s="57" t="e">
        <f>'Distribution Dashboard'!#REF!</f>
        <v>#REF!</v>
      </c>
      <c r="D24" s="90"/>
      <c r="E24" s="90"/>
      <c r="F24" s="90"/>
      <c r="G24" s="90"/>
      <c r="H24" s="90"/>
      <c r="I24" s="90"/>
      <c r="J24" s="90"/>
      <c r="K24" s="90"/>
      <c r="L24" s="96"/>
      <c r="M24" s="90"/>
      <c r="N24" s="90"/>
      <c r="O24" s="90"/>
    </row>
    <row r="25" spans="1:15" x14ac:dyDescent="0.35">
      <c r="A25" s="57">
        <f>'Distribution Dashboard'!A16</f>
        <v>0</v>
      </c>
      <c r="B25" s="57" t="str">
        <f>'Distribution Dashboard'!B16</f>
        <v>CENTRAL REGION: CBD,CCCR,KABATI,SITE,KIHOTO,LAKEVIEW</v>
      </c>
      <c r="C25" s="57">
        <f>'Distribution Dashboard'!C16</f>
        <v>0</v>
      </c>
      <c r="D25"/>
      <c r="E25"/>
      <c r="F25"/>
      <c r="G25"/>
      <c r="H25"/>
      <c r="I25"/>
      <c r="J25"/>
      <c r="K25"/>
      <c r="M25"/>
      <c r="N25"/>
      <c r="O25"/>
    </row>
    <row r="26" spans="1:15" x14ac:dyDescent="0.35">
      <c r="A26" s="57" t="str">
        <f>'Distribution Dashboard'!A17</f>
        <v>RA</v>
      </c>
      <c r="B26" s="57" t="str">
        <f>'Distribution Dashboard'!B17</f>
        <v>Volume Water Supplied</v>
      </c>
      <c r="C26" s="57" t="str">
        <f>'Distribution Dashboard'!C17</f>
        <v>m3</v>
      </c>
      <c r="D26" s="59">
        <f t="shared" ref="D26:O26" si="11">D45+D51+D57+D63+D69+D91+D75</f>
        <v>105295.52330913652</v>
      </c>
      <c r="E26" s="59">
        <f t="shared" si="11"/>
        <v>105074.89002119715</v>
      </c>
      <c r="F26" s="59">
        <f t="shared" si="11"/>
        <v>104857.32806093279</v>
      </c>
      <c r="G26" s="59">
        <f t="shared" si="11"/>
        <v>104642.77044606405</v>
      </c>
      <c r="H26" s="59">
        <f t="shared" si="11"/>
        <v>104431.15222982681</v>
      </c>
      <c r="I26" s="59">
        <f t="shared" si="11"/>
        <v>104222.41042037289</v>
      </c>
      <c r="J26" s="59">
        <f t="shared" si="11"/>
        <v>104016.48390414237</v>
      </c>
      <c r="K26" s="59">
        <f t="shared" si="11"/>
        <v>103813.31337297201</v>
      </c>
      <c r="L26" s="59">
        <f t="shared" si="11"/>
        <v>103612.84125472172</v>
      </c>
      <c r="M26" s="59">
        <f t="shared" si="11"/>
        <v>103415.0116472142</v>
      </c>
      <c r="N26" s="59">
        <f t="shared" si="11"/>
        <v>103219.77025529805</v>
      </c>
      <c r="O26" s="59">
        <f t="shared" si="11"/>
        <v>103027.06433085726</v>
      </c>
    </row>
    <row r="27" spans="1:15" x14ac:dyDescent="0.35">
      <c r="A27" s="57" t="str">
        <f>'Distribution Dashboard'!A18</f>
        <v>RA2</v>
      </c>
      <c r="B27" s="57" t="str">
        <f>'Distribution Dashboard'!B18</f>
        <v>Volume Water Sold</v>
      </c>
      <c r="C27" s="57" t="str">
        <f>'Distribution Dashboard'!C18</f>
        <v>m3</v>
      </c>
      <c r="D27" s="59">
        <f>D46+D52+D58+D64+D70+D92+D76</f>
        <v>84480.117330274166</v>
      </c>
      <c r="E27" s="59">
        <f t="shared" ref="E27:O27" si="12">E46+E52+E58+E64+E70+E92+E76</f>
        <v>84961.979550497796</v>
      </c>
      <c r="F27" s="59">
        <f t="shared" si="12"/>
        <v>85443.841770721439</v>
      </c>
      <c r="G27" s="59">
        <f t="shared" si="12"/>
        <v>85925.703990945054</v>
      </c>
      <c r="H27" s="59">
        <f t="shared" si="12"/>
        <v>86407.566211168698</v>
      </c>
      <c r="I27" s="59">
        <f t="shared" si="12"/>
        <v>86889.428431392327</v>
      </c>
      <c r="J27" s="59">
        <f t="shared" si="12"/>
        <v>87371.290651615971</v>
      </c>
      <c r="K27" s="59">
        <f t="shared" si="12"/>
        <v>87853.152871839586</v>
      </c>
      <c r="L27" s="59">
        <f t="shared" si="12"/>
        <v>88335.0150920632</v>
      </c>
      <c r="M27" s="59">
        <f t="shared" si="12"/>
        <v>88816.877312286844</v>
      </c>
      <c r="N27" s="59">
        <f t="shared" si="12"/>
        <v>89298.739532510474</v>
      </c>
      <c r="O27" s="59">
        <f t="shared" si="12"/>
        <v>89780.601752734117</v>
      </c>
    </row>
    <row r="28" spans="1:15" x14ac:dyDescent="0.35">
      <c r="A28" s="57" t="str">
        <f>'Distribution Dashboard'!A19</f>
        <v>RA3</v>
      </c>
      <c r="B28" s="57" t="str">
        <f>'Distribution Dashboard'!B19</f>
        <v>NRW</v>
      </c>
      <c r="C28" s="57" t="str">
        <f>'Distribution Dashboard'!C19</f>
        <v>m3</v>
      </c>
      <c r="D28" s="65">
        <f>D26-D27</f>
        <v>20815.405978862356</v>
      </c>
      <c r="E28" s="65">
        <f t="shared" ref="E28:O28" si="13">E26-E27</f>
        <v>20112.910470699353</v>
      </c>
      <c r="F28" s="65">
        <f t="shared" si="13"/>
        <v>19413.486290211353</v>
      </c>
      <c r="G28" s="65">
        <f t="shared" si="13"/>
        <v>18717.066455118998</v>
      </c>
      <c r="H28" s="65">
        <f t="shared" si="13"/>
        <v>18023.586018658112</v>
      </c>
      <c r="I28" s="65">
        <f t="shared" si="13"/>
        <v>17332.981988980566</v>
      </c>
      <c r="J28" s="65">
        <f t="shared" si="13"/>
        <v>16645.193252526398</v>
      </c>
      <c r="K28" s="65">
        <f t="shared" si="13"/>
        <v>15960.160501132428</v>
      </c>
      <c r="L28" s="97">
        <f t="shared" si="13"/>
        <v>15277.826162658515</v>
      </c>
      <c r="M28" s="65">
        <f t="shared" si="13"/>
        <v>14598.134334927352</v>
      </c>
      <c r="N28" s="65">
        <f t="shared" si="13"/>
        <v>13921.030722787575</v>
      </c>
      <c r="O28" s="65">
        <f t="shared" si="13"/>
        <v>13246.462578123144</v>
      </c>
    </row>
    <row r="29" spans="1:15" x14ac:dyDescent="0.35">
      <c r="A29" s="57" t="str">
        <f>'Distribution Dashboard'!A20</f>
        <v>RA4</v>
      </c>
      <c r="B29" s="57" t="str">
        <f>'Distribution Dashboard'!B20</f>
        <v>NRW</v>
      </c>
      <c r="C29" s="57" t="str">
        <f>'Distribution Dashboard'!C20</f>
        <v>%</v>
      </c>
      <c r="D29" s="58">
        <f>D28/D26</f>
        <v>0.19768557413168009</v>
      </c>
      <c r="E29" s="58">
        <f t="shared" ref="E29:O29" si="14">E28/E26</f>
        <v>0.1914150037810356</v>
      </c>
      <c r="F29" s="58">
        <f t="shared" si="14"/>
        <v>0.18514191281824519</v>
      </c>
      <c r="G29" s="58">
        <f t="shared" si="14"/>
        <v>0.17886631226728006</v>
      </c>
      <c r="H29" s="58">
        <f t="shared" si="14"/>
        <v>0.17258821370650698</v>
      </c>
      <c r="I29" s="58">
        <f t="shared" si="14"/>
        <v>0.16630762922359352</v>
      </c>
      <c r="J29" s="58">
        <f t="shared" si="14"/>
        <v>0.16002457137337939</v>
      </c>
      <c r="K29" s="58">
        <f t="shared" si="14"/>
        <v>0.15373905313851283</v>
      </c>
      <c r="L29" s="101">
        <f t="shared" si="14"/>
        <v>0.14745108789266304</v>
      </c>
      <c r="M29" s="58">
        <f t="shared" si="14"/>
        <v>0.14116068936613224</v>
      </c>
      <c r="N29" s="58">
        <f t="shared" si="14"/>
        <v>0.13486787161370414</v>
      </c>
      <c r="O29" s="58">
        <f t="shared" si="14"/>
        <v>0.12857264898458087</v>
      </c>
    </row>
    <row r="30" spans="1:15" hidden="1" x14ac:dyDescent="0.35">
      <c r="A30" s="57">
        <f>'Distribution Dashboard'!A21</f>
        <v>0</v>
      </c>
      <c r="B30" s="57" t="str">
        <f>'Distribution Dashboard'!B21</f>
        <v>Amount Billed Water</v>
      </c>
      <c r="C30" s="57" t="str">
        <f>'Distribution Dashboard'!C21</f>
        <v>KES</v>
      </c>
      <c r="D30" s="59"/>
      <c r="E30" s="59"/>
      <c r="F30" s="59"/>
      <c r="G30" s="59"/>
      <c r="H30" s="59"/>
      <c r="I30" s="59"/>
      <c r="J30" s="59"/>
      <c r="K30" s="59"/>
      <c r="L30" s="97"/>
      <c r="M30" s="59"/>
      <c r="N30" s="59"/>
      <c r="O30" s="59"/>
    </row>
    <row r="31" spans="1:15" hidden="1" x14ac:dyDescent="0.35">
      <c r="A31" s="57">
        <f>'Distribution Dashboard'!A22</f>
        <v>0</v>
      </c>
      <c r="B31" s="57" t="str">
        <f>'Distribution Dashboard'!B22</f>
        <v>Amount Billed Sewer</v>
      </c>
      <c r="C31" s="57" t="str">
        <f>'Distribution Dashboard'!C22</f>
        <v>KES</v>
      </c>
      <c r="D31" s="59"/>
      <c r="E31" s="59"/>
      <c r="F31" s="59"/>
      <c r="G31" s="59"/>
      <c r="H31" s="59"/>
      <c r="I31" s="59"/>
      <c r="J31" s="59"/>
      <c r="K31" s="59"/>
      <c r="L31" s="97"/>
      <c r="M31" s="59"/>
      <c r="N31" s="59"/>
      <c r="O31" s="59"/>
    </row>
    <row r="32" spans="1:15" hidden="1" x14ac:dyDescent="0.35">
      <c r="A32" s="57">
        <f>'Distribution Dashboard'!A23</f>
        <v>0</v>
      </c>
      <c r="B32" s="57" t="str">
        <f>'Distribution Dashboard'!B23</f>
        <v>Number of Active water Connections</v>
      </c>
      <c r="C32" s="57" t="str">
        <f>'Distribution Dashboard'!C23</f>
        <v>KES</v>
      </c>
      <c r="D32" s="67"/>
      <c r="E32" s="67"/>
      <c r="F32" s="67"/>
      <c r="G32" s="67"/>
      <c r="H32" s="67"/>
      <c r="I32" s="67"/>
      <c r="J32" s="67"/>
      <c r="K32" s="67"/>
      <c r="L32" s="102"/>
      <c r="M32" s="67"/>
      <c r="N32" s="67"/>
      <c r="O32" s="67"/>
    </row>
    <row r="33" spans="1:15" hidden="1" x14ac:dyDescent="0.35">
      <c r="A33" s="57">
        <f>'Distribution Dashboard'!A24</f>
        <v>0</v>
      </c>
      <c r="B33" s="57" t="str">
        <f>'Distribution Dashboard'!B24</f>
        <v>Number of Active sewer Connections</v>
      </c>
      <c r="C33" s="57" t="str">
        <f>'Distribution Dashboard'!C24</f>
        <v>KES</v>
      </c>
      <c r="D33" s="67"/>
      <c r="E33" s="67"/>
      <c r="F33" s="67"/>
      <c r="G33" s="67"/>
      <c r="H33" s="67"/>
      <c r="I33" s="67"/>
      <c r="J33" s="67"/>
      <c r="K33" s="67"/>
      <c r="L33" s="102"/>
      <c r="M33" s="67"/>
      <c r="N33" s="67"/>
      <c r="O33" s="67"/>
    </row>
    <row r="34" spans="1:15" x14ac:dyDescent="0.35">
      <c r="A34" s="57">
        <f>'Distribution Dashboard'!A25</f>
        <v>0</v>
      </c>
      <c r="B34" s="57" t="str">
        <f>'Distribution Dashboard'!B25</f>
        <v>SOUTHERN REGION: MAI MAHIU,KAMERE,HELLSGATE</v>
      </c>
      <c r="C34" s="57">
        <f>'Distribution Dashboard'!C25</f>
        <v>0</v>
      </c>
      <c r="D34" s="59"/>
      <c r="E34" s="59"/>
      <c r="F34" s="59"/>
      <c r="G34" s="59"/>
      <c r="H34" s="59"/>
      <c r="I34" s="59"/>
      <c r="J34" s="59"/>
      <c r="K34" s="59"/>
      <c r="L34" s="97"/>
      <c r="M34" s="59"/>
      <c r="N34" s="59"/>
      <c r="O34" s="59"/>
    </row>
    <row r="35" spans="1:15" x14ac:dyDescent="0.35">
      <c r="A35" s="57" t="str">
        <f>'Distribution Dashboard'!A26</f>
        <v>RA6 (B)</v>
      </c>
      <c r="B35" s="57" t="str">
        <f>'Distribution Dashboard'!B26</f>
        <v>Volume Water Supplied</v>
      </c>
      <c r="C35" s="57" t="str">
        <f>'Distribution Dashboard'!C26</f>
        <v>m3</v>
      </c>
      <c r="D35" s="59">
        <f>D79+D85+D103+D121</f>
        <v>74168.144793943808</v>
      </c>
      <c r="E35" s="59">
        <f t="shared" ref="E35:O35" si="15">E79+E85+E103+E121</f>
        <v>75099.246104343008</v>
      </c>
      <c r="F35" s="59">
        <f t="shared" si="15"/>
        <v>76156.750133326132</v>
      </c>
      <c r="G35" s="59">
        <f t="shared" si="15"/>
        <v>79439.401575553784</v>
      </c>
      <c r="H35" s="59">
        <f t="shared" si="15"/>
        <v>82374.058044540492</v>
      </c>
      <c r="I35" s="59">
        <f t="shared" si="15"/>
        <v>85141.04302651473</v>
      </c>
      <c r="J35" s="59">
        <f t="shared" si="15"/>
        <v>87280.370296261768</v>
      </c>
      <c r="K35" s="59">
        <f t="shared" si="15"/>
        <v>89353.394344216111</v>
      </c>
      <c r="L35" s="59">
        <f t="shared" si="15"/>
        <v>91102.623571086457</v>
      </c>
      <c r="M35" s="59">
        <f t="shared" si="15"/>
        <v>92231.503158797525</v>
      </c>
      <c r="N35" s="59">
        <f t="shared" si="15"/>
        <v>93329.914180694497</v>
      </c>
      <c r="O35" s="59">
        <f t="shared" si="15"/>
        <v>94360.158941057263</v>
      </c>
    </row>
    <row r="36" spans="1:15" x14ac:dyDescent="0.35">
      <c r="A36" s="57" t="str">
        <f>'Distribution Dashboard'!A27</f>
        <v>RB2</v>
      </c>
      <c r="B36" s="57" t="str">
        <f>'Distribution Dashboard'!B27</f>
        <v>Volume Water Sold</v>
      </c>
      <c r="C36" s="57" t="str">
        <f>'Distribution Dashboard'!C27</f>
        <v>m3</v>
      </c>
      <c r="D36" s="59">
        <f>D80+D86+D104+D122</f>
        <v>49682.108177409253</v>
      </c>
      <c r="E36" s="59">
        <f t="shared" ref="E36:O36" si="16">E80+E86+E104+E122</f>
        <v>50812.796230669344</v>
      </c>
      <c r="F36" s="59">
        <f t="shared" si="16"/>
        <v>52082.38550559312</v>
      </c>
      <c r="G36" s="59">
        <f t="shared" si="16"/>
        <v>54905.225469103534</v>
      </c>
      <c r="H36" s="59">
        <f t="shared" si="16"/>
        <v>57524.584419955732</v>
      </c>
      <c r="I36" s="59">
        <f t="shared" si="16"/>
        <v>60103.49863887432</v>
      </c>
      <c r="J36" s="59">
        <f>J80+J86+J104+J122</f>
        <v>62333.998517139975</v>
      </c>
      <c r="K36" s="59">
        <f t="shared" si="16"/>
        <v>64564.49839540563</v>
      </c>
      <c r="L36" s="59">
        <f t="shared" si="16"/>
        <v>66605.098580406629</v>
      </c>
      <c r="M36" s="59">
        <f t="shared" si="16"/>
        <v>68256.8396928211</v>
      </c>
      <c r="N36" s="59">
        <f t="shared" si="16"/>
        <v>69908.580805235557</v>
      </c>
      <c r="O36" s="59">
        <f t="shared" si="16"/>
        <v>71530.4309253838</v>
      </c>
    </row>
    <row r="37" spans="1:15" x14ac:dyDescent="0.35">
      <c r="A37" s="57" t="str">
        <f>'Distribution Dashboard'!A28</f>
        <v>RB3 (2)</v>
      </c>
      <c r="B37" s="57" t="str">
        <f>'Distribution Dashboard'!B28</f>
        <v>NRW</v>
      </c>
      <c r="C37" s="57" t="str">
        <f>'Distribution Dashboard'!C28</f>
        <v>m3</v>
      </c>
      <c r="D37" s="65">
        <f>D35-D36</f>
        <v>24486.036616534555</v>
      </c>
      <c r="E37" s="65">
        <f t="shared" ref="E37:O37" si="17">E35-E36</f>
        <v>24286.449873673664</v>
      </c>
      <c r="F37" s="65">
        <f t="shared" si="17"/>
        <v>24074.364627733012</v>
      </c>
      <c r="G37" s="65">
        <f t="shared" si="17"/>
        <v>24534.17610645025</v>
      </c>
      <c r="H37" s="65">
        <f t="shared" si="17"/>
        <v>24849.47362458476</v>
      </c>
      <c r="I37" s="65">
        <f t="shared" si="17"/>
        <v>25037.54438764041</v>
      </c>
      <c r="J37" s="65">
        <f t="shared" si="17"/>
        <v>24946.371779121793</v>
      </c>
      <c r="K37" s="65">
        <f t="shared" si="17"/>
        <v>24788.895948810481</v>
      </c>
      <c r="L37" s="97">
        <f t="shared" si="17"/>
        <v>24497.524990679827</v>
      </c>
      <c r="M37" s="65">
        <f t="shared" si="17"/>
        <v>23974.663465976424</v>
      </c>
      <c r="N37" s="65">
        <f t="shared" si="17"/>
        <v>23421.33337545894</v>
      </c>
      <c r="O37" s="65">
        <f t="shared" si="17"/>
        <v>22829.728015673463</v>
      </c>
    </row>
    <row r="38" spans="1:15" x14ac:dyDescent="0.35">
      <c r="A38" s="57" t="str">
        <f>'Distribution Dashboard'!A29</f>
        <v>RB4</v>
      </c>
      <c r="B38" s="57" t="str">
        <f>'Distribution Dashboard'!B29</f>
        <v>NRW</v>
      </c>
      <c r="C38" s="57" t="str">
        <f>'Distribution Dashboard'!C29</f>
        <v>%</v>
      </c>
      <c r="D38" s="58">
        <f>D37/D35</f>
        <v>0.3301422286422615</v>
      </c>
      <c r="E38" s="58">
        <f t="shared" ref="E38:O38" si="18">E37/E35</f>
        <v>0.32339139383543258</v>
      </c>
      <c r="F38" s="58">
        <f t="shared" si="18"/>
        <v>0.31611596589385044</v>
      </c>
      <c r="G38" s="58">
        <f t="shared" si="18"/>
        <v>0.30884140136826327</v>
      </c>
      <c r="H38" s="58">
        <f t="shared" si="18"/>
        <v>0.30166625530513985</v>
      </c>
      <c r="I38" s="58">
        <f t="shared" si="18"/>
        <v>0.29407138434800695</v>
      </c>
      <c r="J38" s="58">
        <f t="shared" si="18"/>
        <v>0.2858188123451425</v>
      </c>
      <c r="K38" s="58">
        <f t="shared" si="18"/>
        <v>0.27742534159716653</v>
      </c>
      <c r="L38" s="101">
        <f t="shared" si="18"/>
        <v>0.26890032394692404</v>
      </c>
      <c r="M38" s="58">
        <f t="shared" si="18"/>
        <v>0.25994007085299892</v>
      </c>
      <c r="N38" s="58">
        <f t="shared" si="18"/>
        <v>0.25095205091599343</v>
      </c>
      <c r="O38" s="58">
        <f t="shared" si="18"/>
        <v>0.24194244977834567</v>
      </c>
    </row>
    <row r="39" spans="1:15" x14ac:dyDescent="0.35">
      <c r="A39" s="57">
        <f>'Distribution Dashboard'!A30</f>
        <v>0</v>
      </c>
      <c r="B39" s="57" t="str">
        <f>'Distribution Dashboard'!B30</f>
        <v>EASTERN REGION: KAYOLE,GONDI, KINUNGI,NJONJORO</v>
      </c>
      <c r="C39" s="57">
        <f>'Distribution Dashboard'!C30</f>
        <v>0</v>
      </c>
      <c r="D39" s="59"/>
      <c r="E39" s="59"/>
      <c r="F39" s="59"/>
      <c r="G39" s="59"/>
      <c r="H39" s="59"/>
      <c r="I39" s="59"/>
      <c r="J39" s="59"/>
      <c r="K39" s="59"/>
      <c r="L39" s="97"/>
      <c r="M39" s="59"/>
      <c r="N39" s="59"/>
      <c r="O39" s="59"/>
    </row>
    <row r="40" spans="1:15" x14ac:dyDescent="0.35">
      <c r="A40" s="57" t="str">
        <f>'Distribution Dashboard'!A31</f>
        <v>RA6 (B) (2)</v>
      </c>
      <c r="B40" s="57" t="str">
        <f>'Distribution Dashboard'!B31</f>
        <v>Volume Water Supplied</v>
      </c>
      <c r="C40" s="57" t="str">
        <f>'Distribution Dashboard'!C31</f>
        <v>m3</v>
      </c>
      <c r="D40" s="59">
        <f>D125+D97</f>
        <v>35346.901044740996</v>
      </c>
      <c r="E40" s="59">
        <f t="shared" ref="E40:O40" si="19">E125+E97</f>
        <v>35708.700536117925</v>
      </c>
      <c r="F40" s="59">
        <f t="shared" si="19"/>
        <v>36024.818727988459</v>
      </c>
      <c r="G40" s="59">
        <f t="shared" si="19"/>
        <v>36296.055807086654</v>
      </c>
      <c r="H40" s="59">
        <f t="shared" si="19"/>
        <v>36564.216630885414</v>
      </c>
      <c r="I40" s="59">
        <f t="shared" si="19"/>
        <v>36788.567243041711</v>
      </c>
      <c r="J40" s="59">
        <f t="shared" si="19"/>
        <v>37185.070383117723</v>
      </c>
      <c r="K40" s="59">
        <f t="shared" si="19"/>
        <v>37430.836104568712</v>
      </c>
      <c r="L40" s="59">
        <f t="shared" si="19"/>
        <v>37673.97140442166</v>
      </c>
      <c r="M40" s="59">
        <f t="shared" si="19"/>
        <v>37861.94701068072</v>
      </c>
      <c r="N40" s="59">
        <f t="shared" si="19"/>
        <v>38047.896151762739</v>
      </c>
      <c r="O40" s="59">
        <f t="shared" si="19"/>
        <v>38231.85153251567</v>
      </c>
    </row>
    <row r="41" spans="1:15" x14ac:dyDescent="0.35">
      <c r="A41" s="57" t="str">
        <f>'Distribution Dashboard'!A32</f>
        <v>RB2 (3)</v>
      </c>
      <c r="B41" s="57" t="str">
        <f>'Distribution Dashboard'!B32</f>
        <v>Volume Water Sold</v>
      </c>
      <c r="C41" s="57" t="str">
        <f>'Distribution Dashboard'!C32</f>
        <v>m3</v>
      </c>
      <c r="D41" s="59">
        <f>D98+D126</f>
        <v>28805.518725913207</v>
      </c>
      <c r="E41" s="59">
        <f t="shared" ref="E41:O41" si="20">E98+E126</f>
        <v>29221.45184642047</v>
      </c>
      <c r="F41" s="59">
        <f t="shared" si="20"/>
        <v>29607.384966927733</v>
      </c>
      <c r="G41" s="59">
        <f t="shared" si="20"/>
        <v>29963.318087435</v>
      </c>
      <c r="H41" s="59">
        <f t="shared" si="20"/>
        <v>30319.251207942259</v>
      </c>
      <c r="I41" s="59">
        <f t="shared" si="20"/>
        <v>30645.184328449523</v>
      </c>
      <c r="J41" s="59">
        <f t="shared" si="20"/>
        <v>31118.149975071403</v>
      </c>
      <c r="K41" s="59">
        <f t="shared" si="20"/>
        <v>31471.261362380574</v>
      </c>
      <c r="L41" s="59">
        <f t="shared" si="20"/>
        <v>31824.372749689741</v>
      </c>
      <c r="M41" s="59">
        <f t="shared" si="20"/>
        <v>32132.557007342555</v>
      </c>
      <c r="N41" s="59">
        <f t="shared" si="20"/>
        <v>32440.741264995373</v>
      </c>
      <c r="O41" s="59">
        <f t="shared" si="20"/>
        <v>32748.925522648187</v>
      </c>
    </row>
    <row r="42" spans="1:15" x14ac:dyDescent="0.35">
      <c r="A42" s="57" t="str">
        <f>'Distribution Dashboard'!A33</f>
        <v>RB3 (3)</v>
      </c>
      <c r="B42" s="57" t="str">
        <f>'Distribution Dashboard'!B33</f>
        <v>NRW</v>
      </c>
      <c r="C42" s="57" t="str">
        <f>'Distribution Dashboard'!C33</f>
        <v>m3</v>
      </c>
      <c r="D42" s="59">
        <f>D40-D41</f>
        <v>6541.3823188277893</v>
      </c>
      <c r="E42" s="59">
        <f t="shared" ref="E42:O42" si="21">E40-E41</f>
        <v>6487.2486896974551</v>
      </c>
      <c r="F42" s="59">
        <f t="shared" si="21"/>
        <v>6417.4337610607254</v>
      </c>
      <c r="G42" s="59">
        <f t="shared" si="21"/>
        <v>6332.7377196516536</v>
      </c>
      <c r="H42" s="59">
        <f t="shared" si="21"/>
        <v>6244.9654229431544</v>
      </c>
      <c r="I42" s="59">
        <f t="shared" si="21"/>
        <v>6143.3829145921882</v>
      </c>
      <c r="J42" s="59">
        <f t="shared" si="21"/>
        <v>6066.9204080463205</v>
      </c>
      <c r="K42" s="59">
        <f t="shared" si="21"/>
        <v>5959.5747421881388</v>
      </c>
      <c r="L42" s="59">
        <f t="shared" si="21"/>
        <v>5849.5986547319189</v>
      </c>
      <c r="M42" s="59">
        <f t="shared" si="21"/>
        <v>5729.3900033381651</v>
      </c>
      <c r="N42" s="59">
        <f t="shared" si="21"/>
        <v>5607.1548867673664</v>
      </c>
      <c r="O42" s="59">
        <f t="shared" si="21"/>
        <v>5482.9260098674822</v>
      </c>
    </row>
    <row r="43" spans="1:15" x14ac:dyDescent="0.35">
      <c r="A43" s="57" t="str">
        <f>'Distribution Dashboard'!A33</f>
        <v>RB3 (3)</v>
      </c>
      <c r="B43" s="57" t="str">
        <f>'Distribution Dashboard'!B34</f>
        <v>NRW</v>
      </c>
      <c r="C43" s="57" t="str">
        <f>'Distribution Dashboard'!C33</f>
        <v>m3</v>
      </c>
      <c r="D43" s="58">
        <f>D42/D40</f>
        <v>0.18506239940378119</v>
      </c>
      <c r="E43" s="58">
        <f t="shared" ref="E43:O43" si="22">E42/E40</f>
        <v>0.18167137398729652</v>
      </c>
      <c r="F43" s="58">
        <f>F42/F40</f>
        <v>0.17813923810461488</v>
      </c>
      <c r="G43" s="58">
        <f t="shared" si="22"/>
        <v>0.17447454217367642</v>
      </c>
      <c r="H43" s="58">
        <f t="shared" si="22"/>
        <v>0.17079445420603095</v>
      </c>
      <c r="I43" s="58">
        <f t="shared" si="22"/>
        <v>0.16699163286262975</v>
      </c>
      <c r="J43" s="58">
        <f t="shared" si="22"/>
        <v>0.16315473778962494</v>
      </c>
      <c r="K43" s="58">
        <f t="shared" si="22"/>
        <v>0.15921564577235633</v>
      </c>
      <c r="L43" s="101">
        <f t="shared" si="22"/>
        <v>0.15526896784885738</v>
      </c>
      <c r="M43" s="58">
        <f t="shared" si="22"/>
        <v>0.15132317420765298</v>
      </c>
      <c r="N43" s="58">
        <f t="shared" si="22"/>
        <v>0.14737095750056575</v>
      </c>
      <c r="O43" s="58">
        <f t="shared" si="22"/>
        <v>0.14341251574500199</v>
      </c>
    </row>
    <row r="44" spans="1:15" x14ac:dyDescent="0.35">
      <c r="A44" s="57" t="str">
        <f>'Distribution Dashboard'!A34</f>
        <v>RB4 (2)</v>
      </c>
      <c r="B44" s="57" t="str">
        <f>'Distribution Dashboard'!B35</f>
        <v>ZONE - CBD</v>
      </c>
      <c r="C44" s="57" t="str">
        <f>'Distribution Dashboard'!C34</f>
        <v>%</v>
      </c>
      <c r="D44" s="58"/>
      <c r="E44" s="58"/>
      <c r="F44" s="58"/>
      <c r="G44" s="58"/>
      <c r="H44" s="58"/>
      <c r="I44" s="58"/>
      <c r="J44" s="58"/>
      <c r="K44" s="58"/>
      <c r="L44" s="101"/>
      <c r="M44" s="58"/>
      <c r="N44" s="58"/>
      <c r="O44" s="58"/>
    </row>
    <row r="45" spans="1:15" x14ac:dyDescent="0.35">
      <c r="A45" s="57">
        <f>'Distribution Dashboard'!A36</f>
        <v>101</v>
      </c>
      <c r="B45" s="57" t="str">
        <f>'Distribution Dashboard'!B36</f>
        <v>Volume Water Supplied</v>
      </c>
      <c r="C45" s="57" t="str">
        <f>'Distribution Dashboard'!C36</f>
        <v>m3</v>
      </c>
      <c r="D45" s="59">
        <v>21082.242554366287</v>
      </c>
      <c r="E45" s="59">
        <v>20981.406814435482</v>
      </c>
      <c r="F45" s="59">
        <v>20881.679159558877</v>
      </c>
      <c r="G45" s="59">
        <v>20783.041424407693</v>
      </c>
      <c r="H45" s="59">
        <v>20685.475838551629</v>
      </c>
      <c r="I45" s="59">
        <v>20588.965015785896</v>
      </c>
      <c r="J45" s="59">
        <v>20493.491943802594</v>
      </c>
      <c r="K45" s="59">
        <v>20399.039974193442</v>
      </c>
      <c r="L45" s="59">
        <v>20305.592812771625</v>
      </c>
      <c r="M45" s="59">
        <v>20213.134510200838</v>
      </c>
      <c r="N45" s="59">
        <v>20121.649452920268</v>
      </c>
      <c r="O45" s="59">
        <v>20031.122354354669</v>
      </c>
    </row>
    <row r="46" spans="1:15" x14ac:dyDescent="0.35">
      <c r="A46" s="57">
        <f>'Distribution Dashboard'!A37</f>
        <v>108</v>
      </c>
      <c r="B46" s="57" t="str">
        <f>'Distribution Dashboard'!B37</f>
        <v>Volume Water Sold</v>
      </c>
      <c r="C46" s="57" t="str">
        <f>'Distribution Dashboard'!C37</f>
        <v>m3</v>
      </c>
      <c r="D46" s="59">
        <v>16134.369786189976</v>
      </c>
      <c r="E46" s="59">
        <v>16146.406239046619</v>
      </c>
      <c r="F46" s="59">
        <v>16158.442691903261</v>
      </c>
      <c r="G46" s="59">
        <v>16170.479144759904</v>
      </c>
      <c r="H46" s="59">
        <v>16182.515597616546</v>
      </c>
      <c r="I46" s="59">
        <v>16194.552050473189</v>
      </c>
      <c r="J46" s="59">
        <v>16206.588503329831</v>
      </c>
      <c r="K46" s="59">
        <v>16218.62495618647</v>
      </c>
      <c r="L46" s="59">
        <v>16230.661409043112</v>
      </c>
      <c r="M46" s="59">
        <v>16242.697861899755</v>
      </c>
      <c r="N46" s="59">
        <v>16254.734314756397</v>
      </c>
      <c r="O46" s="59">
        <v>16266.770767613039</v>
      </c>
    </row>
    <row r="47" spans="1:15" x14ac:dyDescent="0.35">
      <c r="A47" s="57">
        <f>'Distribution Dashboard'!A38</f>
        <v>122</v>
      </c>
      <c r="B47" s="57" t="str">
        <f>'Distribution Dashboard'!B38</f>
        <v>NRW</v>
      </c>
      <c r="C47" s="57" t="str">
        <f>'Distribution Dashboard'!C38</f>
        <v>%</v>
      </c>
      <c r="D47" s="58">
        <f t="shared" ref="D47:O47" si="23">(D45-D46)/D45</f>
        <v>0.23469385457533168</v>
      </c>
      <c r="E47" s="58">
        <f t="shared" si="23"/>
        <v>0.23044215376741659</v>
      </c>
      <c r="F47" s="58">
        <f t="shared" si="23"/>
        <v>0.22619045295950199</v>
      </c>
      <c r="G47" s="58">
        <f t="shared" si="23"/>
        <v>0.22193875215158723</v>
      </c>
      <c r="H47" s="58">
        <f t="shared" si="23"/>
        <v>0.21768705134367236</v>
      </c>
      <c r="I47" s="58">
        <f t="shared" si="23"/>
        <v>0.21343535053575735</v>
      </c>
      <c r="J47" s="58">
        <f t="shared" si="23"/>
        <v>0.20918364972784245</v>
      </c>
      <c r="K47" s="58">
        <f t="shared" si="23"/>
        <v>0.20493194891992761</v>
      </c>
      <c r="L47" s="101">
        <f t="shared" si="23"/>
        <v>0.20068024811201277</v>
      </c>
      <c r="M47" s="58">
        <f t="shared" si="23"/>
        <v>0.19642854730409812</v>
      </c>
      <c r="N47" s="58">
        <f t="shared" si="23"/>
        <v>0.19217684649618341</v>
      </c>
      <c r="O47" s="58">
        <f t="shared" si="23"/>
        <v>0.18792514568826835</v>
      </c>
    </row>
    <row r="48" spans="1:15" hidden="1" x14ac:dyDescent="0.35">
      <c r="A48" s="57">
        <f>'Distribution Dashboard'!A39</f>
        <v>0</v>
      </c>
      <c r="B48" s="57" t="str">
        <f>'Distribution Dashboard'!B39</f>
        <v>Amount Billed Water</v>
      </c>
      <c r="C48" s="57" t="str">
        <f>'Distribution Dashboard'!C39</f>
        <v>KES</v>
      </c>
      <c r="D48" s="59"/>
      <c r="E48" s="59"/>
      <c r="F48" s="59"/>
      <c r="G48" s="59"/>
      <c r="H48" s="59"/>
      <c r="I48" s="59"/>
      <c r="J48" s="59"/>
      <c r="K48" s="59"/>
      <c r="L48" s="97"/>
      <c r="M48" s="59"/>
      <c r="N48" s="59"/>
      <c r="O48" s="59"/>
    </row>
    <row r="49" spans="1:15" hidden="1" x14ac:dyDescent="0.35">
      <c r="A49" s="57">
        <f>'Distribution Dashboard'!A40</f>
        <v>0</v>
      </c>
      <c r="B49" s="57" t="str">
        <f>'Distribution Dashboard'!B40</f>
        <v>Amount Billed Sewer</v>
      </c>
      <c r="C49" s="57" t="str">
        <f>'Distribution Dashboard'!C40</f>
        <v>KES</v>
      </c>
      <c r="D49" s="59"/>
      <c r="E49" s="59"/>
      <c r="F49" s="59"/>
      <c r="G49" s="59"/>
      <c r="H49" s="59"/>
      <c r="I49" s="59"/>
      <c r="J49" s="59"/>
      <c r="K49" s="59"/>
      <c r="L49" s="97"/>
      <c r="M49" s="59"/>
      <c r="N49" s="59"/>
      <c r="O49" s="59"/>
    </row>
    <row r="50" spans="1:15" x14ac:dyDescent="0.35">
      <c r="A50" s="57">
        <f>'Distribution Dashboard'!A41</f>
        <v>0</v>
      </c>
      <c r="B50" s="57" t="str">
        <f>'Distribution Dashboard'!B41</f>
        <v>ZONE - CCCR</v>
      </c>
      <c r="C50" s="57">
        <f>'Distribution Dashboard'!C41</f>
        <v>0</v>
      </c>
      <c r="D50" s="59"/>
      <c r="E50" s="59"/>
      <c r="F50" s="59"/>
      <c r="G50" s="59"/>
      <c r="H50" s="59"/>
      <c r="I50" s="59"/>
      <c r="J50" s="59"/>
      <c r="K50" s="59"/>
      <c r="L50" s="97"/>
      <c r="M50" s="59"/>
      <c r="N50" s="59"/>
      <c r="O50" s="59"/>
    </row>
    <row r="51" spans="1:15" x14ac:dyDescent="0.35">
      <c r="A51" s="57">
        <f>'Distribution Dashboard'!A42</f>
        <v>102</v>
      </c>
      <c r="B51" s="57" t="str">
        <f>'Distribution Dashboard'!B42</f>
        <v>Volume Water Supplied</v>
      </c>
      <c r="C51" s="57" t="str">
        <f>'Distribution Dashboard'!C42</f>
        <v>m3</v>
      </c>
      <c r="D51" s="59">
        <v>19036.909247675489</v>
      </c>
      <c r="E51" s="59">
        <v>19122.590472348864</v>
      </c>
      <c r="F51" s="59">
        <v>19206.523100600341</v>
      </c>
      <c r="G51" s="59">
        <v>19288.76012020027</v>
      </c>
      <c r="H51" s="59">
        <v>19369.352399408199</v>
      </c>
      <c r="I51" s="59">
        <v>19448.34879189913</v>
      </c>
      <c r="J51" s="59">
        <v>19525.796235517701</v>
      </c>
      <c r="K51" s="59">
        <v>19601.739845279593</v>
      </c>
      <c r="L51" s="59">
        <v>19676.223001007613</v>
      </c>
      <c r="M51" s="59">
        <v>19749.287429959859</v>
      </c>
      <c r="N51" s="59">
        <v>19820.973284780928</v>
      </c>
      <c r="O51" s="59">
        <v>19891.319217081975</v>
      </c>
    </row>
    <row r="52" spans="1:15" x14ac:dyDescent="0.35">
      <c r="A52" s="57">
        <f>'Distribution Dashboard'!A43</f>
        <v>109</v>
      </c>
      <c r="B52" s="57" t="str">
        <f>'Distribution Dashboard'!B43</f>
        <v>Volume Water Sold</v>
      </c>
      <c r="C52" s="57" t="str">
        <f>'Distribution Dashboard'!C43</f>
        <v>m3</v>
      </c>
      <c r="D52" s="59">
        <v>15540.334546280268</v>
      </c>
      <c r="E52" s="59">
        <v>15772.885471977739</v>
      </c>
      <c r="F52" s="59">
        <v>16005.436397675212</v>
      </c>
      <c r="G52" s="59">
        <v>16237.987323372683</v>
      </c>
      <c r="H52" s="59">
        <v>16470.538249070152</v>
      </c>
      <c r="I52" s="59">
        <v>16703.089174767621</v>
      </c>
      <c r="J52" s="59">
        <v>16935.640100465091</v>
      </c>
      <c r="K52" s="59">
        <v>17168.19102616256</v>
      </c>
      <c r="L52" s="97">
        <v>17400.741951860036</v>
      </c>
      <c r="M52" s="59">
        <v>17633.292877557506</v>
      </c>
      <c r="N52" s="59">
        <v>17865.843803254975</v>
      </c>
      <c r="O52" s="59">
        <v>18098.394728952448</v>
      </c>
    </row>
    <row r="53" spans="1:15" x14ac:dyDescent="0.35">
      <c r="A53" s="57">
        <f>'Distribution Dashboard'!A44</f>
        <v>123</v>
      </c>
      <c r="B53" s="57" t="str">
        <f>'Distribution Dashboard'!B44</f>
        <v>NRW</v>
      </c>
      <c r="C53" s="57" t="str">
        <f>'Distribution Dashboard'!C44</f>
        <v>%</v>
      </c>
      <c r="D53" s="58">
        <f>(D51-D52)/D51</f>
        <v>0.18367344488035375</v>
      </c>
      <c r="E53" s="58">
        <f t="shared" ref="E53:O53" si="24">(E51-E52)/E51</f>
        <v>0.17517004326452398</v>
      </c>
      <c r="F53" s="58">
        <f t="shared" si="24"/>
        <v>0.16666664164869446</v>
      </c>
      <c r="G53" s="58">
        <f t="shared" si="24"/>
        <v>0.15816324003286486</v>
      </c>
      <c r="H53" s="58">
        <f t="shared" si="24"/>
        <v>0.14965983841703534</v>
      </c>
      <c r="I53" s="58">
        <f t="shared" si="24"/>
        <v>0.1411564368012054</v>
      </c>
      <c r="J53" s="58">
        <f t="shared" si="24"/>
        <v>0.13265303518537591</v>
      </c>
      <c r="K53" s="58">
        <f t="shared" si="24"/>
        <v>0.12414963356954613</v>
      </c>
      <c r="L53" s="101">
        <f t="shared" si="24"/>
        <v>0.11564623195371641</v>
      </c>
      <c r="M53" s="58">
        <f t="shared" si="24"/>
        <v>0.10714283033788699</v>
      </c>
      <c r="N53" s="58">
        <f t="shared" si="24"/>
        <v>9.8639428722057457E-2</v>
      </c>
      <c r="O53" s="58">
        <f t="shared" si="24"/>
        <v>9.0136027106227617E-2</v>
      </c>
    </row>
    <row r="54" spans="1:15" hidden="1" x14ac:dyDescent="0.35">
      <c r="A54" s="57">
        <f>'Distribution Dashboard'!A45</f>
        <v>0</v>
      </c>
      <c r="B54" s="57" t="str">
        <f>'Distribution Dashboard'!B45</f>
        <v>Amount Billed Water</v>
      </c>
      <c r="C54" s="57" t="str">
        <f>'Distribution Dashboard'!C45</f>
        <v>KES</v>
      </c>
      <c r="D54" s="59"/>
      <c r="E54" s="59"/>
      <c r="F54" s="59"/>
      <c r="G54" s="59"/>
      <c r="H54" s="59"/>
      <c r="I54" s="59"/>
      <c r="J54" s="59"/>
      <c r="K54" s="59"/>
      <c r="L54" s="97"/>
      <c r="M54" s="59"/>
      <c r="N54" s="59"/>
      <c r="O54" s="59"/>
    </row>
    <row r="55" spans="1:15" hidden="1" x14ac:dyDescent="0.35">
      <c r="A55" s="57">
        <f>'Distribution Dashboard'!A46</f>
        <v>0</v>
      </c>
      <c r="B55" s="57" t="str">
        <f>'Distribution Dashboard'!B46</f>
        <v>Amount Billed Sewer</v>
      </c>
      <c r="C55" s="57" t="str">
        <f>'Distribution Dashboard'!C46</f>
        <v>KES</v>
      </c>
      <c r="D55" s="59"/>
      <c r="E55" s="59"/>
      <c r="F55" s="59"/>
      <c r="G55" s="59"/>
      <c r="H55" s="59"/>
      <c r="I55" s="59"/>
      <c r="J55" s="59"/>
      <c r="K55" s="59"/>
      <c r="L55" s="97"/>
      <c r="M55" s="59"/>
      <c r="N55" s="59"/>
      <c r="O55" s="59"/>
    </row>
    <row r="56" spans="1:15" x14ac:dyDescent="0.35">
      <c r="A56" s="57">
        <f>'Distribution Dashboard'!A47</f>
        <v>0</v>
      </c>
      <c r="B56" s="57" t="str">
        <f>'Distribution Dashboard'!B47</f>
        <v>ZONE - LAKEVIEW</v>
      </c>
      <c r="C56" s="57">
        <f>'Distribution Dashboard'!C47</f>
        <v>0</v>
      </c>
      <c r="D56" s="59"/>
      <c r="E56" s="59"/>
      <c r="F56" s="59"/>
      <c r="G56" s="59"/>
      <c r="H56" s="59"/>
      <c r="I56" s="59"/>
      <c r="J56" s="59"/>
      <c r="K56" s="59"/>
      <c r="L56" s="97"/>
      <c r="M56" s="59"/>
      <c r="N56" s="59"/>
      <c r="O56" s="59"/>
    </row>
    <row r="57" spans="1:15" x14ac:dyDescent="0.35">
      <c r="A57" s="57">
        <f>'Distribution Dashboard'!A48</f>
        <v>104</v>
      </c>
      <c r="B57" s="57" t="str">
        <f>'Distribution Dashboard'!B48</f>
        <v>Volume Water Supplied</v>
      </c>
      <c r="C57" s="57" t="str">
        <f>'Distribution Dashboard'!C48</f>
        <v>m3</v>
      </c>
      <c r="D57" s="59">
        <v>26498.756491475899</v>
      </c>
      <c r="E57" s="59">
        <v>26392.10061533931</v>
      </c>
      <c r="F57" s="59">
        <v>26287.016510008951</v>
      </c>
      <c r="G57" s="59">
        <v>26183.469685216343</v>
      </c>
      <c r="H57" s="59">
        <v>26081.426652485032</v>
      </c>
      <c r="I57" s="59">
        <v>25980.854889020706</v>
      </c>
      <c r="J57" s="59">
        <v>25881.722803151977</v>
      </c>
      <c r="K57" s="59">
        <v>25783.999701244837</v>
      </c>
      <c r="L57" s="97">
        <v>25687.655756017833</v>
      </c>
      <c r="M57" s="59">
        <v>25592.661976189418</v>
      </c>
      <c r="N57" s="59">
        <v>25498.990177392407</v>
      </c>
      <c r="O57" s="59">
        <v>25406.612954294462</v>
      </c>
    </row>
    <row r="58" spans="1:15" x14ac:dyDescent="0.35">
      <c r="A58" s="57">
        <f>'Distribution Dashboard'!A49</f>
        <v>111</v>
      </c>
      <c r="B58" s="57" t="str">
        <f>'Distribution Dashboard'!B49</f>
        <v>Volume Water Sold</v>
      </c>
      <c r="C58" s="57" t="str">
        <f>'Distribution Dashboard'!C49</f>
        <v>m3</v>
      </c>
      <c r="D58" s="59">
        <v>21090.847636599865</v>
      </c>
      <c r="E58" s="59">
        <v>21163.054104961095</v>
      </c>
      <c r="F58" s="59">
        <v>21235.260573322324</v>
      </c>
      <c r="G58" s="59">
        <v>21307.467041683554</v>
      </c>
      <c r="H58" s="59">
        <v>21379.673510044788</v>
      </c>
      <c r="I58" s="59">
        <v>21451.879978406017</v>
      </c>
      <c r="J58" s="59">
        <v>21524.086446767247</v>
      </c>
      <c r="K58" s="59">
        <v>21596.292915128477</v>
      </c>
      <c r="L58" s="97">
        <v>21668.499383489707</v>
      </c>
      <c r="M58" s="59">
        <v>21740.70585185094</v>
      </c>
      <c r="N58" s="59">
        <v>21812.912320212166</v>
      </c>
      <c r="O58" s="59">
        <v>21885.1187885734</v>
      </c>
    </row>
    <row r="59" spans="1:15" x14ac:dyDescent="0.35">
      <c r="A59" s="57">
        <f>'Distribution Dashboard'!A50</f>
        <v>125</v>
      </c>
      <c r="B59" s="57" t="str">
        <f>'Distribution Dashboard'!B50</f>
        <v>NRW</v>
      </c>
      <c r="C59" s="57" t="str">
        <f>'Distribution Dashboard'!C50</f>
        <v>%</v>
      </c>
      <c r="D59" s="58">
        <f>(D57-D58)/D57</f>
        <v>0.2040816087583448</v>
      </c>
      <c r="E59" s="58">
        <f t="shared" ref="E59:O59" si="25">(E57-E58)/E57</f>
        <v>0.19812922762726395</v>
      </c>
      <c r="F59" s="58">
        <f t="shared" si="25"/>
        <v>0.1921768464961833</v>
      </c>
      <c r="G59" s="58">
        <f t="shared" si="25"/>
        <v>0.18622446536510276</v>
      </c>
      <c r="H59" s="58">
        <f t="shared" si="25"/>
        <v>0.18027208423402186</v>
      </c>
      <c r="I59" s="58">
        <f t="shared" si="25"/>
        <v>0.17431970310294123</v>
      </c>
      <c r="J59" s="58">
        <f t="shared" si="25"/>
        <v>0.16836732197186038</v>
      </c>
      <c r="K59" s="58">
        <f t="shared" si="25"/>
        <v>0.16241494084077962</v>
      </c>
      <c r="L59" s="101">
        <f t="shared" si="25"/>
        <v>0.15646255970969875</v>
      </c>
      <c r="M59" s="58">
        <f t="shared" si="25"/>
        <v>0.15051017857861806</v>
      </c>
      <c r="N59" s="58">
        <f t="shared" si="25"/>
        <v>0.14455779744753752</v>
      </c>
      <c r="O59" s="58">
        <f t="shared" si="25"/>
        <v>0.13860541631645656</v>
      </c>
    </row>
    <row r="60" spans="1:15" hidden="1" x14ac:dyDescent="0.35">
      <c r="A60" s="57">
        <f>'Distribution Dashboard'!A51</f>
        <v>0</v>
      </c>
      <c r="B60" s="57" t="str">
        <f>'Distribution Dashboard'!B51</f>
        <v>Amount Billed Water</v>
      </c>
      <c r="C60" s="57" t="str">
        <f>'Distribution Dashboard'!C51</f>
        <v>KES</v>
      </c>
      <c r="D60" s="59"/>
      <c r="E60" s="59"/>
      <c r="F60" s="59"/>
      <c r="G60" s="59"/>
      <c r="H60" s="59"/>
      <c r="I60" s="59"/>
      <c r="J60" s="59"/>
      <c r="K60" s="59"/>
      <c r="L60" s="97"/>
      <c r="M60" s="59"/>
      <c r="N60" s="59"/>
      <c r="O60" s="59"/>
    </row>
    <row r="61" spans="1:15" hidden="1" x14ac:dyDescent="0.35">
      <c r="A61" s="57">
        <f>'Distribution Dashboard'!A52</f>
        <v>0</v>
      </c>
      <c r="B61" s="57" t="str">
        <f>'Distribution Dashboard'!B52</f>
        <v>Amount Billed Sewer</v>
      </c>
      <c r="C61" s="57" t="str">
        <f>'Distribution Dashboard'!C52</f>
        <v>KES</v>
      </c>
      <c r="D61" s="59"/>
      <c r="E61" s="59"/>
      <c r="F61" s="59"/>
      <c r="G61" s="59"/>
      <c r="H61" s="59"/>
      <c r="I61" s="59"/>
      <c r="J61" s="59"/>
      <c r="K61" s="59"/>
      <c r="L61" s="97"/>
      <c r="M61" s="59"/>
      <c r="N61" s="59"/>
      <c r="O61" s="59"/>
    </row>
    <row r="62" spans="1:15" x14ac:dyDescent="0.35">
      <c r="A62" s="57">
        <f>'Distribution Dashboard'!A53</f>
        <v>0</v>
      </c>
      <c r="B62" s="57" t="str">
        <f>'Distribution Dashboard'!B53</f>
        <v>ZONE - KABATI</v>
      </c>
      <c r="C62" s="57">
        <f>'Distribution Dashboard'!C53</f>
        <v>0</v>
      </c>
      <c r="D62" s="59"/>
      <c r="E62" s="59"/>
      <c r="F62" s="59"/>
      <c r="G62" s="59"/>
      <c r="H62" s="59"/>
      <c r="I62" s="59"/>
      <c r="J62" s="59"/>
      <c r="K62" s="59"/>
      <c r="L62" s="97"/>
      <c r="M62" s="59"/>
      <c r="N62" s="59"/>
      <c r="O62" s="59"/>
    </row>
    <row r="63" spans="1:15" x14ac:dyDescent="0.35">
      <c r="A63" s="57">
        <f>'Distribution Dashboard'!A54</f>
        <v>103</v>
      </c>
      <c r="B63" s="57" t="str">
        <f>'Distribution Dashboard'!B54</f>
        <v>Volume Water Supplied</v>
      </c>
      <c r="C63" s="57" t="str">
        <f>'Distribution Dashboard'!C54</f>
        <v>m3</v>
      </c>
      <c r="D63" s="59">
        <v>16735.651704742097</v>
      </c>
      <c r="E63" s="59">
        <v>16734.288004651131</v>
      </c>
      <c r="F63" s="59">
        <v>16732.941350811307</v>
      </c>
      <c r="G63" s="59">
        <v>16731.611425590614</v>
      </c>
      <c r="H63" s="59">
        <v>16730.297919199798</v>
      </c>
      <c r="I63" s="59">
        <v>16729.000529451812</v>
      </c>
      <c r="J63" s="59">
        <v>16727.71896153003</v>
      </c>
      <c r="K63" s="59">
        <v>16726.452927764873</v>
      </c>
      <c r="L63" s="97">
        <v>16725.202147418568</v>
      </c>
      <c r="M63" s="59">
        <v>16723.966346477617</v>
      </c>
      <c r="N63" s="59">
        <v>16722.745257452625</v>
      </c>
      <c r="O63" s="59">
        <v>16721.538619185321</v>
      </c>
    </row>
    <row r="64" spans="1:15" x14ac:dyDescent="0.35">
      <c r="A64" s="57">
        <f>'Distribution Dashboard'!A55</f>
        <v>110</v>
      </c>
      <c r="B64" s="57" t="str">
        <f>'Distribution Dashboard'!B55</f>
        <v>Volume Water Sold</v>
      </c>
      <c r="C64" s="57" t="str">
        <f>'Distribution Dashboard'!C55</f>
        <v>m3</v>
      </c>
      <c r="D64" s="59">
        <v>13490.984942516672</v>
      </c>
      <c r="E64" s="59">
        <v>13575.264656221774</v>
      </c>
      <c r="F64" s="59">
        <v>13659.544369926876</v>
      </c>
      <c r="G64" s="59">
        <v>13743.824083631978</v>
      </c>
      <c r="H64" s="59">
        <v>13828.10379733708</v>
      </c>
      <c r="I64" s="59">
        <v>13912.383511042179</v>
      </c>
      <c r="J64" s="59">
        <v>13996.663224747281</v>
      </c>
      <c r="K64" s="59">
        <v>14080.942938452383</v>
      </c>
      <c r="L64" s="97">
        <v>14165.222652157485</v>
      </c>
      <c r="M64" s="59">
        <v>14249.502365862587</v>
      </c>
      <c r="N64" s="59">
        <v>14333.782079567689</v>
      </c>
      <c r="O64" s="59">
        <v>14418.061793272787</v>
      </c>
    </row>
    <row r="65" spans="1:15" x14ac:dyDescent="0.35">
      <c r="A65" s="57">
        <f>'Distribution Dashboard'!A56</f>
        <v>124</v>
      </c>
      <c r="B65" s="57" t="str">
        <f>'Distribution Dashboard'!B56</f>
        <v>NRW</v>
      </c>
      <c r="C65" s="57" t="str">
        <f>'Distribution Dashboard'!C56</f>
        <v>%</v>
      </c>
      <c r="D65" s="58">
        <f>(D63-D64)/D63</f>
        <v>0.19387752681934928</v>
      </c>
      <c r="E65" s="58">
        <f t="shared" ref="E65:O65" si="26">(E63-E64)/E63</f>
        <v>0.18877548584985135</v>
      </c>
      <c r="F65" s="58">
        <f t="shared" si="26"/>
        <v>0.18367344488035361</v>
      </c>
      <c r="G65" s="58">
        <f t="shared" si="26"/>
        <v>0.17857140391085607</v>
      </c>
      <c r="H65" s="58">
        <f t="shared" si="26"/>
        <v>0.17346936294135809</v>
      </c>
      <c r="I65" s="58">
        <f t="shared" si="26"/>
        <v>0.16836732197186025</v>
      </c>
      <c r="J65" s="58">
        <f t="shared" si="26"/>
        <v>0.16326528100236259</v>
      </c>
      <c r="K65" s="58">
        <f t="shared" si="26"/>
        <v>0.1581632400328648</v>
      </c>
      <c r="L65" s="101">
        <f t="shared" si="26"/>
        <v>0.15306119906336677</v>
      </c>
      <c r="M65" s="58">
        <f t="shared" si="26"/>
        <v>0.1479591580938692</v>
      </c>
      <c r="N65" s="58">
        <f t="shared" si="26"/>
        <v>0.14285711712437141</v>
      </c>
      <c r="O65" s="58">
        <f t="shared" si="26"/>
        <v>0.13775507615487362</v>
      </c>
    </row>
    <row r="66" spans="1:15" hidden="1" x14ac:dyDescent="0.35">
      <c r="A66" s="57">
        <f>'Distribution Dashboard'!A57</f>
        <v>0</v>
      </c>
      <c r="B66" s="57" t="str">
        <f>'Distribution Dashboard'!B57</f>
        <v xml:space="preserve">Amount Billed </v>
      </c>
      <c r="C66" s="57" t="str">
        <f>'Distribution Dashboard'!C57</f>
        <v>KES</v>
      </c>
      <c r="D66" s="59"/>
      <c r="E66" s="59"/>
      <c r="F66" s="59"/>
      <c r="G66" s="59"/>
      <c r="H66" s="59"/>
      <c r="I66" s="59"/>
      <c r="J66" s="59"/>
      <c r="K66" s="59"/>
      <c r="L66" s="97"/>
      <c r="M66" s="59"/>
      <c r="N66" s="59"/>
      <c r="O66" s="59"/>
    </row>
    <row r="67" spans="1:15" hidden="1" x14ac:dyDescent="0.35">
      <c r="A67" s="57">
        <f>'Distribution Dashboard'!A58</f>
        <v>0</v>
      </c>
      <c r="B67" s="57" t="str">
        <f>'Distribution Dashboard'!B58</f>
        <v>Amount Billed Sewer</v>
      </c>
      <c r="C67" s="57" t="str">
        <f>'Distribution Dashboard'!C58</f>
        <v>KES</v>
      </c>
      <c r="D67" s="59"/>
      <c r="E67" s="59"/>
      <c r="F67" s="59"/>
      <c r="G67" s="59"/>
      <c r="H67" s="59"/>
      <c r="I67" s="59"/>
      <c r="J67" s="59"/>
      <c r="K67" s="59"/>
      <c r="L67" s="97"/>
      <c r="M67" s="59"/>
      <c r="N67" s="59"/>
      <c r="O67" s="59"/>
    </row>
    <row r="68" spans="1:15" x14ac:dyDescent="0.35">
      <c r="A68" s="57">
        <f>'Distribution Dashboard'!A59</f>
        <v>0</v>
      </c>
      <c r="B68" s="57" t="str">
        <f>'Distribution Dashboard'!B59</f>
        <v>ZONE - SITE AND SERVICES</v>
      </c>
      <c r="C68" s="57">
        <f>'Distribution Dashboard'!C59</f>
        <v>0</v>
      </c>
      <c r="D68" s="59"/>
      <c r="E68" s="59"/>
      <c r="F68" s="59"/>
      <c r="G68" s="59"/>
      <c r="H68" s="59"/>
      <c r="I68" s="59"/>
      <c r="J68" s="59"/>
      <c r="K68" s="59"/>
      <c r="L68" s="97"/>
      <c r="M68" s="59"/>
      <c r="N68" s="59"/>
      <c r="O68" s="59"/>
    </row>
    <row r="69" spans="1:15" x14ac:dyDescent="0.35">
      <c r="A69" s="57">
        <f>'Distribution Dashboard'!A60</f>
        <v>105</v>
      </c>
      <c r="B69" s="57" t="str">
        <f>'Distribution Dashboard'!B60</f>
        <v>Volume Water Supplied</v>
      </c>
      <c r="C69" s="57" t="str">
        <f>'Distribution Dashboard'!C60</f>
        <v>m3</v>
      </c>
      <c r="D69" s="59">
        <v>13140.284917666544</v>
      </c>
      <c r="E69" s="59">
        <v>13023.101552739345</v>
      </c>
      <c r="F69" s="59">
        <v>12908.309685055561</v>
      </c>
      <c r="G69" s="59">
        <v>12795.836845001757</v>
      </c>
      <c r="H69" s="59">
        <v>12685.613461749022</v>
      </c>
      <c r="I69" s="59">
        <v>12577.572719748818</v>
      </c>
      <c r="J69" s="59">
        <v>12471.650423670191</v>
      </c>
      <c r="K69" s="59">
        <v>12367.784871204738</v>
      </c>
      <c r="L69" s="97">
        <v>12265.916733209771</v>
      </c>
      <c r="M69" s="59">
        <v>12165.988940700427</v>
      </c>
      <c r="N69" s="59">
        <v>12067.946578238429</v>
      </c>
      <c r="O69" s="59">
        <v>11971.736783299082</v>
      </c>
    </row>
    <row r="70" spans="1:15" x14ac:dyDescent="0.35">
      <c r="A70" s="57">
        <f>'Distribution Dashboard'!A61</f>
        <v>112</v>
      </c>
      <c r="B70" s="57" t="str">
        <f>'Distribution Dashboard'!B61</f>
        <v>Volume Water Sold</v>
      </c>
      <c r="C70" s="57" t="str">
        <f>'Distribution Dashboard'!C61</f>
        <v>m3</v>
      </c>
      <c r="D70" s="59">
        <v>10726.763520129374</v>
      </c>
      <c r="E70" s="59">
        <v>10741.844290307705</v>
      </c>
      <c r="F70" s="59">
        <v>10756.925060486035</v>
      </c>
      <c r="G70" s="59">
        <v>10772.005830664366</v>
      </c>
      <c r="H70" s="59">
        <v>10787.086600842696</v>
      </c>
      <c r="I70" s="59">
        <v>10802.167371021029</v>
      </c>
      <c r="J70" s="59">
        <v>10817.248141199361</v>
      </c>
      <c r="K70" s="59">
        <v>10832.328911377692</v>
      </c>
      <c r="L70" s="97">
        <v>10847.409681556022</v>
      </c>
      <c r="M70" s="59">
        <v>10862.490451734353</v>
      </c>
      <c r="N70" s="59">
        <v>10877.571221912684</v>
      </c>
      <c r="O70" s="59">
        <v>10892.651992091016</v>
      </c>
    </row>
    <row r="71" spans="1:15" x14ac:dyDescent="0.35">
      <c r="A71" s="57">
        <f>'Distribution Dashboard'!A62</f>
        <v>126</v>
      </c>
      <c r="B71" s="57" t="str">
        <f>'Distribution Dashboard'!B62</f>
        <v>NRW</v>
      </c>
      <c r="C71" s="57" t="str">
        <f>'Distribution Dashboard'!C62</f>
        <v>%</v>
      </c>
      <c r="D71" s="58">
        <f>(D69-D70)/D69</f>
        <v>0.18367344488035375</v>
      </c>
      <c r="E71" s="58">
        <f t="shared" ref="E71:O71" si="27">(E69-E70)/E69</f>
        <v>0.17517004326452393</v>
      </c>
      <c r="F71" s="58">
        <f t="shared" si="27"/>
        <v>0.16666664164869435</v>
      </c>
      <c r="G71" s="58">
        <f t="shared" si="27"/>
        <v>0.158163240032865</v>
      </c>
      <c r="H71" s="58">
        <f t="shared" si="27"/>
        <v>0.14965983841703526</v>
      </c>
      <c r="I71" s="58">
        <f t="shared" si="27"/>
        <v>0.14115643680120538</v>
      </c>
      <c r="J71" s="58">
        <f t="shared" si="27"/>
        <v>0.13265303518537588</v>
      </c>
      <c r="K71" s="58">
        <f t="shared" si="27"/>
        <v>0.12414963356954627</v>
      </c>
      <c r="L71" s="101">
        <f t="shared" si="27"/>
        <v>0.11564623195371643</v>
      </c>
      <c r="M71" s="58">
        <f t="shared" si="27"/>
        <v>0.10714283033788685</v>
      </c>
      <c r="N71" s="58">
        <f t="shared" si="27"/>
        <v>9.8639428722057332E-2</v>
      </c>
      <c r="O71" s="58">
        <f t="shared" si="27"/>
        <v>9.0136027106227451E-2</v>
      </c>
    </row>
    <row r="72" spans="1:15" hidden="1" x14ac:dyDescent="0.35">
      <c r="A72" s="57">
        <f>'Distribution Dashboard'!A63</f>
        <v>0</v>
      </c>
      <c r="B72" s="57" t="str">
        <f>'Distribution Dashboard'!B63</f>
        <v>Amount Billed Water</v>
      </c>
      <c r="C72" s="57" t="str">
        <f>'Distribution Dashboard'!C63</f>
        <v>KES</v>
      </c>
      <c r="D72" s="59"/>
      <c r="E72" s="59"/>
      <c r="F72" s="59"/>
      <c r="G72" s="59"/>
      <c r="H72" s="59"/>
      <c r="I72" s="59"/>
      <c r="J72" s="59"/>
      <c r="K72" s="59"/>
      <c r="L72" s="97"/>
      <c r="M72" s="59"/>
      <c r="N72" s="59"/>
      <c r="O72" s="59"/>
    </row>
    <row r="73" spans="1:15" hidden="1" x14ac:dyDescent="0.35">
      <c r="A73" s="57">
        <f>'Distribution Dashboard'!A64</f>
        <v>0</v>
      </c>
      <c r="B73" s="57" t="str">
        <f>'Distribution Dashboard'!B64</f>
        <v>Amount Billed Sewer</v>
      </c>
      <c r="C73" s="57" t="str">
        <f>'Distribution Dashboard'!C64</f>
        <v>KES</v>
      </c>
      <c r="D73" s="59"/>
      <c r="E73" s="59"/>
      <c r="F73" s="59"/>
      <c r="G73" s="59"/>
      <c r="H73" s="59"/>
      <c r="I73" s="59"/>
      <c r="J73" s="59"/>
      <c r="K73" s="59"/>
      <c r="L73" s="97"/>
      <c r="M73" s="59"/>
      <c r="N73" s="59"/>
      <c r="O73" s="59"/>
    </row>
    <row r="74" spans="1:15" x14ac:dyDescent="0.35">
      <c r="A74" s="57">
        <f>'Distribution Dashboard'!A65</f>
        <v>0</v>
      </c>
      <c r="B74" s="57" t="str">
        <f>'Distribution Dashboard'!B65</f>
        <v>ZONE - HOPEWELL</v>
      </c>
      <c r="C74" s="57">
        <f>'Distribution Dashboard'!C65</f>
        <v>0</v>
      </c>
      <c r="D74" s="59"/>
      <c r="E74" s="59"/>
      <c r="F74" s="59"/>
      <c r="G74" s="59"/>
      <c r="H74" s="59"/>
      <c r="I74" s="59"/>
      <c r="J74" s="59"/>
      <c r="K74" s="59"/>
      <c r="L74" s="97"/>
      <c r="M74" s="59"/>
      <c r="N74" s="59"/>
      <c r="O74" s="59"/>
    </row>
    <row r="75" spans="1:15" x14ac:dyDescent="0.35">
      <c r="A75" s="57" t="str">
        <f>'Distribution Dashboard'!A66</f>
        <v>105B</v>
      </c>
      <c r="B75" s="57" t="str">
        <f>'Distribution Dashboard'!B66</f>
        <v>Volume Water Supplied</v>
      </c>
      <c r="C75" s="57" t="str">
        <f>'Distribution Dashboard'!C66</f>
        <v>m3</v>
      </c>
      <c r="D75" s="59">
        <v>6727.3147103346892</v>
      </c>
      <c r="E75" s="59">
        <v>6745.851911587677</v>
      </c>
      <c r="F75" s="59">
        <v>6764.1321615361703</v>
      </c>
      <c r="G75" s="59">
        <v>6782.1607659593155</v>
      </c>
      <c r="H75" s="59">
        <v>6799.9428855563619</v>
      </c>
      <c r="I75" s="59">
        <v>6817.4835408717809</v>
      </c>
      <c r="J75" s="59">
        <v>6834.7876170210957</v>
      </c>
      <c r="K75" s="59">
        <v>6851.8598682267821</v>
      </c>
      <c r="L75" s="59">
        <v>6868.7049221730786</v>
      </c>
      <c r="M75" s="59">
        <v>6885.3272841880735</v>
      </c>
      <c r="N75" s="59">
        <v>6901.7313412610356</v>
      </c>
      <c r="O75" s="59">
        <v>6917.9213659024726</v>
      </c>
    </row>
    <row r="76" spans="1:15" x14ac:dyDescent="0.35">
      <c r="A76" s="57" t="str">
        <f>'Distribution Dashboard'!A67</f>
        <v>112B</v>
      </c>
      <c r="B76" s="57" t="str">
        <f>'Distribution Dashboard'!B67</f>
        <v>Volume Water Sold</v>
      </c>
      <c r="C76" s="57" t="str">
        <f>'Distribution Dashboard'!C67</f>
        <v>m3</v>
      </c>
      <c r="D76" s="59">
        <v>5697.6238542942338</v>
      </c>
      <c r="E76" s="59">
        <v>5753.4776109277609</v>
      </c>
      <c r="F76" s="59">
        <v>5809.331367561289</v>
      </c>
      <c r="G76" s="59">
        <v>5865.1851241948152</v>
      </c>
      <c r="H76" s="59">
        <v>5921.0388808283433</v>
      </c>
      <c r="I76" s="59">
        <v>5976.8926374618704</v>
      </c>
      <c r="J76" s="59">
        <v>6032.7463940953985</v>
      </c>
      <c r="K76" s="59">
        <v>6088.6001507289257</v>
      </c>
      <c r="L76" s="97">
        <v>6144.4539073624528</v>
      </c>
      <c r="M76" s="59">
        <v>6200.30766399598</v>
      </c>
      <c r="N76" s="59">
        <v>6256.161420629508</v>
      </c>
      <c r="O76" s="59">
        <v>6312.0151772630352</v>
      </c>
    </row>
    <row r="77" spans="1:15" x14ac:dyDescent="0.35">
      <c r="A77" s="57" t="str">
        <f>'Distribution Dashboard'!A68</f>
        <v>126B</v>
      </c>
      <c r="B77" s="57" t="str">
        <f>'Distribution Dashboard'!B68</f>
        <v>NRW</v>
      </c>
      <c r="C77" s="57" t="str">
        <f>'Distribution Dashboard'!C68</f>
        <v>%</v>
      </c>
      <c r="D77" s="101">
        <f t="shared" ref="D77:K77" si="28">(D75-D76)/D75</f>
        <v>0.15306119906336707</v>
      </c>
      <c r="E77" s="101">
        <f t="shared" si="28"/>
        <v>0.14710881793228617</v>
      </c>
      <c r="F77" s="101">
        <f t="shared" si="28"/>
        <v>0.1411564368012054</v>
      </c>
      <c r="G77" s="101">
        <f t="shared" si="28"/>
        <v>0.13520405567012492</v>
      </c>
      <c r="H77" s="101">
        <f t="shared" si="28"/>
        <v>0.12925167453904401</v>
      </c>
      <c r="I77" s="101">
        <f t="shared" si="28"/>
        <v>0.12329929340796332</v>
      </c>
      <c r="J77" s="101">
        <f t="shared" si="28"/>
        <v>0.11734691227688249</v>
      </c>
      <c r="K77" s="101">
        <f t="shared" si="28"/>
        <v>0.11139453114580161</v>
      </c>
      <c r="L77" s="101">
        <f>(L75-L76)/L75</f>
        <v>0.10544215001472092</v>
      </c>
      <c r="M77" s="101">
        <f t="shared" ref="M77" si="29">(M75-M76)/M75</f>
        <v>9.9489768883640209E-2</v>
      </c>
      <c r="N77" s="101">
        <f t="shared" ref="N77" si="30">(N75-N76)/N75</f>
        <v>9.3537387752559722E-2</v>
      </c>
      <c r="O77" s="101">
        <f t="shared" ref="O77" si="31">(O75-O76)/O75</f>
        <v>8.7585006621478764E-2</v>
      </c>
    </row>
    <row r="78" spans="1:15" x14ac:dyDescent="0.35">
      <c r="A78" s="57">
        <f>'Distribution Dashboard'!A69</f>
        <v>0</v>
      </c>
      <c r="B78" s="57" t="str">
        <f>'Distribution Dashboard'!B69</f>
        <v>ZONE - KAMERE</v>
      </c>
      <c r="C78" s="57">
        <f>'Distribution Dashboard'!C69</f>
        <v>0</v>
      </c>
      <c r="D78" s="59"/>
      <c r="E78" s="59"/>
      <c r="F78" s="59"/>
      <c r="G78" s="59"/>
      <c r="H78" s="59"/>
      <c r="I78" s="59"/>
      <c r="J78" s="59"/>
      <c r="K78" s="59"/>
      <c r="L78" s="97"/>
      <c r="M78" s="59"/>
      <c r="N78" s="59"/>
      <c r="O78" s="59"/>
    </row>
    <row r="79" spans="1:15" x14ac:dyDescent="0.35">
      <c r="A79" s="57">
        <f>'Distribution Dashboard'!A70</f>
        <v>106</v>
      </c>
      <c r="B79" s="57" t="str">
        <f>'Distribution Dashboard'!B70</f>
        <v>Volume Water Supplied</v>
      </c>
      <c r="C79" s="57" t="str">
        <f>'Distribution Dashboard'!C70</f>
        <v>m3</v>
      </c>
      <c r="D79" s="59">
        <v>8583.3921470690166</v>
      </c>
      <c r="E79" s="59">
        <v>8528.5362794830289</v>
      </c>
      <c r="F79" s="59">
        <v>8474.5581057784184</v>
      </c>
      <c r="G79" s="59">
        <v>8896.2257437637745</v>
      </c>
      <c r="H79" s="59">
        <v>9075.7276869559464</v>
      </c>
      <c r="I79" s="59">
        <v>9252.4249122857436</v>
      </c>
      <c r="J79" s="59">
        <v>9426.3826457499617</v>
      </c>
      <c r="K79" s="59">
        <v>9597.6641063916541</v>
      </c>
      <c r="L79" s="97">
        <v>9766.330582901408</v>
      </c>
      <c r="M79" s="59">
        <v>9932.4415067367754</v>
      </c>
      <c r="N79" s="59">
        <v>10096.054521943039</v>
      </c>
      <c r="O79" s="59">
        <v>10257.225551847716</v>
      </c>
    </row>
    <row r="80" spans="1:15" x14ac:dyDescent="0.35">
      <c r="A80" s="57">
        <f>'Distribution Dashboard'!A71</f>
        <v>113</v>
      </c>
      <c r="B80" s="57" t="str">
        <f>'Distribution Dashboard'!B71</f>
        <v>Volume Water Sold</v>
      </c>
      <c r="C80" s="57" t="str">
        <f>'Distribution Dashboard'!C71</f>
        <v>m3</v>
      </c>
      <c r="D80" s="59">
        <v>7182.0222162243208</v>
      </c>
      <c r="E80" s="59">
        <v>7194.1396626180831</v>
      </c>
      <c r="F80" s="59">
        <v>7206.2571090118454</v>
      </c>
      <c r="G80" s="59">
        <v>7625.3365807220634</v>
      </c>
      <c r="H80" s="59">
        <v>7840.9350397740527</v>
      </c>
      <c r="I80" s="59">
        <v>8056.5334988260438</v>
      </c>
      <c r="J80" s="59">
        <v>8272.1319578780349</v>
      </c>
      <c r="K80" s="59">
        <v>8487.7304169300241</v>
      </c>
      <c r="L80" s="97">
        <v>8703.3288759820134</v>
      </c>
      <c r="M80" s="59">
        <v>8918.9273350340027</v>
      </c>
      <c r="N80" s="59">
        <v>9134.5257940859919</v>
      </c>
      <c r="O80" s="59">
        <v>9350.124253137983</v>
      </c>
    </row>
    <row r="81" spans="1:15" x14ac:dyDescent="0.35">
      <c r="A81" s="57">
        <f>'Distribution Dashboard'!A72</f>
        <v>127</v>
      </c>
      <c r="B81" s="57" t="str">
        <f>'Distribution Dashboard'!B72</f>
        <v>NRW</v>
      </c>
      <c r="C81" s="57" t="str">
        <f>'Distribution Dashboard'!C72</f>
        <v>%</v>
      </c>
      <c r="D81" s="58">
        <f>(D79-D80)/D79</f>
        <v>0.16326528100236265</v>
      </c>
      <c r="E81" s="58">
        <f t="shared" ref="E81:O81" si="32">(E79-E80)/E79</f>
        <v>0.1564625597096988</v>
      </c>
      <c r="F81" s="58">
        <f t="shared" si="32"/>
        <v>0.14965983841703509</v>
      </c>
      <c r="G81" s="58">
        <f t="shared" si="32"/>
        <v>0.14285711712437157</v>
      </c>
      <c r="H81" s="58">
        <f t="shared" si="32"/>
        <v>0.13605439583170775</v>
      </c>
      <c r="I81" s="58">
        <f t="shared" si="32"/>
        <v>0.12925167453904401</v>
      </c>
      <c r="J81" s="58">
        <f t="shared" si="32"/>
        <v>0.12244895324638021</v>
      </c>
      <c r="K81" s="58">
        <f t="shared" si="32"/>
        <v>0.11564623195371665</v>
      </c>
      <c r="L81" s="101">
        <f>(L79-L80)/L79</f>
        <v>0.10884351066105272</v>
      </c>
      <c r="M81" s="58">
        <f t="shared" si="32"/>
        <v>0.10204078936838912</v>
      </c>
      <c r="N81" s="58">
        <f t="shared" si="32"/>
        <v>9.5238068075725435E-2</v>
      </c>
      <c r="O81" s="58">
        <f t="shared" si="32"/>
        <v>8.8435346783061572E-2</v>
      </c>
    </row>
    <row r="82" spans="1:15" hidden="1" x14ac:dyDescent="0.35">
      <c r="A82" s="57">
        <f>'Distribution Dashboard'!A73</f>
        <v>0</v>
      </c>
      <c r="B82" s="57" t="str">
        <f>'Distribution Dashboard'!B73</f>
        <v>Amount Billed Water</v>
      </c>
      <c r="C82" s="57" t="str">
        <f>'Distribution Dashboard'!C73</f>
        <v>KES</v>
      </c>
      <c r="D82" s="59"/>
      <c r="E82" s="59"/>
      <c r="F82" s="59"/>
      <c r="G82" s="59"/>
      <c r="H82" s="59"/>
      <c r="I82" s="59"/>
      <c r="J82" s="59"/>
      <c r="K82" s="59"/>
      <c r="L82" s="97"/>
      <c r="M82" s="59"/>
      <c r="N82" s="59"/>
      <c r="O82" s="59"/>
    </row>
    <row r="83" spans="1:15" hidden="1" x14ac:dyDescent="0.35">
      <c r="A83" s="57">
        <f>'Distribution Dashboard'!A74</f>
        <v>0</v>
      </c>
      <c r="B83" s="57" t="str">
        <f>'Distribution Dashboard'!B74</f>
        <v>Amount Billed Sewer</v>
      </c>
      <c r="C83" s="57" t="str">
        <f>'Distribution Dashboard'!C74</f>
        <v>KES</v>
      </c>
      <c r="D83" s="59"/>
      <c r="E83" s="59"/>
      <c r="F83" s="59"/>
      <c r="G83" s="59"/>
      <c r="H83" s="59"/>
      <c r="I83" s="59"/>
      <c r="J83" s="59"/>
      <c r="K83" s="59"/>
      <c r="L83" s="97"/>
      <c r="M83" s="59"/>
      <c r="N83" s="59"/>
      <c r="O83" s="59"/>
    </row>
    <row r="84" spans="1:15" x14ac:dyDescent="0.35">
      <c r="A84" s="57">
        <f>'Distribution Dashboard'!A75</f>
        <v>0</v>
      </c>
      <c r="B84" s="57" t="str">
        <f>'Distribution Dashboard'!B75</f>
        <v>ZONE - HELLS GATE</v>
      </c>
      <c r="C84" s="57">
        <f>'Distribution Dashboard'!C75</f>
        <v>0</v>
      </c>
      <c r="D84" s="59"/>
      <c r="E84" s="59"/>
      <c r="F84" s="59"/>
      <c r="G84" s="59"/>
      <c r="H84" s="59"/>
      <c r="I84" s="59"/>
      <c r="J84" s="59"/>
      <c r="K84" s="59"/>
      <c r="L84" s="97"/>
      <c r="M84" s="59"/>
      <c r="N84" s="59"/>
      <c r="O84" s="59"/>
    </row>
    <row r="85" spans="1:15" x14ac:dyDescent="0.35">
      <c r="A85" s="57" t="str">
        <f>'Distribution Dashboard'!A76</f>
        <v>103 (3)</v>
      </c>
      <c r="B85" s="57" t="str">
        <f>'Distribution Dashboard'!B76</f>
        <v>Volume Water Supplied</v>
      </c>
      <c r="C85" s="57" t="str">
        <f>'Distribution Dashboard'!C76</f>
        <v>m3</v>
      </c>
      <c r="D85" s="59">
        <v>37441.323412949765</v>
      </c>
      <c r="E85" s="59">
        <v>37396.341247205135</v>
      </c>
      <c r="F85" s="59">
        <v>37600.018677644017</v>
      </c>
      <c r="G85" s="59">
        <v>38478.289201780179</v>
      </c>
      <c r="H85" s="59">
        <v>39346.347277961257</v>
      </c>
      <c r="I85" s="59">
        <v>40204.37000066047</v>
      </c>
      <c r="J85" s="59">
        <v>40941.646510183913</v>
      </c>
      <c r="K85" s="59">
        <v>41670.497002455661</v>
      </c>
      <c r="L85" s="97">
        <v>42191.338933168903</v>
      </c>
      <c r="M85" s="59">
        <v>42597.291149144236</v>
      </c>
      <c r="N85" s="59">
        <v>42998.682104265914</v>
      </c>
      <c r="O85" s="59">
        <v>43356.312483520574</v>
      </c>
    </row>
    <row r="86" spans="1:15" x14ac:dyDescent="0.35">
      <c r="A86" s="57" t="str">
        <f>'Distribution Dashboard'!A77</f>
        <v>110 (3)</v>
      </c>
      <c r="B86" s="57" t="str">
        <f>'Distribution Dashboard'!B77</f>
        <v>Volume Water Sold</v>
      </c>
      <c r="C86" s="57" t="str">
        <f>'Distribution Dashboard'!C77</f>
        <v>m3</v>
      </c>
      <c r="D86" s="59">
        <v>26743.803240712103</v>
      </c>
      <c r="E86" s="59">
        <v>26870.671175652296</v>
      </c>
      <c r="F86" s="59">
        <v>27176.885064189766</v>
      </c>
      <c r="G86" s="59">
        <v>27975.287631972518</v>
      </c>
      <c r="H86" s="59">
        <v>28773.69019975527</v>
      </c>
      <c r="I86" s="59">
        <v>29572.092767538026</v>
      </c>
      <c r="J86" s="59">
        <v>30288.463888779897</v>
      </c>
      <c r="K86" s="59">
        <v>31004.835010021769</v>
      </c>
      <c r="L86" s="97">
        <v>31571.751169932581</v>
      </c>
      <c r="M86" s="59">
        <v>32056.635883302512</v>
      </c>
      <c r="N86" s="59">
        <v>32541.520596672442</v>
      </c>
      <c r="O86" s="59">
        <v>32996.514317776164</v>
      </c>
    </row>
    <row r="87" spans="1:15" x14ac:dyDescent="0.35">
      <c r="A87" s="57" t="str">
        <f>'Distribution Dashboard'!A78</f>
        <v>124 (3)</v>
      </c>
      <c r="B87" s="57" t="str">
        <f>'Distribution Dashboard'!B78</f>
        <v>NRW</v>
      </c>
      <c r="C87" s="57" t="str">
        <f>'Distribution Dashboard'!C78</f>
        <v>%</v>
      </c>
      <c r="D87" s="58">
        <f>(D85-D86)/D85</f>
        <v>0.28571426427030966</v>
      </c>
      <c r="E87" s="58">
        <f t="shared" ref="E87:O87" si="33">(E85-E86)/E85</f>
        <v>0.28146256346239457</v>
      </c>
      <c r="F87" s="58">
        <f t="shared" si="33"/>
        <v>0.27721086265447981</v>
      </c>
      <c r="G87" s="58">
        <f t="shared" si="33"/>
        <v>0.27295916184656527</v>
      </c>
      <c r="H87" s="58">
        <f t="shared" si="33"/>
        <v>0.26870746103865051</v>
      </c>
      <c r="I87" s="58">
        <f t="shared" si="33"/>
        <v>0.26445576023073558</v>
      </c>
      <c r="J87" s="58">
        <f t="shared" si="33"/>
        <v>0.26020405942282071</v>
      </c>
      <c r="K87" s="58">
        <f t="shared" si="33"/>
        <v>0.25595235861490589</v>
      </c>
      <c r="L87" s="101">
        <f t="shared" si="33"/>
        <v>0.25170065780699097</v>
      </c>
      <c r="M87" s="58">
        <f t="shared" si="33"/>
        <v>0.24744895699907626</v>
      </c>
      <c r="N87" s="58">
        <f t="shared" si="33"/>
        <v>0.24319725619116156</v>
      </c>
      <c r="O87" s="58">
        <f t="shared" si="33"/>
        <v>0.23894555538324658</v>
      </c>
    </row>
    <row r="88" spans="1:15" hidden="1" x14ac:dyDescent="0.35">
      <c r="A88" s="57">
        <f>'Distribution Dashboard'!A79</f>
        <v>0</v>
      </c>
      <c r="B88" s="57" t="str">
        <f>'Distribution Dashboard'!B79</f>
        <v>Amount Billed Water</v>
      </c>
      <c r="C88" s="57" t="str">
        <f>'Distribution Dashboard'!C79</f>
        <v>KES</v>
      </c>
      <c r="D88" s="59"/>
      <c r="E88" s="59"/>
      <c r="F88" s="59"/>
      <c r="G88" s="59"/>
      <c r="H88" s="59"/>
      <c r="I88" s="59"/>
      <c r="J88" s="59"/>
      <c r="K88" s="59"/>
      <c r="L88" s="97"/>
      <c r="M88" s="59"/>
      <c r="N88" s="59"/>
      <c r="O88" s="59"/>
    </row>
    <row r="89" spans="1:15" hidden="1" x14ac:dyDescent="0.35">
      <c r="A89" s="57">
        <f>'Distribution Dashboard'!A80</f>
        <v>0</v>
      </c>
      <c r="B89" s="57" t="str">
        <f>'Distribution Dashboard'!B80</f>
        <v>Amount Billed Sewer</v>
      </c>
      <c r="C89" s="57" t="str">
        <f>'Distribution Dashboard'!C80</f>
        <v>KES</v>
      </c>
      <c r="D89" s="59"/>
      <c r="E89" s="59"/>
      <c r="F89" s="59"/>
      <c r="G89" s="59"/>
      <c r="H89" s="59"/>
      <c r="I89" s="59"/>
      <c r="J89" s="59"/>
      <c r="K89" s="59"/>
      <c r="L89" s="97"/>
      <c r="M89" s="59"/>
      <c r="N89" s="59"/>
      <c r="O89" s="59"/>
    </row>
    <row r="90" spans="1:15" x14ac:dyDescent="0.35">
      <c r="A90" s="57">
        <f>'Distribution Dashboard'!A81</f>
        <v>0</v>
      </c>
      <c r="B90" s="57" t="str">
        <f>'Distribution Dashboard'!B81</f>
        <v>KIHOTO</v>
      </c>
      <c r="C90" s="57">
        <f>'Distribution Dashboard'!C81</f>
        <v>0</v>
      </c>
      <c r="D90" s="59"/>
      <c r="E90" s="59"/>
      <c r="F90" s="59"/>
      <c r="G90" s="59"/>
      <c r="H90" s="59"/>
      <c r="I90" s="59"/>
      <c r="J90" s="59"/>
      <c r="K90" s="59"/>
      <c r="L90" s="97"/>
      <c r="M90" s="59"/>
      <c r="N90" s="59"/>
      <c r="O90" s="59"/>
    </row>
    <row r="91" spans="1:15" x14ac:dyDescent="0.35">
      <c r="A91" s="57" t="str">
        <f>'Distribution Dashboard'!A82</f>
        <v>103 (2)</v>
      </c>
      <c r="B91" s="57" t="str">
        <f>'Distribution Dashboard'!B82</f>
        <v>Volume Water Supplied</v>
      </c>
      <c r="C91" s="57" t="str">
        <f>'Distribution Dashboard'!C82</f>
        <v>m3</v>
      </c>
      <c r="D91" s="59">
        <v>2074.3636828755289</v>
      </c>
      <c r="E91" s="59">
        <v>2075.5506500953534</v>
      </c>
      <c r="F91" s="59">
        <v>2076.7260933615876</v>
      </c>
      <c r="G91" s="59">
        <v>2077.8901796880523</v>
      </c>
      <c r="H91" s="59">
        <v>2079.043072876761</v>
      </c>
      <c r="I91" s="59">
        <v>2080.184933594765</v>
      </c>
      <c r="J91" s="59">
        <v>2081.315919448788</v>
      </c>
      <c r="K91" s="59">
        <v>2082.4361850577488</v>
      </c>
      <c r="L91" s="97">
        <v>2083.5458821232291</v>
      </c>
      <c r="M91" s="59">
        <v>2084.645159497954</v>
      </c>
      <c r="N91" s="59">
        <v>2085.7341632523544</v>
      </c>
      <c r="O91" s="59">
        <v>2086.8130367392714</v>
      </c>
    </row>
    <row r="92" spans="1:15" x14ac:dyDescent="0.35">
      <c r="A92" s="57" t="str">
        <f>'Distribution Dashboard'!A83</f>
        <v>110 (2)</v>
      </c>
      <c r="B92" s="57" t="str">
        <f>'Distribution Dashboard'!B83</f>
        <v>Volume Water Sold</v>
      </c>
      <c r="C92" s="57" t="str">
        <f>'Distribution Dashboard'!C83</f>
        <v>m3</v>
      </c>
      <c r="D92" s="59">
        <v>1799.1930442637758</v>
      </c>
      <c r="E92" s="59">
        <v>1809.0471770551037</v>
      </c>
      <c r="F92" s="59">
        <v>1818.9013098464316</v>
      </c>
      <c r="G92" s="59">
        <v>1828.7554426377596</v>
      </c>
      <c r="H92" s="59">
        <v>1838.6095754290875</v>
      </c>
      <c r="I92" s="59">
        <v>1848.4637082204154</v>
      </c>
      <c r="J92" s="59">
        <v>1858.3178410117434</v>
      </c>
      <c r="K92" s="59">
        <v>1868.1719738030713</v>
      </c>
      <c r="L92" s="97">
        <v>1878.0261065943992</v>
      </c>
      <c r="M92" s="59">
        <v>1887.8802393857272</v>
      </c>
      <c r="N92" s="59">
        <v>1897.7343721770551</v>
      </c>
      <c r="O92" s="59">
        <v>1907.5885049683829</v>
      </c>
    </row>
    <row r="93" spans="1:15" x14ac:dyDescent="0.35">
      <c r="A93" s="57" t="str">
        <f>'Distribution Dashboard'!A84</f>
        <v>124 (2)</v>
      </c>
      <c r="B93" s="57" t="str">
        <f>'Distribution Dashboard'!B84</f>
        <v>NRW</v>
      </c>
      <c r="C93" s="57" t="str">
        <f>'Distribution Dashboard'!C84</f>
        <v>%</v>
      </c>
      <c r="D93" s="58">
        <f>(D91-D92)/D91</f>
        <v>0.13265303518537569</v>
      </c>
      <c r="E93" s="58">
        <f t="shared" ref="E93:O93" si="34">(E91-E92)/E91</f>
        <v>0.12840133437746082</v>
      </c>
      <c r="F93" s="58">
        <f t="shared" si="34"/>
        <v>0.12414963356954607</v>
      </c>
      <c r="G93" s="58">
        <f t="shared" si="34"/>
        <v>0.11989793276163158</v>
      </c>
      <c r="H93" s="58">
        <f t="shared" si="34"/>
        <v>0.11564623195371655</v>
      </c>
      <c r="I93" s="58">
        <f t="shared" si="34"/>
        <v>0.11139453114580176</v>
      </c>
      <c r="J93" s="58">
        <f t="shared" si="34"/>
        <v>0.10714283033788689</v>
      </c>
      <c r="K93" s="58">
        <f t="shared" si="34"/>
        <v>0.10289112952997198</v>
      </c>
      <c r="L93" s="101">
        <f t="shared" si="34"/>
        <v>9.8639428722057165E-2</v>
      </c>
      <c r="M93" s="58">
        <f t="shared" si="34"/>
        <v>9.4387727914142336E-2</v>
      </c>
      <c r="N93" s="58">
        <f t="shared" si="34"/>
        <v>9.0136027106227673E-2</v>
      </c>
      <c r="O93" s="58">
        <f t="shared" si="34"/>
        <v>8.5884326298312733E-2</v>
      </c>
    </row>
    <row r="94" spans="1:15" hidden="1" x14ac:dyDescent="0.35">
      <c r="A94" s="57">
        <f>'Distribution Dashboard'!A85</f>
        <v>0</v>
      </c>
      <c r="B94" s="57" t="str">
        <f>'Distribution Dashboard'!B85</f>
        <v>Amount Billed Water</v>
      </c>
      <c r="C94" s="57" t="str">
        <f>'Distribution Dashboard'!C85</f>
        <v>KES</v>
      </c>
      <c r="D94" s="59"/>
      <c r="E94" s="59"/>
      <c r="F94" s="59"/>
      <c r="G94" s="59"/>
      <c r="H94" s="59"/>
      <c r="I94" s="59"/>
      <c r="J94" s="59"/>
      <c r="K94" s="59"/>
      <c r="L94" s="97"/>
      <c r="M94" s="59"/>
      <c r="N94" s="59"/>
      <c r="O94" s="59"/>
    </row>
    <row r="95" spans="1:15" hidden="1" x14ac:dyDescent="0.35">
      <c r="A95" s="57">
        <f>'Distribution Dashboard'!A86</f>
        <v>0</v>
      </c>
      <c r="B95" s="57" t="str">
        <f>'Distribution Dashboard'!B86</f>
        <v>Amount Billed Sewer</v>
      </c>
      <c r="C95" s="57" t="str">
        <f>'Distribution Dashboard'!C86</f>
        <v>KES</v>
      </c>
      <c r="D95" s="59"/>
      <c r="E95" s="59"/>
      <c r="F95" s="59"/>
      <c r="G95" s="59"/>
      <c r="H95" s="59"/>
      <c r="I95" s="59"/>
      <c r="J95" s="59"/>
      <c r="K95" s="59"/>
      <c r="L95" s="97"/>
      <c r="M95" s="59"/>
      <c r="N95" s="59"/>
      <c r="O95" s="59"/>
    </row>
    <row r="96" spans="1:15" x14ac:dyDescent="0.35">
      <c r="A96" s="57">
        <f>'Distribution Dashboard'!A87</f>
        <v>0</v>
      </c>
      <c r="B96" s="57" t="str">
        <f>'Distribution Dashboard'!B87</f>
        <v>KAYOLE</v>
      </c>
      <c r="C96" s="57">
        <f>'Distribution Dashboard'!C87</f>
        <v>0</v>
      </c>
      <c r="D96" s="59"/>
      <c r="E96" s="59"/>
      <c r="F96" s="59"/>
      <c r="G96" s="59"/>
      <c r="H96" s="59"/>
      <c r="I96" s="59"/>
      <c r="J96" s="59"/>
      <c r="K96" s="59"/>
      <c r="L96" s="97"/>
      <c r="M96" s="59"/>
      <c r="N96" s="59"/>
      <c r="O96" s="59"/>
    </row>
    <row r="97" spans="1:15" x14ac:dyDescent="0.35">
      <c r="A97" s="57" t="str">
        <f>'Distribution Dashboard'!A88</f>
        <v>103 (4)</v>
      </c>
      <c r="B97" s="57" t="str">
        <f>'Distribution Dashboard'!B88</f>
        <v>Volume Water Supplied</v>
      </c>
      <c r="C97" s="57" t="str">
        <f>'Distribution Dashboard'!C88</f>
        <v>m3</v>
      </c>
      <c r="D97" s="59">
        <v>34865.767725852042</v>
      </c>
      <c r="E97" s="59">
        <v>34921.453222474214</v>
      </c>
      <c r="F97" s="59">
        <v>34976.56464181163</v>
      </c>
      <c r="G97" s="59">
        <v>35031.110815822518</v>
      </c>
      <c r="H97" s="59">
        <v>35085.100396221031</v>
      </c>
      <c r="I97" s="59">
        <v>35138.541859052049</v>
      </c>
      <c r="J97" s="59">
        <v>35366.100322783524</v>
      </c>
      <c r="K97" s="59">
        <v>35485.172162980591</v>
      </c>
      <c r="L97" s="97">
        <v>35603.053284775684</v>
      </c>
      <c r="M97" s="59">
        <v>35667.190014423868</v>
      </c>
      <c r="N97" s="59">
        <v>35730.691726946825</v>
      </c>
      <c r="O97" s="59">
        <v>35793.567806834086</v>
      </c>
    </row>
    <row r="98" spans="1:15" x14ac:dyDescent="0.35">
      <c r="A98" s="57" t="str">
        <f>'Distribution Dashboard'!A89</f>
        <v>110 (4)</v>
      </c>
      <c r="B98" s="57" t="str">
        <f>'Distribution Dashboard'!B89</f>
        <v>Volume Water Sold</v>
      </c>
      <c r="C98" s="57" t="str">
        <f>'Distribution Dashboard'!C89</f>
        <v>m3</v>
      </c>
      <c r="D98" s="59">
        <v>28461.852059246539</v>
      </c>
      <c r="E98" s="59">
        <v>28655.785179753802</v>
      </c>
      <c r="F98" s="59">
        <v>28849.718300261065</v>
      </c>
      <c r="G98" s="59">
        <v>29043.651420768332</v>
      </c>
      <c r="H98" s="59">
        <v>29237.584541275592</v>
      </c>
      <c r="I98" s="59">
        <v>29431.517661782855</v>
      </c>
      <c r="J98" s="59">
        <v>29772.483308404735</v>
      </c>
      <c r="K98" s="59">
        <v>30023.594695713906</v>
      </c>
      <c r="L98" s="97">
        <v>30274.706083023073</v>
      </c>
      <c r="M98" s="59">
        <v>30480.890340675887</v>
      </c>
      <c r="N98" s="59">
        <v>30687.074598328705</v>
      </c>
      <c r="O98" s="59">
        <v>30893.258855981519</v>
      </c>
    </row>
    <row r="99" spans="1:15" x14ac:dyDescent="0.35">
      <c r="A99" s="57" t="str">
        <f>'Distribution Dashboard'!A90</f>
        <v>124 (4)</v>
      </c>
      <c r="B99" s="57" t="str">
        <f>'Distribution Dashboard'!B90</f>
        <v>NRW</v>
      </c>
      <c r="C99" s="57" t="str">
        <f>'Distribution Dashboard'!C90</f>
        <v>%</v>
      </c>
      <c r="D99" s="58">
        <f>(D97-D98)/D97</f>
        <v>0.18367344488035378</v>
      </c>
      <c r="E99" s="58">
        <f t="shared" ref="E99:O99" si="35">(E97-E98)/E97</f>
        <v>0.1794217440724388</v>
      </c>
      <c r="F99" s="58">
        <f t="shared" si="35"/>
        <v>0.17517004326452404</v>
      </c>
      <c r="G99" s="58">
        <f t="shared" si="35"/>
        <v>0.17091834245660936</v>
      </c>
      <c r="H99" s="58">
        <f t="shared" si="35"/>
        <v>0.16666664164869446</v>
      </c>
      <c r="I99" s="58">
        <f t="shared" si="35"/>
        <v>0.16241494084077956</v>
      </c>
      <c r="J99" s="58">
        <f t="shared" si="35"/>
        <v>0.15816324003286483</v>
      </c>
      <c r="K99" s="58">
        <f t="shared" si="35"/>
        <v>0.15391153922494982</v>
      </c>
      <c r="L99" s="101">
        <f t="shared" si="35"/>
        <v>0.14965983841703487</v>
      </c>
      <c r="M99" s="58">
        <f t="shared" si="35"/>
        <v>0.14540813760912011</v>
      </c>
      <c r="N99" s="58">
        <f t="shared" si="35"/>
        <v>0.14115643680120532</v>
      </c>
      <c r="O99" s="58">
        <f t="shared" si="35"/>
        <v>0.13690473599329062</v>
      </c>
    </row>
    <row r="100" spans="1:15" hidden="1" x14ac:dyDescent="0.35">
      <c r="A100" s="57">
        <f>'Distribution Dashboard'!A91</f>
        <v>0</v>
      </c>
      <c r="B100" s="57" t="str">
        <f>'Distribution Dashboard'!B91</f>
        <v>Amount Billed Water</v>
      </c>
      <c r="C100" s="57" t="str">
        <f>'Distribution Dashboard'!C91</f>
        <v>KES</v>
      </c>
      <c r="D100" s="59"/>
      <c r="E100" s="59"/>
      <c r="F100" s="59"/>
      <c r="G100" s="59"/>
      <c r="H100" s="59"/>
      <c r="I100" s="59"/>
      <c r="J100" s="59"/>
      <c r="K100" s="59"/>
      <c r="L100" s="97"/>
      <c r="M100" s="59"/>
      <c r="N100" s="59"/>
      <c r="O100" s="59"/>
    </row>
    <row r="101" spans="1:15" hidden="1" x14ac:dyDescent="0.35">
      <c r="A101" s="57">
        <f>'Distribution Dashboard'!A92</f>
        <v>0</v>
      </c>
      <c r="B101" s="57" t="str">
        <f>'Distribution Dashboard'!B92</f>
        <v>Amount Billed Sewer</v>
      </c>
      <c r="C101" s="57" t="str">
        <f>'Distribution Dashboard'!C92</f>
        <v>KES</v>
      </c>
      <c r="D101" s="59"/>
      <c r="E101" s="59"/>
      <c r="F101" s="59"/>
      <c r="G101" s="59"/>
      <c r="H101" s="59"/>
      <c r="I101" s="59"/>
      <c r="J101" s="59"/>
      <c r="K101" s="59"/>
      <c r="L101" s="97"/>
      <c r="M101" s="59"/>
      <c r="N101" s="59"/>
      <c r="O101" s="59"/>
    </row>
    <row r="102" spans="1:15" x14ac:dyDescent="0.35">
      <c r="A102" s="57">
        <f>'Distribution Dashboard'!A93</f>
        <v>0</v>
      </c>
      <c r="B102" s="57" t="str">
        <f>'Distribution Dashboard'!B93</f>
        <v>MAI-MAHIU</v>
      </c>
      <c r="C102" s="57">
        <f>'Distribution Dashboard'!C93</f>
        <v>0</v>
      </c>
      <c r="D102" s="59"/>
      <c r="E102" s="59"/>
      <c r="F102" s="59"/>
      <c r="G102" s="59"/>
      <c r="H102" s="59"/>
      <c r="I102" s="59"/>
      <c r="J102" s="59"/>
      <c r="K102" s="59"/>
      <c r="L102" s="97"/>
      <c r="M102" s="59"/>
      <c r="N102" s="59"/>
      <c r="O102" s="59"/>
    </row>
    <row r="103" spans="1:15" x14ac:dyDescent="0.35">
      <c r="A103" s="57" t="str">
        <f>'Distribution Dashboard'!A94</f>
        <v>103 (5)</v>
      </c>
      <c r="B103" s="57" t="str">
        <f>'Distribution Dashboard'!B94</f>
        <v>Volume Water Supplied</v>
      </c>
      <c r="C103" s="57" t="str">
        <f>'Distribution Dashboard'!C94</f>
        <v>m3</v>
      </c>
      <c r="D103" s="59">
        <v>20641.441969419455</v>
      </c>
      <c r="E103" s="59">
        <v>21763.247325253848</v>
      </c>
      <c r="F103" s="59">
        <v>22757.135687917558</v>
      </c>
      <c r="G103" s="59">
        <v>24821.518015340349</v>
      </c>
      <c r="H103" s="59">
        <v>26786.200059904648</v>
      </c>
      <c r="I103" s="59">
        <v>28592.266025632362</v>
      </c>
      <c r="J103" s="59">
        <v>29890.645654089363</v>
      </c>
      <c r="K103" s="59">
        <v>31130.555206562884</v>
      </c>
      <c r="L103" s="97">
        <v>32254.247235577728</v>
      </c>
      <c r="M103" s="59">
        <v>32872.191727984798</v>
      </c>
      <c r="N103" s="59">
        <v>33464.06908299504</v>
      </c>
      <c r="O103" s="59">
        <v>34031.494639620905</v>
      </c>
    </row>
    <row r="104" spans="1:15" x14ac:dyDescent="0.35">
      <c r="A104" s="57" t="str">
        <f>'Distribution Dashboard'!A95</f>
        <v>110 (5)</v>
      </c>
      <c r="B104" s="57" t="str">
        <f>'Distribution Dashboard'!B95</f>
        <v>Volume Water Sold</v>
      </c>
      <c r="C104" s="57" t="str">
        <f>'Distribution Dashboard'!C95</f>
        <v>m3</v>
      </c>
      <c r="D104" s="59">
        <v>11163.229155333855</v>
      </c>
      <c r="E104" s="59">
        <v>12084.524600373532</v>
      </c>
      <c r="F104" s="59">
        <v>12965.375313479615</v>
      </c>
      <c r="G104" s="59">
        <v>14500.326010610601</v>
      </c>
      <c r="H104" s="59">
        <v>16035.276707741588</v>
      </c>
      <c r="I104" s="59">
        <v>17529.782672938982</v>
      </c>
      <c r="J104" s="59">
        <v>18757.905744024312</v>
      </c>
      <c r="K104" s="59">
        <v>19986.028815109647</v>
      </c>
      <c r="L104" s="97">
        <v>21173.707154261385</v>
      </c>
      <c r="M104" s="59">
        <v>22054.557867367464</v>
      </c>
      <c r="N104" s="59">
        <v>22935.408580473548</v>
      </c>
      <c r="O104" s="59">
        <v>23816.259293579631</v>
      </c>
    </row>
    <row r="105" spans="1:15" x14ac:dyDescent="0.35">
      <c r="A105" s="57" t="str">
        <f>'Distribution Dashboard'!A96</f>
        <v>124 (5)</v>
      </c>
      <c r="B105" s="57" t="str">
        <f>'Distribution Dashboard'!B96</f>
        <v>NRW</v>
      </c>
      <c r="C105" s="57" t="str">
        <f>'Distribution Dashboard'!C96</f>
        <v>%</v>
      </c>
      <c r="D105" s="58">
        <f>(D103-D104)/D103</f>
        <v>0.45918365723323434</v>
      </c>
      <c r="E105" s="58">
        <f t="shared" ref="E105:O105" si="36">(E103-E104)/E103</f>
        <v>0.44472787448632384</v>
      </c>
      <c r="F105" s="58">
        <f t="shared" si="36"/>
        <v>0.43027209173941344</v>
      </c>
      <c r="G105" s="58">
        <f t="shared" si="36"/>
        <v>0.41581630899250321</v>
      </c>
      <c r="H105" s="58">
        <f t="shared" si="36"/>
        <v>0.40136052624559282</v>
      </c>
      <c r="I105" s="58">
        <f t="shared" si="36"/>
        <v>0.38690474349868237</v>
      </c>
      <c r="J105" s="58">
        <f t="shared" si="36"/>
        <v>0.37244896075177192</v>
      </c>
      <c r="K105" s="58">
        <f t="shared" si="36"/>
        <v>0.35799317800486158</v>
      </c>
      <c r="L105" s="101">
        <f t="shared" si="36"/>
        <v>0.34353739525795113</v>
      </c>
      <c r="M105" s="58">
        <f t="shared" si="36"/>
        <v>0.32908161251104079</v>
      </c>
      <c r="N105" s="58">
        <f t="shared" si="36"/>
        <v>0.31462582976413028</v>
      </c>
      <c r="O105" s="58">
        <f t="shared" si="36"/>
        <v>0.30017004701721989</v>
      </c>
    </row>
    <row r="106" spans="1:15" hidden="1" x14ac:dyDescent="0.35">
      <c r="A106" s="57">
        <f>'Distribution Dashboard'!A97</f>
        <v>0</v>
      </c>
      <c r="B106" s="57" t="str">
        <f>'Distribution Dashboard'!B97</f>
        <v>Amount Billed Water</v>
      </c>
      <c r="C106" s="57" t="str">
        <f>'Distribution Dashboard'!C97</f>
        <v>KES</v>
      </c>
      <c r="D106" s="59"/>
      <c r="E106" s="59"/>
      <c r="F106" s="59"/>
      <c r="G106" s="59"/>
      <c r="H106" s="59"/>
      <c r="I106" s="59"/>
      <c r="J106" s="59"/>
      <c r="K106" s="59"/>
      <c r="L106" s="97"/>
      <c r="M106" s="59"/>
      <c r="N106" s="59"/>
      <c r="O106" s="59"/>
    </row>
    <row r="107" spans="1:15" hidden="1" x14ac:dyDescent="0.35">
      <c r="A107" s="57">
        <f>'Distribution Dashboard'!A98</f>
        <v>0</v>
      </c>
      <c r="B107" s="57" t="str">
        <f>'Distribution Dashboard'!B98</f>
        <v>Amount Billed Sewer</v>
      </c>
      <c r="C107" s="57" t="str">
        <f>'Distribution Dashboard'!C98</f>
        <v>KES</v>
      </c>
      <c r="D107" s="59"/>
      <c r="E107" s="59"/>
      <c r="F107" s="59"/>
      <c r="G107" s="59"/>
      <c r="H107" s="59"/>
      <c r="I107" s="59"/>
      <c r="J107" s="59"/>
      <c r="K107" s="59"/>
      <c r="L107" s="97"/>
      <c r="M107" s="59"/>
      <c r="N107" s="59"/>
      <c r="O107" s="59"/>
    </row>
    <row r="108" spans="1:15" hidden="1" x14ac:dyDescent="0.35">
      <c r="A108" s="57">
        <f>'Distribution Dashboard'!A99</f>
        <v>0</v>
      </c>
      <c r="B108" s="57" t="str">
        <f>'Distribution Dashboard'!B99</f>
        <v>KINUNGI</v>
      </c>
      <c r="C108" s="57">
        <f>'Distribution Dashboard'!C99</f>
        <v>0</v>
      </c>
      <c r="D108" s="59"/>
      <c r="E108" s="59"/>
      <c r="F108" s="59"/>
      <c r="G108" s="59"/>
      <c r="H108" s="59"/>
      <c r="I108" s="59"/>
      <c r="J108" s="59"/>
      <c r="K108" s="59"/>
      <c r="L108" s="97"/>
      <c r="M108" s="59"/>
      <c r="N108" s="59"/>
      <c r="O108" s="59"/>
    </row>
    <row r="109" spans="1:15" hidden="1" x14ac:dyDescent="0.35">
      <c r="A109" s="57" t="str">
        <f>'Distribution Dashboard'!A100</f>
        <v>Y</v>
      </c>
      <c r="B109" s="57" t="str">
        <f>'Distribution Dashboard'!B100</f>
        <v>Volume Water Supplied-kinungi</v>
      </c>
      <c r="C109" s="57" t="str">
        <f>'Distribution Dashboard'!C100</f>
        <v>m3</v>
      </c>
      <c r="D109" s="59"/>
      <c r="E109" s="59"/>
      <c r="F109" s="59"/>
      <c r="G109" s="59"/>
      <c r="H109" s="59"/>
      <c r="I109" s="59"/>
      <c r="J109" s="59"/>
      <c r="K109" s="59"/>
      <c r="L109" s="97"/>
      <c r="M109" s="59"/>
      <c r="N109" s="59"/>
      <c r="O109" s="59"/>
    </row>
    <row r="110" spans="1:15" hidden="1" x14ac:dyDescent="0.35">
      <c r="A110" s="57" t="str">
        <f>'Distribution Dashboard'!A101</f>
        <v>z</v>
      </c>
      <c r="B110" s="57" t="str">
        <f>'Distribution Dashboard'!B101</f>
        <v>Volume Water Sold-kinungi</v>
      </c>
      <c r="C110" s="57" t="str">
        <f>'Distribution Dashboard'!C101</f>
        <v>m3</v>
      </c>
      <c r="D110" s="59"/>
      <c r="E110" s="59"/>
      <c r="F110" s="59"/>
      <c r="G110" s="59"/>
      <c r="H110" s="59"/>
      <c r="I110" s="59"/>
      <c r="J110" s="59"/>
      <c r="K110" s="59"/>
      <c r="L110" s="97"/>
      <c r="M110" s="59"/>
      <c r="N110" s="59"/>
      <c r="O110" s="59"/>
    </row>
    <row r="111" spans="1:15" hidden="1" x14ac:dyDescent="0.35">
      <c r="A111" s="57" t="str">
        <f>'Distribution Dashboard'!A102</f>
        <v>K</v>
      </c>
      <c r="B111" s="57" t="str">
        <f>'Distribution Dashboard'!B102</f>
        <v>NRW</v>
      </c>
      <c r="C111" s="57" t="str">
        <f>'Distribution Dashboard'!C102</f>
        <v>%</v>
      </c>
      <c r="D111" s="58" t="e">
        <f>(D109-D110)/D109</f>
        <v>#DIV/0!</v>
      </c>
      <c r="E111" s="58" t="e">
        <f t="shared" ref="E111:O111" si="37">(E109-E110)/E109</f>
        <v>#DIV/0!</v>
      </c>
      <c r="F111" s="58" t="e">
        <f t="shared" si="37"/>
        <v>#DIV/0!</v>
      </c>
      <c r="G111" s="58" t="e">
        <f t="shared" si="37"/>
        <v>#DIV/0!</v>
      </c>
      <c r="H111" s="58" t="e">
        <f t="shared" si="37"/>
        <v>#DIV/0!</v>
      </c>
      <c r="I111" s="58" t="e">
        <f t="shared" si="37"/>
        <v>#DIV/0!</v>
      </c>
      <c r="J111" s="58" t="e">
        <f t="shared" si="37"/>
        <v>#DIV/0!</v>
      </c>
      <c r="K111" s="58" t="e">
        <f t="shared" si="37"/>
        <v>#DIV/0!</v>
      </c>
      <c r="L111" s="101" t="e">
        <f t="shared" si="37"/>
        <v>#DIV/0!</v>
      </c>
      <c r="M111" s="58" t="e">
        <f t="shared" si="37"/>
        <v>#DIV/0!</v>
      </c>
      <c r="N111" s="58" t="e">
        <f t="shared" si="37"/>
        <v>#DIV/0!</v>
      </c>
      <c r="O111" s="58" t="e">
        <f t="shared" si="37"/>
        <v>#DIV/0!</v>
      </c>
    </row>
    <row r="112" spans="1:15" hidden="1" x14ac:dyDescent="0.35">
      <c r="A112" s="57">
        <f>'Distribution Dashboard'!A103</f>
        <v>0</v>
      </c>
      <c r="B112" s="57" t="str">
        <f>'Distribution Dashboard'!B103</f>
        <v>GONDI</v>
      </c>
      <c r="C112" s="57">
        <f>'Distribution Dashboard'!C103</f>
        <v>0</v>
      </c>
      <c r="D112" s="59"/>
      <c r="E112" s="59"/>
      <c r="F112" s="59"/>
      <c r="G112" s="59"/>
      <c r="H112" s="59"/>
      <c r="I112" s="59"/>
      <c r="J112" s="59"/>
      <c r="K112" s="59"/>
      <c r="L112" s="97"/>
      <c r="M112" s="59"/>
      <c r="N112" s="59"/>
      <c r="O112" s="59"/>
    </row>
    <row r="113" spans="1:15" hidden="1" x14ac:dyDescent="0.35">
      <c r="A113" s="57" t="str">
        <f>'Distribution Dashboard'!A104</f>
        <v>Y (2)</v>
      </c>
      <c r="B113" s="57" t="str">
        <f>'Distribution Dashboard'!B104</f>
        <v>Volume Water Supplied-Gondi</v>
      </c>
      <c r="C113" s="57" t="str">
        <f>'Distribution Dashboard'!C104</f>
        <v>m3</v>
      </c>
      <c r="D113" s="59"/>
      <c r="E113" s="59"/>
      <c r="F113" s="59"/>
      <c r="G113" s="59"/>
      <c r="H113" s="59"/>
      <c r="I113" s="59"/>
      <c r="J113" s="59"/>
      <c r="K113" s="59"/>
      <c r="L113" s="97"/>
      <c r="M113" s="59"/>
      <c r="N113" s="59"/>
      <c r="O113" s="59"/>
    </row>
    <row r="114" spans="1:15" hidden="1" x14ac:dyDescent="0.35">
      <c r="A114" s="57" t="str">
        <f>'Distribution Dashboard'!A105</f>
        <v>z (2)</v>
      </c>
      <c r="B114" s="57" t="str">
        <f>'Distribution Dashboard'!B105</f>
        <v>Volume Water Sold-Gondi</v>
      </c>
      <c r="C114" s="57" t="str">
        <f>'Distribution Dashboard'!C105</f>
        <v>m3</v>
      </c>
      <c r="D114" s="59"/>
      <c r="E114" s="59"/>
      <c r="F114" s="59"/>
      <c r="G114" s="59"/>
      <c r="H114" s="59"/>
      <c r="I114" s="59"/>
      <c r="J114" s="59"/>
      <c r="K114" s="59"/>
      <c r="L114" s="97"/>
      <c r="M114" s="59"/>
      <c r="N114" s="59"/>
      <c r="O114" s="59"/>
    </row>
    <row r="115" spans="1:15" hidden="1" x14ac:dyDescent="0.35">
      <c r="A115" s="57" t="str">
        <f>'Distribution Dashboard'!A106</f>
        <v>K (2)</v>
      </c>
      <c r="B115" s="57" t="str">
        <f>'Distribution Dashboard'!B106</f>
        <v>NRW</v>
      </c>
      <c r="C115" s="57" t="str">
        <f>'Distribution Dashboard'!C106</f>
        <v>%</v>
      </c>
      <c r="D115" s="58" t="e">
        <f>(D113-D114)/D113</f>
        <v>#DIV/0!</v>
      </c>
      <c r="E115" s="58" t="e">
        <f t="shared" ref="E115:O115" si="38">(E113-E114)/E113</f>
        <v>#DIV/0!</v>
      </c>
      <c r="F115" s="58" t="e">
        <f t="shared" si="38"/>
        <v>#DIV/0!</v>
      </c>
      <c r="G115" s="58" t="e">
        <f t="shared" si="38"/>
        <v>#DIV/0!</v>
      </c>
      <c r="H115" s="58" t="e">
        <f t="shared" si="38"/>
        <v>#DIV/0!</v>
      </c>
      <c r="I115" s="58" t="e">
        <f t="shared" si="38"/>
        <v>#DIV/0!</v>
      </c>
      <c r="J115" s="58" t="e">
        <f t="shared" si="38"/>
        <v>#DIV/0!</v>
      </c>
      <c r="K115" s="58" t="e">
        <f t="shared" si="38"/>
        <v>#DIV/0!</v>
      </c>
      <c r="L115" s="101" t="e">
        <f t="shared" si="38"/>
        <v>#DIV/0!</v>
      </c>
      <c r="M115" s="58" t="e">
        <f t="shared" si="38"/>
        <v>#DIV/0!</v>
      </c>
      <c r="N115" s="58" t="e">
        <f t="shared" si="38"/>
        <v>#DIV/0!</v>
      </c>
      <c r="O115" s="58" t="e">
        <f t="shared" si="38"/>
        <v>#DIV/0!</v>
      </c>
    </row>
    <row r="116" spans="1:15" hidden="1" x14ac:dyDescent="0.35">
      <c r="A116" s="57">
        <f>'Distribution Dashboard'!A107</f>
        <v>0</v>
      </c>
      <c r="B116" s="57" t="str">
        <f>'Distribution Dashboard'!B107</f>
        <v>NYONJORO</v>
      </c>
      <c r="C116" s="57">
        <f>'Distribution Dashboard'!C107</f>
        <v>0</v>
      </c>
      <c r="D116" s="59"/>
      <c r="E116" s="59"/>
      <c r="F116" s="59"/>
      <c r="G116" s="59"/>
      <c r="H116" s="59"/>
      <c r="I116" s="59"/>
      <c r="J116" s="59"/>
      <c r="K116" s="59"/>
      <c r="L116" s="97"/>
      <c r="M116" s="59"/>
      <c r="N116" s="59"/>
      <c r="O116" s="59"/>
    </row>
    <row r="117" spans="1:15" hidden="1" x14ac:dyDescent="0.35">
      <c r="A117" s="57" t="str">
        <f>'Distribution Dashboard'!A108</f>
        <v>Y (3)</v>
      </c>
      <c r="B117" s="57" t="str">
        <f>'Distribution Dashboard'!B108</f>
        <v>Volume Water Supplied-NJONJORO</v>
      </c>
      <c r="C117" s="57" t="str">
        <f>'Distribution Dashboard'!C108</f>
        <v>m3</v>
      </c>
      <c r="D117" s="59"/>
      <c r="E117" s="59"/>
      <c r="F117" s="59"/>
      <c r="G117" s="59"/>
      <c r="H117" s="59"/>
      <c r="I117" s="59"/>
      <c r="J117" s="59"/>
      <c r="K117" s="59"/>
      <c r="L117" s="97"/>
      <c r="M117" s="59"/>
      <c r="N117" s="59"/>
      <c r="O117" s="59"/>
    </row>
    <row r="118" spans="1:15" hidden="1" x14ac:dyDescent="0.35">
      <c r="A118" s="57" t="str">
        <f>'Distribution Dashboard'!A109</f>
        <v>z (3)</v>
      </c>
      <c r="B118" s="57" t="str">
        <f>'Distribution Dashboard'!B109</f>
        <v>Volume Water Sold-NYONJORO</v>
      </c>
      <c r="C118" s="57" t="str">
        <f>'Distribution Dashboard'!C109</f>
        <v>m3</v>
      </c>
      <c r="D118" s="59"/>
      <c r="E118" s="59"/>
      <c r="F118" s="59"/>
      <c r="G118" s="59"/>
      <c r="H118" s="59"/>
      <c r="I118" s="59"/>
      <c r="J118" s="59"/>
      <c r="K118" s="59"/>
      <c r="L118" s="97"/>
      <c r="M118" s="59"/>
      <c r="N118" s="59"/>
      <c r="O118" s="59"/>
    </row>
    <row r="119" spans="1:15" hidden="1" x14ac:dyDescent="0.35">
      <c r="A119" s="57" t="str">
        <f>'Distribution Dashboard'!A110</f>
        <v>K (3)</v>
      </c>
      <c r="B119" s="57" t="str">
        <f>'Distribution Dashboard'!B110</f>
        <v>NRW</v>
      </c>
      <c r="C119" s="57" t="str">
        <f>'Distribution Dashboard'!C110</f>
        <v>%</v>
      </c>
      <c r="D119" s="58" t="e">
        <f>(D117-D118)/D117</f>
        <v>#DIV/0!</v>
      </c>
      <c r="E119" s="58" t="e">
        <f t="shared" ref="E119:O119" si="39">(E117-E118)/E117</f>
        <v>#DIV/0!</v>
      </c>
      <c r="F119" s="58" t="e">
        <f t="shared" si="39"/>
        <v>#DIV/0!</v>
      </c>
      <c r="G119" s="58" t="e">
        <f t="shared" si="39"/>
        <v>#DIV/0!</v>
      </c>
      <c r="H119" s="58" t="e">
        <f t="shared" si="39"/>
        <v>#DIV/0!</v>
      </c>
      <c r="I119" s="58" t="e">
        <f t="shared" si="39"/>
        <v>#DIV/0!</v>
      </c>
      <c r="J119" s="58" t="e">
        <f t="shared" si="39"/>
        <v>#DIV/0!</v>
      </c>
      <c r="K119" s="58" t="e">
        <f t="shared" si="39"/>
        <v>#DIV/0!</v>
      </c>
      <c r="L119" s="101" t="e">
        <f t="shared" si="39"/>
        <v>#DIV/0!</v>
      </c>
      <c r="M119" s="58" t="e">
        <f t="shared" si="39"/>
        <v>#DIV/0!</v>
      </c>
      <c r="N119" s="58" t="e">
        <f t="shared" si="39"/>
        <v>#DIV/0!</v>
      </c>
      <c r="O119" s="58" t="e">
        <f t="shared" si="39"/>
        <v>#DIV/0!</v>
      </c>
    </row>
    <row r="120" spans="1:15" x14ac:dyDescent="0.35">
      <c r="B120" s="57" t="str">
        <f>'Distribution Dashboard'!B111</f>
        <v>LONGONOT</v>
      </c>
      <c r="D120" s="58"/>
      <c r="E120" s="58"/>
      <c r="F120" s="58"/>
      <c r="G120" s="58"/>
      <c r="H120" s="58"/>
      <c r="I120" s="58"/>
      <c r="J120" s="58"/>
      <c r="K120" s="58"/>
      <c r="L120" s="101"/>
      <c r="M120" s="58"/>
      <c r="N120" s="58"/>
      <c r="O120" s="58"/>
    </row>
    <row r="121" spans="1:15" x14ac:dyDescent="0.35">
      <c r="A121" s="57" t="str">
        <f>'Distribution Dashboard'!A112</f>
        <v>103 (7)</v>
      </c>
      <c r="B121" s="57" t="str">
        <f>'Distribution Dashboard'!B112</f>
        <v>Volume Water Supplied</v>
      </c>
      <c r="C121" s="57" t="str">
        <f>'Distribution Dashboard'!C112</f>
        <v>m3</v>
      </c>
      <c r="D121" s="87">
        <v>7501.9872645055793</v>
      </c>
      <c r="E121" s="87">
        <v>7411.1212524010016</v>
      </c>
      <c r="F121" s="87">
        <v>7325.037661986139</v>
      </c>
      <c r="G121" s="87">
        <v>7243.3686146694772</v>
      </c>
      <c r="H121" s="87">
        <v>7165.7830197186422</v>
      </c>
      <c r="I121" s="87">
        <v>7091.982087936145</v>
      </c>
      <c r="J121" s="87">
        <v>7021.6954862385264</v>
      </c>
      <c r="K121" s="87">
        <v>6954.6780288059153</v>
      </c>
      <c r="L121" s="103">
        <v>6890.7068194384201</v>
      </c>
      <c r="M121" s="87">
        <v>6829.5787749317051</v>
      </c>
      <c r="N121" s="87">
        <v>6771.1084714904991</v>
      </c>
      <c r="O121" s="87">
        <v>6715.1262660680668</v>
      </c>
    </row>
    <row r="122" spans="1:15" x14ac:dyDescent="0.35">
      <c r="A122" s="57" t="str">
        <f>'Distribution Dashboard'!A113</f>
        <v>110 (7)</v>
      </c>
      <c r="B122" s="57" t="str">
        <f>'Distribution Dashboard'!B113</f>
        <v>Volume Water Sold</v>
      </c>
      <c r="C122" s="57" t="str">
        <f>'Distribution Dashboard'!C113</f>
        <v>m3</v>
      </c>
      <c r="D122" s="87">
        <v>4593.0535651389737</v>
      </c>
      <c r="E122" s="87">
        <v>4663.4607920254339</v>
      </c>
      <c r="F122" s="87">
        <v>4733.8680189118932</v>
      </c>
      <c r="G122" s="87">
        <v>4804.2752457983534</v>
      </c>
      <c r="H122" s="87">
        <v>4874.6824726848126</v>
      </c>
      <c r="I122" s="87">
        <v>4945.0896995712728</v>
      </c>
      <c r="J122" s="87">
        <v>5015.4969264577321</v>
      </c>
      <c r="K122" s="87">
        <v>5085.9041533441923</v>
      </c>
      <c r="L122" s="103">
        <v>5156.3113802306516</v>
      </c>
      <c r="M122" s="87">
        <v>5226.7186071171118</v>
      </c>
      <c r="N122" s="87">
        <v>5297.1258340035711</v>
      </c>
      <c r="O122" s="87">
        <v>5367.5330608900313</v>
      </c>
    </row>
    <row r="123" spans="1:15" x14ac:dyDescent="0.35">
      <c r="A123" s="57" t="str">
        <f>'Distribution Dashboard'!A114</f>
        <v>124 (7)</v>
      </c>
      <c r="B123" s="57" t="str">
        <f>'Distribution Dashboard'!B114</f>
        <v>NRW</v>
      </c>
      <c r="C123" s="57" t="str">
        <f>'Distribution Dashboard'!C114</f>
        <v>%</v>
      </c>
      <c r="D123" s="58">
        <f>IFERROR((D121-D122)/D121,0)</f>
        <v>0.38775508366026529</v>
      </c>
      <c r="E123" s="58">
        <f t="shared" ref="E123:O123" si="40">IFERROR((E121-E122)/E121,0)</f>
        <v>0.37074828042860591</v>
      </c>
      <c r="F123" s="58">
        <f t="shared" si="40"/>
        <v>0.35374147719694676</v>
      </c>
      <c r="G123" s="58">
        <f t="shared" si="40"/>
        <v>0.33673467396528767</v>
      </c>
      <c r="H123" s="58">
        <f t="shared" si="40"/>
        <v>0.31972787073362813</v>
      </c>
      <c r="I123" s="58">
        <f t="shared" si="40"/>
        <v>0.30272106750196892</v>
      </c>
      <c r="J123" s="58">
        <f t="shared" si="40"/>
        <v>0.2857142642703096</v>
      </c>
      <c r="K123" s="58">
        <f t="shared" si="40"/>
        <v>0.26870746103865034</v>
      </c>
      <c r="L123" s="101">
        <f t="shared" si="40"/>
        <v>0.25170065780699091</v>
      </c>
      <c r="M123" s="58">
        <f t="shared" si="40"/>
        <v>0.23469385457533165</v>
      </c>
      <c r="N123" s="58">
        <f t="shared" si="40"/>
        <v>0.2176870513436725</v>
      </c>
      <c r="O123" s="58">
        <f t="shared" si="40"/>
        <v>0.20068024811201307</v>
      </c>
    </row>
    <row r="124" spans="1:15" x14ac:dyDescent="0.35">
      <c r="A124" s="57">
        <f>'Distribution Dashboard'!A115</f>
        <v>0</v>
      </c>
      <c r="B124" s="57" t="str">
        <f>'Distribution Dashboard'!B115</f>
        <v>IHINDU</v>
      </c>
      <c r="C124" s="57">
        <f>'Distribution Dashboard'!C115</f>
        <v>0</v>
      </c>
      <c r="D124" s="59"/>
      <c r="E124" s="59"/>
      <c r="F124" s="59"/>
      <c r="G124" s="59"/>
      <c r="H124" s="59"/>
      <c r="I124" s="59"/>
      <c r="J124" s="59"/>
      <c r="K124" s="59"/>
      <c r="L124" s="97"/>
      <c r="M124" s="59"/>
      <c r="N124" s="59"/>
      <c r="O124" s="59"/>
    </row>
    <row r="125" spans="1:15" x14ac:dyDescent="0.35">
      <c r="A125" s="57" t="str">
        <f>'Distribution Dashboard'!A116</f>
        <v>103 (6)</v>
      </c>
      <c r="B125" s="57" t="str">
        <f>'Distribution Dashboard'!B116</f>
        <v>Volume Water Supplied</v>
      </c>
      <c r="C125" s="57" t="str">
        <f>'Distribution Dashboard'!C116</f>
        <v>m3</v>
      </c>
      <c r="D125" s="59">
        <v>481.13331888895738</v>
      </c>
      <c r="E125" s="59">
        <v>787.24731364370871</v>
      </c>
      <c r="F125" s="59">
        <v>1048.2540861768289</v>
      </c>
      <c r="G125" s="59">
        <v>1264.944991264136</v>
      </c>
      <c r="H125" s="59">
        <v>1479.1162346643812</v>
      </c>
      <c r="I125" s="59">
        <v>1650.0253839896648</v>
      </c>
      <c r="J125" s="59">
        <v>1818.9700603341985</v>
      </c>
      <c r="K125" s="59">
        <v>1945.6639415881207</v>
      </c>
      <c r="L125" s="97">
        <v>2070.9181196459758</v>
      </c>
      <c r="M125" s="59">
        <v>2194.75699625685</v>
      </c>
      <c r="N125" s="59">
        <v>2317.2044248159159</v>
      </c>
      <c r="O125" s="59">
        <v>2438.2837256815847</v>
      </c>
    </row>
    <row r="126" spans="1:15" x14ac:dyDescent="0.35">
      <c r="A126" s="57" t="str">
        <f>'Distribution Dashboard'!A117</f>
        <v>110 (6)</v>
      </c>
      <c r="B126" s="57" t="str">
        <f>'Distribution Dashboard'!B117</f>
        <v>Volume Water Sold</v>
      </c>
      <c r="C126" s="57" t="str">
        <f>'Distribution Dashboard'!C117</f>
        <v>m3</v>
      </c>
      <c r="D126" s="59">
        <v>343.66666666666669</v>
      </c>
      <c r="E126" s="59">
        <v>565.66666666666663</v>
      </c>
      <c r="F126" s="59">
        <v>757.66666666666663</v>
      </c>
      <c r="G126" s="59">
        <v>919.66666666666663</v>
      </c>
      <c r="H126" s="59">
        <v>1081.6666666666667</v>
      </c>
      <c r="I126" s="59">
        <v>1213.6666666666667</v>
      </c>
      <c r="J126" s="59">
        <v>1345.6666666666667</v>
      </c>
      <c r="K126" s="59">
        <v>1447.6666666666667</v>
      </c>
      <c r="L126" s="97">
        <v>1549.6666666666667</v>
      </c>
      <c r="M126" s="59">
        <v>1651.6666666666667</v>
      </c>
      <c r="N126" s="59">
        <v>1753.6666666666667</v>
      </c>
      <c r="O126" s="59">
        <v>1855.6666666666667</v>
      </c>
    </row>
    <row r="127" spans="1:15" x14ac:dyDescent="0.35">
      <c r="A127" s="57" t="str">
        <f>'Distribution Dashboard'!A118</f>
        <v>124 (6)</v>
      </c>
      <c r="B127" s="57" t="str">
        <f>'Distribution Dashboard'!B118</f>
        <v>NRW</v>
      </c>
      <c r="C127" s="57" t="str">
        <f>'Distribution Dashboard'!C118</f>
        <v>%</v>
      </c>
      <c r="D127" s="58">
        <f>IFERROR((D125-D126)/D125,0)</f>
        <v>0.28571426427030955</v>
      </c>
      <c r="E127" s="58">
        <f t="shared" ref="E127:O127" si="41">IFERROR((E125-E126)/E125,0)</f>
        <v>0.28146256346239468</v>
      </c>
      <c r="F127" s="58">
        <f t="shared" si="41"/>
        <v>0.27721086265447992</v>
      </c>
      <c r="G127" s="58">
        <f t="shared" si="41"/>
        <v>0.27295916184656527</v>
      </c>
      <c r="H127" s="58">
        <f t="shared" si="41"/>
        <v>0.26870746103865034</v>
      </c>
      <c r="I127" s="58">
        <f t="shared" si="41"/>
        <v>0.26445576023073547</v>
      </c>
      <c r="J127" s="58">
        <f t="shared" si="41"/>
        <v>0.26020405942282082</v>
      </c>
      <c r="K127" s="58">
        <f t="shared" si="41"/>
        <v>0.25595235861490589</v>
      </c>
      <c r="L127" s="58">
        <f t="shared" si="41"/>
        <v>0.25170065780699102</v>
      </c>
      <c r="M127" s="58">
        <f t="shared" si="41"/>
        <v>0.24744895699907635</v>
      </c>
      <c r="N127" s="58">
        <f t="shared" si="41"/>
        <v>0.24319725619116142</v>
      </c>
      <c r="O127" s="58">
        <f t="shared" si="41"/>
        <v>0.23894555538324658</v>
      </c>
    </row>
    <row r="128" spans="1:15" x14ac:dyDescent="0.35">
      <c r="A128" s="57">
        <f>'Distribution Dashboard'!A131</f>
        <v>0</v>
      </c>
      <c r="B128" s="57">
        <f>'Distribution Dashboard'!B131</f>
        <v>0</v>
      </c>
      <c r="C128" s="57">
        <f>'Distribution Dashboard'!C131</f>
        <v>0</v>
      </c>
      <c r="D128" s="59"/>
      <c r="E128" s="59"/>
      <c r="F128" s="59"/>
      <c r="G128" s="59"/>
      <c r="H128" s="59"/>
      <c r="I128" s="59"/>
      <c r="J128" s="59"/>
      <c r="K128" s="59"/>
      <c r="L128" s="97"/>
      <c r="M128" s="59"/>
      <c r="N128" s="59"/>
      <c r="O128" s="59"/>
    </row>
    <row r="129" spans="1:15" x14ac:dyDescent="0.35">
      <c r="A129" s="57">
        <f>'Distribution Dashboard'!A132</f>
        <v>0</v>
      </c>
      <c r="B129" s="57">
        <f>'Distribution Dashboard'!B132</f>
        <v>0</v>
      </c>
      <c r="C129" s="57">
        <f>'Distribution Dashboard'!C132</f>
        <v>0</v>
      </c>
      <c r="D129" s="59"/>
      <c r="E129" s="59"/>
      <c r="F129" s="59"/>
      <c r="G129" s="59"/>
      <c r="H129" s="59"/>
      <c r="I129" s="59"/>
      <c r="J129" s="59"/>
      <c r="K129" s="59"/>
      <c r="L129" s="97"/>
      <c r="M129" s="59"/>
      <c r="N129" s="59"/>
      <c r="O129" s="59"/>
    </row>
    <row r="130" spans="1:15" x14ac:dyDescent="0.35">
      <c r="A130" s="57">
        <f>'Distribution Dashboard'!A133</f>
        <v>0</v>
      </c>
      <c r="B130" s="57">
        <f>'Distribution Dashboard'!B133</f>
        <v>0</v>
      </c>
      <c r="C130" s="57">
        <f>'Distribution Dashboard'!C133</f>
        <v>0</v>
      </c>
      <c r="D130" s="59"/>
      <c r="E130" s="59"/>
      <c r="F130" s="59"/>
      <c r="G130" s="59"/>
      <c r="H130" s="59"/>
      <c r="I130" s="59"/>
      <c r="J130" s="59"/>
      <c r="K130" s="59"/>
      <c r="L130" s="97"/>
      <c r="M130" s="59"/>
      <c r="N130" s="59"/>
      <c r="O130" s="59"/>
    </row>
    <row r="131" spans="1:15" x14ac:dyDescent="0.35">
      <c r="A131" s="57">
        <f>'Distribution Dashboard'!A134</f>
        <v>0</v>
      </c>
      <c r="B131" s="57">
        <f>'Distribution Dashboard'!B134</f>
        <v>0</v>
      </c>
      <c r="C131" s="57">
        <f>'Distribution Dashboard'!C134</f>
        <v>0</v>
      </c>
      <c r="D131" s="59"/>
      <c r="E131" s="59"/>
      <c r="F131" s="59"/>
      <c r="G131" s="59"/>
      <c r="H131" s="59"/>
      <c r="I131" s="59"/>
      <c r="J131" s="59"/>
      <c r="K131" s="59"/>
      <c r="L131" s="97"/>
      <c r="M131" s="59"/>
      <c r="N131" s="59"/>
      <c r="O131" s="59"/>
    </row>
    <row r="132" spans="1:15" x14ac:dyDescent="0.35">
      <c r="A132" s="57">
        <f>'Distribution Dashboard'!A135</f>
        <v>0</v>
      </c>
      <c r="B132" s="57">
        <f>'Distribution Dashboard'!B135</f>
        <v>0</v>
      </c>
      <c r="C132" s="57">
        <f>'Distribution Dashboard'!C135</f>
        <v>0</v>
      </c>
      <c r="D132" s="59"/>
      <c r="E132" s="59"/>
      <c r="F132" s="59"/>
      <c r="G132" s="59"/>
      <c r="H132" s="59"/>
      <c r="I132" s="59"/>
      <c r="J132" s="59"/>
      <c r="K132" s="59"/>
      <c r="L132" s="97"/>
      <c r="M132" s="59"/>
      <c r="N132" s="59"/>
      <c r="O132" s="59"/>
    </row>
    <row r="133" spans="1:15" x14ac:dyDescent="0.35">
      <c r="A133" s="57">
        <f>'Distribution Dashboard'!A136</f>
        <v>0</v>
      </c>
      <c r="B133" s="57">
        <f>'Distribution Dashboard'!B136</f>
        <v>0</v>
      </c>
      <c r="C133" s="57">
        <f>'Distribution Dashboard'!C136</f>
        <v>0</v>
      </c>
      <c r="D133" s="59"/>
      <c r="E133" s="59"/>
      <c r="F133" s="59"/>
      <c r="G133" s="59"/>
      <c r="H133" s="59"/>
      <c r="I133" s="59"/>
      <c r="J133" s="59"/>
      <c r="K133" s="59"/>
      <c r="L133" s="97"/>
      <c r="M133" s="59"/>
      <c r="N133" s="59"/>
      <c r="O133" s="59"/>
    </row>
    <row r="134" spans="1:15" x14ac:dyDescent="0.35">
      <c r="A134" s="57">
        <f>'Distribution Dashboard'!A137</f>
        <v>0</v>
      </c>
      <c r="B134" s="57">
        <f>'Distribution Dashboard'!B137</f>
        <v>0</v>
      </c>
      <c r="C134" s="57">
        <f>'Distribution Dashboard'!C137</f>
        <v>0</v>
      </c>
      <c r="D134" s="59"/>
      <c r="E134" s="59"/>
      <c r="F134" s="59"/>
      <c r="G134" s="59"/>
      <c r="H134" s="59"/>
      <c r="I134" s="59"/>
      <c r="J134" s="59"/>
      <c r="K134" s="59"/>
      <c r="L134" s="97"/>
      <c r="M134" s="59"/>
      <c r="N134" s="59"/>
      <c r="O134" s="59"/>
    </row>
    <row r="135" spans="1:15" x14ac:dyDescent="0.35">
      <c r="A135" s="57">
        <f>'Distribution Dashboard'!A138</f>
        <v>0</v>
      </c>
      <c r="B135" s="57">
        <f>'Distribution Dashboard'!B138</f>
        <v>0</v>
      </c>
      <c r="C135" s="57">
        <f>'Distribution Dashboard'!C138</f>
        <v>0</v>
      </c>
      <c r="D135" s="59"/>
      <c r="E135" s="59"/>
      <c r="F135" s="59"/>
      <c r="G135" s="59"/>
      <c r="H135" s="59"/>
      <c r="I135" s="59"/>
      <c r="J135" s="59"/>
      <c r="K135" s="59"/>
      <c r="L135" s="97"/>
      <c r="M135" s="59"/>
      <c r="N135" s="59"/>
      <c r="O135" s="59"/>
    </row>
    <row r="136" spans="1:15" x14ac:dyDescent="0.35">
      <c r="A136" s="57">
        <f>'Distribution Dashboard'!A139</f>
        <v>0</v>
      </c>
      <c r="B136" s="57">
        <f>'Distribution Dashboard'!B139</f>
        <v>0</v>
      </c>
      <c r="C136" s="57">
        <f>'Distribution Dashboard'!C139</f>
        <v>0</v>
      </c>
      <c r="D136" s="59"/>
      <c r="E136" s="59"/>
      <c r="F136" s="59"/>
      <c r="G136" s="59"/>
      <c r="H136" s="59"/>
      <c r="I136" s="59"/>
      <c r="J136" s="59"/>
      <c r="K136" s="59"/>
      <c r="L136" s="97"/>
      <c r="M136" s="59"/>
      <c r="N136" s="59"/>
      <c r="O136" s="59"/>
    </row>
    <row r="137" spans="1:15" x14ac:dyDescent="0.35">
      <c r="A137" s="57">
        <f>'Distribution Dashboard'!A140</f>
        <v>0</v>
      </c>
      <c r="B137" s="57">
        <f>'Distribution Dashboard'!B140</f>
        <v>0</v>
      </c>
      <c r="C137" s="57">
        <f>'Distribution Dashboard'!C140</f>
        <v>0</v>
      </c>
      <c r="D137" s="59"/>
      <c r="E137" s="59"/>
      <c r="F137" s="59"/>
      <c r="G137" s="59"/>
      <c r="H137" s="59"/>
      <c r="I137" s="59"/>
      <c r="J137" s="59"/>
      <c r="K137" s="59"/>
      <c r="L137" s="97"/>
      <c r="M137" s="59"/>
      <c r="N137" s="59"/>
      <c r="O137" s="59"/>
    </row>
    <row r="138" spans="1:15" x14ac:dyDescent="0.35">
      <c r="A138" s="57">
        <f>'Distribution Dashboard'!A141</f>
        <v>0</v>
      </c>
      <c r="B138" s="57">
        <f>'Distribution Dashboard'!B141</f>
        <v>0</v>
      </c>
      <c r="C138" s="57">
        <f>'Distribution Dashboard'!C141</f>
        <v>0</v>
      </c>
      <c r="D138" s="59"/>
      <c r="E138" s="59"/>
      <c r="F138" s="59"/>
      <c r="G138" s="59"/>
      <c r="H138" s="59"/>
      <c r="I138" s="59"/>
      <c r="J138" s="59"/>
      <c r="K138" s="59"/>
      <c r="L138" s="97"/>
      <c r="M138" s="59"/>
      <c r="N138" s="59"/>
      <c r="O138" s="59"/>
    </row>
    <row r="139" spans="1:15" x14ac:dyDescent="0.35">
      <c r="A139" s="57">
        <f>'Distribution Dashboard'!A142</f>
        <v>0</v>
      </c>
      <c r="B139" s="57">
        <f>'Distribution Dashboard'!B142</f>
        <v>0</v>
      </c>
      <c r="C139" s="57">
        <f>'Distribution Dashboard'!C142</f>
        <v>0</v>
      </c>
      <c r="D139" s="59"/>
      <c r="E139" s="59"/>
      <c r="F139" s="59"/>
      <c r="G139" s="59"/>
      <c r="H139" s="59"/>
      <c r="I139" s="59"/>
      <c r="J139" s="59"/>
      <c r="K139" s="59"/>
      <c r="L139" s="97"/>
      <c r="M139" s="59"/>
      <c r="N139" s="59"/>
      <c r="O139" s="59"/>
    </row>
    <row r="140" spans="1:15" x14ac:dyDescent="0.35">
      <c r="A140" s="57">
        <f>'Distribution Dashboard'!A143</f>
        <v>0</v>
      </c>
      <c r="B140" s="57">
        <f>'Distribution Dashboard'!B143</f>
        <v>0</v>
      </c>
      <c r="C140" s="57">
        <f>'Distribution Dashboard'!C143</f>
        <v>0</v>
      </c>
      <c r="D140" s="59"/>
      <c r="E140" s="59"/>
      <c r="F140" s="59"/>
      <c r="G140" s="59"/>
      <c r="H140" s="59"/>
      <c r="I140" s="59"/>
      <c r="J140" s="59"/>
      <c r="K140" s="59"/>
      <c r="L140" s="97"/>
      <c r="M140" s="59"/>
      <c r="N140" s="59"/>
      <c r="O140" s="59"/>
    </row>
    <row r="141" spans="1:15" x14ac:dyDescent="0.35">
      <c r="A141" s="57">
        <f>'Distribution Dashboard'!A144</f>
        <v>0</v>
      </c>
      <c r="B141" s="57">
        <f>'Distribution Dashboard'!B144</f>
        <v>0</v>
      </c>
      <c r="C141" s="57">
        <f>'Distribution Dashboard'!C144</f>
        <v>0</v>
      </c>
      <c r="D141"/>
      <c r="E141"/>
      <c r="F141"/>
      <c r="G141"/>
      <c r="H141"/>
      <c r="I141"/>
      <c r="J141"/>
      <c r="K141"/>
      <c r="M141"/>
      <c r="N141"/>
      <c r="O141"/>
    </row>
    <row r="142" spans="1:15" x14ac:dyDescent="0.35">
      <c r="A142" s="57">
        <f>'Distribution Dashboard'!A145</f>
        <v>0</v>
      </c>
      <c r="B142" s="57">
        <f>'Distribution Dashboard'!B145</f>
        <v>0</v>
      </c>
      <c r="C142" s="57">
        <f>'Distribution Dashboard'!C145</f>
        <v>0</v>
      </c>
      <c r="D142"/>
      <c r="E142"/>
      <c r="F142"/>
      <c r="G142"/>
      <c r="H142"/>
      <c r="I142"/>
      <c r="J142"/>
      <c r="K142"/>
      <c r="M142"/>
      <c r="N142"/>
      <c r="O142"/>
    </row>
    <row r="143" spans="1:15" x14ac:dyDescent="0.35">
      <c r="A143" s="57">
        <f>'Distribution Dashboard'!A146</f>
        <v>0</v>
      </c>
      <c r="B143" s="57">
        <f>'Distribution Dashboard'!B146</f>
        <v>0</v>
      </c>
      <c r="C143" s="57">
        <f>'Distribution Dashboard'!C146</f>
        <v>0</v>
      </c>
      <c r="D143"/>
      <c r="E143"/>
      <c r="F143"/>
      <c r="G143"/>
      <c r="H143"/>
      <c r="I143"/>
      <c r="J143"/>
      <c r="K143"/>
      <c r="M143"/>
      <c r="N143"/>
      <c r="O143"/>
    </row>
    <row r="144" spans="1:15" x14ac:dyDescent="0.35">
      <c r="A144" s="57">
        <f>'Distribution Dashboard'!A147</f>
        <v>0</v>
      </c>
      <c r="B144" s="57">
        <f>'Distribution Dashboard'!B147</f>
        <v>0</v>
      </c>
      <c r="C144" s="57">
        <f>'Distribution Dashboard'!C147</f>
        <v>0</v>
      </c>
      <c r="D144"/>
      <c r="E144"/>
      <c r="F144"/>
      <c r="G144"/>
      <c r="H144"/>
      <c r="I144"/>
      <c r="J144"/>
      <c r="K144"/>
      <c r="M144"/>
      <c r="N144"/>
      <c r="O144"/>
    </row>
    <row r="145" spans="1:15" x14ac:dyDescent="0.35">
      <c r="A145" s="57">
        <f>'Distribution Dashboard'!A148</f>
        <v>0</v>
      </c>
      <c r="B145" s="57">
        <f>'Distribution Dashboard'!B148</f>
        <v>0</v>
      </c>
      <c r="C145" s="57">
        <f>'Distribution Dashboard'!C148</f>
        <v>0</v>
      </c>
      <c r="D145"/>
      <c r="E145"/>
      <c r="F145"/>
      <c r="G145"/>
      <c r="H145"/>
      <c r="I145"/>
      <c r="J145"/>
      <c r="K145"/>
      <c r="M145"/>
      <c r="N145"/>
      <c r="O145"/>
    </row>
    <row r="146" spans="1:15" x14ac:dyDescent="0.35">
      <c r="A146" s="57">
        <f>'Distribution Dashboard'!A149</f>
        <v>0</v>
      </c>
      <c r="B146" s="57">
        <f>'Distribution Dashboard'!B149</f>
        <v>0</v>
      </c>
      <c r="C146" s="57">
        <f>'Distribution Dashboard'!C149</f>
        <v>0</v>
      </c>
      <c r="D146"/>
      <c r="E146"/>
      <c r="F146"/>
      <c r="G146"/>
      <c r="H146"/>
      <c r="I146"/>
      <c r="J146"/>
      <c r="K146"/>
      <c r="M146"/>
      <c r="N146"/>
      <c r="O146"/>
    </row>
    <row r="147" spans="1:15" x14ac:dyDescent="0.35">
      <c r="A147" s="57">
        <f>'Distribution Dashboard'!A150</f>
        <v>0</v>
      </c>
      <c r="B147" s="57">
        <f>'Distribution Dashboard'!B150</f>
        <v>0</v>
      </c>
      <c r="C147" s="57">
        <f>'Distribution Dashboard'!C150</f>
        <v>0</v>
      </c>
      <c r="D147"/>
      <c r="E147"/>
      <c r="F147"/>
      <c r="G147"/>
      <c r="H147"/>
      <c r="I147"/>
      <c r="J147"/>
      <c r="K147"/>
      <c r="M147"/>
      <c r="N147"/>
      <c r="O147"/>
    </row>
    <row r="148" spans="1:15" x14ac:dyDescent="0.35">
      <c r="A148" s="57">
        <f>'Distribution Dashboard'!A151</f>
        <v>0</v>
      </c>
      <c r="B148" s="57">
        <f>'Distribution Dashboard'!B151</f>
        <v>0</v>
      </c>
      <c r="C148" s="57">
        <f>'Distribution Dashboard'!C151</f>
        <v>0</v>
      </c>
      <c r="D148"/>
      <c r="E148"/>
      <c r="F148"/>
      <c r="G148"/>
      <c r="H148"/>
      <c r="I148"/>
      <c r="J148"/>
      <c r="K148"/>
      <c r="M148"/>
      <c r="N148"/>
      <c r="O148"/>
    </row>
    <row r="149" spans="1:15" x14ac:dyDescent="0.35">
      <c r="A149" s="57">
        <f>'Distribution Dashboard'!A152</f>
        <v>0</v>
      </c>
      <c r="B149" s="57">
        <f>'Distribution Dashboard'!B152</f>
        <v>0</v>
      </c>
      <c r="C149" s="57">
        <f>'Distribution Dashboard'!C152</f>
        <v>0</v>
      </c>
      <c r="D149"/>
      <c r="E149"/>
      <c r="F149"/>
      <c r="G149"/>
      <c r="H149"/>
      <c r="I149"/>
      <c r="J149"/>
      <c r="K149"/>
      <c r="M149"/>
      <c r="N149"/>
      <c r="O149"/>
    </row>
    <row r="150" spans="1:15" x14ac:dyDescent="0.35">
      <c r="A150" s="57">
        <f>'Distribution Dashboard'!A153</f>
        <v>0</v>
      </c>
      <c r="B150" s="57">
        <f>'Distribution Dashboard'!B153</f>
        <v>0</v>
      </c>
      <c r="C150" s="57">
        <f>'Distribution Dashboard'!C153</f>
        <v>0</v>
      </c>
      <c r="D150"/>
      <c r="E150"/>
      <c r="F150"/>
      <c r="G150"/>
      <c r="H150"/>
      <c r="I150"/>
      <c r="J150"/>
      <c r="K150"/>
      <c r="M150"/>
      <c r="N150"/>
      <c r="O150"/>
    </row>
    <row r="151" spans="1:15" x14ac:dyDescent="0.35">
      <c r="A151" s="57">
        <f>'Distribution Dashboard'!A154</f>
        <v>0</v>
      </c>
      <c r="B151" s="57">
        <f>'Distribution Dashboard'!B154</f>
        <v>0</v>
      </c>
      <c r="C151" s="57">
        <f>'Distribution Dashboard'!C154</f>
        <v>0</v>
      </c>
      <c r="D151"/>
      <c r="E151"/>
      <c r="F151"/>
      <c r="G151"/>
      <c r="H151"/>
      <c r="I151"/>
      <c r="J151"/>
      <c r="K151"/>
      <c r="M151"/>
      <c r="N151"/>
      <c r="O151"/>
    </row>
    <row r="152" spans="1:15" x14ac:dyDescent="0.35">
      <c r="A152" s="57">
        <f>'Distribution Dashboard'!A155</f>
        <v>0</v>
      </c>
      <c r="B152" s="57">
        <f>'Distribution Dashboard'!B155</f>
        <v>0</v>
      </c>
      <c r="C152" s="57">
        <f>'Distribution Dashboard'!C155</f>
        <v>0</v>
      </c>
      <c r="D152"/>
      <c r="E152"/>
      <c r="F152"/>
      <c r="G152"/>
      <c r="H152"/>
      <c r="I152"/>
      <c r="J152"/>
      <c r="K152"/>
      <c r="M152"/>
      <c r="N152"/>
      <c r="O152"/>
    </row>
    <row r="153" spans="1:15" x14ac:dyDescent="0.35">
      <c r="A153" s="57">
        <f>'Distribution Dashboard'!A156</f>
        <v>0</v>
      </c>
      <c r="B153" s="57">
        <f>'Distribution Dashboard'!B156</f>
        <v>0</v>
      </c>
      <c r="C153" s="57">
        <f>'Distribution Dashboard'!C156</f>
        <v>0</v>
      </c>
      <c r="D153"/>
      <c r="E153"/>
      <c r="F153"/>
      <c r="G153"/>
      <c r="H153"/>
      <c r="I153"/>
      <c r="J153"/>
      <c r="K153"/>
      <c r="M153"/>
      <c r="N153"/>
      <c r="O153"/>
    </row>
    <row r="154" spans="1:15" x14ac:dyDescent="0.35">
      <c r="A154" s="57">
        <f>'Distribution Dashboard'!A157</f>
        <v>0</v>
      </c>
      <c r="B154" s="57">
        <f>'Distribution Dashboard'!B157</f>
        <v>0</v>
      </c>
      <c r="C154" s="57">
        <f>'Distribution Dashboard'!C157</f>
        <v>0</v>
      </c>
      <c r="D154"/>
      <c r="E154"/>
      <c r="F154"/>
      <c r="G154"/>
      <c r="H154"/>
      <c r="I154"/>
      <c r="J154"/>
      <c r="K154"/>
      <c r="M154"/>
      <c r="N154"/>
      <c r="O154"/>
    </row>
    <row r="155" spans="1:15" x14ac:dyDescent="0.35">
      <c r="A155" s="57">
        <f>'Distribution Dashboard'!A158</f>
        <v>0</v>
      </c>
      <c r="B155" s="57">
        <f>'Distribution Dashboard'!B158</f>
        <v>0</v>
      </c>
      <c r="C155" s="57">
        <f>'Distribution Dashboard'!C158</f>
        <v>0</v>
      </c>
      <c r="D155"/>
      <c r="E155"/>
      <c r="F155"/>
      <c r="G155"/>
      <c r="H155"/>
      <c r="I155"/>
      <c r="J155"/>
      <c r="K155"/>
      <c r="M155"/>
      <c r="N155"/>
      <c r="O155"/>
    </row>
    <row r="156" spans="1:15" x14ac:dyDescent="0.35">
      <c r="A156" s="57">
        <f>'Distribution Dashboard'!A159</f>
        <v>0</v>
      </c>
      <c r="B156" s="57">
        <f>'Distribution Dashboard'!B159</f>
        <v>0</v>
      </c>
      <c r="C156" s="57">
        <f>'Distribution Dashboard'!C159</f>
        <v>0</v>
      </c>
      <c r="D156"/>
      <c r="E156"/>
      <c r="F156"/>
      <c r="G156"/>
      <c r="H156"/>
      <c r="I156"/>
      <c r="J156"/>
      <c r="K156"/>
      <c r="M156"/>
      <c r="N156"/>
      <c r="O156"/>
    </row>
    <row r="157" spans="1:15" x14ac:dyDescent="0.35">
      <c r="A157" s="57">
        <f>'Distribution Dashboard'!A160</f>
        <v>0</v>
      </c>
      <c r="B157" s="57">
        <f>'Distribution Dashboard'!B160</f>
        <v>0</v>
      </c>
      <c r="C157" s="57">
        <f>'Distribution Dashboard'!C160</f>
        <v>0</v>
      </c>
      <c r="D157"/>
      <c r="E157"/>
      <c r="F157"/>
      <c r="G157"/>
      <c r="H157"/>
      <c r="I157"/>
      <c r="J157"/>
      <c r="K157"/>
      <c r="M157"/>
      <c r="N157"/>
      <c r="O157"/>
    </row>
    <row r="158" spans="1:15" x14ac:dyDescent="0.35">
      <c r="A158" s="57">
        <f>'Distribution Dashboard'!A161</f>
        <v>0</v>
      </c>
      <c r="B158" s="57">
        <f>'Distribution Dashboard'!B161</f>
        <v>0</v>
      </c>
      <c r="C158" s="57">
        <f>'Distribution Dashboard'!C161</f>
        <v>0</v>
      </c>
      <c r="D158"/>
      <c r="E158"/>
      <c r="F158"/>
      <c r="G158"/>
      <c r="H158"/>
      <c r="I158"/>
      <c r="J158"/>
      <c r="K158"/>
      <c r="M158"/>
      <c r="N158"/>
      <c r="O158"/>
    </row>
    <row r="159" spans="1:15" x14ac:dyDescent="0.35">
      <c r="A159" s="57">
        <f>'Distribution Dashboard'!A162</f>
        <v>0</v>
      </c>
      <c r="B159" s="57">
        <f>'Distribution Dashboard'!B162</f>
        <v>0</v>
      </c>
      <c r="C159" s="57">
        <f>'Distribution Dashboard'!C162</f>
        <v>0</v>
      </c>
      <c r="D159"/>
      <c r="E159"/>
      <c r="F159"/>
      <c r="G159"/>
      <c r="H159"/>
      <c r="I159"/>
      <c r="J159"/>
      <c r="K159"/>
      <c r="M159"/>
      <c r="N159"/>
      <c r="O159"/>
    </row>
    <row r="160" spans="1:15" x14ac:dyDescent="0.35">
      <c r="A160" s="57">
        <f>'Distribution Dashboard'!A163</f>
        <v>0</v>
      </c>
      <c r="B160" s="57">
        <f>'Distribution Dashboard'!B163</f>
        <v>0</v>
      </c>
      <c r="C160" s="57">
        <f>'Distribution Dashboard'!C163</f>
        <v>0</v>
      </c>
      <c r="D160"/>
      <c r="E160"/>
      <c r="F160"/>
      <c r="G160"/>
      <c r="H160"/>
      <c r="I160"/>
      <c r="J160"/>
      <c r="K160"/>
      <c r="M160"/>
      <c r="N160"/>
      <c r="O160"/>
    </row>
    <row r="161" spans="1:15" x14ac:dyDescent="0.35">
      <c r="A161" s="57">
        <f>'Distribution Dashboard'!A164</f>
        <v>0</v>
      </c>
      <c r="B161" s="57">
        <f>'Distribution Dashboard'!B164</f>
        <v>0</v>
      </c>
      <c r="C161" s="57">
        <f>'Distribution Dashboard'!C164</f>
        <v>0</v>
      </c>
      <c r="D161"/>
      <c r="E161"/>
      <c r="F161"/>
      <c r="G161"/>
      <c r="H161"/>
      <c r="I161"/>
      <c r="J161"/>
      <c r="K161"/>
      <c r="M161"/>
      <c r="N161"/>
      <c r="O161"/>
    </row>
    <row r="162" spans="1:15" x14ac:dyDescent="0.35">
      <c r="A162" s="57">
        <f>'Distribution Dashboard'!A165</f>
        <v>0</v>
      </c>
      <c r="B162" s="57">
        <f>'Distribution Dashboard'!B165</f>
        <v>0</v>
      </c>
      <c r="C162" s="57">
        <f>'Distribution Dashboard'!C165</f>
        <v>0</v>
      </c>
      <c r="D162"/>
      <c r="E162"/>
      <c r="F162"/>
      <c r="G162"/>
      <c r="H162"/>
      <c r="I162"/>
      <c r="J162"/>
      <c r="K162"/>
      <c r="M162"/>
      <c r="N162"/>
      <c r="O162"/>
    </row>
    <row r="163" spans="1:15" x14ac:dyDescent="0.35">
      <c r="A163" s="57">
        <f>'Distribution Dashboard'!A166</f>
        <v>0</v>
      </c>
      <c r="B163" s="57">
        <f>'Distribution Dashboard'!B166</f>
        <v>0</v>
      </c>
      <c r="C163" s="57">
        <f>'Distribution Dashboard'!C166</f>
        <v>0</v>
      </c>
      <c r="D163"/>
      <c r="E163"/>
      <c r="F163"/>
      <c r="G163"/>
      <c r="H163"/>
      <c r="I163"/>
      <c r="J163"/>
      <c r="K163"/>
      <c r="M163"/>
      <c r="N163"/>
      <c r="O163"/>
    </row>
    <row r="164" spans="1:15" x14ac:dyDescent="0.35">
      <c r="A164" s="57">
        <f>'Distribution Dashboard'!A167</f>
        <v>0</v>
      </c>
      <c r="B164" s="57">
        <f>'Distribution Dashboard'!B167</f>
        <v>0</v>
      </c>
      <c r="C164" s="57">
        <f>'Distribution Dashboard'!C167</f>
        <v>0</v>
      </c>
      <c r="D164"/>
      <c r="E164"/>
      <c r="F164"/>
      <c r="G164"/>
      <c r="H164"/>
      <c r="I164"/>
      <c r="J164"/>
      <c r="K164"/>
      <c r="M164"/>
      <c r="N164"/>
      <c r="O164"/>
    </row>
    <row r="165" spans="1:15" x14ac:dyDescent="0.35">
      <c r="A165" s="57">
        <f>'Distribution Dashboard'!A168</f>
        <v>0</v>
      </c>
      <c r="B165" s="57">
        <f>'Distribution Dashboard'!B168</f>
        <v>0</v>
      </c>
      <c r="C165" s="57">
        <f>'Distribution Dashboard'!C168</f>
        <v>0</v>
      </c>
      <c r="D165"/>
      <c r="E165"/>
      <c r="F165"/>
      <c r="G165"/>
      <c r="H165"/>
      <c r="I165"/>
      <c r="J165"/>
      <c r="K165"/>
      <c r="M165"/>
      <c r="N165"/>
      <c r="O165"/>
    </row>
    <row r="166" spans="1:15" x14ac:dyDescent="0.35">
      <c r="A166" s="57">
        <f>'Distribution Dashboard'!A169</f>
        <v>0</v>
      </c>
      <c r="B166" s="57">
        <f>'Distribution Dashboard'!B169</f>
        <v>0</v>
      </c>
      <c r="C166" s="57">
        <f>'Distribution Dashboard'!C169</f>
        <v>0</v>
      </c>
      <c r="D166"/>
      <c r="E166"/>
      <c r="F166"/>
      <c r="G166"/>
      <c r="H166"/>
      <c r="I166"/>
      <c r="J166"/>
      <c r="K166"/>
      <c r="M166"/>
      <c r="N166"/>
      <c r="O166"/>
    </row>
    <row r="167" spans="1:15" x14ac:dyDescent="0.35">
      <c r="A167" s="57">
        <f>'Distribution Dashboard'!A170</f>
        <v>0</v>
      </c>
      <c r="B167" s="57">
        <f>'Distribution Dashboard'!B170</f>
        <v>0</v>
      </c>
      <c r="C167" s="57">
        <f>'Distribution Dashboard'!C170</f>
        <v>0</v>
      </c>
      <c r="D167"/>
      <c r="E167"/>
      <c r="F167"/>
      <c r="G167"/>
      <c r="H167"/>
      <c r="I167"/>
      <c r="J167"/>
      <c r="K167"/>
      <c r="M167"/>
      <c r="N167"/>
      <c r="O167"/>
    </row>
    <row r="168" spans="1:15" x14ac:dyDescent="0.35">
      <c r="A168" s="57">
        <f>'Distribution Dashboard'!A171</f>
        <v>0</v>
      </c>
      <c r="B168" s="57">
        <f>'Distribution Dashboard'!B171</f>
        <v>0</v>
      </c>
      <c r="C168" s="57">
        <f>'Distribution Dashboard'!C171</f>
        <v>0</v>
      </c>
      <c r="D168"/>
      <c r="E168"/>
      <c r="F168"/>
      <c r="G168"/>
      <c r="H168"/>
      <c r="I168"/>
      <c r="J168"/>
      <c r="K168"/>
      <c r="M168"/>
      <c r="N168"/>
      <c r="O168"/>
    </row>
    <row r="169" spans="1:15" x14ac:dyDescent="0.35">
      <c r="A169" s="57">
        <f>'Distribution Dashboard'!A172</f>
        <v>0</v>
      </c>
      <c r="B169" s="57">
        <f>'Distribution Dashboard'!B172</f>
        <v>0</v>
      </c>
      <c r="C169" s="57">
        <f>'Distribution Dashboard'!C172</f>
        <v>0</v>
      </c>
      <c r="D169"/>
      <c r="E169"/>
      <c r="F169"/>
      <c r="G169"/>
      <c r="H169"/>
      <c r="I169"/>
      <c r="J169"/>
      <c r="K169"/>
      <c r="M169"/>
      <c r="N169"/>
      <c r="O169"/>
    </row>
    <row r="170" spans="1:15" x14ac:dyDescent="0.35">
      <c r="A170" s="57">
        <f>'Distribution Dashboard'!A173</f>
        <v>0</v>
      </c>
      <c r="B170" s="57">
        <f>'Distribution Dashboard'!B173</f>
        <v>0</v>
      </c>
      <c r="C170" s="57">
        <f>'Distribution Dashboard'!C173</f>
        <v>0</v>
      </c>
      <c r="D170"/>
      <c r="E170"/>
      <c r="F170"/>
      <c r="G170"/>
      <c r="H170"/>
      <c r="I170"/>
      <c r="J170"/>
      <c r="K170"/>
      <c r="M170"/>
      <c r="N170"/>
      <c r="O170"/>
    </row>
    <row r="171" spans="1:15" x14ac:dyDescent="0.35">
      <c r="A171" s="57">
        <f>'Distribution Dashboard'!A174</f>
        <v>0</v>
      </c>
      <c r="B171" s="57">
        <f>'Distribution Dashboard'!B174</f>
        <v>0</v>
      </c>
      <c r="C171" s="57">
        <f>'Distribution Dashboard'!C174</f>
        <v>0</v>
      </c>
      <c r="D171"/>
      <c r="E171"/>
      <c r="F171"/>
      <c r="G171"/>
      <c r="H171"/>
      <c r="I171"/>
      <c r="J171"/>
      <c r="K171"/>
      <c r="M171"/>
      <c r="N171"/>
      <c r="O171"/>
    </row>
    <row r="172" spans="1:15" x14ac:dyDescent="0.35">
      <c r="A172" s="57">
        <f>'Distribution Dashboard'!A175</f>
        <v>0</v>
      </c>
      <c r="B172" s="57">
        <f>'Distribution Dashboard'!B175</f>
        <v>0</v>
      </c>
      <c r="C172" s="57">
        <f>'Distribution Dashboard'!C175</f>
        <v>0</v>
      </c>
      <c r="D172"/>
      <c r="E172"/>
      <c r="F172"/>
      <c r="G172"/>
      <c r="H172"/>
      <c r="I172"/>
      <c r="J172"/>
      <c r="K172"/>
      <c r="M172"/>
      <c r="N172"/>
      <c r="O172"/>
    </row>
    <row r="173" spans="1:15" x14ac:dyDescent="0.35">
      <c r="A173" s="57">
        <f>'Distribution Dashboard'!A176</f>
        <v>0</v>
      </c>
      <c r="B173" s="57">
        <f>'Distribution Dashboard'!B176</f>
        <v>0</v>
      </c>
      <c r="C173" s="57">
        <f>'Distribution Dashboard'!C176</f>
        <v>0</v>
      </c>
      <c r="D173"/>
      <c r="E173"/>
      <c r="F173"/>
      <c r="G173"/>
      <c r="H173"/>
      <c r="I173"/>
      <c r="J173"/>
      <c r="K173"/>
      <c r="M173"/>
      <c r="N173"/>
      <c r="O173"/>
    </row>
    <row r="174" spans="1:15" x14ac:dyDescent="0.35">
      <c r="A174" s="57">
        <f>'Distribution Dashboard'!A177</f>
        <v>0</v>
      </c>
      <c r="B174" s="57">
        <f>'Distribution Dashboard'!B177</f>
        <v>0</v>
      </c>
      <c r="C174" s="57">
        <f>'Distribution Dashboard'!C177</f>
        <v>0</v>
      </c>
      <c r="D174"/>
      <c r="E174"/>
      <c r="F174"/>
      <c r="G174"/>
      <c r="H174"/>
      <c r="I174"/>
      <c r="J174"/>
      <c r="K174"/>
      <c r="M174"/>
      <c r="N174"/>
      <c r="O174"/>
    </row>
    <row r="175" spans="1:15" x14ac:dyDescent="0.35">
      <c r="A175" s="57">
        <f>'Distribution Dashboard'!A178</f>
        <v>0</v>
      </c>
      <c r="B175" s="57">
        <f>'Distribution Dashboard'!B178</f>
        <v>0</v>
      </c>
      <c r="C175" s="57">
        <f>'Distribution Dashboard'!C178</f>
        <v>0</v>
      </c>
      <c r="D175"/>
      <c r="E175"/>
      <c r="F175"/>
      <c r="G175"/>
      <c r="H175"/>
      <c r="I175"/>
      <c r="J175"/>
      <c r="K175"/>
      <c r="M175"/>
      <c r="N175"/>
      <c r="O175"/>
    </row>
    <row r="176" spans="1:15" x14ac:dyDescent="0.35">
      <c r="A176" s="57">
        <f>'Distribution Dashboard'!A179</f>
        <v>0</v>
      </c>
      <c r="B176" s="57">
        <f>'Distribution Dashboard'!B179</f>
        <v>0</v>
      </c>
      <c r="C176" s="57">
        <f>'Distribution Dashboard'!C179</f>
        <v>0</v>
      </c>
      <c r="D176"/>
      <c r="E176"/>
      <c r="F176"/>
      <c r="G176"/>
      <c r="H176"/>
      <c r="I176"/>
      <c r="J176"/>
      <c r="K176"/>
      <c r="M176"/>
      <c r="N176"/>
      <c r="O176"/>
    </row>
  </sheetData>
  <sheetProtection algorithmName="SHA-512" hashValue="mrog5r5d6cVrXBY+XfS/hppqUvDxY9hEkNKAeqIsMCS2TqGFBeMuLfbf81gIhQwvaaULvR7j380redHhBYhj3w==" saltValue="A9RYPQGSaBQBq1wFNXpxWQ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P176"/>
  <sheetViews>
    <sheetView workbookViewId="0">
      <pane xSplit="3" ySplit="4" topLeftCell="D71" activePane="bottomRight" state="frozen"/>
      <selection pane="topRight" activeCell="D1" sqref="D1"/>
      <selection pane="bottomLeft" activeCell="A5" sqref="A5"/>
      <selection pane="bottomRight" activeCell="H91" sqref="H91"/>
    </sheetView>
  </sheetViews>
  <sheetFormatPr defaultColWidth="9.1796875" defaultRowHeight="14.5" x14ac:dyDescent="0.35"/>
  <cols>
    <col min="1" max="1" width="13.81640625" style="57" customWidth="1"/>
    <col min="2" max="2" width="46.54296875" style="57" customWidth="1"/>
    <col min="3" max="3" width="9.1796875" style="57" customWidth="1"/>
    <col min="4" max="4" width="14.26953125" style="60" customWidth="1"/>
    <col min="5" max="5" width="13.26953125" style="60" customWidth="1"/>
    <col min="6" max="6" width="14.81640625" style="60" customWidth="1"/>
    <col min="7" max="7" width="13.7265625" style="60" customWidth="1"/>
    <col min="8" max="9" width="14.26953125" style="60" customWidth="1"/>
    <col min="10" max="10" width="11.54296875" style="60" customWidth="1"/>
    <col min="11" max="11" width="12.453125" style="60" customWidth="1"/>
    <col min="12" max="12" width="13" style="60" customWidth="1"/>
    <col min="13" max="13" width="15.26953125" style="60" customWidth="1"/>
    <col min="14" max="14" width="12.54296875" style="60" customWidth="1"/>
    <col min="15" max="15" width="14.7265625" style="60" customWidth="1"/>
    <col min="16" max="16384" width="9.1796875" style="57"/>
  </cols>
  <sheetData>
    <row r="1" spans="1:15" x14ac:dyDescent="0.35">
      <c r="A1" s="57" t="str">
        <f>'Distribution Dashboard'!A1</f>
        <v>NAIVAWASS DISTRIBUTION DASHBOARD - NON-REVENUE WATER &amp; ZONAL PERFORMANCE</v>
      </c>
      <c r="B1" s="57">
        <f>'Distribution Dashboard'!B1</f>
        <v>0</v>
      </c>
      <c r="C1" s="57">
        <f>'Distribution Dashboard'!D1</f>
        <v>0</v>
      </c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35">
      <c r="A2" s="57">
        <f>'Distribution Dashboard'!A2</f>
        <v>0</v>
      </c>
      <c r="B2" s="57">
        <f>'Distribution Dashboard'!B2</f>
        <v>46054</v>
      </c>
      <c r="C2" s="57">
        <f>'Distribution Dashboard'!D2</f>
        <v>0</v>
      </c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35">
      <c r="A3" s="57">
        <f>'Distribution Dashboard'!A3</f>
        <v>0</v>
      </c>
      <c r="B3" s="57">
        <f>'Distribution Dashboard'!B3</f>
        <v>0</v>
      </c>
      <c r="C3" s="57" t="str">
        <f>'Distribution Dashboard'!D3</f>
        <v>Monthly</v>
      </c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35">
      <c r="A4" s="57">
        <f>'Distribution Dashboard'!A4</f>
        <v>0</v>
      </c>
      <c r="C4" s="57" t="str">
        <f>'Distribution Dashboard'!C4</f>
        <v>Unit</v>
      </c>
      <c r="D4" s="71">
        <v>45839</v>
      </c>
      <c r="E4" s="71">
        <v>45870</v>
      </c>
      <c r="F4" s="71">
        <v>45901</v>
      </c>
      <c r="G4" s="71">
        <v>45931</v>
      </c>
      <c r="H4" s="71">
        <v>45962</v>
      </c>
      <c r="I4" s="71">
        <v>45992</v>
      </c>
      <c r="J4" s="71">
        <v>46023</v>
      </c>
      <c r="K4" s="71">
        <v>46054</v>
      </c>
      <c r="L4" s="71">
        <v>46082</v>
      </c>
      <c r="M4" s="71">
        <v>46113</v>
      </c>
      <c r="N4" s="71">
        <v>46143</v>
      </c>
      <c r="O4" s="71">
        <v>46174</v>
      </c>
    </row>
    <row r="5" spans="1:15" x14ac:dyDescent="0.35">
      <c r="A5" s="57" t="e">
        <f>'Distribution Dashboard'!#REF!</f>
        <v>#REF!</v>
      </c>
      <c r="B5" s="57" t="e">
        <f>'Distribution Dashboard'!#REF!</f>
        <v>#REF!</v>
      </c>
      <c r="C5" s="57" t="e">
        <f>'Distribution Dashboard'!#REF!</f>
        <v>#REF!</v>
      </c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</row>
    <row r="6" spans="1:15" x14ac:dyDescent="0.35">
      <c r="A6" s="57" t="e">
        <f>'Distribution Dashboard'!#REF!</f>
        <v>#REF!</v>
      </c>
      <c r="B6" s="57" t="e">
        <f>'Distribution Dashboard'!#REF!</f>
        <v>#REF!</v>
      </c>
      <c r="C6" s="57" t="e">
        <f>'Distribution Dashboard'!#REF!</f>
        <v>#REF!</v>
      </c>
      <c r="D6" s="107">
        <f>D11</f>
        <v>203624</v>
      </c>
      <c r="E6" s="107">
        <f t="shared" ref="E6:O6" si="0">E11</f>
        <v>229218</v>
      </c>
      <c r="F6" s="107">
        <f t="shared" si="0"/>
        <v>194924</v>
      </c>
      <c r="G6" s="107">
        <f t="shared" si="0"/>
        <v>247237</v>
      </c>
      <c r="H6" s="107">
        <f t="shared" si="0"/>
        <v>181647</v>
      </c>
      <c r="I6" s="107">
        <f t="shared" si="0"/>
        <v>180291</v>
      </c>
      <c r="J6" s="107">
        <f t="shared" si="0"/>
        <v>258170</v>
      </c>
      <c r="K6" s="107">
        <f t="shared" si="0"/>
        <v>222543</v>
      </c>
      <c r="L6" s="107">
        <f t="shared" si="0"/>
        <v>0</v>
      </c>
      <c r="M6" s="107">
        <f t="shared" si="0"/>
        <v>0</v>
      </c>
      <c r="N6" s="107">
        <f t="shared" si="0"/>
        <v>0</v>
      </c>
      <c r="O6" s="107">
        <f t="shared" si="0"/>
        <v>0</v>
      </c>
    </row>
    <row r="7" spans="1:15" x14ac:dyDescent="0.35">
      <c r="A7" s="57" t="e">
        <f>'Distribution Dashboard'!#REF!</f>
        <v>#REF!</v>
      </c>
      <c r="B7" s="57" t="e">
        <f>'Distribution Dashboard'!#REF!</f>
        <v>#REF!</v>
      </c>
      <c r="C7" s="57" t="e">
        <f>'Distribution Dashboard'!#REF!</f>
        <v>#REF!</v>
      </c>
      <c r="D7" s="107">
        <f>D16</f>
        <v>146435</v>
      </c>
      <c r="E7" s="107">
        <f t="shared" ref="E7:O7" si="1">E16</f>
        <v>173295</v>
      </c>
      <c r="F7" s="107">
        <f t="shared" si="1"/>
        <v>145984</v>
      </c>
      <c r="G7" s="107">
        <f t="shared" si="1"/>
        <v>171125</v>
      </c>
      <c r="H7" s="107">
        <f t="shared" si="1"/>
        <v>135132</v>
      </c>
      <c r="I7" s="107">
        <f t="shared" si="1"/>
        <v>131036</v>
      </c>
      <c r="J7" s="107">
        <f t="shared" si="1"/>
        <v>200570</v>
      </c>
      <c r="K7" s="107">
        <f t="shared" si="1"/>
        <v>172266</v>
      </c>
      <c r="L7" s="107">
        <f t="shared" si="1"/>
        <v>0</v>
      </c>
      <c r="M7" s="107">
        <f t="shared" si="1"/>
        <v>0</v>
      </c>
      <c r="N7" s="107">
        <f t="shared" si="1"/>
        <v>0</v>
      </c>
      <c r="O7" s="107">
        <f t="shared" si="1"/>
        <v>0</v>
      </c>
    </row>
    <row r="8" spans="1:15" x14ac:dyDescent="0.35">
      <c r="A8" s="57" t="e">
        <f>'Distribution Dashboard'!#REF!</f>
        <v>#REF!</v>
      </c>
      <c r="B8" s="57" t="e">
        <f>'Distribution Dashboard'!#REF!</f>
        <v>#REF!</v>
      </c>
      <c r="C8" s="57" t="e">
        <f>'Distribution Dashboard'!#REF!</f>
        <v>#REF!</v>
      </c>
      <c r="D8" s="108">
        <f>(D6-D7)/D6</f>
        <v>0.28085589125054022</v>
      </c>
      <c r="E8" s="108">
        <f t="shared" ref="E8:O8" si="2">(E6-E7)/E6</f>
        <v>0.24397298641467949</v>
      </c>
      <c r="F8" s="108">
        <f t="shared" si="2"/>
        <v>0.25107221275984487</v>
      </c>
      <c r="G8" s="108">
        <f t="shared" si="2"/>
        <v>0.30785036220306833</v>
      </c>
      <c r="H8" s="108">
        <f t="shared" si="2"/>
        <v>0.25607359328808071</v>
      </c>
      <c r="I8" s="108">
        <f t="shared" si="2"/>
        <v>0.27319722004980834</v>
      </c>
      <c r="J8" s="108">
        <f t="shared" si="2"/>
        <v>0.22310880427625207</v>
      </c>
      <c r="K8" s="108">
        <f t="shared" si="2"/>
        <v>0.2259203839258031</v>
      </c>
      <c r="L8" s="108" t="e">
        <f t="shared" si="2"/>
        <v>#DIV/0!</v>
      </c>
      <c r="M8" s="108" t="e">
        <f t="shared" si="2"/>
        <v>#DIV/0!</v>
      </c>
      <c r="N8" s="108" t="e">
        <f t="shared" si="2"/>
        <v>#DIV/0!</v>
      </c>
      <c r="O8" s="108" t="e">
        <f t="shared" si="2"/>
        <v>#DIV/0!</v>
      </c>
    </row>
    <row r="9" spans="1:15" x14ac:dyDescent="0.35">
      <c r="A9" s="57" t="e">
        <f>'Distribution Dashboard'!#REF!</f>
        <v>#REF!</v>
      </c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</row>
    <row r="10" spans="1:15" x14ac:dyDescent="0.35">
      <c r="A10" s="57" t="e">
        <f>'Distribution Dashboard'!#REF!</f>
        <v>#REF!</v>
      </c>
      <c r="B10" s="57" t="e">
        <f>'Distribution Dashboard'!#REF!</f>
        <v>#REF!</v>
      </c>
      <c r="C10" s="57" t="e">
        <f>'Distribution Dashboard'!#REF!</f>
        <v>#REF!</v>
      </c>
      <c r="D10" s="110">
        <f>D6</f>
        <v>203624</v>
      </c>
      <c r="E10" s="110">
        <f t="shared" ref="E10:O10" si="3">E6</f>
        <v>229218</v>
      </c>
      <c r="F10" s="110">
        <f t="shared" si="3"/>
        <v>194924</v>
      </c>
      <c r="G10" s="110">
        <f t="shared" si="3"/>
        <v>247237</v>
      </c>
      <c r="H10" s="110">
        <f t="shared" si="3"/>
        <v>181647</v>
      </c>
      <c r="I10" s="110">
        <f t="shared" si="3"/>
        <v>180291</v>
      </c>
      <c r="J10" s="110">
        <f t="shared" si="3"/>
        <v>258170</v>
      </c>
      <c r="K10" s="110">
        <f t="shared" si="3"/>
        <v>222543</v>
      </c>
      <c r="L10" s="110">
        <f t="shared" si="3"/>
        <v>0</v>
      </c>
      <c r="M10" s="110">
        <f t="shared" si="3"/>
        <v>0</v>
      </c>
      <c r="N10" s="110">
        <f t="shared" si="3"/>
        <v>0</v>
      </c>
      <c r="O10" s="110">
        <f t="shared" si="3"/>
        <v>0</v>
      </c>
    </row>
    <row r="11" spans="1:15" x14ac:dyDescent="0.35">
      <c r="A11" s="57" t="e">
        <f>'Distribution Dashboard'!#REF!</f>
        <v>#REF!</v>
      </c>
      <c r="B11" s="57" t="e">
        <f>'Distribution Dashboard'!#REF!</f>
        <v>#REF!</v>
      </c>
      <c r="C11" s="57" t="e">
        <f>'Distribution Dashboard'!#REF!</f>
        <v>#REF!</v>
      </c>
      <c r="D11" s="110">
        <f>D15</f>
        <v>203624</v>
      </c>
      <c r="E11" s="110">
        <f t="shared" ref="E11:O11" si="4">E15</f>
        <v>229218</v>
      </c>
      <c r="F11" s="110">
        <f t="shared" si="4"/>
        <v>194924</v>
      </c>
      <c r="G11" s="110">
        <f t="shared" si="4"/>
        <v>247237</v>
      </c>
      <c r="H11" s="110">
        <f t="shared" si="4"/>
        <v>181647</v>
      </c>
      <c r="I11" s="110">
        <f t="shared" si="4"/>
        <v>180291</v>
      </c>
      <c r="J11" s="110">
        <f t="shared" si="4"/>
        <v>258170</v>
      </c>
      <c r="K11" s="110">
        <f t="shared" si="4"/>
        <v>222543</v>
      </c>
      <c r="L11" s="110">
        <f t="shared" si="4"/>
        <v>0</v>
      </c>
      <c r="M11" s="110">
        <f t="shared" si="4"/>
        <v>0</v>
      </c>
      <c r="N11" s="110">
        <f t="shared" si="4"/>
        <v>0</v>
      </c>
      <c r="O11" s="110">
        <f t="shared" si="4"/>
        <v>0</v>
      </c>
    </row>
    <row r="12" spans="1:15" x14ac:dyDescent="0.35">
      <c r="A12" s="57" t="e">
        <f>'Distribution Dashboard'!#REF!</f>
        <v>#REF!</v>
      </c>
      <c r="B12" s="57" t="e">
        <f>'Distribution Dashboard'!#REF!</f>
        <v>#REF!</v>
      </c>
      <c r="C12" s="57" t="e">
        <f>'Distribution Dashboard'!#REF!</f>
        <v>#REF!</v>
      </c>
      <c r="D12" s="108">
        <f>(D10-D11)/D10</f>
        <v>0</v>
      </c>
      <c r="E12" s="108">
        <f t="shared" ref="E12:O12" si="5">(E10-E11)/E10</f>
        <v>0</v>
      </c>
      <c r="F12" s="108">
        <f t="shared" si="5"/>
        <v>0</v>
      </c>
      <c r="G12" s="108">
        <f t="shared" si="5"/>
        <v>0</v>
      </c>
      <c r="H12" s="108">
        <f t="shared" si="5"/>
        <v>0</v>
      </c>
      <c r="I12" s="108">
        <f t="shared" si="5"/>
        <v>0</v>
      </c>
      <c r="J12" s="108">
        <f t="shared" si="5"/>
        <v>0</v>
      </c>
      <c r="K12" s="108">
        <f t="shared" si="5"/>
        <v>0</v>
      </c>
      <c r="L12" s="108" t="e">
        <f t="shared" si="5"/>
        <v>#DIV/0!</v>
      </c>
      <c r="M12" s="111" t="e">
        <f t="shared" si="5"/>
        <v>#DIV/0!</v>
      </c>
      <c r="N12" s="108" t="e">
        <f t="shared" si="5"/>
        <v>#DIV/0!</v>
      </c>
      <c r="O12" s="108" t="e">
        <f t="shared" si="5"/>
        <v>#DIV/0!</v>
      </c>
    </row>
    <row r="13" spans="1:15" x14ac:dyDescent="0.35">
      <c r="A13" s="57" t="e">
        <f>'Distribution Dashboard'!#REF!</f>
        <v>#REF!</v>
      </c>
      <c r="B13" s="57" t="e">
        <f>'Distribution Dashboard'!#REF!</f>
        <v>#REF!</v>
      </c>
      <c r="C13" s="57" t="e">
        <f>'Distribution Dashboard'!#REF!</f>
        <v>#REF!</v>
      </c>
      <c r="D13" s="107">
        <f>D10-D11</f>
        <v>0</v>
      </c>
      <c r="E13" s="107">
        <f t="shared" ref="E13:O13" si="6">E10-E11</f>
        <v>0</v>
      </c>
      <c r="F13" s="107">
        <f t="shared" si="6"/>
        <v>0</v>
      </c>
      <c r="G13" s="107">
        <f t="shared" si="6"/>
        <v>0</v>
      </c>
      <c r="H13" s="107">
        <f t="shared" si="6"/>
        <v>0</v>
      </c>
      <c r="I13" s="107">
        <f t="shared" si="6"/>
        <v>0</v>
      </c>
      <c r="J13" s="107">
        <f t="shared" si="6"/>
        <v>0</v>
      </c>
      <c r="K13" s="107">
        <f t="shared" si="6"/>
        <v>0</v>
      </c>
      <c r="L13" s="107">
        <f t="shared" si="6"/>
        <v>0</v>
      </c>
      <c r="M13" s="107">
        <f t="shared" si="6"/>
        <v>0</v>
      </c>
      <c r="N13" s="107">
        <f t="shared" si="6"/>
        <v>0</v>
      </c>
      <c r="O13" s="107">
        <f t="shared" si="6"/>
        <v>0</v>
      </c>
    </row>
    <row r="14" spans="1:15" x14ac:dyDescent="0.35">
      <c r="A14" s="57">
        <f>'Distribution Dashboard'!A6</f>
        <v>0</v>
      </c>
      <c r="B14" s="57" t="str">
        <f>'Distribution Dashboard'!B6</f>
        <v>REGIONAL  NRW</v>
      </c>
      <c r="C14" s="57">
        <f>'Distribution Dashboard'!C6</f>
        <v>0</v>
      </c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</row>
    <row r="15" spans="1:15" x14ac:dyDescent="0.35">
      <c r="A15" s="57">
        <f>'Distribution Dashboard'!A7</f>
        <v>100</v>
      </c>
      <c r="B15" s="57" t="str">
        <f>'Distribution Dashboard'!B7</f>
        <v>WATER AVAILABLE FOR SALES- REGIONS</v>
      </c>
      <c r="C15" s="57" t="str">
        <f>'Distribution Dashboard'!C7</f>
        <v>m3</v>
      </c>
      <c r="D15" s="110">
        <f>D26+D35+D40</f>
        <v>203624</v>
      </c>
      <c r="E15" s="110">
        <f t="shared" ref="E15:O15" si="7">E26+E35+E40</f>
        <v>229218</v>
      </c>
      <c r="F15" s="110">
        <f t="shared" si="7"/>
        <v>194924</v>
      </c>
      <c r="G15" s="110">
        <f t="shared" si="7"/>
        <v>247237</v>
      </c>
      <c r="H15" s="110">
        <f t="shared" si="7"/>
        <v>181647</v>
      </c>
      <c r="I15" s="110">
        <f t="shared" si="7"/>
        <v>180291</v>
      </c>
      <c r="J15" s="110">
        <f t="shared" si="7"/>
        <v>258170</v>
      </c>
      <c r="K15" s="110">
        <f t="shared" si="7"/>
        <v>222543</v>
      </c>
      <c r="L15" s="110">
        <f t="shared" si="7"/>
        <v>0</v>
      </c>
      <c r="M15" s="110">
        <f t="shared" si="7"/>
        <v>0</v>
      </c>
      <c r="N15" s="110">
        <f t="shared" si="7"/>
        <v>0</v>
      </c>
      <c r="O15" s="110">
        <f t="shared" si="7"/>
        <v>0</v>
      </c>
    </row>
    <row r="16" spans="1:15" x14ac:dyDescent="0.35">
      <c r="A16" s="57" t="str">
        <f>'Distribution Dashboard'!A8</f>
        <v>128a</v>
      </c>
      <c r="B16" s="57" t="str">
        <f>'Distribution Dashboard'!B8</f>
        <v>VOLUME WATER BILLED(CUSTOMERS-M3)</v>
      </c>
      <c r="C16" s="57" t="str">
        <f>'Distribution Dashboard'!C8</f>
        <v>m3</v>
      </c>
      <c r="D16" s="110">
        <f>D27+D41+D36</f>
        <v>146435</v>
      </c>
      <c r="E16" s="110">
        <f t="shared" ref="E16:O16" si="8">E27+E41+E36</f>
        <v>173295</v>
      </c>
      <c r="F16" s="110">
        <f t="shared" si="8"/>
        <v>145984</v>
      </c>
      <c r="G16" s="110">
        <f t="shared" si="8"/>
        <v>171125</v>
      </c>
      <c r="H16" s="110">
        <f t="shared" si="8"/>
        <v>135132</v>
      </c>
      <c r="I16" s="110">
        <f t="shared" si="8"/>
        <v>131036</v>
      </c>
      <c r="J16" s="110">
        <f t="shared" si="8"/>
        <v>200570</v>
      </c>
      <c r="K16" s="110">
        <f t="shared" si="8"/>
        <v>172266</v>
      </c>
      <c r="L16" s="110">
        <f t="shared" si="8"/>
        <v>0</v>
      </c>
      <c r="M16" s="110">
        <f t="shared" si="8"/>
        <v>0</v>
      </c>
      <c r="N16" s="110">
        <f t="shared" si="8"/>
        <v>0</v>
      </c>
      <c r="O16" s="110">
        <f t="shared" si="8"/>
        <v>0</v>
      </c>
    </row>
    <row r="17" spans="1:15" x14ac:dyDescent="0.35">
      <c r="A17" s="57">
        <f>'Distribution Dashboard'!A9</f>
        <v>128</v>
      </c>
      <c r="B17" s="57" t="str">
        <f>'Distribution Dashboard'!B9</f>
        <v>GLOBAL NRW</v>
      </c>
      <c r="C17" s="57" t="str">
        <f>'Distribution Dashboard'!C9</f>
        <v>%</v>
      </c>
      <c r="D17" s="108">
        <f>(D15-D16)/D15</f>
        <v>0.28085589125054022</v>
      </c>
      <c r="E17" s="108">
        <f t="shared" ref="E17:O17" si="9">(E15-E16)/E15</f>
        <v>0.24397298641467949</v>
      </c>
      <c r="F17" s="108">
        <f t="shared" si="9"/>
        <v>0.25107221275984487</v>
      </c>
      <c r="G17" s="108">
        <f t="shared" si="9"/>
        <v>0.30785036220306833</v>
      </c>
      <c r="H17" s="108">
        <f t="shared" si="9"/>
        <v>0.25607359328808071</v>
      </c>
      <c r="I17" s="108">
        <f t="shared" si="9"/>
        <v>0.27319722004980834</v>
      </c>
      <c r="J17" s="108">
        <f t="shared" si="9"/>
        <v>0.22310880427625207</v>
      </c>
      <c r="K17" s="108">
        <f t="shared" si="9"/>
        <v>0.2259203839258031</v>
      </c>
      <c r="L17" s="108" t="e">
        <f t="shared" si="9"/>
        <v>#DIV/0!</v>
      </c>
      <c r="M17" s="108" t="e">
        <f t="shared" si="9"/>
        <v>#DIV/0!</v>
      </c>
      <c r="N17" s="108" t="e">
        <f t="shared" si="9"/>
        <v>#DIV/0!</v>
      </c>
      <c r="O17" s="108" t="e">
        <f t="shared" si="9"/>
        <v>#DIV/0!</v>
      </c>
    </row>
    <row r="18" spans="1:15" hidden="1" x14ac:dyDescent="0.35">
      <c r="A18" s="57">
        <f>'Distribution Dashboard'!A10</f>
        <v>0</v>
      </c>
      <c r="B18" s="57" t="str">
        <f>'Distribution Dashboard'!B10</f>
        <v>Number of Active water Connections</v>
      </c>
      <c r="C18" s="57" t="str">
        <f>'Distribution Dashboard'!C10</f>
        <v>NO.</v>
      </c>
      <c r="D18" s="110">
        <f>D41+D32</f>
        <v>31567</v>
      </c>
      <c r="E18" s="110">
        <f t="shared" ref="E18:O19" si="10">E41+E32</f>
        <v>30396</v>
      </c>
      <c r="F18" s="110">
        <f t="shared" si="10"/>
        <v>26239</v>
      </c>
      <c r="G18" s="110">
        <f t="shared" si="10"/>
        <v>28789</v>
      </c>
      <c r="H18" s="110">
        <f t="shared" si="10"/>
        <v>24966</v>
      </c>
      <c r="I18" s="110">
        <f t="shared" si="10"/>
        <v>26222</v>
      </c>
      <c r="J18" s="110">
        <f t="shared" si="10"/>
        <v>31253</v>
      </c>
      <c r="K18" s="110">
        <f t="shared" si="10"/>
        <v>33645</v>
      </c>
      <c r="L18" s="110">
        <f t="shared" si="10"/>
        <v>0</v>
      </c>
      <c r="M18" s="110">
        <f t="shared" si="10"/>
        <v>0</v>
      </c>
      <c r="N18" s="110">
        <f t="shared" si="10"/>
        <v>0</v>
      </c>
      <c r="O18" s="110">
        <f t="shared" si="10"/>
        <v>0</v>
      </c>
    </row>
    <row r="19" spans="1:15" hidden="1" x14ac:dyDescent="0.35">
      <c r="A19" s="57">
        <f>'Distribution Dashboard'!A11</f>
        <v>0</v>
      </c>
      <c r="B19" s="57" t="str">
        <f>'Distribution Dashboard'!B11</f>
        <v>Number of Active sewer Connections</v>
      </c>
      <c r="C19" s="57" t="str">
        <f>'Distribution Dashboard'!C11</f>
        <v>NO.</v>
      </c>
      <c r="D19" s="110">
        <f>D42+D33</f>
        <v>9642</v>
      </c>
      <c r="E19" s="110">
        <f t="shared" si="10"/>
        <v>9594</v>
      </c>
      <c r="F19" s="110">
        <f t="shared" si="10"/>
        <v>10486</v>
      </c>
      <c r="G19" s="110">
        <f t="shared" si="10"/>
        <v>20017</v>
      </c>
      <c r="H19" s="110">
        <f t="shared" si="10"/>
        <v>8560</v>
      </c>
      <c r="I19" s="110">
        <f t="shared" si="10"/>
        <v>8907</v>
      </c>
      <c r="J19" s="110">
        <f t="shared" si="10"/>
        <v>10970</v>
      </c>
      <c r="K19" s="110">
        <f t="shared" si="10"/>
        <v>9427</v>
      </c>
      <c r="L19" s="110">
        <f t="shared" si="10"/>
        <v>0</v>
      </c>
      <c r="M19" s="110">
        <f t="shared" si="10"/>
        <v>0</v>
      </c>
      <c r="N19" s="110">
        <f t="shared" si="10"/>
        <v>0</v>
      </c>
      <c r="O19" s="110">
        <f t="shared" si="10"/>
        <v>0</v>
      </c>
    </row>
    <row r="20" spans="1:15" hidden="1" x14ac:dyDescent="0.35">
      <c r="A20" s="57">
        <f>'Distribution Dashboard'!A12</f>
        <v>0</v>
      </c>
      <c r="B20" s="57" t="str">
        <f>'Distribution Dashboard'!B12</f>
        <v>Number of In-active Sewer Connections</v>
      </c>
      <c r="C20" s="57" t="str">
        <f>'Distribution Dashboard'!C12</f>
        <v>NO.</v>
      </c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</row>
    <row r="21" spans="1:15" hidden="1" x14ac:dyDescent="0.35">
      <c r="A21" s="57">
        <f>'Distribution Dashboard'!A13</f>
        <v>0</v>
      </c>
      <c r="B21" s="57" t="str">
        <f>'Distribution Dashboard'!B13</f>
        <v>Number of In-active Water Connections</v>
      </c>
      <c r="C21" s="57" t="str">
        <f>'Distribution Dashboard'!C13</f>
        <v>NO.</v>
      </c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</row>
    <row r="22" spans="1:15" hidden="1" x14ac:dyDescent="0.35">
      <c r="A22" s="57">
        <f>'Distribution Dashboard'!A14</f>
        <v>0</v>
      </c>
      <c r="B22" s="57" t="str">
        <f>'Distribution Dashboard'!B14</f>
        <v>Number of Connections</v>
      </c>
      <c r="C22" s="57" t="str">
        <f>'Distribution Dashboard'!C14</f>
        <v>NO.</v>
      </c>
      <c r="D22" s="110">
        <f t="shared" ref="D22:O22" si="11">SUM(D18:D21)</f>
        <v>41209</v>
      </c>
      <c r="E22" s="110">
        <f t="shared" si="11"/>
        <v>39990</v>
      </c>
      <c r="F22" s="110">
        <f t="shared" si="11"/>
        <v>36725</v>
      </c>
      <c r="G22" s="110">
        <f t="shared" si="11"/>
        <v>48806</v>
      </c>
      <c r="H22" s="110">
        <f t="shared" si="11"/>
        <v>33526</v>
      </c>
      <c r="I22" s="110">
        <f t="shared" si="11"/>
        <v>35129</v>
      </c>
      <c r="J22" s="110">
        <f t="shared" si="11"/>
        <v>42223</v>
      </c>
      <c r="K22" s="110">
        <f t="shared" si="11"/>
        <v>43072</v>
      </c>
      <c r="L22" s="110">
        <f t="shared" si="11"/>
        <v>0</v>
      </c>
      <c r="M22" s="110">
        <f t="shared" si="11"/>
        <v>0</v>
      </c>
      <c r="N22" s="110">
        <f t="shared" si="11"/>
        <v>0</v>
      </c>
      <c r="O22" s="110">
        <f t="shared" si="11"/>
        <v>0</v>
      </c>
    </row>
    <row r="23" spans="1:15" hidden="1" x14ac:dyDescent="0.35">
      <c r="A23" s="57">
        <f>'Distribution Dashboard'!A15</f>
        <v>0</v>
      </c>
      <c r="B23" s="57" t="str">
        <f>'Distribution Dashboard'!B15</f>
        <v>Maintenance, repair and operational cost</v>
      </c>
      <c r="C23" s="57" t="str">
        <f>'Distribution Dashboard'!C15</f>
        <v>KES</v>
      </c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10"/>
    </row>
    <row r="24" spans="1:15" x14ac:dyDescent="0.35">
      <c r="A24" s="57" t="e">
        <f>'Distribution Dashboard'!#REF!</f>
        <v>#REF!</v>
      </c>
      <c r="B24" s="57" t="e">
        <f>'Distribution Dashboard'!#REF!</f>
        <v>#REF!</v>
      </c>
      <c r="C24" s="57" t="e">
        <f>'Distribution Dashboard'!#REF!</f>
        <v>#REF!</v>
      </c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</row>
    <row r="25" spans="1:15" x14ac:dyDescent="0.35">
      <c r="A25" s="57">
        <f>'Distribution Dashboard'!A16</f>
        <v>0</v>
      </c>
      <c r="B25" s="57" t="str">
        <f>'Distribution Dashboard'!B16</f>
        <v>CENTRAL REGION: CBD,CCCR,KABATI,SITE,KIHOTO,LAKEVIEW</v>
      </c>
      <c r="C25" s="57">
        <f>'Distribution Dashboard'!C16</f>
        <v>0</v>
      </c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</row>
    <row r="26" spans="1:15" x14ac:dyDescent="0.35">
      <c r="A26" s="57" t="str">
        <f>'Distribution Dashboard'!A17</f>
        <v>RA</v>
      </c>
      <c r="B26" s="57" t="str">
        <f>'Distribution Dashboard'!B17</f>
        <v>Volume Water Supplied</v>
      </c>
      <c r="C26" s="57" t="str">
        <f>'Distribution Dashboard'!C17</f>
        <v>m3</v>
      </c>
      <c r="D26" s="110">
        <f>D45+D51+D57+D63+D69+D91+D75</f>
        <v>99588</v>
      </c>
      <c r="E26" s="110">
        <f t="shared" ref="E26:O27" si="12">E45+E51+E57+E63+E69+E91+E75</f>
        <v>104217</v>
      </c>
      <c r="F26" s="110">
        <f t="shared" si="12"/>
        <v>100946</v>
      </c>
      <c r="G26" s="110">
        <f t="shared" si="12"/>
        <v>110522</v>
      </c>
      <c r="H26" s="110">
        <f t="shared" si="12"/>
        <v>92662</v>
      </c>
      <c r="I26" s="110">
        <f t="shared" si="12"/>
        <v>84151</v>
      </c>
      <c r="J26" s="110">
        <f t="shared" si="12"/>
        <v>126366</v>
      </c>
      <c r="K26" s="110">
        <f t="shared" si="12"/>
        <v>101836</v>
      </c>
      <c r="L26" s="110">
        <f t="shared" si="12"/>
        <v>0</v>
      </c>
      <c r="M26" s="110">
        <f t="shared" si="12"/>
        <v>0</v>
      </c>
      <c r="N26" s="110">
        <f t="shared" si="12"/>
        <v>0</v>
      </c>
      <c r="O26" s="110">
        <f t="shared" si="12"/>
        <v>0</v>
      </c>
    </row>
    <row r="27" spans="1:15" x14ac:dyDescent="0.35">
      <c r="A27" s="57" t="str">
        <f>'Distribution Dashboard'!A18</f>
        <v>RA2</v>
      </c>
      <c r="B27" s="57" t="str">
        <f>'Distribution Dashboard'!B18</f>
        <v>Volume Water Sold</v>
      </c>
      <c r="C27" s="57" t="str">
        <f>'Distribution Dashboard'!C18</f>
        <v>m3</v>
      </c>
      <c r="D27" s="110">
        <f>D46+D52+D58+D64+D70+D92+D76</f>
        <v>72362</v>
      </c>
      <c r="E27" s="110">
        <f t="shared" si="12"/>
        <v>84589</v>
      </c>
      <c r="F27" s="110">
        <f t="shared" si="12"/>
        <v>79590</v>
      </c>
      <c r="G27" s="110">
        <f>G46+G52+G58+G64+G70+G92+G76</f>
        <v>86302</v>
      </c>
      <c r="H27" s="110">
        <f t="shared" si="12"/>
        <v>71945</v>
      </c>
      <c r="I27" s="110">
        <f t="shared" si="12"/>
        <v>63233</v>
      </c>
      <c r="J27" s="110">
        <f t="shared" si="12"/>
        <v>105898</v>
      </c>
      <c r="K27" s="110">
        <f t="shared" si="12"/>
        <v>83599</v>
      </c>
      <c r="L27" s="110">
        <f t="shared" si="12"/>
        <v>0</v>
      </c>
      <c r="M27" s="110">
        <f t="shared" si="12"/>
        <v>0</v>
      </c>
      <c r="N27" s="110">
        <f t="shared" si="12"/>
        <v>0</v>
      </c>
      <c r="O27" s="110">
        <f t="shared" si="12"/>
        <v>0</v>
      </c>
    </row>
    <row r="28" spans="1:15" x14ac:dyDescent="0.35">
      <c r="A28" s="57" t="str">
        <f>'Distribution Dashboard'!A19</f>
        <v>RA3</v>
      </c>
      <c r="B28" s="57" t="str">
        <f>'Distribution Dashboard'!B19</f>
        <v>NRW</v>
      </c>
      <c r="C28" s="57" t="str">
        <f>'Distribution Dashboard'!C19</f>
        <v>m3</v>
      </c>
      <c r="D28" s="110">
        <f>D26-D27</f>
        <v>27226</v>
      </c>
      <c r="E28" s="110">
        <f t="shared" ref="E28:O28" si="13">E26-E27</f>
        <v>19628</v>
      </c>
      <c r="F28" s="110">
        <f t="shared" si="13"/>
        <v>21356</v>
      </c>
      <c r="G28" s="110">
        <f t="shared" si="13"/>
        <v>24220</v>
      </c>
      <c r="H28" s="110">
        <f t="shared" si="13"/>
        <v>20717</v>
      </c>
      <c r="I28" s="110">
        <f t="shared" si="13"/>
        <v>20918</v>
      </c>
      <c r="J28" s="110">
        <f t="shared" si="13"/>
        <v>20468</v>
      </c>
      <c r="K28" s="110">
        <f t="shared" si="13"/>
        <v>18237</v>
      </c>
      <c r="L28" s="110">
        <f t="shared" si="13"/>
        <v>0</v>
      </c>
      <c r="M28" s="110">
        <f t="shared" si="13"/>
        <v>0</v>
      </c>
      <c r="N28" s="110">
        <f t="shared" si="13"/>
        <v>0</v>
      </c>
      <c r="O28" s="110">
        <f t="shared" si="13"/>
        <v>0</v>
      </c>
    </row>
    <row r="29" spans="1:15" x14ac:dyDescent="0.35">
      <c r="A29" s="57" t="str">
        <f>'Distribution Dashboard'!A20</f>
        <v>RA4</v>
      </c>
      <c r="B29" s="57" t="str">
        <f>'Distribution Dashboard'!B20</f>
        <v>NRW</v>
      </c>
      <c r="C29" s="57" t="str">
        <f>'Distribution Dashboard'!C20</f>
        <v>%</v>
      </c>
      <c r="D29" s="114">
        <f>D28/D26</f>
        <v>0.27338635176928949</v>
      </c>
      <c r="E29" s="114">
        <f t="shared" ref="E29:O29" si="14">E28/E26</f>
        <v>0.18833779517737029</v>
      </c>
      <c r="F29" s="114">
        <f t="shared" si="14"/>
        <v>0.21155865512254077</v>
      </c>
      <c r="G29" s="114">
        <f t="shared" si="14"/>
        <v>0.21914189030238324</v>
      </c>
      <c r="H29" s="114">
        <f t="shared" si="14"/>
        <v>0.22357600742483436</v>
      </c>
      <c r="I29" s="114">
        <f t="shared" si="14"/>
        <v>0.24857696284060796</v>
      </c>
      <c r="J29" s="114">
        <f t="shared" si="14"/>
        <v>0.16197394868872955</v>
      </c>
      <c r="K29" s="114">
        <f t="shared" si="14"/>
        <v>0.17908205349778075</v>
      </c>
      <c r="L29" s="114" t="e">
        <f t="shared" si="14"/>
        <v>#DIV/0!</v>
      </c>
      <c r="M29" s="114" t="e">
        <f t="shared" si="14"/>
        <v>#DIV/0!</v>
      </c>
      <c r="N29" s="114" t="e">
        <f t="shared" si="14"/>
        <v>#DIV/0!</v>
      </c>
      <c r="O29" s="114" t="e">
        <f t="shared" si="14"/>
        <v>#DIV/0!</v>
      </c>
    </row>
    <row r="30" spans="1:15" hidden="1" x14ac:dyDescent="0.35">
      <c r="A30" s="57">
        <f>'Distribution Dashboard'!A21</f>
        <v>0</v>
      </c>
      <c r="B30" s="57" t="str">
        <f>'Distribution Dashboard'!B21</f>
        <v>Amount Billed Water</v>
      </c>
      <c r="C30" s="57" t="str">
        <f>'Distribution Dashboard'!C21</f>
        <v>KES</v>
      </c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</row>
    <row r="31" spans="1:15" hidden="1" x14ac:dyDescent="0.35">
      <c r="A31" s="57">
        <f>'Distribution Dashboard'!A22</f>
        <v>0</v>
      </c>
      <c r="B31" s="57" t="str">
        <f>'Distribution Dashboard'!B22</f>
        <v>Amount Billed Sewer</v>
      </c>
      <c r="C31" s="57" t="str">
        <f>'Distribution Dashboard'!C22</f>
        <v>KES</v>
      </c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</row>
    <row r="32" spans="1:15" hidden="1" x14ac:dyDescent="0.35">
      <c r="A32" s="57">
        <f>'Distribution Dashboard'!A23</f>
        <v>0</v>
      </c>
      <c r="B32" s="57" t="str">
        <f>'Distribution Dashboard'!B23</f>
        <v>Number of Active water Connections</v>
      </c>
      <c r="C32" s="57" t="str">
        <f>'Distribution Dashboard'!C23</f>
        <v>KES</v>
      </c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</row>
    <row r="33" spans="1:16" hidden="1" x14ac:dyDescent="0.35">
      <c r="A33" s="57">
        <f>'Distribution Dashboard'!A24</f>
        <v>0</v>
      </c>
      <c r="B33" s="57" t="str">
        <f>'Distribution Dashboard'!B24</f>
        <v>Number of Active sewer Connections</v>
      </c>
      <c r="C33" s="57" t="str">
        <f>'Distribution Dashboard'!C24</f>
        <v>KES</v>
      </c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</row>
    <row r="34" spans="1:16" x14ac:dyDescent="0.35">
      <c r="A34" s="57">
        <f>'Distribution Dashboard'!A25</f>
        <v>0</v>
      </c>
      <c r="B34" s="57" t="str">
        <f>'Distribution Dashboard'!B25</f>
        <v>SOUTHERN REGION: MAI MAHIU,KAMERE,HELLSGATE</v>
      </c>
      <c r="C34" s="57">
        <f>'Distribution Dashboard'!C25</f>
        <v>0</v>
      </c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0"/>
    </row>
    <row r="35" spans="1:16" x14ac:dyDescent="0.35">
      <c r="A35" s="57" t="str">
        <f>'Distribution Dashboard'!A26</f>
        <v>RA6 (B)</v>
      </c>
      <c r="B35" s="57" t="str">
        <f>'Distribution Dashboard'!B26</f>
        <v>Volume Water Supplied</v>
      </c>
      <c r="C35" s="57" t="str">
        <f>'Distribution Dashboard'!C26</f>
        <v>m3</v>
      </c>
      <c r="D35" s="110">
        <f>D79+D85+D103+D121</f>
        <v>62827</v>
      </c>
      <c r="E35" s="110">
        <f t="shared" ref="E35:O36" si="15">E79+E85+E103+E121</f>
        <v>85011</v>
      </c>
      <c r="F35" s="110">
        <f t="shared" si="15"/>
        <v>57253</v>
      </c>
      <c r="G35" s="110">
        <f t="shared" si="15"/>
        <v>87909</v>
      </c>
      <c r="H35" s="110">
        <f t="shared" si="15"/>
        <v>55459</v>
      </c>
      <c r="I35" s="110">
        <f t="shared" si="15"/>
        <v>61011</v>
      </c>
      <c r="J35" s="110">
        <f t="shared" si="15"/>
        <v>89581</v>
      </c>
      <c r="K35" s="110">
        <f t="shared" si="15"/>
        <v>77635</v>
      </c>
      <c r="L35" s="110">
        <f t="shared" si="15"/>
        <v>0</v>
      </c>
      <c r="M35" s="110">
        <f t="shared" si="15"/>
        <v>0</v>
      </c>
      <c r="N35" s="110">
        <f t="shared" si="15"/>
        <v>0</v>
      </c>
      <c r="O35" s="110">
        <f t="shared" si="15"/>
        <v>0</v>
      </c>
    </row>
    <row r="36" spans="1:16" x14ac:dyDescent="0.35">
      <c r="A36" s="57" t="str">
        <f>'Distribution Dashboard'!A27</f>
        <v>RB2</v>
      </c>
      <c r="B36" s="57" t="str">
        <f>'Distribution Dashboard'!B27</f>
        <v>Volume Water Sold</v>
      </c>
      <c r="C36" s="57" t="str">
        <f>'Distribution Dashboard'!C27</f>
        <v>m3</v>
      </c>
      <c r="D36" s="110">
        <f>D80+D86+D104+D122</f>
        <v>42506</v>
      </c>
      <c r="E36" s="110">
        <f t="shared" si="15"/>
        <v>58310</v>
      </c>
      <c r="F36" s="110">
        <f t="shared" si="15"/>
        <v>40155</v>
      </c>
      <c r="G36" s="110">
        <f>G80+G86+G104+G122</f>
        <v>56034</v>
      </c>
      <c r="H36" s="110">
        <f t="shared" si="15"/>
        <v>38221</v>
      </c>
      <c r="I36" s="110">
        <f t="shared" si="15"/>
        <v>41581</v>
      </c>
      <c r="J36" s="110">
        <f t="shared" si="15"/>
        <v>63419</v>
      </c>
      <c r="K36" s="110">
        <f t="shared" si="15"/>
        <v>55022</v>
      </c>
      <c r="L36" s="110">
        <f t="shared" si="15"/>
        <v>0</v>
      </c>
      <c r="M36" s="110">
        <f t="shared" si="15"/>
        <v>0</v>
      </c>
      <c r="N36" s="110">
        <f t="shared" si="15"/>
        <v>0</v>
      </c>
      <c r="O36" s="110">
        <f t="shared" si="15"/>
        <v>0</v>
      </c>
    </row>
    <row r="37" spans="1:16" x14ac:dyDescent="0.35">
      <c r="A37" s="57" t="str">
        <f>'Distribution Dashboard'!A28</f>
        <v>RB3 (2)</v>
      </c>
      <c r="B37" s="57" t="str">
        <f>'Distribution Dashboard'!B28</f>
        <v>NRW</v>
      </c>
      <c r="C37" s="57" t="str">
        <f>'Distribution Dashboard'!C28</f>
        <v>m3</v>
      </c>
      <c r="D37" s="110">
        <f>D35-D36</f>
        <v>20321</v>
      </c>
      <c r="E37" s="110">
        <f t="shared" ref="E37:O37" si="16">E35-E36</f>
        <v>26701</v>
      </c>
      <c r="F37" s="110">
        <f t="shared" si="16"/>
        <v>17098</v>
      </c>
      <c r="G37" s="110">
        <f t="shared" si="16"/>
        <v>31875</v>
      </c>
      <c r="H37" s="110">
        <f t="shared" si="16"/>
        <v>17238</v>
      </c>
      <c r="I37" s="110">
        <f t="shared" si="16"/>
        <v>19430</v>
      </c>
      <c r="J37" s="110">
        <f t="shared" si="16"/>
        <v>26162</v>
      </c>
      <c r="K37" s="110">
        <f t="shared" si="16"/>
        <v>22613</v>
      </c>
      <c r="L37" s="110">
        <f t="shared" si="16"/>
        <v>0</v>
      </c>
      <c r="M37" s="110">
        <f t="shared" si="16"/>
        <v>0</v>
      </c>
      <c r="N37" s="110">
        <f t="shared" si="16"/>
        <v>0</v>
      </c>
      <c r="O37" s="110">
        <f t="shared" si="16"/>
        <v>0</v>
      </c>
    </row>
    <row r="38" spans="1:16" x14ac:dyDescent="0.35">
      <c r="A38" s="57" t="str">
        <f>'Distribution Dashboard'!A29</f>
        <v>RB4</v>
      </c>
      <c r="B38" s="57" t="str">
        <f>'Distribution Dashboard'!B29</f>
        <v>NRW</v>
      </c>
      <c r="C38" s="57" t="str">
        <f>'Distribution Dashboard'!C29</f>
        <v>%</v>
      </c>
      <c r="D38" s="114">
        <f>D37/D35</f>
        <v>0.32344374234007672</v>
      </c>
      <c r="E38" s="114">
        <f t="shared" ref="E38:O38" si="17">E37/E35</f>
        <v>0.31408876498335508</v>
      </c>
      <c r="F38" s="114">
        <f t="shared" si="17"/>
        <v>0.29863937260929557</v>
      </c>
      <c r="G38" s="114">
        <f t="shared" si="17"/>
        <v>0.36259086100399279</v>
      </c>
      <c r="H38" s="114">
        <f t="shared" si="17"/>
        <v>0.31082421248129249</v>
      </c>
      <c r="I38" s="114">
        <f t="shared" si="17"/>
        <v>0.31846716165937289</v>
      </c>
      <c r="J38" s="114">
        <f t="shared" si="17"/>
        <v>0.29204853707817507</v>
      </c>
      <c r="K38" s="114">
        <f t="shared" si="17"/>
        <v>0.29127326592387454</v>
      </c>
      <c r="L38" s="114" t="e">
        <f t="shared" si="17"/>
        <v>#DIV/0!</v>
      </c>
      <c r="M38" s="114" t="e">
        <f t="shared" si="17"/>
        <v>#DIV/0!</v>
      </c>
      <c r="N38" s="114" t="e">
        <f t="shared" si="17"/>
        <v>#DIV/0!</v>
      </c>
      <c r="O38" s="114" t="e">
        <f t="shared" si="17"/>
        <v>#DIV/0!</v>
      </c>
    </row>
    <row r="39" spans="1:16" x14ac:dyDescent="0.35">
      <c r="A39" s="57">
        <f>'Distribution Dashboard'!A30</f>
        <v>0</v>
      </c>
      <c r="B39" s="57" t="str">
        <f>'Distribution Dashboard'!B30</f>
        <v>EASTERN REGION: KAYOLE,GONDI, KINUNGI,NJONJORO</v>
      </c>
      <c r="C39" s="57">
        <f>'Distribution Dashboard'!C30</f>
        <v>0</v>
      </c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</row>
    <row r="40" spans="1:16" x14ac:dyDescent="0.35">
      <c r="A40" s="57" t="str">
        <f>'Distribution Dashboard'!A31</f>
        <v>RA6 (B) (2)</v>
      </c>
      <c r="B40" s="57" t="str">
        <f>'Distribution Dashboard'!B31</f>
        <v>Volume Water Supplied</v>
      </c>
      <c r="C40" s="57" t="str">
        <f>'Distribution Dashboard'!C31</f>
        <v>m3</v>
      </c>
      <c r="D40" s="110">
        <f>D97+D125</f>
        <v>41209</v>
      </c>
      <c r="E40" s="110">
        <f t="shared" ref="E40:O41" si="18">E97+E125</f>
        <v>39990</v>
      </c>
      <c r="F40" s="110">
        <f t="shared" si="18"/>
        <v>36725</v>
      </c>
      <c r="G40" s="110">
        <f t="shared" si="18"/>
        <v>48806</v>
      </c>
      <c r="H40" s="110">
        <f t="shared" si="18"/>
        <v>33526</v>
      </c>
      <c r="I40" s="110">
        <f t="shared" si="18"/>
        <v>35129</v>
      </c>
      <c r="J40" s="110">
        <f t="shared" si="18"/>
        <v>42223</v>
      </c>
      <c r="K40" s="110">
        <f t="shared" si="18"/>
        <v>43072</v>
      </c>
      <c r="L40" s="110">
        <f t="shared" si="18"/>
        <v>0</v>
      </c>
      <c r="M40" s="110">
        <f t="shared" si="18"/>
        <v>0</v>
      </c>
      <c r="N40" s="110">
        <f t="shared" si="18"/>
        <v>0</v>
      </c>
      <c r="O40" s="110">
        <f t="shared" si="18"/>
        <v>0</v>
      </c>
    </row>
    <row r="41" spans="1:16" x14ac:dyDescent="0.35">
      <c r="A41" s="57" t="str">
        <f>'Distribution Dashboard'!A32</f>
        <v>RB2 (3)</v>
      </c>
      <c r="B41" s="57" t="str">
        <f>'Distribution Dashboard'!B32</f>
        <v>Volume Water Sold</v>
      </c>
      <c r="C41" s="57" t="str">
        <f>'Distribution Dashboard'!C32</f>
        <v>m3</v>
      </c>
      <c r="D41" s="110">
        <f>D98+D126</f>
        <v>31567</v>
      </c>
      <c r="E41" s="110">
        <f t="shared" si="18"/>
        <v>30396</v>
      </c>
      <c r="F41" s="110">
        <f t="shared" si="18"/>
        <v>26239</v>
      </c>
      <c r="G41" s="110">
        <f>G98+G126</f>
        <v>28789</v>
      </c>
      <c r="H41" s="110">
        <f t="shared" si="18"/>
        <v>24966</v>
      </c>
      <c r="I41" s="110">
        <f t="shared" si="18"/>
        <v>26222</v>
      </c>
      <c r="J41" s="110">
        <f t="shared" si="18"/>
        <v>31253</v>
      </c>
      <c r="K41" s="110">
        <f t="shared" si="18"/>
        <v>33645</v>
      </c>
      <c r="L41" s="110">
        <f t="shared" si="18"/>
        <v>0</v>
      </c>
      <c r="M41" s="110">
        <f t="shared" si="18"/>
        <v>0</v>
      </c>
      <c r="N41" s="110">
        <f t="shared" si="18"/>
        <v>0</v>
      </c>
      <c r="O41" s="110">
        <f t="shared" si="18"/>
        <v>0</v>
      </c>
    </row>
    <row r="42" spans="1:16" x14ac:dyDescent="0.35">
      <c r="A42" s="57" t="str">
        <f>'Distribution Dashboard'!A33</f>
        <v>RB3 (3)</v>
      </c>
      <c r="B42" s="57" t="str">
        <f>'Distribution Dashboard'!B33</f>
        <v>NRW</v>
      </c>
      <c r="C42" s="57" t="str">
        <f>'Distribution Dashboard'!C33</f>
        <v>m3</v>
      </c>
      <c r="D42" s="115">
        <f t="shared" ref="D42:O42" si="19">D40-D41</f>
        <v>9642</v>
      </c>
      <c r="E42" s="115">
        <f t="shared" si="19"/>
        <v>9594</v>
      </c>
      <c r="F42" s="115">
        <f t="shared" si="19"/>
        <v>10486</v>
      </c>
      <c r="G42" s="115">
        <f t="shared" si="19"/>
        <v>20017</v>
      </c>
      <c r="H42" s="115">
        <f t="shared" si="19"/>
        <v>8560</v>
      </c>
      <c r="I42" s="115">
        <f t="shared" si="19"/>
        <v>8907</v>
      </c>
      <c r="J42" s="115">
        <f t="shared" si="19"/>
        <v>10970</v>
      </c>
      <c r="K42" s="115">
        <f t="shared" si="19"/>
        <v>9427</v>
      </c>
      <c r="L42" s="115">
        <f t="shared" si="19"/>
        <v>0</v>
      </c>
      <c r="M42" s="115">
        <f t="shared" si="19"/>
        <v>0</v>
      </c>
      <c r="N42" s="115">
        <f t="shared" si="19"/>
        <v>0</v>
      </c>
      <c r="O42" s="115">
        <f t="shared" si="19"/>
        <v>0</v>
      </c>
    </row>
    <row r="43" spans="1:16" x14ac:dyDescent="0.35">
      <c r="A43" s="57" t="str">
        <f>'Distribution Dashboard'!A33</f>
        <v>RB3 (3)</v>
      </c>
      <c r="B43" s="57" t="str">
        <f>'Distribution Dashboard'!B34</f>
        <v>NRW</v>
      </c>
      <c r="C43" s="57" t="str">
        <f>'Distribution Dashboard'!C33</f>
        <v>m3</v>
      </c>
      <c r="D43" s="114">
        <f>D42/D40</f>
        <v>0.23397801451139313</v>
      </c>
      <c r="E43" s="114">
        <f t="shared" ref="E43:O43" si="20">E42/E40</f>
        <v>0.23990997749437359</v>
      </c>
      <c r="F43" s="114">
        <f t="shared" si="20"/>
        <v>0.28552756977535737</v>
      </c>
      <c r="G43" s="114">
        <f t="shared" si="20"/>
        <v>0.41013399991804289</v>
      </c>
      <c r="H43" s="114">
        <f t="shared" si="20"/>
        <v>0.255324225973871</v>
      </c>
      <c r="I43" s="114">
        <f t="shared" si="20"/>
        <v>0.25355119701670986</v>
      </c>
      <c r="J43" s="114">
        <f t="shared" si="20"/>
        <v>0.25981100348151481</v>
      </c>
      <c r="K43" s="114">
        <f t="shared" si="20"/>
        <v>0.21886608469539376</v>
      </c>
      <c r="L43" s="114" t="e">
        <f t="shared" si="20"/>
        <v>#DIV/0!</v>
      </c>
      <c r="M43" s="114" t="e">
        <f t="shared" si="20"/>
        <v>#DIV/0!</v>
      </c>
      <c r="N43" s="114" t="e">
        <f t="shared" si="20"/>
        <v>#DIV/0!</v>
      </c>
      <c r="O43" s="114" t="e">
        <f t="shared" si="20"/>
        <v>#DIV/0!</v>
      </c>
    </row>
    <row r="44" spans="1:16" x14ac:dyDescent="0.35">
      <c r="A44" s="57" t="str">
        <f>'Distribution Dashboard'!A34</f>
        <v>RB4 (2)</v>
      </c>
      <c r="B44" s="57" t="str">
        <f>'Distribution Dashboard'!B35</f>
        <v>ZONE - CBD</v>
      </c>
      <c r="C44" s="57" t="str">
        <f>'Distribution Dashboard'!C34</f>
        <v>%</v>
      </c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</row>
    <row r="45" spans="1:16" x14ac:dyDescent="0.35">
      <c r="A45" s="57">
        <f>'Distribution Dashboard'!A36</f>
        <v>101</v>
      </c>
      <c r="B45" s="57" t="str">
        <f>'Distribution Dashboard'!B36</f>
        <v>Volume Water Supplied</v>
      </c>
      <c r="C45" s="57" t="str">
        <f>'Distribution Dashboard'!C36</f>
        <v>m3</v>
      </c>
      <c r="D45" s="109">
        <v>18634</v>
      </c>
      <c r="E45" s="109">
        <v>23756</v>
      </c>
      <c r="F45" s="109">
        <v>22318</v>
      </c>
      <c r="G45" s="109">
        <v>21615</v>
      </c>
      <c r="H45" s="109">
        <v>20535</v>
      </c>
      <c r="I45" s="109">
        <v>17778</v>
      </c>
      <c r="J45" s="109">
        <v>23190</v>
      </c>
      <c r="K45" s="109">
        <v>19812</v>
      </c>
      <c r="L45" s="109"/>
      <c r="M45" s="109"/>
      <c r="N45" s="109"/>
      <c r="O45" s="109"/>
    </row>
    <row r="46" spans="1:16" x14ac:dyDescent="0.35">
      <c r="A46" s="57">
        <f>'Distribution Dashboard'!A37</f>
        <v>108</v>
      </c>
      <c r="B46" s="57" t="str">
        <f>'Distribution Dashboard'!B37</f>
        <v>Volume Water Sold</v>
      </c>
      <c r="C46" s="57" t="str">
        <f>'Distribution Dashboard'!C37</f>
        <v>m3</v>
      </c>
      <c r="D46" s="109">
        <v>12992</v>
      </c>
      <c r="E46" s="109">
        <v>17788</v>
      </c>
      <c r="F46" s="109">
        <v>16452</v>
      </c>
      <c r="G46" s="109">
        <v>16186</v>
      </c>
      <c r="H46" s="109">
        <v>13605</v>
      </c>
      <c r="I46" s="109">
        <v>12217</v>
      </c>
      <c r="J46" s="109">
        <v>20906</v>
      </c>
      <c r="K46" s="109">
        <v>15811</v>
      </c>
      <c r="L46" s="109"/>
      <c r="M46" s="109"/>
      <c r="N46" s="109"/>
      <c r="O46" s="109"/>
    </row>
    <row r="47" spans="1:16" x14ac:dyDescent="0.35">
      <c r="A47" s="57">
        <f>'Distribution Dashboard'!A38</f>
        <v>122</v>
      </c>
      <c r="B47" s="57" t="str">
        <f>'Distribution Dashboard'!B38</f>
        <v>NRW</v>
      </c>
      <c r="C47" s="57" t="str">
        <f>'Distribution Dashboard'!C38</f>
        <v>%</v>
      </c>
      <c r="D47" s="114">
        <f>(D45-D46)/D45</f>
        <v>0.30277986476333585</v>
      </c>
      <c r="E47" s="114">
        <f>(E45-E46)/E45</f>
        <v>0.25122074423303586</v>
      </c>
      <c r="F47" s="114">
        <f t="shared" ref="F47:O47" si="21">(F45-F46)/F45</f>
        <v>0.26283717178958688</v>
      </c>
      <c r="G47" s="114">
        <f t="shared" si="21"/>
        <v>0.25116817025213972</v>
      </c>
      <c r="H47" s="114">
        <f t="shared" si="21"/>
        <v>0.33747260774287802</v>
      </c>
      <c r="I47" s="114">
        <f t="shared" si="21"/>
        <v>0.31280233997075035</v>
      </c>
      <c r="J47" s="114">
        <f t="shared" si="21"/>
        <v>9.8490728762397589E-2</v>
      </c>
      <c r="K47" s="114">
        <f t="shared" si="21"/>
        <v>0.20194831415303857</v>
      </c>
      <c r="L47" s="114" t="e">
        <f t="shared" si="21"/>
        <v>#DIV/0!</v>
      </c>
      <c r="M47" s="114" t="e">
        <f t="shared" si="21"/>
        <v>#DIV/0!</v>
      </c>
      <c r="N47" s="114" t="e">
        <f t="shared" si="21"/>
        <v>#DIV/0!</v>
      </c>
      <c r="O47" s="114" t="e">
        <f t="shared" si="21"/>
        <v>#DIV/0!</v>
      </c>
      <c r="P47" s="61"/>
    </row>
    <row r="48" spans="1:16" hidden="1" x14ac:dyDescent="0.35">
      <c r="A48" s="57">
        <f>'Distribution Dashboard'!A39</f>
        <v>0</v>
      </c>
      <c r="B48" s="57" t="str">
        <f>'Distribution Dashboard'!B39</f>
        <v>Amount Billed Water</v>
      </c>
      <c r="C48" s="57" t="str">
        <f>'Distribution Dashboard'!C39</f>
        <v>KES</v>
      </c>
      <c r="D48" s="110"/>
      <c r="E48" s="110"/>
      <c r="F48" s="110"/>
      <c r="G48" s="116"/>
      <c r="H48" s="110"/>
      <c r="I48" s="117"/>
      <c r="J48" s="110"/>
      <c r="K48" s="110"/>
      <c r="L48" s="110"/>
      <c r="M48" s="110"/>
      <c r="N48" s="110"/>
      <c r="O48" s="110"/>
    </row>
    <row r="49" spans="1:15" hidden="1" x14ac:dyDescent="0.35">
      <c r="A49" s="57">
        <f>'Distribution Dashboard'!A40</f>
        <v>0</v>
      </c>
      <c r="B49" s="57" t="str">
        <f>'Distribution Dashboard'!B40</f>
        <v>Amount Billed Sewer</v>
      </c>
      <c r="C49" s="57" t="str">
        <f>'Distribution Dashboard'!C40</f>
        <v>KES</v>
      </c>
      <c r="D49" s="110"/>
      <c r="E49" s="110"/>
      <c r="F49" s="110"/>
      <c r="G49" s="116"/>
      <c r="H49" s="110"/>
      <c r="I49" s="117"/>
      <c r="J49" s="110"/>
      <c r="K49" s="110"/>
      <c r="L49" s="110"/>
      <c r="M49" s="110"/>
      <c r="N49" s="110"/>
      <c r="O49" s="110"/>
    </row>
    <row r="50" spans="1:15" x14ac:dyDescent="0.35">
      <c r="A50" s="57">
        <f>'Distribution Dashboard'!A41</f>
        <v>0</v>
      </c>
      <c r="B50" s="57" t="str">
        <f>'Distribution Dashboard'!B41</f>
        <v>ZONE - CCCR</v>
      </c>
      <c r="C50" s="57">
        <f>'Distribution Dashboard'!C41</f>
        <v>0</v>
      </c>
      <c r="D50" s="110"/>
      <c r="E50" s="110"/>
      <c r="F50" s="110"/>
      <c r="G50" s="110"/>
      <c r="H50" s="110"/>
      <c r="I50" s="110"/>
      <c r="J50" s="110"/>
      <c r="K50" s="110"/>
      <c r="L50" s="110"/>
      <c r="M50" s="110"/>
      <c r="N50" s="110"/>
      <c r="O50" s="110"/>
    </row>
    <row r="51" spans="1:15" x14ac:dyDescent="0.35">
      <c r="A51" s="57">
        <f>'Distribution Dashboard'!A42</f>
        <v>102</v>
      </c>
      <c r="B51" s="57" t="str">
        <f>'Distribution Dashboard'!B42</f>
        <v>Volume Water Supplied</v>
      </c>
      <c r="C51" s="57" t="str">
        <f>'Distribution Dashboard'!C42</f>
        <v>m3</v>
      </c>
      <c r="D51" s="109">
        <v>21082</v>
      </c>
      <c r="E51" s="109">
        <v>19289</v>
      </c>
      <c r="F51" s="109">
        <v>17841</v>
      </c>
      <c r="G51" s="109">
        <f>21868-320</f>
        <v>21548</v>
      </c>
      <c r="H51" s="109">
        <v>18790</v>
      </c>
      <c r="I51" s="109">
        <v>15397</v>
      </c>
      <c r="J51" s="109">
        <v>23443</v>
      </c>
      <c r="K51" s="109">
        <v>20893</v>
      </c>
      <c r="L51" s="109"/>
      <c r="M51" s="109"/>
      <c r="N51" s="109"/>
      <c r="O51" s="109"/>
    </row>
    <row r="52" spans="1:15" x14ac:dyDescent="0.35">
      <c r="A52" s="57">
        <f>'Distribution Dashboard'!A43</f>
        <v>109</v>
      </c>
      <c r="B52" s="57" t="str">
        <f>'Distribution Dashboard'!B43</f>
        <v>Volume Water Sold</v>
      </c>
      <c r="C52" s="57" t="str">
        <f>'Distribution Dashboard'!C43</f>
        <v>m3</v>
      </c>
      <c r="D52" s="109">
        <v>15991</v>
      </c>
      <c r="E52" s="109">
        <v>15410</v>
      </c>
      <c r="F52" s="109">
        <v>13572</v>
      </c>
      <c r="G52" s="109">
        <v>16565</v>
      </c>
      <c r="H52" s="109">
        <v>15215</v>
      </c>
      <c r="I52" s="109">
        <v>12683</v>
      </c>
      <c r="J52" s="109">
        <v>20921</v>
      </c>
      <c r="K52" s="109">
        <v>17374</v>
      </c>
      <c r="L52" s="109"/>
      <c r="M52" s="109"/>
      <c r="N52" s="109"/>
      <c r="O52" s="109"/>
    </row>
    <row r="53" spans="1:15" x14ac:dyDescent="0.35">
      <c r="A53" s="57">
        <f>'Distribution Dashboard'!A44</f>
        <v>123</v>
      </c>
      <c r="B53" s="57" t="str">
        <f>'Distribution Dashboard'!B44</f>
        <v>NRW</v>
      </c>
      <c r="C53" s="57" t="str">
        <f>'Distribution Dashboard'!C44</f>
        <v>%</v>
      </c>
      <c r="D53" s="114">
        <f>(D51-D52)/D51</f>
        <v>0.24148562754956834</v>
      </c>
      <c r="E53" s="114">
        <f t="shared" ref="E53:O53" si="22">(E51-E52)/E51</f>
        <v>0.20109907200995386</v>
      </c>
      <c r="F53" s="114">
        <f t="shared" si="22"/>
        <v>0.23928030939969733</v>
      </c>
      <c r="G53" s="114">
        <f t="shared" si="22"/>
        <v>0.23125116020048264</v>
      </c>
      <c r="H53" s="114">
        <f t="shared" si="22"/>
        <v>0.19026077700904737</v>
      </c>
      <c r="I53" s="114">
        <f t="shared" si="22"/>
        <v>0.1762681041761382</v>
      </c>
      <c r="J53" s="114">
        <f t="shared" si="22"/>
        <v>0.10758008787271253</v>
      </c>
      <c r="K53" s="114">
        <f t="shared" si="22"/>
        <v>0.16842961757526445</v>
      </c>
      <c r="L53" s="114" t="e">
        <f t="shared" si="22"/>
        <v>#DIV/0!</v>
      </c>
      <c r="M53" s="114" t="e">
        <f t="shared" si="22"/>
        <v>#DIV/0!</v>
      </c>
      <c r="N53" s="114" t="e">
        <f t="shared" si="22"/>
        <v>#DIV/0!</v>
      </c>
      <c r="O53" s="114" t="e">
        <f t="shared" si="22"/>
        <v>#DIV/0!</v>
      </c>
    </row>
    <row r="54" spans="1:15" hidden="1" x14ac:dyDescent="0.35">
      <c r="A54" s="57">
        <f>'Distribution Dashboard'!A45</f>
        <v>0</v>
      </c>
      <c r="B54" s="57" t="str">
        <f>'Distribution Dashboard'!B45</f>
        <v>Amount Billed Water</v>
      </c>
      <c r="C54" s="57" t="str">
        <f>'Distribution Dashboard'!C45</f>
        <v>KES</v>
      </c>
      <c r="D54" s="110"/>
      <c r="E54" s="110"/>
      <c r="F54" s="110"/>
      <c r="G54" s="116"/>
      <c r="H54" s="110"/>
      <c r="I54" s="117"/>
      <c r="J54" s="110"/>
      <c r="K54" s="110"/>
      <c r="L54" s="110"/>
      <c r="M54" s="110"/>
      <c r="N54" s="110"/>
      <c r="O54" s="110"/>
    </row>
    <row r="55" spans="1:15" hidden="1" x14ac:dyDescent="0.35">
      <c r="A55" s="57">
        <f>'Distribution Dashboard'!A46</f>
        <v>0</v>
      </c>
      <c r="B55" s="57" t="str">
        <f>'Distribution Dashboard'!B46</f>
        <v>Amount Billed Sewer</v>
      </c>
      <c r="C55" s="57" t="str">
        <f>'Distribution Dashboard'!C46</f>
        <v>KES</v>
      </c>
      <c r="D55" s="110"/>
      <c r="E55" s="110"/>
      <c r="F55" s="110"/>
      <c r="G55" s="116"/>
      <c r="H55" s="110"/>
      <c r="I55" s="117"/>
      <c r="J55" s="110"/>
      <c r="K55" s="110"/>
      <c r="L55" s="110"/>
      <c r="M55" s="110"/>
      <c r="N55" s="110"/>
      <c r="O55" s="110"/>
    </row>
    <row r="56" spans="1:15" x14ac:dyDescent="0.35">
      <c r="A56" s="57">
        <f>'Distribution Dashboard'!A47</f>
        <v>0</v>
      </c>
      <c r="B56" s="57" t="str">
        <f>'Distribution Dashboard'!B47</f>
        <v>ZONE - LAKEVIEW</v>
      </c>
      <c r="C56" s="57">
        <f>'Distribution Dashboard'!C47</f>
        <v>0</v>
      </c>
      <c r="D56" s="110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</row>
    <row r="57" spans="1:15" x14ac:dyDescent="0.35">
      <c r="A57" s="57">
        <f>'Distribution Dashboard'!A48</f>
        <v>104</v>
      </c>
      <c r="B57" s="57" t="str">
        <f>'Distribution Dashboard'!B48</f>
        <v>Volume Water Supplied</v>
      </c>
      <c r="C57" s="57" t="str">
        <f>'Distribution Dashboard'!C48</f>
        <v>m3</v>
      </c>
      <c r="D57" s="109">
        <v>26384</v>
      </c>
      <c r="E57" s="109">
        <v>25573</v>
      </c>
      <c r="F57" s="109">
        <v>25446</v>
      </c>
      <c r="G57" s="109">
        <v>30068</v>
      </c>
      <c r="H57" s="109">
        <v>20903</v>
      </c>
      <c r="I57" s="109">
        <v>22989</v>
      </c>
      <c r="J57" s="109">
        <v>32055</v>
      </c>
      <c r="K57" s="109">
        <v>26597</v>
      </c>
      <c r="L57" s="109"/>
      <c r="M57" s="109"/>
      <c r="N57" s="109"/>
      <c r="O57" s="109"/>
    </row>
    <row r="58" spans="1:15" x14ac:dyDescent="0.35">
      <c r="A58" s="57">
        <f>'Distribution Dashboard'!A49</f>
        <v>111</v>
      </c>
      <c r="B58" s="57" t="str">
        <f>'Distribution Dashboard'!B49</f>
        <v>Volume Water Sold</v>
      </c>
      <c r="C58" s="57" t="str">
        <f>'Distribution Dashboard'!C49</f>
        <v>m3</v>
      </c>
      <c r="D58" s="109">
        <v>16861</v>
      </c>
      <c r="E58" s="109">
        <v>20788</v>
      </c>
      <c r="F58" s="109">
        <v>19143</v>
      </c>
      <c r="G58" s="109">
        <v>21669</v>
      </c>
      <c r="H58" s="109">
        <v>16926</v>
      </c>
      <c r="I58" s="109">
        <v>14915</v>
      </c>
      <c r="J58" s="109">
        <v>26099</v>
      </c>
      <c r="K58" s="109">
        <v>21183</v>
      </c>
      <c r="L58" s="109"/>
      <c r="M58" s="109"/>
      <c r="N58" s="109"/>
      <c r="O58" s="109"/>
    </row>
    <row r="59" spans="1:15" x14ac:dyDescent="0.35">
      <c r="A59" s="57">
        <f>'Distribution Dashboard'!A50</f>
        <v>125</v>
      </c>
      <c r="B59" s="57" t="str">
        <f>'Distribution Dashboard'!B50</f>
        <v>NRW</v>
      </c>
      <c r="C59" s="57" t="str">
        <f>'Distribution Dashboard'!C50</f>
        <v>%</v>
      </c>
      <c r="D59" s="114">
        <f>(D57-D58)/D57</f>
        <v>0.36093844754396603</v>
      </c>
      <c r="E59" s="114">
        <f t="shared" ref="E59:O59" si="23">(E57-E58)/E57</f>
        <v>0.18711140656160793</v>
      </c>
      <c r="F59" s="114">
        <f t="shared" si="23"/>
        <v>0.24770101391181326</v>
      </c>
      <c r="G59" s="114">
        <f t="shared" si="23"/>
        <v>0.27933351070905948</v>
      </c>
      <c r="H59" s="114">
        <f t="shared" si="23"/>
        <v>0.19025977132469024</v>
      </c>
      <c r="I59" s="114">
        <f t="shared" si="23"/>
        <v>0.35121144895384748</v>
      </c>
      <c r="J59" s="114">
        <f t="shared" si="23"/>
        <v>0.18580564654500079</v>
      </c>
      <c r="K59" s="114">
        <f t="shared" si="23"/>
        <v>0.20355679211941197</v>
      </c>
      <c r="L59" s="114" t="e">
        <f t="shared" si="23"/>
        <v>#DIV/0!</v>
      </c>
      <c r="M59" s="114" t="e">
        <f t="shared" si="23"/>
        <v>#DIV/0!</v>
      </c>
      <c r="N59" s="114" t="e">
        <f t="shared" si="23"/>
        <v>#DIV/0!</v>
      </c>
      <c r="O59" s="114" t="e">
        <f t="shared" si="23"/>
        <v>#DIV/0!</v>
      </c>
    </row>
    <row r="60" spans="1:15" hidden="1" x14ac:dyDescent="0.35">
      <c r="A60" s="57">
        <f>'Distribution Dashboard'!A51</f>
        <v>0</v>
      </c>
      <c r="B60" s="57" t="str">
        <f>'Distribution Dashboard'!B51</f>
        <v>Amount Billed Water</v>
      </c>
      <c r="C60" s="57" t="str">
        <f>'Distribution Dashboard'!C51</f>
        <v>KES</v>
      </c>
      <c r="D60" s="110"/>
      <c r="E60" s="110"/>
      <c r="F60" s="110"/>
      <c r="G60" s="116"/>
      <c r="H60" s="110"/>
      <c r="I60" s="117"/>
      <c r="J60" s="110"/>
      <c r="K60" s="110"/>
      <c r="L60" s="110"/>
      <c r="M60" s="110"/>
      <c r="N60" s="110"/>
      <c r="O60" s="110"/>
    </row>
    <row r="61" spans="1:15" hidden="1" x14ac:dyDescent="0.35">
      <c r="A61" s="57">
        <f>'Distribution Dashboard'!A52</f>
        <v>0</v>
      </c>
      <c r="B61" s="57" t="str">
        <f>'Distribution Dashboard'!B52</f>
        <v>Amount Billed Sewer</v>
      </c>
      <c r="C61" s="57" t="str">
        <f>'Distribution Dashboard'!C52</f>
        <v>KES</v>
      </c>
      <c r="D61" s="110"/>
      <c r="E61" s="110"/>
      <c r="F61" s="110"/>
      <c r="G61" s="116"/>
      <c r="H61" s="110"/>
      <c r="I61" s="117"/>
      <c r="J61" s="110"/>
      <c r="K61" s="110"/>
      <c r="L61" s="110"/>
      <c r="M61" s="110"/>
      <c r="N61" s="110"/>
      <c r="O61" s="110"/>
    </row>
    <row r="62" spans="1:15" x14ac:dyDescent="0.35">
      <c r="A62" s="57">
        <f>'Distribution Dashboard'!A53</f>
        <v>0</v>
      </c>
      <c r="B62" s="57" t="str">
        <f>'Distribution Dashboard'!B53</f>
        <v>ZONE - KABATI</v>
      </c>
      <c r="C62" s="57">
        <f>'Distribution Dashboard'!C53</f>
        <v>0</v>
      </c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</row>
    <row r="63" spans="1:15" x14ac:dyDescent="0.35">
      <c r="A63" s="57">
        <f>'Distribution Dashboard'!A54</f>
        <v>103</v>
      </c>
      <c r="B63" s="57" t="str">
        <f>'Distribution Dashboard'!B54</f>
        <v>Volume Water Supplied</v>
      </c>
      <c r="C63" s="57" t="str">
        <f>'Distribution Dashboard'!C54</f>
        <v>m3</v>
      </c>
      <c r="D63" s="109">
        <v>15271</v>
      </c>
      <c r="E63" s="109">
        <v>14365</v>
      </c>
      <c r="F63" s="109">
        <v>14499</v>
      </c>
      <c r="G63" s="109">
        <v>15769</v>
      </c>
      <c r="H63" s="109">
        <v>13590</v>
      </c>
      <c r="I63" s="109">
        <v>11896</v>
      </c>
      <c r="J63" s="109">
        <v>21645</v>
      </c>
      <c r="K63" s="109">
        <v>14546</v>
      </c>
      <c r="L63" s="109"/>
      <c r="M63" s="109"/>
      <c r="N63" s="109"/>
      <c r="O63" s="109"/>
    </row>
    <row r="64" spans="1:15" x14ac:dyDescent="0.35">
      <c r="A64" s="57">
        <f>'Distribution Dashboard'!A55</f>
        <v>110</v>
      </c>
      <c r="B64" s="57" t="str">
        <f>'Distribution Dashboard'!B55</f>
        <v>Volume Water Sold</v>
      </c>
      <c r="C64" s="57" t="str">
        <f>'Distribution Dashboard'!C55</f>
        <v>m3</v>
      </c>
      <c r="D64" s="109">
        <v>10344</v>
      </c>
      <c r="E64" s="109">
        <v>12199</v>
      </c>
      <c r="F64" s="109">
        <v>12554</v>
      </c>
      <c r="G64" s="109">
        <v>12843</v>
      </c>
      <c r="H64" s="109">
        <v>10930</v>
      </c>
      <c r="I64" s="109">
        <v>9805</v>
      </c>
      <c r="J64" s="109">
        <v>16301</v>
      </c>
      <c r="K64" s="109">
        <v>12061</v>
      </c>
      <c r="L64" s="109"/>
      <c r="M64" s="109"/>
      <c r="N64" s="109"/>
      <c r="O64" s="109"/>
    </row>
    <row r="65" spans="1:15" x14ac:dyDescent="0.35">
      <c r="A65" s="57">
        <f>'Distribution Dashboard'!A56</f>
        <v>124</v>
      </c>
      <c r="B65" s="57" t="str">
        <f>'Distribution Dashboard'!B56</f>
        <v>NRW</v>
      </c>
      <c r="C65" s="57" t="str">
        <f>'Distribution Dashboard'!C56</f>
        <v>%</v>
      </c>
      <c r="D65" s="114">
        <f>(D63-D64)/D63</f>
        <v>0.32263767926134501</v>
      </c>
      <c r="E65" s="114">
        <f t="shared" ref="E65:O65" si="24">(E63-E64)/E63</f>
        <v>0.15078315349808563</v>
      </c>
      <c r="F65" s="114">
        <f t="shared" si="24"/>
        <v>0.13414718256431479</v>
      </c>
      <c r="G65" s="114">
        <f t="shared" si="24"/>
        <v>0.18555393493563321</v>
      </c>
      <c r="H65" s="114">
        <f t="shared" si="24"/>
        <v>0.19573215599705665</v>
      </c>
      <c r="I65" s="114">
        <f t="shared" si="24"/>
        <v>0.17577336919973099</v>
      </c>
      <c r="J65" s="114">
        <f t="shared" si="24"/>
        <v>0.24689304689304689</v>
      </c>
      <c r="K65" s="114">
        <f t="shared" si="24"/>
        <v>0.17083734359961503</v>
      </c>
      <c r="L65" s="114" t="e">
        <f t="shared" si="24"/>
        <v>#DIV/0!</v>
      </c>
      <c r="M65" s="114" t="e">
        <f t="shared" si="24"/>
        <v>#DIV/0!</v>
      </c>
      <c r="N65" s="114" t="e">
        <f t="shared" si="24"/>
        <v>#DIV/0!</v>
      </c>
      <c r="O65" s="114" t="e">
        <f t="shared" si="24"/>
        <v>#DIV/0!</v>
      </c>
    </row>
    <row r="66" spans="1:15" hidden="1" x14ac:dyDescent="0.35">
      <c r="A66" s="57">
        <f>'Distribution Dashboard'!A57</f>
        <v>0</v>
      </c>
      <c r="B66" s="57" t="str">
        <f>'Distribution Dashboard'!B57</f>
        <v xml:space="preserve">Amount Billed </v>
      </c>
      <c r="C66" s="57" t="str">
        <f>'Distribution Dashboard'!C57</f>
        <v>KES</v>
      </c>
      <c r="D66" s="110"/>
      <c r="E66" s="110"/>
      <c r="F66" s="110"/>
      <c r="G66" s="116"/>
      <c r="H66" s="110"/>
      <c r="I66" s="117"/>
      <c r="J66" s="110"/>
      <c r="K66" s="110"/>
      <c r="L66" s="110"/>
      <c r="M66" s="110"/>
      <c r="N66" s="110"/>
      <c r="O66" s="110"/>
    </row>
    <row r="67" spans="1:15" hidden="1" x14ac:dyDescent="0.35">
      <c r="A67" s="57">
        <f>'Distribution Dashboard'!A58</f>
        <v>0</v>
      </c>
      <c r="B67" s="57" t="str">
        <f>'Distribution Dashboard'!B58</f>
        <v>Amount Billed Sewer</v>
      </c>
      <c r="C67" s="57" t="str">
        <f>'Distribution Dashboard'!C58</f>
        <v>KES</v>
      </c>
      <c r="D67" s="110"/>
      <c r="E67" s="110"/>
      <c r="F67" s="110"/>
      <c r="G67" s="116"/>
      <c r="H67" s="110"/>
      <c r="I67" s="117"/>
      <c r="J67" s="110"/>
      <c r="K67" s="110"/>
      <c r="L67" s="110"/>
      <c r="M67" s="110"/>
      <c r="N67" s="110"/>
      <c r="O67" s="110"/>
    </row>
    <row r="68" spans="1:15" x14ac:dyDescent="0.35">
      <c r="A68" s="57">
        <f>'Distribution Dashboard'!A59</f>
        <v>0</v>
      </c>
      <c r="B68" s="57" t="str">
        <f>'Distribution Dashboard'!B59</f>
        <v>ZONE - SITE AND SERVICES</v>
      </c>
      <c r="C68" s="57">
        <f>'Distribution Dashboard'!C59</f>
        <v>0</v>
      </c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</row>
    <row r="69" spans="1:15" x14ac:dyDescent="0.35">
      <c r="A69" s="57">
        <f>'Distribution Dashboard'!A60</f>
        <v>105</v>
      </c>
      <c r="B69" s="57" t="str">
        <f>'Distribution Dashboard'!B60</f>
        <v>Volume Water Supplied</v>
      </c>
      <c r="C69" s="57" t="str">
        <f>'Distribution Dashboard'!C60</f>
        <v>m3</v>
      </c>
      <c r="D69" s="109">
        <v>10138</v>
      </c>
      <c r="E69" s="109">
        <v>13039</v>
      </c>
      <c r="F69" s="109">
        <v>12762</v>
      </c>
      <c r="G69" s="109">
        <f>13905-2000</f>
        <v>11905</v>
      </c>
      <c r="H69" s="109">
        <v>12460</v>
      </c>
      <c r="I69" s="109">
        <v>9387</v>
      </c>
      <c r="J69" s="109">
        <v>15639</v>
      </c>
      <c r="K69" s="109">
        <v>11406</v>
      </c>
      <c r="L69" s="109"/>
      <c r="M69" s="109"/>
      <c r="N69" s="109"/>
      <c r="O69" s="109"/>
    </row>
    <row r="70" spans="1:15" x14ac:dyDescent="0.35">
      <c r="A70" s="57">
        <f>'Distribution Dashboard'!A61</f>
        <v>112</v>
      </c>
      <c r="B70" s="57" t="str">
        <f>'Distribution Dashboard'!B61</f>
        <v>Volume Water Sold</v>
      </c>
      <c r="C70" s="57" t="str">
        <f>'Distribution Dashboard'!C61</f>
        <v>m3</v>
      </c>
      <c r="D70" s="109">
        <v>9053</v>
      </c>
      <c r="E70" s="109">
        <v>10669</v>
      </c>
      <c r="F70" s="109">
        <v>10732</v>
      </c>
      <c r="G70" s="109">
        <v>11020</v>
      </c>
      <c r="H70" s="109">
        <v>9629</v>
      </c>
      <c r="I70" s="109">
        <v>7701</v>
      </c>
      <c r="J70" s="109">
        <v>13327</v>
      </c>
      <c r="K70" s="109">
        <v>10175</v>
      </c>
      <c r="L70" s="109"/>
      <c r="M70" s="109"/>
      <c r="N70" s="109"/>
      <c r="O70" s="109"/>
    </row>
    <row r="71" spans="1:15" x14ac:dyDescent="0.35">
      <c r="A71" s="57">
        <f>'Distribution Dashboard'!A62</f>
        <v>126</v>
      </c>
      <c r="B71" s="57" t="str">
        <f>'Distribution Dashboard'!B62</f>
        <v>NRW</v>
      </c>
      <c r="C71" s="57" t="str">
        <f>'Distribution Dashboard'!C62</f>
        <v>%</v>
      </c>
      <c r="D71" s="114">
        <f>(D69-D70)/D69</f>
        <v>0.10702308147563622</v>
      </c>
      <c r="E71" s="114">
        <f t="shared" ref="E71:O71" si="25">(E69-E70)/E69</f>
        <v>0.18176240509241506</v>
      </c>
      <c r="F71" s="114">
        <f>(F69-F70)/F69</f>
        <v>0.15906597711957374</v>
      </c>
      <c r="G71" s="114">
        <f t="shared" si="25"/>
        <v>7.4338513229735406E-2</v>
      </c>
      <c r="H71" s="114">
        <f t="shared" si="25"/>
        <v>0.22720706260032103</v>
      </c>
      <c r="I71" s="114">
        <f t="shared" si="25"/>
        <v>0.17961009907318631</v>
      </c>
      <c r="J71" s="114">
        <f t="shared" si="25"/>
        <v>0.14783553935673635</v>
      </c>
      <c r="K71" s="114">
        <f t="shared" si="25"/>
        <v>0.10792565316500087</v>
      </c>
      <c r="L71" s="114" t="e">
        <f t="shared" si="25"/>
        <v>#DIV/0!</v>
      </c>
      <c r="M71" s="114" t="e">
        <f t="shared" si="25"/>
        <v>#DIV/0!</v>
      </c>
      <c r="N71" s="114" t="e">
        <f t="shared" si="25"/>
        <v>#DIV/0!</v>
      </c>
      <c r="O71" s="114" t="e">
        <f t="shared" si="25"/>
        <v>#DIV/0!</v>
      </c>
    </row>
    <row r="72" spans="1:15" hidden="1" x14ac:dyDescent="0.35">
      <c r="A72" s="57">
        <f>'Distribution Dashboard'!A63</f>
        <v>0</v>
      </c>
      <c r="B72" s="57" t="str">
        <f>'Distribution Dashboard'!B63</f>
        <v>Amount Billed Water</v>
      </c>
      <c r="C72" s="57" t="str">
        <f>'Distribution Dashboard'!C63</f>
        <v>KES</v>
      </c>
      <c r="D72" s="110"/>
      <c r="E72" s="110"/>
      <c r="F72" s="110"/>
      <c r="G72" s="116"/>
      <c r="H72" s="110"/>
      <c r="I72" s="117"/>
      <c r="J72" s="110"/>
      <c r="K72" s="110"/>
      <c r="L72" s="110"/>
      <c r="M72" s="110"/>
      <c r="N72" s="110"/>
      <c r="O72" s="110"/>
    </row>
    <row r="73" spans="1:15" hidden="1" x14ac:dyDescent="0.35">
      <c r="A73" s="57">
        <f>'Distribution Dashboard'!A64</f>
        <v>0</v>
      </c>
      <c r="B73" s="57" t="str">
        <f>'Distribution Dashboard'!B64</f>
        <v>Amount Billed Sewer</v>
      </c>
      <c r="C73" s="57" t="str">
        <f>'Distribution Dashboard'!C64</f>
        <v>KES</v>
      </c>
      <c r="D73" s="110"/>
      <c r="E73" s="110"/>
      <c r="F73" s="110"/>
      <c r="G73" s="116"/>
      <c r="H73" s="110"/>
      <c r="I73" s="117"/>
      <c r="J73" s="110"/>
      <c r="K73" s="110"/>
      <c r="L73" s="110"/>
      <c r="M73" s="110"/>
      <c r="N73" s="110"/>
      <c r="O73" s="110"/>
    </row>
    <row r="74" spans="1:15" x14ac:dyDescent="0.35">
      <c r="A74" s="57">
        <f>'Distribution Dashboard'!A65</f>
        <v>0</v>
      </c>
      <c r="B74" s="57" t="str">
        <f>'Distribution Dashboard'!B65</f>
        <v>ZONE - HOPEWELL</v>
      </c>
      <c r="C74" s="57">
        <f>'Distribution Dashboard'!C65</f>
        <v>0</v>
      </c>
      <c r="D74" s="110"/>
      <c r="E74" s="110"/>
      <c r="F74" s="110"/>
      <c r="G74" s="116"/>
      <c r="H74" s="110"/>
      <c r="I74" s="117"/>
      <c r="J74" s="110"/>
      <c r="K74" s="110"/>
      <c r="L74" s="110"/>
      <c r="M74" s="110"/>
      <c r="N74" s="110"/>
      <c r="O74" s="110"/>
    </row>
    <row r="75" spans="1:15" x14ac:dyDescent="0.35">
      <c r="A75" s="57" t="str">
        <f>'Distribution Dashboard'!A66</f>
        <v>105B</v>
      </c>
      <c r="B75" s="57" t="str">
        <f>'Distribution Dashboard'!B66</f>
        <v>Volume Water Supplied</v>
      </c>
      <c r="C75" s="57" t="str">
        <f>'Distribution Dashboard'!C66</f>
        <v>m3</v>
      </c>
      <c r="D75" s="109">
        <v>5972</v>
      </c>
      <c r="E75" s="109">
        <v>6247</v>
      </c>
      <c r="F75" s="109">
        <v>6155</v>
      </c>
      <c r="G75" s="66">
        <v>7067</v>
      </c>
      <c r="H75" s="109">
        <v>5512</v>
      </c>
      <c r="I75">
        <v>5035</v>
      </c>
      <c r="J75" s="109">
        <v>7698</v>
      </c>
      <c r="K75" s="109">
        <v>6609</v>
      </c>
      <c r="L75" s="109"/>
      <c r="M75" s="109"/>
      <c r="N75" s="109"/>
      <c r="O75" s="109"/>
    </row>
    <row r="76" spans="1:15" x14ac:dyDescent="0.35">
      <c r="A76" s="57" t="str">
        <f>'Distribution Dashboard'!A67</f>
        <v>112B</v>
      </c>
      <c r="B76" s="57" t="str">
        <f>'Distribution Dashboard'!B67</f>
        <v>Volume Water Sold</v>
      </c>
      <c r="C76" s="57" t="str">
        <f>'Distribution Dashboard'!C67</f>
        <v>m3</v>
      </c>
      <c r="D76" s="109">
        <v>5299</v>
      </c>
      <c r="E76" s="109">
        <v>6062</v>
      </c>
      <c r="F76" s="109">
        <v>5511</v>
      </c>
      <c r="G76" s="66">
        <v>6280</v>
      </c>
      <c r="H76" s="109">
        <v>4988</v>
      </c>
      <c r="I76" s="109">
        <v>4740</v>
      </c>
      <c r="J76" s="109">
        <v>6578</v>
      </c>
      <c r="K76" s="109">
        <v>5420</v>
      </c>
      <c r="L76" s="109"/>
      <c r="M76" s="109"/>
      <c r="N76" s="109"/>
      <c r="O76" s="109"/>
    </row>
    <row r="77" spans="1:15" x14ac:dyDescent="0.35">
      <c r="A77" s="57" t="str">
        <f>'Distribution Dashboard'!A68</f>
        <v>126B</v>
      </c>
      <c r="B77" s="57" t="str">
        <f>'Distribution Dashboard'!B68</f>
        <v>NRW</v>
      </c>
      <c r="C77" s="57" t="str">
        <f>'Distribution Dashboard'!C68</f>
        <v>%</v>
      </c>
      <c r="D77" s="114">
        <f>(D75-D76)/D75</f>
        <v>0.11269256530475552</v>
      </c>
      <c r="E77" s="114">
        <f>(E75-E76)/E75</f>
        <v>2.9614214823115097E-2</v>
      </c>
      <c r="F77" s="114">
        <f t="shared" ref="F77:K77" si="26">(F75-F76)/F75</f>
        <v>0.10463038180341186</v>
      </c>
      <c r="G77" s="114">
        <f t="shared" si="26"/>
        <v>0.11136267157209566</v>
      </c>
      <c r="H77" s="114">
        <f t="shared" si="26"/>
        <v>9.5065312046444125E-2</v>
      </c>
      <c r="I77" s="114">
        <f t="shared" si="26"/>
        <v>5.8589870903674283E-2</v>
      </c>
      <c r="J77" s="114">
        <f t="shared" si="26"/>
        <v>0.14549233567160302</v>
      </c>
      <c r="K77" s="114">
        <f t="shared" si="26"/>
        <v>0.17990618853079135</v>
      </c>
      <c r="L77" s="114" t="e">
        <f>(L75-L76)/L75</f>
        <v>#DIV/0!</v>
      </c>
      <c r="M77" s="114" t="e">
        <f t="shared" ref="M77:O77" si="27">(M75-M76)/M75</f>
        <v>#DIV/0!</v>
      </c>
      <c r="N77" s="114" t="e">
        <f t="shared" si="27"/>
        <v>#DIV/0!</v>
      </c>
      <c r="O77" s="114" t="e">
        <f t="shared" si="27"/>
        <v>#DIV/0!</v>
      </c>
    </row>
    <row r="78" spans="1:15" x14ac:dyDescent="0.35">
      <c r="A78" s="57">
        <f>'Distribution Dashboard'!A69</f>
        <v>0</v>
      </c>
      <c r="B78" s="57" t="str">
        <f>'Distribution Dashboard'!B69</f>
        <v>ZONE - KAMERE</v>
      </c>
      <c r="C78" s="57">
        <f>'Distribution Dashboard'!C69</f>
        <v>0</v>
      </c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</row>
    <row r="79" spans="1:15" x14ac:dyDescent="0.35">
      <c r="A79" s="57">
        <f>'Distribution Dashboard'!A70</f>
        <v>106</v>
      </c>
      <c r="B79" s="57" t="str">
        <f>'Distribution Dashboard'!B70</f>
        <v>Volume Water Supplied</v>
      </c>
      <c r="C79" s="57" t="str">
        <f>'Distribution Dashboard'!C70</f>
        <v>m3</v>
      </c>
      <c r="D79" s="109">
        <f>7517+510</f>
        <v>8027</v>
      </c>
      <c r="E79" s="109">
        <f>9152+765</f>
        <v>9917</v>
      </c>
      <c r="F79" s="109">
        <f>5575+512</f>
        <v>6087</v>
      </c>
      <c r="G79" s="109">
        <v>9083</v>
      </c>
      <c r="H79" s="109">
        <f>6774+708</f>
        <v>7482</v>
      </c>
      <c r="I79" s="109">
        <f>7771+1100</f>
        <v>8871</v>
      </c>
      <c r="J79" s="109">
        <f>10423+1351</f>
        <v>11774</v>
      </c>
      <c r="K79" s="109">
        <v>9112</v>
      </c>
      <c r="L79" s="109"/>
      <c r="M79" s="109"/>
      <c r="N79" s="109"/>
      <c r="O79" s="109"/>
    </row>
    <row r="80" spans="1:15" x14ac:dyDescent="0.35">
      <c r="A80" s="57">
        <f>'Distribution Dashboard'!A71</f>
        <v>113</v>
      </c>
      <c r="B80" s="57" t="str">
        <f>'Distribution Dashboard'!B71</f>
        <v>Volume Water Sold</v>
      </c>
      <c r="C80" s="57" t="str">
        <f>'Distribution Dashboard'!C71</f>
        <v>m3</v>
      </c>
      <c r="D80" s="109">
        <v>5788</v>
      </c>
      <c r="E80" s="109">
        <v>6705</v>
      </c>
      <c r="F80" s="109">
        <v>4755</v>
      </c>
      <c r="G80" s="109">
        <v>6241</v>
      </c>
      <c r="H80" s="109">
        <v>5183</v>
      </c>
      <c r="I80" s="109">
        <v>6161</v>
      </c>
      <c r="J80" s="109">
        <v>8813</v>
      </c>
      <c r="K80" s="109">
        <v>7181</v>
      </c>
      <c r="L80" s="109"/>
      <c r="M80" s="109"/>
      <c r="N80" s="109"/>
      <c r="O80" s="109"/>
    </row>
    <row r="81" spans="1:15" x14ac:dyDescent="0.35">
      <c r="A81" s="57">
        <f>'Distribution Dashboard'!A72</f>
        <v>127</v>
      </c>
      <c r="B81" s="57" t="str">
        <f>'Distribution Dashboard'!B72</f>
        <v>NRW</v>
      </c>
      <c r="C81" s="57" t="str">
        <f>'Distribution Dashboard'!C72</f>
        <v>%</v>
      </c>
      <c r="D81" s="114">
        <f>(D79-D80)/D79</f>
        <v>0.27893359910302729</v>
      </c>
      <c r="E81" s="114">
        <f t="shared" ref="E81:O81" si="28">(E79-E80)/E79</f>
        <v>0.32388827266310377</v>
      </c>
      <c r="F81" s="114">
        <f>(F79-F80)/F79</f>
        <v>0.21882700837851157</v>
      </c>
      <c r="G81" s="114">
        <f t="shared" si="28"/>
        <v>0.31289221622811847</v>
      </c>
      <c r="H81" s="114">
        <f t="shared" si="28"/>
        <v>0.30727078321304463</v>
      </c>
      <c r="I81" s="114">
        <f t="shared" si="28"/>
        <v>0.30548979821891559</v>
      </c>
      <c r="J81" s="114">
        <f t="shared" si="28"/>
        <v>0.25148632580261593</v>
      </c>
      <c r="K81" s="114">
        <f t="shared" si="28"/>
        <v>0.21191834942932397</v>
      </c>
      <c r="L81" s="114" t="e">
        <f t="shared" si="28"/>
        <v>#DIV/0!</v>
      </c>
      <c r="M81" s="114" t="e">
        <f t="shared" si="28"/>
        <v>#DIV/0!</v>
      </c>
      <c r="N81" s="114" t="e">
        <f t="shared" si="28"/>
        <v>#DIV/0!</v>
      </c>
      <c r="O81" s="114" t="e">
        <f t="shared" si="28"/>
        <v>#DIV/0!</v>
      </c>
    </row>
    <row r="82" spans="1:15" hidden="1" x14ac:dyDescent="0.35">
      <c r="A82" s="57">
        <f>'Distribution Dashboard'!A73</f>
        <v>0</v>
      </c>
      <c r="B82" s="57" t="str">
        <f>'Distribution Dashboard'!B73</f>
        <v>Amount Billed Water</v>
      </c>
      <c r="C82" s="57" t="str">
        <f>'Distribution Dashboard'!C73</f>
        <v>KES</v>
      </c>
      <c r="D82" s="110"/>
      <c r="E82" s="110"/>
      <c r="F82" s="110"/>
      <c r="G82" s="116"/>
      <c r="H82" s="110"/>
      <c r="I82" s="117"/>
      <c r="J82" s="110"/>
      <c r="K82" s="110"/>
      <c r="L82" s="110"/>
      <c r="M82" s="110"/>
      <c r="N82" s="110"/>
      <c r="O82" s="110"/>
    </row>
    <row r="83" spans="1:15" hidden="1" x14ac:dyDescent="0.35">
      <c r="A83" s="57">
        <f>'Distribution Dashboard'!A74</f>
        <v>0</v>
      </c>
      <c r="B83" s="57" t="str">
        <f>'Distribution Dashboard'!B74</f>
        <v>Amount Billed Sewer</v>
      </c>
      <c r="C83" s="57" t="str">
        <f>'Distribution Dashboard'!C74</f>
        <v>KES</v>
      </c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</row>
    <row r="84" spans="1:15" x14ac:dyDescent="0.35">
      <c r="A84" s="57">
        <f>'Distribution Dashboard'!A75</f>
        <v>0</v>
      </c>
      <c r="B84" s="57" t="str">
        <f>'Distribution Dashboard'!B75</f>
        <v>ZONE - HELLS GATE</v>
      </c>
      <c r="C84" s="57">
        <f>'Distribution Dashboard'!C75</f>
        <v>0</v>
      </c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</row>
    <row r="85" spans="1:15" x14ac:dyDescent="0.35">
      <c r="A85" s="57" t="str">
        <f>'Distribution Dashboard'!A76</f>
        <v>103 (3)</v>
      </c>
      <c r="B85" s="57" t="str">
        <f>'Distribution Dashboard'!B76</f>
        <v>Volume Water Supplied</v>
      </c>
      <c r="C85" s="57" t="str">
        <f>'Distribution Dashboard'!C76</f>
        <v>m3</v>
      </c>
      <c r="D85" s="109">
        <v>30234</v>
      </c>
      <c r="E85" s="109">
        <v>40128</v>
      </c>
      <c r="F85" s="109">
        <v>29291</v>
      </c>
      <c r="G85" s="109">
        <v>44330</v>
      </c>
      <c r="H85" s="109">
        <v>27402</v>
      </c>
      <c r="I85" s="109">
        <v>31274</v>
      </c>
      <c r="J85" s="109">
        <v>43487</v>
      </c>
      <c r="K85" s="109">
        <v>37061</v>
      </c>
      <c r="L85" s="109"/>
      <c r="M85" s="109"/>
      <c r="N85" s="109"/>
      <c r="O85" s="109"/>
    </row>
    <row r="86" spans="1:15" x14ac:dyDescent="0.35">
      <c r="A86" s="57" t="str">
        <f>'Distribution Dashboard'!A77</f>
        <v>110 (3)</v>
      </c>
      <c r="B86" s="57" t="str">
        <f>'Distribution Dashboard'!B77</f>
        <v>Volume Water Sold</v>
      </c>
      <c r="C86" s="57" t="str">
        <f>'Distribution Dashboard'!C77</f>
        <v>m3</v>
      </c>
      <c r="D86" s="109">
        <v>21124</v>
      </c>
      <c r="E86" s="109">
        <v>28413</v>
      </c>
      <c r="F86" s="109">
        <v>21139</v>
      </c>
      <c r="G86" s="109">
        <v>27997</v>
      </c>
      <c r="H86" s="109">
        <v>19635</v>
      </c>
      <c r="I86" s="109">
        <v>22759</v>
      </c>
      <c r="J86" s="109">
        <v>32803</v>
      </c>
      <c r="K86" s="109">
        <v>26800</v>
      </c>
      <c r="L86" s="109"/>
      <c r="M86" s="109"/>
      <c r="N86" s="109"/>
      <c r="O86" s="109"/>
    </row>
    <row r="87" spans="1:15" x14ac:dyDescent="0.35">
      <c r="A87" s="57" t="str">
        <f>'Distribution Dashboard'!A78</f>
        <v>124 (3)</v>
      </c>
      <c r="B87" s="57" t="str">
        <f>'Distribution Dashboard'!B78</f>
        <v>NRW</v>
      </c>
      <c r="C87" s="57" t="str">
        <f>'Distribution Dashboard'!C78</f>
        <v>%</v>
      </c>
      <c r="D87" s="114">
        <f>(D85-D86)/D85</f>
        <v>0.30131639875636701</v>
      </c>
      <c r="E87" s="114">
        <f t="shared" ref="E87:O87" si="29">(E85-E86)/E85</f>
        <v>0.29194078947368424</v>
      </c>
      <c r="F87" s="114">
        <f>(F85-F86)/F85</f>
        <v>0.27831074391451299</v>
      </c>
      <c r="G87" s="114">
        <f t="shared" si="29"/>
        <v>0.36844123618317165</v>
      </c>
      <c r="H87" s="114">
        <f t="shared" si="29"/>
        <v>0.28344646376176924</v>
      </c>
      <c r="I87" s="114">
        <f t="shared" si="29"/>
        <v>0.27227089595190895</v>
      </c>
      <c r="J87" s="114">
        <f t="shared" si="29"/>
        <v>0.24568261779382344</v>
      </c>
      <c r="K87" s="114">
        <f t="shared" si="29"/>
        <v>0.2768678664903807</v>
      </c>
      <c r="L87" s="114" t="e">
        <f t="shared" si="29"/>
        <v>#DIV/0!</v>
      </c>
      <c r="M87" s="114" t="e">
        <f t="shared" si="29"/>
        <v>#DIV/0!</v>
      </c>
      <c r="N87" s="114" t="e">
        <f t="shared" si="29"/>
        <v>#DIV/0!</v>
      </c>
      <c r="O87" s="114" t="e">
        <f t="shared" si="29"/>
        <v>#DIV/0!</v>
      </c>
    </row>
    <row r="88" spans="1:15" hidden="1" x14ac:dyDescent="0.35">
      <c r="A88" s="57">
        <f>'Distribution Dashboard'!A79</f>
        <v>0</v>
      </c>
      <c r="B88" s="57" t="str">
        <f>'Distribution Dashboard'!B79</f>
        <v>Amount Billed Water</v>
      </c>
      <c r="C88" s="57" t="str">
        <f>'Distribution Dashboard'!C79</f>
        <v>KES</v>
      </c>
      <c r="D88" s="110"/>
      <c r="E88" s="110"/>
      <c r="F88" s="110"/>
      <c r="G88" s="116"/>
      <c r="H88" s="110"/>
      <c r="I88" s="117"/>
      <c r="J88" s="110"/>
      <c r="K88" s="110"/>
      <c r="L88" s="110"/>
      <c r="M88" s="110"/>
      <c r="N88" s="110"/>
      <c r="O88" s="110"/>
    </row>
    <row r="89" spans="1:15" hidden="1" x14ac:dyDescent="0.35">
      <c r="A89" s="57">
        <f>'Distribution Dashboard'!A80</f>
        <v>0</v>
      </c>
      <c r="B89" s="57" t="str">
        <f>'Distribution Dashboard'!B80</f>
        <v>Amount Billed Sewer</v>
      </c>
      <c r="C89" s="57" t="str">
        <f>'Distribution Dashboard'!C80</f>
        <v>KES</v>
      </c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</row>
    <row r="90" spans="1:15" x14ac:dyDescent="0.35">
      <c r="A90" s="57">
        <f>'Distribution Dashboard'!A81</f>
        <v>0</v>
      </c>
      <c r="B90" s="57" t="str">
        <f>'Distribution Dashboard'!B81</f>
        <v>KIHOTO</v>
      </c>
      <c r="C90" s="57">
        <f>'Distribution Dashboard'!C81</f>
        <v>0</v>
      </c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</row>
    <row r="91" spans="1:15" x14ac:dyDescent="0.35">
      <c r="A91" s="57" t="str">
        <f>'Distribution Dashboard'!A82</f>
        <v>103 (2)</v>
      </c>
      <c r="B91" s="57" t="str">
        <f>'Distribution Dashboard'!B82</f>
        <v>Volume Water Supplied</v>
      </c>
      <c r="C91" s="57" t="str">
        <f>'Distribution Dashboard'!C82</f>
        <v>m3</v>
      </c>
      <c r="D91" s="109">
        <v>2107</v>
      </c>
      <c r="E91" s="109">
        <v>1948</v>
      </c>
      <c r="F91" s="109">
        <v>1925</v>
      </c>
      <c r="G91" s="112">
        <v>2550</v>
      </c>
      <c r="H91" s="109">
        <v>872</v>
      </c>
      <c r="I91" s="109">
        <v>1669</v>
      </c>
      <c r="J91" s="109">
        <v>2696</v>
      </c>
      <c r="K91" s="109">
        <v>1973</v>
      </c>
      <c r="L91" s="109"/>
      <c r="M91" s="109"/>
      <c r="N91" s="109"/>
      <c r="O91" s="109"/>
    </row>
    <row r="92" spans="1:15" x14ac:dyDescent="0.35">
      <c r="A92" s="57" t="str">
        <f>'Distribution Dashboard'!A83</f>
        <v>110 (2)</v>
      </c>
      <c r="B92" s="57" t="str">
        <f>'Distribution Dashboard'!B83</f>
        <v>Volume Water Sold</v>
      </c>
      <c r="C92" s="57" t="str">
        <f>'Distribution Dashboard'!C83</f>
        <v>m3</v>
      </c>
      <c r="D92" s="109">
        <v>1822</v>
      </c>
      <c r="E92" s="109">
        <v>1673</v>
      </c>
      <c r="F92" s="109">
        <v>1626</v>
      </c>
      <c r="G92" s="109">
        <v>1739</v>
      </c>
      <c r="H92" s="109">
        <v>652</v>
      </c>
      <c r="I92" s="109">
        <v>1172</v>
      </c>
      <c r="J92" s="109">
        <v>1766</v>
      </c>
      <c r="K92" s="109">
        <v>1575</v>
      </c>
      <c r="L92" s="109"/>
      <c r="M92" s="109"/>
      <c r="N92" s="109"/>
      <c r="O92" s="109"/>
    </row>
    <row r="93" spans="1:15" x14ac:dyDescent="0.35">
      <c r="A93" s="57" t="str">
        <f>'Distribution Dashboard'!A84</f>
        <v>124 (2)</v>
      </c>
      <c r="B93" s="57" t="str">
        <f>'Distribution Dashboard'!B84</f>
        <v>NRW</v>
      </c>
      <c r="C93" s="57" t="str">
        <f>'Distribution Dashboard'!C84</f>
        <v>%</v>
      </c>
      <c r="D93" s="114">
        <f>(D91-D92)/D91</f>
        <v>0.13526340768865686</v>
      </c>
      <c r="E93" s="114">
        <f t="shared" ref="E93:O93" si="30">(E91-E92)/E91</f>
        <v>0.14117043121149897</v>
      </c>
      <c r="F93" s="114">
        <f>(F91-F92)/F91</f>
        <v>0.15532467532467534</v>
      </c>
      <c r="G93" s="114">
        <f t="shared" si="30"/>
        <v>0.31803921568627452</v>
      </c>
      <c r="H93" s="114">
        <f t="shared" si="30"/>
        <v>0.25229357798165136</v>
      </c>
      <c r="I93" s="114">
        <f t="shared" si="30"/>
        <v>0.29778310365488314</v>
      </c>
      <c r="J93" s="114">
        <f t="shared" si="30"/>
        <v>0.34495548961424333</v>
      </c>
      <c r="K93" s="114">
        <f t="shared" si="30"/>
        <v>0.20172326406487581</v>
      </c>
      <c r="L93" s="114" t="e">
        <f t="shared" si="30"/>
        <v>#DIV/0!</v>
      </c>
      <c r="M93" s="114" t="e">
        <f t="shared" si="30"/>
        <v>#DIV/0!</v>
      </c>
      <c r="N93" s="114" t="e">
        <f t="shared" si="30"/>
        <v>#DIV/0!</v>
      </c>
      <c r="O93" s="114" t="e">
        <f t="shared" si="30"/>
        <v>#DIV/0!</v>
      </c>
    </row>
    <row r="94" spans="1:15" hidden="1" x14ac:dyDescent="0.35">
      <c r="A94" s="57">
        <f>'Distribution Dashboard'!A85</f>
        <v>0</v>
      </c>
      <c r="B94" s="57" t="str">
        <f>'Distribution Dashboard'!B85</f>
        <v>Amount Billed Water</v>
      </c>
      <c r="C94" s="57" t="str">
        <f>'Distribution Dashboard'!C85</f>
        <v>KES</v>
      </c>
      <c r="D94" s="110"/>
      <c r="E94" s="110"/>
      <c r="F94" s="110"/>
      <c r="G94" s="116"/>
      <c r="H94" s="110"/>
      <c r="I94" s="117"/>
      <c r="J94" s="110"/>
      <c r="K94" s="110"/>
      <c r="L94" s="110"/>
      <c r="M94" s="110"/>
      <c r="N94" s="110"/>
      <c r="O94" s="110"/>
    </row>
    <row r="95" spans="1:15" hidden="1" x14ac:dyDescent="0.35">
      <c r="A95" s="57">
        <f>'Distribution Dashboard'!A86</f>
        <v>0</v>
      </c>
      <c r="B95" s="57" t="str">
        <f>'Distribution Dashboard'!B86</f>
        <v>Amount Billed Sewer</v>
      </c>
      <c r="C95" s="57" t="str">
        <f>'Distribution Dashboard'!C86</f>
        <v>KES</v>
      </c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</row>
    <row r="96" spans="1:15" x14ac:dyDescent="0.35">
      <c r="A96" s="57">
        <f>'Distribution Dashboard'!A87</f>
        <v>0</v>
      </c>
      <c r="B96" s="57" t="str">
        <f>'Distribution Dashboard'!B87</f>
        <v>KAYOLE</v>
      </c>
      <c r="C96" s="57">
        <f>'Distribution Dashboard'!C87</f>
        <v>0</v>
      </c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</row>
    <row r="97" spans="1:15" x14ac:dyDescent="0.35">
      <c r="A97" s="57" t="str">
        <f>'Distribution Dashboard'!A88</f>
        <v>103 (4)</v>
      </c>
      <c r="B97" s="57" t="str">
        <f>'Distribution Dashboard'!B88</f>
        <v>Volume Water Supplied</v>
      </c>
      <c r="C97" s="57" t="str">
        <f>'Distribution Dashboard'!C88</f>
        <v>m3</v>
      </c>
      <c r="D97" s="109">
        <f>304+40436+144</f>
        <v>40884</v>
      </c>
      <c r="E97" s="109">
        <f>464+38522+320</f>
        <v>39306</v>
      </c>
      <c r="F97" s="109">
        <f>328+35671+269</f>
        <v>36268</v>
      </c>
      <c r="G97" s="109">
        <v>48806</v>
      </c>
      <c r="H97" s="109">
        <f>425+32852+249</f>
        <v>33526</v>
      </c>
      <c r="I97" s="109">
        <f>406+34285+282</f>
        <v>34973</v>
      </c>
      <c r="J97" s="109">
        <f>468+40782+437</f>
        <v>41687</v>
      </c>
      <c r="K97" s="109">
        <v>42601</v>
      </c>
      <c r="L97" s="109"/>
      <c r="M97" s="109"/>
      <c r="N97" s="109"/>
      <c r="O97" s="109"/>
    </row>
    <row r="98" spans="1:15" x14ac:dyDescent="0.35">
      <c r="A98" s="57" t="str">
        <f>'Distribution Dashboard'!A89</f>
        <v>110 (4)</v>
      </c>
      <c r="B98" s="57" t="str">
        <f>'Distribution Dashboard'!B89</f>
        <v>Volume Water Sold</v>
      </c>
      <c r="C98" s="57" t="str">
        <f>'Distribution Dashboard'!C89</f>
        <v>m3</v>
      </c>
      <c r="D98" s="109">
        <v>31495</v>
      </c>
      <c r="E98" s="109">
        <v>30262</v>
      </c>
      <c r="F98" s="109">
        <v>26101</v>
      </c>
      <c r="G98" s="109">
        <v>28789</v>
      </c>
      <c r="H98" s="109">
        <v>24965</v>
      </c>
      <c r="I98" s="109">
        <v>26090</v>
      </c>
      <c r="J98" s="109">
        <v>30971</v>
      </c>
      <c r="K98" s="109">
        <v>33446</v>
      </c>
      <c r="L98" s="109"/>
      <c r="M98" s="109"/>
      <c r="N98" s="109"/>
      <c r="O98" s="109"/>
    </row>
    <row r="99" spans="1:15" x14ac:dyDescent="0.35">
      <c r="A99" s="57" t="str">
        <f>'Distribution Dashboard'!A90</f>
        <v>124 (4)</v>
      </c>
      <c r="B99" s="57" t="str">
        <f>'Distribution Dashboard'!B90</f>
        <v>NRW</v>
      </c>
      <c r="C99" s="57" t="str">
        <f>'Distribution Dashboard'!C90</f>
        <v>%</v>
      </c>
      <c r="D99" s="114">
        <f>(D97-D98)/D97</f>
        <v>0.22964974072986988</v>
      </c>
      <c r="E99" s="114">
        <f t="shared" ref="E99:O99" si="31">(E97-E98)/E97</f>
        <v>0.23009209789853965</v>
      </c>
      <c r="F99" s="114">
        <f>(F97-F98)/F97</f>
        <v>0.28032976728796738</v>
      </c>
      <c r="G99" s="114">
        <f t="shared" si="31"/>
        <v>0.41013399991804289</v>
      </c>
      <c r="H99" s="114">
        <f t="shared" si="31"/>
        <v>0.25535405357036328</v>
      </c>
      <c r="I99" s="114">
        <f t="shared" si="31"/>
        <v>0.25399593972493067</v>
      </c>
      <c r="J99" s="114">
        <f t="shared" si="31"/>
        <v>0.25705855542495265</v>
      </c>
      <c r="K99" s="114">
        <f t="shared" si="31"/>
        <v>0.21490105866059483</v>
      </c>
      <c r="L99" s="114" t="e">
        <f t="shared" si="31"/>
        <v>#DIV/0!</v>
      </c>
      <c r="M99" s="114" t="e">
        <f t="shared" si="31"/>
        <v>#DIV/0!</v>
      </c>
      <c r="N99" s="114" t="e">
        <f t="shared" si="31"/>
        <v>#DIV/0!</v>
      </c>
      <c r="O99" s="114" t="e">
        <f t="shared" si="31"/>
        <v>#DIV/0!</v>
      </c>
    </row>
    <row r="100" spans="1:15" hidden="1" x14ac:dyDescent="0.35">
      <c r="A100" s="57">
        <f>'Distribution Dashboard'!A91</f>
        <v>0</v>
      </c>
      <c r="B100" s="57" t="str">
        <f>'Distribution Dashboard'!B91</f>
        <v>Amount Billed Water</v>
      </c>
      <c r="C100" s="57" t="str">
        <f>'Distribution Dashboard'!C91</f>
        <v>KES</v>
      </c>
      <c r="D100" s="110"/>
      <c r="E100" s="110"/>
      <c r="F100" s="110"/>
      <c r="G100" s="116"/>
      <c r="H100" s="110"/>
      <c r="I100" s="117"/>
      <c r="J100" s="110"/>
      <c r="K100" s="110"/>
      <c r="L100" s="110"/>
      <c r="M100" s="110"/>
      <c r="N100" s="110"/>
      <c r="O100" s="110"/>
    </row>
    <row r="101" spans="1:15" hidden="1" x14ac:dyDescent="0.35">
      <c r="A101" s="57">
        <f>'Distribution Dashboard'!A92</f>
        <v>0</v>
      </c>
      <c r="B101" s="57" t="str">
        <f>'Distribution Dashboard'!B92</f>
        <v>Amount Billed Sewer</v>
      </c>
      <c r="C101" s="57" t="str">
        <f>'Distribution Dashboard'!C92</f>
        <v>KES</v>
      </c>
      <c r="D101" s="110"/>
      <c r="E101" s="110"/>
      <c r="F101" s="110"/>
      <c r="G101" s="110"/>
      <c r="H101" s="110"/>
      <c r="I101" s="117"/>
      <c r="J101" s="110"/>
      <c r="K101" s="110"/>
      <c r="L101" s="110"/>
      <c r="M101" s="110"/>
      <c r="N101" s="110"/>
      <c r="O101" s="110"/>
    </row>
    <row r="102" spans="1:15" x14ac:dyDescent="0.35">
      <c r="A102" s="57">
        <f>'Distribution Dashboard'!A93</f>
        <v>0</v>
      </c>
      <c r="B102" s="57" t="str">
        <f>'Distribution Dashboard'!B93</f>
        <v>MAI-MAHIU</v>
      </c>
      <c r="C102" s="57">
        <f>'Distribution Dashboard'!C93</f>
        <v>0</v>
      </c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</row>
    <row r="103" spans="1:15" x14ac:dyDescent="0.35">
      <c r="A103" s="57" t="str">
        <f>'Distribution Dashboard'!A94</f>
        <v>103 (5)</v>
      </c>
      <c r="B103" s="57" t="str">
        <f>'Distribution Dashboard'!B94</f>
        <v>Volume Water Supplied</v>
      </c>
      <c r="C103" s="57" t="str">
        <f>'Distribution Dashboard'!C94</f>
        <v>m3</v>
      </c>
      <c r="D103" s="109">
        <v>19352</v>
      </c>
      <c r="E103" s="109">
        <v>28420</v>
      </c>
      <c r="F103" s="109">
        <v>17963</v>
      </c>
      <c r="G103" s="109">
        <v>26213</v>
      </c>
      <c r="H103" s="109">
        <v>17225</v>
      </c>
      <c r="I103" s="109">
        <v>15039</v>
      </c>
      <c r="J103" s="109">
        <v>26008</v>
      </c>
      <c r="K103" s="109">
        <v>24972</v>
      </c>
      <c r="L103" s="109"/>
      <c r="M103" s="109"/>
      <c r="N103" s="109"/>
      <c r="O103" s="109"/>
    </row>
    <row r="104" spans="1:15" x14ac:dyDescent="0.35">
      <c r="A104" s="57" t="str">
        <f>'Distribution Dashboard'!A95</f>
        <v>110 (5)</v>
      </c>
      <c r="B104" s="57" t="str">
        <f>'Distribution Dashboard'!B95</f>
        <v>Volume Water Sold</v>
      </c>
      <c r="C104" s="57" t="str">
        <f>'Distribution Dashboard'!C95</f>
        <v>m3</v>
      </c>
      <c r="D104" s="109">
        <v>11947</v>
      </c>
      <c r="E104" s="109">
        <v>17946</v>
      </c>
      <c r="F104" s="109">
        <v>11179</v>
      </c>
      <c r="G104" s="109">
        <v>15724</v>
      </c>
      <c r="H104" s="109">
        <v>10947</v>
      </c>
      <c r="I104" s="109">
        <v>8396</v>
      </c>
      <c r="J104" s="109">
        <v>14935</v>
      </c>
      <c r="K104" s="109">
        <v>15292</v>
      </c>
      <c r="L104" s="109"/>
      <c r="M104" s="109"/>
      <c r="N104" s="109"/>
      <c r="O104" s="109"/>
    </row>
    <row r="105" spans="1:15" x14ac:dyDescent="0.35">
      <c r="A105" s="57" t="str">
        <f>'Distribution Dashboard'!A96</f>
        <v>124 (5)</v>
      </c>
      <c r="B105" s="57" t="str">
        <f>'Distribution Dashboard'!B96</f>
        <v>NRW</v>
      </c>
      <c r="C105" s="57" t="str">
        <f>'Distribution Dashboard'!C96</f>
        <v>%</v>
      </c>
      <c r="D105" s="114">
        <f>(D103-D104)/D103</f>
        <v>0.38264778834229018</v>
      </c>
      <c r="E105" s="114">
        <f t="shared" ref="E105:O105" si="32">(E103-E104)/E103</f>
        <v>0.36854327938071779</v>
      </c>
      <c r="F105" s="114">
        <f t="shared" si="32"/>
        <v>0.37766520069030785</v>
      </c>
      <c r="G105" s="114">
        <f t="shared" si="32"/>
        <v>0.40014496623812612</v>
      </c>
      <c r="H105" s="114">
        <f t="shared" si="32"/>
        <v>0.36447024673439765</v>
      </c>
      <c r="I105" s="114">
        <f t="shared" si="32"/>
        <v>0.44171819934836093</v>
      </c>
      <c r="J105" s="114">
        <f t="shared" si="32"/>
        <v>0.42575361427253156</v>
      </c>
      <c r="K105" s="114">
        <f t="shared" si="32"/>
        <v>0.38763415024827808</v>
      </c>
      <c r="L105" s="114" t="e">
        <f t="shared" si="32"/>
        <v>#DIV/0!</v>
      </c>
      <c r="M105" s="114" t="e">
        <f t="shared" si="32"/>
        <v>#DIV/0!</v>
      </c>
      <c r="N105" s="114" t="e">
        <f t="shared" si="32"/>
        <v>#DIV/0!</v>
      </c>
      <c r="O105" s="114" t="e">
        <f t="shared" si="32"/>
        <v>#DIV/0!</v>
      </c>
    </row>
    <row r="106" spans="1:15" hidden="1" x14ac:dyDescent="0.35">
      <c r="A106" s="57">
        <f>'Distribution Dashboard'!A97</f>
        <v>0</v>
      </c>
      <c r="B106" s="57" t="str">
        <f>'Distribution Dashboard'!B97</f>
        <v>Amount Billed Water</v>
      </c>
      <c r="C106" s="57" t="str">
        <f>'Distribution Dashboard'!C97</f>
        <v>KES</v>
      </c>
      <c r="D106" s="110"/>
      <c r="E106" s="110"/>
      <c r="F106" s="110"/>
      <c r="G106" s="116"/>
      <c r="H106" s="110"/>
      <c r="I106" s="117"/>
      <c r="J106" s="110"/>
      <c r="K106" s="110"/>
      <c r="L106" s="110"/>
      <c r="M106" s="110"/>
      <c r="N106" s="110"/>
      <c r="O106" s="110"/>
    </row>
    <row r="107" spans="1:15" hidden="1" x14ac:dyDescent="0.35">
      <c r="A107" s="57">
        <f>'Distribution Dashboard'!A98</f>
        <v>0</v>
      </c>
      <c r="B107" s="57" t="str">
        <f>'Distribution Dashboard'!B98</f>
        <v>Amount Billed Sewer</v>
      </c>
      <c r="C107" s="57" t="str">
        <f>'Distribution Dashboard'!C98</f>
        <v>KES</v>
      </c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</row>
    <row r="108" spans="1:15" hidden="1" x14ac:dyDescent="0.35">
      <c r="A108" s="57">
        <f>'Distribution Dashboard'!A99</f>
        <v>0</v>
      </c>
      <c r="B108" s="57" t="str">
        <f>'Distribution Dashboard'!B99</f>
        <v>KINUNGI</v>
      </c>
      <c r="C108" s="57">
        <f>'Distribution Dashboard'!C99</f>
        <v>0</v>
      </c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</row>
    <row r="109" spans="1:15" hidden="1" x14ac:dyDescent="0.35">
      <c r="A109" s="57" t="str">
        <f>'Distribution Dashboard'!A100</f>
        <v>Y</v>
      </c>
      <c r="B109" s="57" t="str">
        <f>'Distribution Dashboard'!B100</f>
        <v>Volume Water Supplied-kinungi</v>
      </c>
      <c r="C109" s="57" t="str">
        <f>'Distribution Dashboard'!C100</f>
        <v>m3</v>
      </c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</row>
    <row r="110" spans="1:15" hidden="1" x14ac:dyDescent="0.35">
      <c r="A110" s="57" t="str">
        <f>'Distribution Dashboard'!A101</f>
        <v>z</v>
      </c>
      <c r="B110" s="57" t="str">
        <f>'Distribution Dashboard'!B101</f>
        <v>Volume Water Sold-kinungi</v>
      </c>
      <c r="C110" s="57" t="str">
        <f>'Distribution Dashboard'!C101</f>
        <v>m3</v>
      </c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</row>
    <row r="111" spans="1:15" hidden="1" x14ac:dyDescent="0.35">
      <c r="A111" s="57" t="str">
        <f>'Distribution Dashboard'!A102</f>
        <v>K</v>
      </c>
      <c r="B111" s="57" t="str">
        <f>'Distribution Dashboard'!B102</f>
        <v>NRW</v>
      </c>
      <c r="C111" s="57" t="str">
        <f>'Distribution Dashboard'!C102</f>
        <v>%</v>
      </c>
      <c r="D111" s="114" t="e">
        <f>(D109-D110)/D109</f>
        <v>#DIV/0!</v>
      </c>
      <c r="E111" s="114" t="e">
        <f t="shared" ref="E111:O111" si="33">(E109-E110)/E109</f>
        <v>#DIV/0!</v>
      </c>
      <c r="F111" s="114" t="e">
        <f t="shared" si="33"/>
        <v>#DIV/0!</v>
      </c>
      <c r="G111" s="114" t="e">
        <f t="shared" si="33"/>
        <v>#DIV/0!</v>
      </c>
      <c r="H111" s="114" t="e">
        <f t="shared" si="33"/>
        <v>#DIV/0!</v>
      </c>
      <c r="I111" s="114" t="e">
        <f t="shared" si="33"/>
        <v>#DIV/0!</v>
      </c>
      <c r="J111" s="114" t="e">
        <f t="shared" si="33"/>
        <v>#DIV/0!</v>
      </c>
      <c r="K111" s="114" t="e">
        <f t="shared" si="33"/>
        <v>#DIV/0!</v>
      </c>
      <c r="L111" s="114" t="e">
        <f t="shared" si="33"/>
        <v>#DIV/0!</v>
      </c>
      <c r="M111" s="114" t="e">
        <f t="shared" si="33"/>
        <v>#DIV/0!</v>
      </c>
      <c r="N111" s="114" t="e">
        <f t="shared" si="33"/>
        <v>#DIV/0!</v>
      </c>
      <c r="O111" s="114" t="e">
        <f t="shared" si="33"/>
        <v>#DIV/0!</v>
      </c>
    </row>
    <row r="112" spans="1:15" hidden="1" x14ac:dyDescent="0.35">
      <c r="A112" s="57">
        <f>'Distribution Dashboard'!A103</f>
        <v>0</v>
      </c>
      <c r="B112" s="57" t="str">
        <f>'Distribution Dashboard'!B103</f>
        <v>GONDI</v>
      </c>
      <c r="C112" s="57">
        <f>'Distribution Dashboard'!C103</f>
        <v>0</v>
      </c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</row>
    <row r="113" spans="1:15" hidden="1" x14ac:dyDescent="0.35">
      <c r="A113" s="57" t="str">
        <f>'Distribution Dashboard'!A104</f>
        <v>Y (2)</v>
      </c>
      <c r="B113" s="57" t="str">
        <f>'Distribution Dashboard'!B104</f>
        <v>Volume Water Supplied-Gondi</v>
      </c>
      <c r="C113" s="57" t="str">
        <f>'Distribution Dashboard'!C104</f>
        <v>m3</v>
      </c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O113" s="110"/>
    </row>
    <row r="114" spans="1:15" hidden="1" x14ac:dyDescent="0.35">
      <c r="A114" s="57" t="str">
        <f>'Distribution Dashboard'!A105</f>
        <v>z (2)</v>
      </c>
      <c r="B114" s="57" t="str">
        <f>'Distribution Dashboard'!B105</f>
        <v>Volume Water Sold-Gondi</v>
      </c>
      <c r="C114" s="57" t="str">
        <f>'Distribution Dashboard'!C105</f>
        <v>m3</v>
      </c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</row>
    <row r="115" spans="1:15" hidden="1" x14ac:dyDescent="0.35">
      <c r="A115" s="57" t="str">
        <f>'Distribution Dashboard'!A106</f>
        <v>K (2)</v>
      </c>
      <c r="B115" s="57" t="str">
        <f>'Distribution Dashboard'!B106</f>
        <v>NRW</v>
      </c>
      <c r="C115" s="57" t="str">
        <f>'Distribution Dashboard'!C106</f>
        <v>%</v>
      </c>
      <c r="D115" s="114" t="e">
        <f>(D113-D114)/D113</f>
        <v>#DIV/0!</v>
      </c>
      <c r="E115" s="114" t="e">
        <f t="shared" ref="E115:O115" si="34">(E113-E114)/E113</f>
        <v>#DIV/0!</v>
      </c>
      <c r="F115" s="114" t="e">
        <f t="shared" si="34"/>
        <v>#DIV/0!</v>
      </c>
      <c r="G115" s="114" t="e">
        <f t="shared" si="34"/>
        <v>#DIV/0!</v>
      </c>
      <c r="H115" s="114" t="e">
        <f t="shared" si="34"/>
        <v>#DIV/0!</v>
      </c>
      <c r="I115" s="114" t="e">
        <f t="shared" si="34"/>
        <v>#DIV/0!</v>
      </c>
      <c r="J115" s="114" t="e">
        <f t="shared" si="34"/>
        <v>#DIV/0!</v>
      </c>
      <c r="K115" s="114" t="e">
        <f t="shared" si="34"/>
        <v>#DIV/0!</v>
      </c>
      <c r="L115" s="114" t="e">
        <f t="shared" si="34"/>
        <v>#DIV/0!</v>
      </c>
      <c r="M115" s="114" t="e">
        <f t="shared" si="34"/>
        <v>#DIV/0!</v>
      </c>
      <c r="N115" s="114" t="e">
        <f t="shared" si="34"/>
        <v>#DIV/0!</v>
      </c>
      <c r="O115" s="114" t="e">
        <f t="shared" si="34"/>
        <v>#DIV/0!</v>
      </c>
    </row>
    <row r="116" spans="1:15" hidden="1" x14ac:dyDescent="0.35">
      <c r="A116" s="57">
        <f>'Distribution Dashboard'!A107</f>
        <v>0</v>
      </c>
      <c r="B116" s="57" t="str">
        <f>'Distribution Dashboard'!B107</f>
        <v>NYONJORO</v>
      </c>
      <c r="C116" s="57">
        <f>'Distribution Dashboard'!C107</f>
        <v>0</v>
      </c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O116" s="110"/>
    </row>
    <row r="117" spans="1:15" hidden="1" x14ac:dyDescent="0.35">
      <c r="A117" s="57" t="str">
        <f>'Distribution Dashboard'!A108</f>
        <v>Y (3)</v>
      </c>
      <c r="B117" s="57" t="str">
        <f>'Distribution Dashboard'!B108</f>
        <v>Volume Water Supplied-NJONJORO</v>
      </c>
      <c r="C117" s="57" t="str">
        <f>'Distribution Dashboard'!C108</f>
        <v>m3</v>
      </c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O117" s="110"/>
    </row>
    <row r="118" spans="1:15" hidden="1" x14ac:dyDescent="0.35">
      <c r="A118" s="57" t="str">
        <f>'Distribution Dashboard'!A109</f>
        <v>z (3)</v>
      </c>
      <c r="B118" s="57" t="str">
        <f>'Distribution Dashboard'!B109</f>
        <v>Volume Water Sold-NYONJORO</v>
      </c>
      <c r="C118" s="57" t="str">
        <f>'Distribution Dashboard'!C109</f>
        <v>m3</v>
      </c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O118" s="110"/>
    </row>
    <row r="119" spans="1:15" hidden="1" x14ac:dyDescent="0.35">
      <c r="A119" s="57" t="str">
        <f>'Distribution Dashboard'!A110</f>
        <v>K (3)</v>
      </c>
      <c r="B119" s="57" t="str">
        <f>'Distribution Dashboard'!B110</f>
        <v>NRW</v>
      </c>
      <c r="C119" s="57" t="str">
        <f>'Distribution Dashboard'!C110</f>
        <v>%</v>
      </c>
      <c r="D119" s="114" t="e">
        <f>(D117-D118)/D117</f>
        <v>#DIV/0!</v>
      </c>
      <c r="E119" s="114" t="e">
        <f t="shared" ref="E119:O119" si="35">(E117-E118)/E117</f>
        <v>#DIV/0!</v>
      </c>
      <c r="F119" s="114" t="e">
        <f t="shared" si="35"/>
        <v>#DIV/0!</v>
      </c>
      <c r="G119" s="114" t="e">
        <f t="shared" si="35"/>
        <v>#DIV/0!</v>
      </c>
      <c r="H119" s="114" t="e">
        <f t="shared" si="35"/>
        <v>#DIV/0!</v>
      </c>
      <c r="I119" s="114" t="e">
        <f t="shared" si="35"/>
        <v>#DIV/0!</v>
      </c>
      <c r="J119" s="114" t="e">
        <f t="shared" si="35"/>
        <v>#DIV/0!</v>
      </c>
      <c r="K119" s="114" t="e">
        <f t="shared" si="35"/>
        <v>#DIV/0!</v>
      </c>
      <c r="L119" s="114" t="e">
        <f t="shared" si="35"/>
        <v>#DIV/0!</v>
      </c>
      <c r="M119" s="114" t="e">
        <f t="shared" si="35"/>
        <v>#DIV/0!</v>
      </c>
      <c r="N119" s="114" t="e">
        <f t="shared" si="35"/>
        <v>#DIV/0!</v>
      </c>
      <c r="O119" s="114" t="e">
        <f t="shared" si="35"/>
        <v>#DIV/0!</v>
      </c>
    </row>
    <row r="120" spans="1:15" x14ac:dyDescent="0.35">
      <c r="B120" s="57" t="str">
        <f>'Distribution Dashboard'!B111</f>
        <v>LONGONOT</v>
      </c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</row>
    <row r="121" spans="1:15" x14ac:dyDescent="0.35">
      <c r="A121" s="57" t="str">
        <f>'Distribution Dashboard'!A112</f>
        <v>103 (7)</v>
      </c>
      <c r="B121" s="57" t="str">
        <f>'Distribution Dashboard'!B112</f>
        <v>Volume Water Supplied</v>
      </c>
      <c r="C121" s="57" t="str">
        <f>'Distribution Dashboard'!C112</f>
        <v>m3</v>
      </c>
      <c r="D121" s="113">
        <v>5214</v>
      </c>
      <c r="E121" s="113">
        <v>6546</v>
      </c>
      <c r="F121" s="113">
        <v>3912</v>
      </c>
      <c r="G121" s="113">
        <v>8283</v>
      </c>
      <c r="H121" s="113">
        <v>3350</v>
      </c>
      <c r="I121" s="113">
        <v>5827</v>
      </c>
      <c r="J121" s="113">
        <v>8312</v>
      </c>
      <c r="K121" s="113">
        <v>6490</v>
      </c>
      <c r="L121" s="113"/>
      <c r="M121" s="113"/>
      <c r="N121" s="113"/>
      <c r="O121" s="113"/>
    </row>
    <row r="122" spans="1:15" x14ac:dyDescent="0.35">
      <c r="A122" s="57" t="str">
        <f>'Distribution Dashboard'!A113</f>
        <v>110 (7)</v>
      </c>
      <c r="B122" s="57" t="str">
        <f>'Distribution Dashboard'!B113</f>
        <v>Volume Water Sold</v>
      </c>
      <c r="C122" s="57" t="str">
        <f>'Distribution Dashboard'!C113</f>
        <v>m3</v>
      </c>
      <c r="D122" s="113">
        <v>3647</v>
      </c>
      <c r="E122" s="113">
        <v>5246</v>
      </c>
      <c r="F122" s="113">
        <v>3082</v>
      </c>
      <c r="G122" s="113">
        <v>6072</v>
      </c>
      <c r="H122" s="113">
        <v>2456</v>
      </c>
      <c r="I122" s="113">
        <v>4265</v>
      </c>
      <c r="J122" s="113">
        <v>6868</v>
      </c>
      <c r="K122" s="113">
        <v>5749</v>
      </c>
      <c r="L122" s="113"/>
      <c r="M122" s="113"/>
      <c r="N122" s="113"/>
      <c r="O122" s="113"/>
    </row>
    <row r="123" spans="1:15" x14ac:dyDescent="0.35">
      <c r="A123" s="57" t="str">
        <f>'Distribution Dashboard'!A114</f>
        <v>124 (7)</v>
      </c>
      <c r="B123" s="57" t="str">
        <f>'Distribution Dashboard'!B114</f>
        <v>NRW</v>
      </c>
      <c r="C123" s="57" t="str">
        <f>'Distribution Dashboard'!C114</f>
        <v>%</v>
      </c>
      <c r="D123" s="114">
        <f>IFERROR((D121-D122)/D121,0)</f>
        <v>0.30053701572688912</v>
      </c>
      <c r="E123" s="114">
        <f t="shared" ref="E123:O123" si="36">IFERROR((E121-E122)/E121,0)</f>
        <v>0.1985945615643141</v>
      </c>
      <c r="F123" s="114">
        <f t="shared" si="36"/>
        <v>0.21216768916155418</v>
      </c>
      <c r="G123" s="114">
        <f t="shared" si="36"/>
        <v>0.26693227091633465</v>
      </c>
      <c r="H123" s="114">
        <f t="shared" si="36"/>
        <v>0.26686567164179104</v>
      </c>
      <c r="I123" s="114">
        <f t="shared" si="36"/>
        <v>0.26806246782220694</v>
      </c>
      <c r="J123" s="114">
        <f t="shared" si="36"/>
        <v>0.17372473532242541</v>
      </c>
      <c r="K123" s="114">
        <f t="shared" si="36"/>
        <v>0.11417565485362095</v>
      </c>
      <c r="L123" s="114">
        <f t="shared" si="36"/>
        <v>0</v>
      </c>
      <c r="M123" s="114">
        <f t="shared" si="36"/>
        <v>0</v>
      </c>
      <c r="N123" s="114">
        <f t="shared" si="36"/>
        <v>0</v>
      </c>
      <c r="O123" s="114">
        <f t="shared" si="36"/>
        <v>0</v>
      </c>
    </row>
    <row r="124" spans="1:15" x14ac:dyDescent="0.35">
      <c r="A124" s="57">
        <f>'Distribution Dashboard'!A127</f>
        <v>0</v>
      </c>
      <c r="B124" s="57" t="str">
        <f>'Distribution Dashboard'!B115</f>
        <v>IHINDU</v>
      </c>
      <c r="C124" s="57">
        <f>'Distribution Dashboard'!C115</f>
        <v>0</v>
      </c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O124" s="110"/>
    </row>
    <row r="125" spans="1:15" x14ac:dyDescent="0.35">
      <c r="A125" s="57" t="str">
        <f>'Distribution Dashboard'!A116</f>
        <v>103 (6)</v>
      </c>
      <c r="B125" s="57" t="str">
        <f>'Distribution Dashboard'!B116</f>
        <v>Volume Water Supplied</v>
      </c>
      <c r="C125" s="57" t="str">
        <f>'Distribution Dashboard'!C116</f>
        <v>m3</v>
      </c>
      <c r="D125" s="109">
        <v>325</v>
      </c>
      <c r="E125" s="109">
        <v>684</v>
      </c>
      <c r="F125" s="109">
        <v>457</v>
      </c>
      <c r="G125" s="109">
        <v>0</v>
      </c>
      <c r="H125" s="109">
        <v>0</v>
      </c>
      <c r="I125" s="109">
        <v>156</v>
      </c>
      <c r="J125" s="109">
        <v>536</v>
      </c>
      <c r="K125" s="109">
        <v>471</v>
      </c>
      <c r="L125" s="109"/>
      <c r="M125" s="109"/>
      <c r="N125" s="109"/>
      <c r="O125" s="109"/>
    </row>
    <row r="126" spans="1:15" x14ac:dyDescent="0.35">
      <c r="A126" s="57" t="str">
        <f>'Distribution Dashboard'!A117</f>
        <v>110 (6)</v>
      </c>
      <c r="B126" s="57" t="str">
        <f>'Distribution Dashboard'!B117</f>
        <v>Volume Water Sold</v>
      </c>
      <c r="C126" s="57" t="str">
        <f>'Distribution Dashboard'!C117</f>
        <v>m3</v>
      </c>
      <c r="D126" s="109">
        <v>72</v>
      </c>
      <c r="E126" s="109">
        <v>134</v>
      </c>
      <c r="F126" s="109">
        <v>138</v>
      </c>
      <c r="G126" s="109">
        <v>0</v>
      </c>
      <c r="H126" s="109">
        <v>1</v>
      </c>
      <c r="I126" s="109">
        <v>132</v>
      </c>
      <c r="J126" s="109">
        <v>282</v>
      </c>
      <c r="K126" s="109">
        <v>199</v>
      </c>
      <c r="L126" s="109"/>
      <c r="M126" s="109"/>
      <c r="N126" s="109"/>
      <c r="O126" s="109"/>
    </row>
    <row r="127" spans="1:15" x14ac:dyDescent="0.35">
      <c r="A127" s="57" t="str">
        <f>'Distribution Dashboard'!A118</f>
        <v>124 (6)</v>
      </c>
      <c r="B127" s="57" t="str">
        <f>'Distribution Dashboard'!B118</f>
        <v>NRW</v>
      </c>
      <c r="C127" s="57" t="str">
        <f>'Distribution Dashboard'!C118</f>
        <v>%</v>
      </c>
      <c r="D127" s="114">
        <f t="shared" ref="D127:J127" si="37">(D125-D126)/D125</f>
        <v>0.77846153846153843</v>
      </c>
      <c r="E127" s="114">
        <f t="shared" si="37"/>
        <v>0.80409356725146197</v>
      </c>
      <c r="F127" s="114">
        <f t="shared" si="37"/>
        <v>0.69803063457330417</v>
      </c>
      <c r="G127" s="114" t="e">
        <f t="shared" si="37"/>
        <v>#DIV/0!</v>
      </c>
      <c r="H127" s="114" t="e">
        <f t="shared" si="37"/>
        <v>#DIV/0!</v>
      </c>
      <c r="I127" s="114">
        <f t="shared" si="37"/>
        <v>0.15384615384615385</v>
      </c>
      <c r="J127" s="114">
        <f t="shared" si="37"/>
        <v>0.47388059701492535</v>
      </c>
      <c r="K127" s="114">
        <f>IFERROR((K125-K126)/K125,0)</f>
        <v>0.57749469214437366</v>
      </c>
      <c r="L127" s="114">
        <f>IFERROR((L125-L126)/L125,0)</f>
        <v>0</v>
      </c>
      <c r="M127" s="114">
        <f>IFERROR((M125-M126)/M125,0)</f>
        <v>0</v>
      </c>
      <c r="N127" s="114">
        <f>IFERROR((N125-N126)/N125,0)</f>
        <v>0</v>
      </c>
      <c r="O127" s="114">
        <f>IFERROR((O125-O126)/O125,0)</f>
        <v>0</v>
      </c>
    </row>
    <row r="128" spans="1:15" x14ac:dyDescent="0.35">
      <c r="A128" s="57">
        <f>'Distribution Dashboard'!A131</f>
        <v>0</v>
      </c>
      <c r="B128" s="57">
        <f>'Distribution Dashboard'!B131</f>
        <v>0</v>
      </c>
      <c r="C128" s="57">
        <f>'Distribution Dashboard'!C131</f>
        <v>0</v>
      </c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O128" s="110"/>
    </row>
    <row r="129" spans="1:15" x14ac:dyDescent="0.35">
      <c r="A129" s="57">
        <f>'Distribution Dashboard'!A132</f>
        <v>0</v>
      </c>
      <c r="B129" s="57">
        <f>'Distribution Dashboard'!B132</f>
        <v>0</v>
      </c>
      <c r="C129" s="57">
        <f>'Distribution Dashboard'!C132</f>
        <v>0</v>
      </c>
      <c r="D129" s="109"/>
      <c r="E129" s="109"/>
      <c r="F129" s="109"/>
      <c r="G129" s="109"/>
      <c r="H129" s="109"/>
      <c r="I129" s="109"/>
      <c r="J129" s="109"/>
      <c r="K129" s="109"/>
      <c r="L129" s="109"/>
      <c r="M129" s="109"/>
      <c r="N129" s="109"/>
      <c r="O129" s="109"/>
    </row>
    <row r="130" spans="1:15" x14ac:dyDescent="0.35">
      <c r="A130" s="57">
        <f>'Distribution Dashboard'!A133</f>
        <v>0</v>
      </c>
      <c r="B130" s="57">
        <f>'Distribution Dashboard'!B133</f>
        <v>0</v>
      </c>
      <c r="C130" s="57">
        <f>'Distribution Dashboard'!C133</f>
        <v>0</v>
      </c>
      <c r="D130" s="109"/>
      <c r="E130" s="109"/>
      <c r="F130" s="109"/>
      <c r="G130" s="109"/>
      <c r="H130" s="109"/>
      <c r="I130" s="109"/>
      <c r="J130" s="109"/>
      <c r="K130" s="109"/>
      <c r="L130" s="109"/>
      <c r="M130" s="109"/>
      <c r="N130" s="109"/>
      <c r="O130" s="109"/>
    </row>
    <row r="131" spans="1:15" x14ac:dyDescent="0.35">
      <c r="A131" s="57">
        <f>'Distribution Dashboard'!A134</f>
        <v>0</v>
      </c>
      <c r="B131" s="57">
        <f>'Distribution Dashboard'!B134</f>
        <v>0</v>
      </c>
      <c r="C131" s="57">
        <f>'Distribution Dashboard'!C134</f>
        <v>0</v>
      </c>
      <c r="D131" s="109"/>
      <c r="E131" s="109"/>
      <c r="F131" s="109"/>
      <c r="G131" s="109"/>
      <c r="H131" s="109"/>
      <c r="I131" s="109"/>
      <c r="J131" s="109"/>
      <c r="K131" s="109"/>
      <c r="L131" s="109"/>
      <c r="M131" s="109"/>
      <c r="N131" s="109"/>
      <c r="O131" s="109"/>
    </row>
    <row r="132" spans="1:15" x14ac:dyDescent="0.35">
      <c r="A132" s="57">
        <f>'Distribution Dashboard'!A135</f>
        <v>0</v>
      </c>
      <c r="B132" s="57">
        <f>'Distribution Dashboard'!B135</f>
        <v>0</v>
      </c>
      <c r="C132" s="57">
        <f>'Distribution Dashboard'!C135</f>
        <v>0</v>
      </c>
      <c r="D132" s="109"/>
      <c r="E132" s="109"/>
      <c r="F132" s="109"/>
      <c r="G132" s="109"/>
      <c r="H132" s="109"/>
      <c r="I132" s="109"/>
      <c r="J132" s="109"/>
      <c r="K132" s="109"/>
      <c r="L132" s="109"/>
      <c r="M132" s="109"/>
      <c r="N132" s="109"/>
      <c r="O132" s="109"/>
    </row>
    <row r="133" spans="1:15" x14ac:dyDescent="0.35">
      <c r="A133" s="57">
        <f>'Distribution Dashboard'!A136</f>
        <v>0</v>
      </c>
      <c r="B133" s="57">
        <f>'Distribution Dashboard'!B136</f>
        <v>0</v>
      </c>
      <c r="C133" s="57">
        <f>'Distribution Dashboard'!C136</f>
        <v>0</v>
      </c>
      <c r="D133" s="109"/>
      <c r="E133" s="109"/>
      <c r="F133" s="109"/>
      <c r="G133" s="109"/>
      <c r="H133" s="109"/>
      <c r="I133" s="109"/>
      <c r="J133" s="109"/>
      <c r="K133" s="109"/>
      <c r="L133" s="109"/>
      <c r="M133" s="109"/>
      <c r="N133" s="109"/>
      <c r="O133" s="109"/>
    </row>
    <row r="134" spans="1:15" x14ac:dyDescent="0.35">
      <c r="A134" s="57">
        <f>'Distribution Dashboard'!A137</f>
        <v>0</v>
      </c>
      <c r="B134" s="57">
        <f>'Distribution Dashboard'!B137</f>
        <v>0</v>
      </c>
      <c r="C134" s="57">
        <f>'Distribution Dashboard'!C137</f>
        <v>0</v>
      </c>
      <c r="D134" s="109"/>
      <c r="E134" s="109"/>
      <c r="F134" s="109"/>
      <c r="G134" s="109"/>
      <c r="H134" s="109"/>
      <c r="I134" s="109"/>
      <c r="J134" s="109"/>
      <c r="K134" s="109"/>
      <c r="L134" s="109"/>
      <c r="M134" s="109"/>
      <c r="N134" s="109"/>
      <c r="O134" s="109"/>
    </row>
    <row r="135" spans="1:15" x14ac:dyDescent="0.35">
      <c r="A135" s="57">
        <f>'Distribution Dashboard'!A138</f>
        <v>0</v>
      </c>
      <c r="B135" s="57">
        <f>'Distribution Dashboard'!B138</f>
        <v>0</v>
      </c>
      <c r="C135" s="57">
        <f>'Distribution Dashboard'!C138</f>
        <v>0</v>
      </c>
      <c r="D135" s="109"/>
      <c r="E135" s="109"/>
      <c r="F135" s="109"/>
      <c r="G135" s="109"/>
      <c r="H135" s="109"/>
      <c r="I135" s="109"/>
      <c r="J135" s="109"/>
      <c r="K135" s="109"/>
      <c r="L135" s="109"/>
      <c r="M135" s="109"/>
      <c r="N135" s="109"/>
      <c r="O135" s="109"/>
    </row>
    <row r="136" spans="1:15" x14ac:dyDescent="0.35">
      <c r="A136" s="57">
        <f>'Distribution Dashboard'!A139</f>
        <v>0</v>
      </c>
      <c r="B136" s="57">
        <f>'Distribution Dashboard'!B139</f>
        <v>0</v>
      </c>
      <c r="C136" s="57">
        <f>'Distribution Dashboard'!C139</f>
        <v>0</v>
      </c>
      <c r="D136" s="109"/>
      <c r="E136" s="109"/>
      <c r="F136" s="109"/>
      <c r="G136" s="109"/>
      <c r="H136" s="109"/>
      <c r="I136" s="109"/>
      <c r="J136" s="109"/>
      <c r="K136" s="109"/>
      <c r="L136" s="109"/>
      <c r="M136" s="109"/>
      <c r="N136" s="109"/>
      <c r="O136" s="109"/>
    </row>
    <row r="137" spans="1:15" x14ac:dyDescent="0.35">
      <c r="A137" s="57">
        <f>'Distribution Dashboard'!A140</f>
        <v>0</v>
      </c>
      <c r="B137" s="57">
        <f>'Distribution Dashboard'!B140</f>
        <v>0</v>
      </c>
      <c r="C137" s="57">
        <f>'Distribution Dashboard'!C140</f>
        <v>0</v>
      </c>
      <c r="D137" s="109"/>
      <c r="E137" s="109"/>
      <c r="F137" s="109"/>
      <c r="G137" s="109"/>
      <c r="H137" s="109"/>
      <c r="I137" s="109"/>
      <c r="J137" s="109"/>
      <c r="K137" s="109"/>
      <c r="L137" s="109"/>
      <c r="M137" s="109"/>
      <c r="N137" s="109"/>
      <c r="O137" s="109"/>
    </row>
    <row r="138" spans="1:15" x14ac:dyDescent="0.35">
      <c r="A138" s="57">
        <f>'Distribution Dashboard'!A141</f>
        <v>0</v>
      </c>
      <c r="B138" s="57">
        <f>'Distribution Dashboard'!B141</f>
        <v>0</v>
      </c>
      <c r="C138" s="57">
        <f>'Distribution Dashboard'!C141</f>
        <v>0</v>
      </c>
      <c r="D138" s="109"/>
      <c r="E138" s="109"/>
      <c r="F138" s="109"/>
      <c r="G138" s="109"/>
      <c r="H138" s="109"/>
      <c r="I138" s="109"/>
      <c r="J138" s="109"/>
      <c r="K138" s="109"/>
      <c r="L138" s="109"/>
      <c r="M138" s="109"/>
      <c r="N138" s="109"/>
      <c r="O138" s="109"/>
    </row>
    <row r="139" spans="1:15" x14ac:dyDescent="0.35">
      <c r="A139" s="57">
        <f>'Distribution Dashboard'!A142</f>
        <v>0</v>
      </c>
      <c r="B139" s="57">
        <f>'Distribution Dashboard'!B142</f>
        <v>0</v>
      </c>
      <c r="C139" s="57">
        <f>'Distribution Dashboard'!C142</f>
        <v>0</v>
      </c>
      <c r="D139" s="109"/>
      <c r="E139" s="109"/>
      <c r="F139" s="109"/>
      <c r="G139" s="109"/>
      <c r="H139" s="109"/>
      <c r="I139" s="109"/>
      <c r="J139" s="109"/>
      <c r="K139" s="109"/>
      <c r="L139" s="109"/>
      <c r="M139" s="109"/>
      <c r="N139" s="109"/>
      <c r="O139" s="109"/>
    </row>
    <row r="140" spans="1:15" x14ac:dyDescent="0.35">
      <c r="A140" s="57">
        <f>'Distribution Dashboard'!A143</f>
        <v>0</v>
      </c>
      <c r="B140" s="57">
        <f>'Distribution Dashboard'!B143</f>
        <v>0</v>
      </c>
      <c r="C140" s="57">
        <f>'Distribution Dashboard'!C143</f>
        <v>0</v>
      </c>
      <c r="D140" s="109"/>
      <c r="E140" s="109"/>
      <c r="F140" s="109"/>
      <c r="G140" s="109"/>
      <c r="H140" s="109"/>
      <c r="I140" s="109"/>
      <c r="J140" s="109"/>
      <c r="K140" s="109"/>
      <c r="L140" s="109"/>
      <c r="M140" s="109"/>
      <c r="N140" s="109"/>
      <c r="O140" s="109"/>
    </row>
    <row r="141" spans="1:15" x14ac:dyDescent="0.35">
      <c r="A141" s="57">
        <f>'Distribution Dashboard'!A144</f>
        <v>0</v>
      </c>
      <c r="B141" s="57">
        <f>'Distribution Dashboard'!B144</f>
        <v>0</v>
      </c>
      <c r="C141" s="57">
        <f>'Distribution Dashboard'!C144</f>
        <v>0</v>
      </c>
      <c r="D141" s="109"/>
      <c r="E141" s="109"/>
      <c r="F141" s="109"/>
      <c r="G141" s="109"/>
      <c r="H141" s="109"/>
      <c r="I141" s="109"/>
      <c r="J141" s="109"/>
      <c r="K141" s="109"/>
      <c r="L141" s="109"/>
      <c r="M141" s="109"/>
      <c r="N141" s="109"/>
      <c r="O141" s="109"/>
    </row>
    <row r="142" spans="1:15" x14ac:dyDescent="0.35">
      <c r="A142" s="57">
        <f>'Distribution Dashboard'!A145</f>
        <v>0</v>
      </c>
      <c r="B142" s="57">
        <f>'Distribution Dashboard'!B145</f>
        <v>0</v>
      </c>
      <c r="C142" s="57">
        <f>'Distribution Dashboard'!C145</f>
        <v>0</v>
      </c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</row>
    <row r="143" spans="1:15" x14ac:dyDescent="0.35">
      <c r="A143" s="57">
        <f>'Distribution Dashboard'!A146</f>
        <v>0</v>
      </c>
      <c r="B143" s="57">
        <f>'Distribution Dashboard'!B146</f>
        <v>0</v>
      </c>
      <c r="C143" s="57">
        <f>'Distribution Dashboard'!C146</f>
        <v>0</v>
      </c>
      <c r="D143" s="109"/>
      <c r="E143" s="109"/>
      <c r="F143" s="109"/>
      <c r="G143" s="109"/>
      <c r="H143" s="109"/>
      <c r="I143" s="109"/>
      <c r="J143" s="109"/>
      <c r="K143" s="109"/>
      <c r="L143" s="109"/>
      <c r="M143" s="109"/>
      <c r="N143" s="109"/>
      <c r="O143" s="109"/>
    </row>
    <row r="144" spans="1:15" x14ac:dyDescent="0.35">
      <c r="A144" s="57">
        <f>'Distribution Dashboard'!A147</f>
        <v>0</v>
      </c>
      <c r="B144" s="57">
        <f>'Distribution Dashboard'!B147</f>
        <v>0</v>
      </c>
      <c r="C144" s="57">
        <f>'Distribution Dashboard'!C147</f>
        <v>0</v>
      </c>
      <c r="D144" s="109"/>
      <c r="E144" s="109"/>
      <c r="F144" s="109"/>
      <c r="G144" s="109"/>
      <c r="H144" s="109"/>
      <c r="I144" s="109"/>
      <c r="J144" s="109"/>
      <c r="K144" s="109"/>
      <c r="L144" s="109"/>
      <c r="M144" s="109"/>
      <c r="N144" s="109"/>
      <c r="O144" s="109"/>
    </row>
    <row r="145" spans="1:15" x14ac:dyDescent="0.35">
      <c r="A145" s="57">
        <f>'Distribution Dashboard'!A148</f>
        <v>0</v>
      </c>
      <c r="B145" s="57">
        <f>'Distribution Dashboard'!B148</f>
        <v>0</v>
      </c>
      <c r="C145" s="57">
        <f>'Distribution Dashboard'!C148</f>
        <v>0</v>
      </c>
      <c r="D145" s="109"/>
      <c r="E145" s="109"/>
      <c r="F145" s="109"/>
      <c r="G145" s="109"/>
      <c r="H145" s="109"/>
      <c r="I145" s="109"/>
      <c r="J145" s="109"/>
      <c r="K145" s="109"/>
      <c r="L145" s="109"/>
      <c r="M145" s="109"/>
      <c r="N145" s="109"/>
      <c r="O145" s="109"/>
    </row>
    <row r="146" spans="1:15" x14ac:dyDescent="0.35">
      <c r="A146" s="57">
        <f>'Distribution Dashboard'!A149</f>
        <v>0</v>
      </c>
      <c r="B146" s="57">
        <f>'Distribution Dashboard'!B149</f>
        <v>0</v>
      </c>
      <c r="C146" s="57">
        <f>'Distribution Dashboard'!C149</f>
        <v>0</v>
      </c>
      <c r="D146" s="109"/>
      <c r="E146" s="109"/>
      <c r="F146" s="109"/>
      <c r="G146" s="109"/>
      <c r="H146" s="109"/>
      <c r="I146" s="109"/>
      <c r="J146" s="109"/>
      <c r="K146" s="109"/>
      <c r="L146" s="109"/>
      <c r="M146" s="109"/>
      <c r="N146" s="109"/>
      <c r="O146" s="109"/>
    </row>
    <row r="147" spans="1:15" x14ac:dyDescent="0.35">
      <c r="A147" s="57">
        <f>'Distribution Dashboard'!A150</f>
        <v>0</v>
      </c>
      <c r="B147" s="57">
        <f>'Distribution Dashboard'!B150</f>
        <v>0</v>
      </c>
      <c r="C147" s="57">
        <f>'Distribution Dashboard'!C150</f>
        <v>0</v>
      </c>
      <c r="D147" s="109"/>
      <c r="E147" s="109"/>
      <c r="F147" s="109"/>
      <c r="G147" s="109"/>
      <c r="H147" s="109"/>
      <c r="I147" s="109"/>
      <c r="J147" s="109"/>
      <c r="K147" s="109"/>
      <c r="L147" s="109"/>
      <c r="M147" s="109"/>
      <c r="N147" s="109"/>
      <c r="O147" s="109"/>
    </row>
    <row r="148" spans="1:15" x14ac:dyDescent="0.35">
      <c r="A148" s="57">
        <f>'Distribution Dashboard'!A151</f>
        <v>0</v>
      </c>
      <c r="B148" s="57">
        <f>'Distribution Dashboard'!B151</f>
        <v>0</v>
      </c>
      <c r="C148" s="57">
        <f>'Distribution Dashboard'!C151</f>
        <v>0</v>
      </c>
      <c r="D148" s="109"/>
      <c r="E148" s="109"/>
      <c r="F148" s="109"/>
      <c r="G148" s="109"/>
      <c r="H148" s="109"/>
      <c r="I148" s="109"/>
      <c r="J148" s="109"/>
      <c r="K148" s="109"/>
      <c r="L148" s="109"/>
      <c r="M148" s="109"/>
      <c r="N148" s="109"/>
      <c r="O148" s="109"/>
    </row>
    <row r="149" spans="1:15" x14ac:dyDescent="0.35">
      <c r="A149" s="57">
        <f>'Distribution Dashboard'!A152</f>
        <v>0</v>
      </c>
      <c r="B149" s="57">
        <f>'Distribution Dashboard'!B152</f>
        <v>0</v>
      </c>
      <c r="C149" s="57">
        <f>'Distribution Dashboard'!C152</f>
        <v>0</v>
      </c>
      <c r="D149" s="109"/>
      <c r="E149" s="109"/>
      <c r="F149" s="109"/>
      <c r="G149" s="109"/>
      <c r="H149" s="109"/>
      <c r="I149" s="109"/>
      <c r="J149" s="109"/>
      <c r="K149" s="109"/>
      <c r="L149" s="109"/>
      <c r="M149" s="109"/>
      <c r="N149" s="109"/>
      <c r="O149" s="109"/>
    </row>
    <row r="150" spans="1:15" x14ac:dyDescent="0.35">
      <c r="A150" s="57">
        <f>'Distribution Dashboard'!A153</f>
        <v>0</v>
      </c>
      <c r="B150" s="57">
        <f>'Distribution Dashboard'!B153</f>
        <v>0</v>
      </c>
      <c r="C150" s="57">
        <f>'Distribution Dashboard'!C153</f>
        <v>0</v>
      </c>
      <c r="D150" s="109"/>
      <c r="E150" s="109"/>
      <c r="F150" s="109"/>
      <c r="G150" s="109"/>
      <c r="H150" s="109"/>
      <c r="I150" s="109"/>
      <c r="J150" s="109"/>
      <c r="K150" s="109"/>
      <c r="L150" s="109"/>
      <c r="M150" s="109"/>
      <c r="N150" s="109"/>
      <c r="O150" s="109"/>
    </row>
    <row r="151" spans="1:15" x14ac:dyDescent="0.35">
      <c r="A151" s="57">
        <f>'Distribution Dashboard'!A154</f>
        <v>0</v>
      </c>
      <c r="B151" s="57">
        <f>'Distribution Dashboard'!B154</f>
        <v>0</v>
      </c>
      <c r="C151" s="57">
        <f>'Distribution Dashboard'!C154</f>
        <v>0</v>
      </c>
      <c r="D151" s="109"/>
      <c r="E151" s="109"/>
      <c r="F151" s="109"/>
      <c r="G151" s="109"/>
      <c r="H151" s="109"/>
      <c r="I151" s="109"/>
      <c r="J151" s="109"/>
      <c r="K151" s="109"/>
      <c r="L151" s="109"/>
      <c r="M151" s="109"/>
      <c r="N151" s="109"/>
      <c r="O151" s="109"/>
    </row>
    <row r="152" spans="1:15" x14ac:dyDescent="0.35">
      <c r="A152" s="57">
        <f>'Distribution Dashboard'!A155</f>
        <v>0</v>
      </c>
      <c r="B152" s="57">
        <f>'Distribution Dashboard'!B155</f>
        <v>0</v>
      </c>
      <c r="C152" s="57">
        <f>'Distribution Dashboard'!C155</f>
        <v>0</v>
      </c>
      <c r="D152" s="109"/>
      <c r="E152" s="109"/>
      <c r="F152" s="109"/>
      <c r="G152" s="109"/>
      <c r="H152" s="109"/>
      <c r="I152" s="109"/>
      <c r="J152" s="109"/>
      <c r="K152" s="109"/>
      <c r="L152" s="109"/>
      <c r="M152" s="109"/>
      <c r="N152" s="109"/>
      <c r="O152" s="109"/>
    </row>
    <row r="153" spans="1:15" x14ac:dyDescent="0.35">
      <c r="A153" s="57">
        <f>'Distribution Dashboard'!A156</f>
        <v>0</v>
      </c>
      <c r="B153" s="57">
        <f>'Distribution Dashboard'!B156</f>
        <v>0</v>
      </c>
      <c r="C153" s="57">
        <f>'Distribution Dashboard'!C156</f>
        <v>0</v>
      </c>
      <c r="D153" s="109"/>
      <c r="E153" s="109"/>
      <c r="F153" s="109"/>
      <c r="G153" s="109"/>
      <c r="H153" s="109"/>
      <c r="I153" s="109"/>
      <c r="J153" s="109"/>
      <c r="K153" s="109"/>
      <c r="L153" s="109"/>
      <c r="M153" s="109"/>
      <c r="N153" s="109"/>
      <c r="O153" s="109"/>
    </row>
    <row r="154" spans="1:15" x14ac:dyDescent="0.35">
      <c r="A154" s="57">
        <f>'Distribution Dashboard'!A157</f>
        <v>0</v>
      </c>
      <c r="B154" s="57">
        <f>'Distribution Dashboard'!B157</f>
        <v>0</v>
      </c>
      <c r="C154" s="57">
        <f>'Distribution Dashboard'!C157</f>
        <v>0</v>
      </c>
      <c r="D154" s="109"/>
      <c r="E154" s="109"/>
      <c r="F154" s="109"/>
      <c r="G154" s="109"/>
      <c r="H154" s="109"/>
      <c r="I154" s="109"/>
      <c r="J154" s="109"/>
      <c r="K154" s="109"/>
      <c r="L154" s="109"/>
      <c r="M154" s="109"/>
      <c r="N154" s="109"/>
      <c r="O154" s="109"/>
    </row>
    <row r="155" spans="1:15" x14ac:dyDescent="0.35">
      <c r="A155" s="57">
        <f>'Distribution Dashboard'!A158</f>
        <v>0</v>
      </c>
      <c r="B155" s="57">
        <f>'Distribution Dashboard'!B158</f>
        <v>0</v>
      </c>
      <c r="C155" s="57">
        <f>'Distribution Dashboard'!C158</f>
        <v>0</v>
      </c>
      <c r="D155" s="109"/>
      <c r="E155" s="109"/>
      <c r="F155" s="109"/>
      <c r="G155" s="109"/>
      <c r="H155" s="109"/>
      <c r="I155" s="109"/>
      <c r="J155" s="109"/>
      <c r="K155" s="109"/>
      <c r="L155" s="109"/>
      <c r="M155" s="109"/>
      <c r="N155" s="109"/>
      <c r="O155" s="109"/>
    </row>
    <row r="156" spans="1:15" x14ac:dyDescent="0.35">
      <c r="A156" s="57">
        <f>'Distribution Dashboard'!A159</f>
        <v>0</v>
      </c>
      <c r="B156" s="57">
        <f>'Distribution Dashboard'!B159</f>
        <v>0</v>
      </c>
      <c r="C156" s="57">
        <f>'Distribution Dashboard'!C159</f>
        <v>0</v>
      </c>
      <c r="D156" s="109"/>
      <c r="E156" s="109"/>
      <c r="F156" s="109"/>
      <c r="G156" s="109"/>
      <c r="H156" s="109"/>
      <c r="I156" s="109"/>
      <c r="J156" s="109"/>
      <c r="K156" s="109"/>
      <c r="L156" s="109"/>
      <c r="M156" s="109"/>
      <c r="N156" s="109"/>
      <c r="O156" s="109"/>
    </row>
    <row r="157" spans="1:15" x14ac:dyDescent="0.35">
      <c r="A157" s="57">
        <f>'Distribution Dashboard'!A160</f>
        <v>0</v>
      </c>
      <c r="B157" s="57">
        <f>'Distribution Dashboard'!B160</f>
        <v>0</v>
      </c>
      <c r="C157" s="57">
        <f>'Distribution Dashboard'!C160</f>
        <v>0</v>
      </c>
      <c r="D157" s="109"/>
      <c r="E157" s="109"/>
      <c r="F157" s="109"/>
      <c r="G157" s="109"/>
      <c r="H157" s="109"/>
      <c r="I157" s="109"/>
      <c r="J157" s="109"/>
      <c r="K157" s="109"/>
      <c r="L157" s="109"/>
      <c r="M157" s="109"/>
      <c r="N157" s="109"/>
      <c r="O157" s="109"/>
    </row>
    <row r="158" spans="1:15" x14ac:dyDescent="0.35">
      <c r="A158" s="57">
        <f>'Distribution Dashboard'!A161</f>
        <v>0</v>
      </c>
      <c r="B158" s="57">
        <f>'Distribution Dashboard'!B161</f>
        <v>0</v>
      </c>
      <c r="C158" s="57">
        <f>'Distribution Dashboard'!C161</f>
        <v>0</v>
      </c>
      <c r="D158" s="109"/>
      <c r="E158" s="109"/>
      <c r="F158" s="109"/>
      <c r="G158" s="109"/>
      <c r="H158" s="109"/>
      <c r="I158" s="109"/>
      <c r="J158" s="109"/>
      <c r="K158" s="109"/>
      <c r="L158" s="109"/>
      <c r="M158" s="109"/>
      <c r="N158" s="109"/>
      <c r="O158" s="109"/>
    </row>
    <row r="159" spans="1:15" x14ac:dyDescent="0.35">
      <c r="A159" s="57">
        <f>'Distribution Dashboard'!A162</f>
        <v>0</v>
      </c>
      <c r="B159" s="57">
        <f>'Distribution Dashboard'!B162</f>
        <v>0</v>
      </c>
      <c r="C159" s="57">
        <f>'Distribution Dashboard'!C162</f>
        <v>0</v>
      </c>
      <c r="D159" s="109"/>
      <c r="E159" s="109"/>
      <c r="F159" s="109"/>
      <c r="G159" s="109"/>
      <c r="H159" s="109"/>
      <c r="I159" s="109"/>
      <c r="J159" s="109"/>
      <c r="K159" s="109"/>
      <c r="L159" s="109"/>
      <c r="M159" s="109"/>
      <c r="N159" s="109"/>
      <c r="O159" s="109"/>
    </row>
    <row r="160" spans="1:15" x14ac:dyDescent="0.35">
      <c r="A160" s="57">
        <f>'Distribution Dashboard'!A163</f>
        <v>0</v>
      </c>
      <c r="B160" s="57">
        <f>'Distribution Dashboard'!B163</f>
        <v>0</v>
      </c>
      <c r="C160" s="57">
        <f>'Distribution Dashboard'!C163</f>
        <v>0</v>
      </c>
      <c r="D160" s="109"/>
      <c r="E160" s="109"/>
      <c r="F160" s="109"/>
      <c r="G160" s="109"/>
      <c r="H160" s="109"/>
      <c r="I160" s="109"/>
      <c r="J160" s="109"/>
      <c r="K160" s="109"/>
      <c r="L160" s="109"/>
      <c r="M160" s="109"/>
      <c r="N160" s="109"/>
      <c r="O160" s="109"/>
    </row>
    <row r="161" spans="1:15" x14ac:dyDescent="0.35">
      <c r="A161" s="57">
        <f>'Distribution Dashboard'!A164</f>
        <v>0</v>
      </c>
      <c r="B161" s="57">
        <f>'Distribution Dashboard'!B164</f>
        <v>0</v>
      </c>
      <c r="C161" s="57">
        <f>'Distribution Dashboard'!C164</f>
        <v>0</v>
      </c>
      <c r="D161" s="109"/>
      <c r="E161" s="109"/>
      <c r="F161" s="109"/>
      <c r="G161" s="109"/>
      <c r="H161" s="109"/>
      <c r="I161" s="109"/>
      <c r="J161" s="109"/>
      <c r="K161" s="109"/>
      <c r="L161" s="109"/>
      <c r="M161" s="109"/>
      <c r="N161" s="109"/>
      <c r="O161" s="109"/>
    </row>
    <row r="162" spans="1:15" x14ac:dyDescent="0.35">
      <c r="A162" s="57">
        <f>'Distribution Dashboard'!A165</f>
        <v>0</v>
      </c>
      <c r="B162" s="57">
        <f>'Distribution Dashboard'!B165</f>
        <v>0</v>
      </c>
      <c r="C162" s="57">
        <f>'Distribution Dashboard'!C165</f>
        <v>0</v>
      </c>
      <c r="D162" s="109"/>
      <c r="E162" s="109"/>
      <c r="F162" s="109"/>
      <c r="G162" s="109"/>
      <c r="H162" s="109"/>
      <c r="I162" s="109"/>
      <c r="J162" s="109"/>
      <c r="K162" s="109"/>
      <c r="L162" s="109"/>
      <c r="M162" s="109"/>
      <c r="N162" s="109"/>
      <c r="O162" s="109"/>
    </row>
    <row r="163" spans="1:15" x14ac:dyDescent="0.35">
      <c r="A163" s="57">
        <f>'Distribution Dashboard'!A166</f>
        <v>0</v>
      </c>
      <c r="B163" s="57">
        <f>'Distribution Dashboard'!B166</f>
        <v>0</v>
      </c>
      <c r="C163" s="57">
        <f>'Distribution Dashboard'!C166</f>
        <v>0</v>
      </c>
      <c r="D163" s="109"/>
      <c r="E163" s="109"/>
      <c r="F163" s="109"/>
      <c r="G163" s="109"/>
      <c r="H163" s="109"/>
      <c r="I163" s="109"/>
      <c r="J163" s="109"/>
      <c r="K163" s="109"/>
      <c r="L163" s="109"/>
      <c r="M163" s="109"/>
      <c r="N163" s="109"/>
      <c r="O163" s="109"/>
    </row>
    <row r="164" spans="1:15" x14ac:dyDescent="0.35">
      <c r="A164" s="57">
        <f>'Distribution Dashboard'!A167</f>
        <v>0</v>
      </c>
      <c r="B164" s="57">
        <f>'Distribution Dashboard'!B167</f>
        <v>0</v>
      </c>
      <c r="C164" s="57">
        <f>'Distribution Dashboard'!C167</f>
        <v>0</v>
      </c>
      <c r="D164" s="109"/>
      <c r="E164" s="109"/>
      <c r="F164" s="109"/>
      <c r="G164" s="109"/>
      <c r="H164" s="109"/>
      <c r="I164" s="109"/>
      <c r="J164" s="109"/>
      <c r="K164" s="109"/>
      <c r="L164" s="109"/>
      <c r="M164" s="109"/>
      <c r="N164" s="109"/>
      <c r="O164" s="109"/>
    </row>
    <row r="165" spans="1:15" x14ac:dyDescent="0.35">
      <c r="A165" s="57">
        <f>'Distribution Dashboard'!A168</f>
        <v>0</v>
      </c>
      <c r="B165" s="57">
        <f>'Distribution Dashboard'!B168</f>
        <v>0</v>
      </c>
      <c r="C165" s="57">
        <f>'Distribution Dashboard'!C168</f>
        <v>0</v>
      </c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</row>
    <row r="166" spans="1:15" x14ac:dyDescent="0.35">
      <c r="A166" s="57">
        <f>'Distribution Dashboard'!A169</f>
        <v>0</v>
      </c>
      <c r="B166" s="57">
        <f>'Distribution Dashboard'!B169</f>
        <v>0</v>
      </c>
      <c r="C166" s="57">
        <f>'Distribution Dashboard'!C169</f>
        <v>0</v>
      </c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</row>
    <row r="167" spans="1:15" x14ac:dyDescent="0.35">
      <c r="A167" s="57">
        <f>'Distribution Dashboard'!A170</f>
        <v>0</v>
      </c>
      <c r="B167" s="57">
        <f>'Distribution Dashboard'!B170</f>
        <v>0</v>
      </c>
      <c r="C167" s="57">
        <f>'Distribution Dashboard'!C170</f>
        <v>0</v>
      </c>
      <c r="D167" s="109"/>
      <c r="E167" s="109"/>
      <c r="F167" s="109"/>
      <c r="G167" s="109"/>
      <c r="H167" s="109"/>
      <c r="I167" s="109"/>
      <c r="J167" s="109"/>
      <c r="K167" s="109"/>
      <c r="L167" s="109"/>
      <c r="M167" s="109"/>
      <c r="N167" s="109"/>
      <c r="O167" s="109"/>
    </row>
    <row r="168" spans="1:15" x14ac:dyDescent="0.35">
      <c r="A168" s="57">
        <f>'Distribution Dashboard'!A171</f>
        <v>0</v>
      </c>
      <c r="B168" s="57">
        <f>'Distribution Dashboard'!B171</f>
        <v>0</v>
      </c>
      <c r="C168" s="57">
        <f>'Distribution Dashboard'!C171</f>
        <v>0</v>
      </c>
      <c r="D168" s="109"/>
      <c r="E168" s="109"/>
      <c r="F168" s="109"/>
      <c r="G168" s="109"/>
      <c r="H168" s="109"/>
      <c r="I168" s="109"/>
      <c r="J168" s="109"/>
      <c r="K168" s="109"/>
      <c r="L168" s="109"/>
      <c r="M168" s="109"/>
      <c r="N168" s="109"/>
      <c r="O168" s="109"/>
    </row>
    <row r="169" spans="1:15" x14ac:dyDescent="0.35">
      <c r="A169" s="57">
        <f>'Distribution Dashboard'!A172</f>
        <v>0</v>
      </c>
      <c r="B169" s="57">
        <f>'Distribution Dashboard'!B172</f>
        <v>0</v>
      </c>
      <c r="C169" s="57">
        <f>'Distribution Dashboard'!C172</f>
        <v>0</v>
      </c>
      <c r="D169" s="109"/>
      <c r="E169" s="109"/>
      <c r="F169" s="109"/>
      <c r="G169" s="109"/>
      <c r="H169" s="109"/>
      <c r="I169" s="109"/>
      <c r="J169" s="109"/>
      <c r="K169" s="109"/>
      <c r="L169" s="109"/>
      <c r="M169" s="109"/>
      <c r="N169" s="109"/>
      <c r="O169" s="109"/>
    </row>
    <row r="170" spans="1:15" x14ac:dyDescent="0.35">
      <c r="A170" s="57">
        <f>'Distribution Dashboard'!A173</f>
        <v>0</v>
      </c>
      <c r="B170" s="57">
        <f>'Distribution Dashboard'!B173</f>
        <v>0</v>
      </c>
      <c r="C170" s="57">
        <f>'Distribution Dashboard'!C173</f>
        <v>0</v>
      </c>
      <c r="D170" s="109"/>
      <c r="E170" s="109"/>
      <c r="F170" s="109"/>
      <c r="G170" s="109"/>
      <c r="H170" s="109"/>
      <c r="I170" s="109"/>
      <c r="J170" s="109"/>
      <c r="K170" s="109"/>
      <c r="L170" s="109"/>
      <c r="M170" s="109"/>
      <c r="N170" s="109"/>
      <c r="O170" s="109"/>
    </row>
    <row r="171" spans="1:15" x14ac:dyDescent="0.35">
      <c r="A171" s="57">
        <f>'Distribution Dashboard'!A174</f>
        <v>0</v>
      </c>
      <c r="B171" s="57">
        <f>'Distribution Dashboard'!B174</f>
        <v>0</v>
      </c>
      <c r="C171" s="57">
        <f>'Distribution Dashboard'!C174</f>
        <v>0</v>
      </c>
      <c r="D171" s="109"/>
      <c r="E171" s="109"/>
      <c r="F171" s="109"/>
      <c r="G171" s="109"/>
      <c r="H171" s="109"/>
      <c r="I171" s="109"/>
      <c r="J171" s="109"/>
      <c r="K171" s="109"/>
      <c r="L171" s="109"/>
      <c r="M171" s="109"/>
      <c r="N171" s="109"/>
      <c r="O171" s="109"/>
    </row>
    <row r="172" spans="1:15" x14ac:dyDescent="0.35">
      <c r="A172" s="57">
        <f>'Distribution Dashboard'!A175</f>
        <v>0</v>
      </c>
      <c r="B172" s="57">
        <f>'Distribution Dashboard'!B175</f>
        <v>0</v>
      </c>
      <c r="C172" s="57">
        <f>'Distribution Dashboard'!C175</f>
        <v>0</v>
      </c>
      <c r="D172" s="109"/>
      <c r="E172" s="109"/>
      <c r="F172" s="109"/>
      <c r="G172" s="109"/>
      <c r="H172" s="109"/>
      <c r="I172" s="109"/>
      <c r="J172" s="109"/>
      <c r="K172" s="109"/>
      <c r="L172" s="109"/>
      <c r="M172" s="109"/>
      <c r="N172" s="109"/>
      <c r="O172" s="109"/>
    </row>
    <row r="173" spans="1:15" x14ac:dyDescent="0.35">
      <c r="A173" s="57">
        <f>'Distribution Dashboard'!A176</f>
        <v>0</v>
      </c>
      <c r="B173" s="57">
        <f>'Distribution Dashboard'!B176</f>
        <v>0</v>
      </c>
      <c r="C173" s="57">
        <f>'Distribution Dashboard'!C176</f>
        <v>0</v>
      </c>
      <c r="D173" s="109"/>
      <c r="E173" s="109"/>
      <c r="F173" s="109"/>
      <c r="G173" s="109"/>
      <c r="H173" s="109"/>
      <c r="I173" s="109"/>
      <c r="J173" s="109"/>
      <c r="K173" s="109"/>
      <c r="L173" s="109"/>
      <c r="M173" s="109"/>
      <c r="N173" s="109"/>
      <c r="O173" s="109"/>
    </row>
    <row r="174" spans="1:15" x14ac:dyDescent="0.35">
      <c r="A174" s="57">
        <f>'Distribution Dashboard'!A177</f>
        <v>0</v>
      </c>
      <c r="B174" s="57">
        <f>'Distribution Dashboard'!B177</f>
        <v>0</v>
      </c>
      <c r="C174" s="57">
        <f>'Distribution Dashboard'!C177</f>
        <v>0</v>
      </c>
      <c r="D174" s="109"/>
      <c r="E174" s="109"/>
      <c r="F174" s="109"/>
      <c r="G174" s="109"/>
      <c r="H174" s="109"/>
      <c r="I174" s="109"/>
      <c r="J174" s="109"/>
      <c r="K174" s="109"/>
      <c r="L174" s="109"/>
      <c r="M174" s="109"/>
      <c r="N174" s="109"/>
      <c r="O174" s="109"/>
    </row>
    <row r="175" spans="1:15" x14ac:dyDescent="0.35">
      <c r="A175" s="57">
        <f>'Distribution Dashboard'!A178</f>
        <v>0</v>
      </c>
      <c r="B175" s="57">
        <f>'Distribution Dashboard'!B178</f>
        <v>0</v>
      </c>
      <c r="C175" s="57">
        <f>'Distribution Dashboard'!C178</f>
        <v>0</v>
      </c>
      <c r="D175" s="109"/>
      <c r="E175" s="109"/>
      <c r="F175" s="109"/>
      <c r="G175" s="109"/>
      <c r="H175" s="109"/>
      <c r="I175" s="109"/>
      <c r="J175" s="109"/>
      <c r="K175" s="109"/>
      <c r="L175" s="109"/>
      <c r="M175" s="109"/>
      <c r="N175" s="109"/>
      <c r="O175" s="109"/>
    </row>
    <row r="176" spans="1:15" x14ac:dyDescent="0.35">
      <c r="A176" s="57">
        <f>'Distribution Dashboard'!A179</f>
        <v>0</v>
      </c>
      <c r="B176" s="57">
        <f>'Distribution Dashboard'!B179</f>
        <v>0</v>
      </c>
      <c r="C176" s="57">
        <f>'Distribution Dashboard'!C179</f>
        <v>0</v>
      </c>
      <c r="D176" s="109"/>
      <c r="E176" s="109"/>
      <c r="F176" s="109"/>
      <c r="G176" s="109"/>
      <c r="H176" s="109"/>
      <c r="I176" s="109"/>
      <c r="J176" s="109"/>
      <c r="K176" s="109"/>
      <c r="L176" s="109"/>
      <c r="M176" s="109"/>
      <c r="N176" s="109"/>
      <c r="O176" s="109"/>
    </row>
  </sheetData>
  <sheetProtection algorithmName="SHA-512" hashValue="D8cMlyXFXflWga/N7XW4nftLWiw5gAKdtdDr7NKnNPdlp7hG5T5wPTrT0hz99hc1kfSHK6Pko9/vJdlxj/PSjw==" saltValue="4Hlzn3qygn6xbNZkXbTLaw==" spinCount="100000" sheet="1" objects="1" scenarios="1"/>
  <protectedRanges>
    <protectedRange sqref="D125:O126" name="IHINDU"/>
    <protectedRange sqref="D121:O122" name="LONGONOT"/>
    <protectedRange sqref="D103:O104" name="MAI MAHIU"/>
    <protectedRange sqref="D97:O98" name="KAYOLE"/>
    <protectedRange sqref="D91:O92" name="KIHOTO"/>
    <protectedRange sqref="D85:O86" name="HELLS GATE"/>
    <protectedRange sqref="D79:O80" name="SKAMERE"/>
    <protectedRange sqref="D75:O76" name="HOPEWELL"/>
    <protectedRange sqref="D69:O70" name="SITE"/>
    <protectedRange sqref="D63:O64" name="KABATI"/>
    <protectedRange sqref="D57:O58" name="LAKEVIEW"/>
    <protectedRange sqref="D51:O52" name="CCCR"/>
    <protectedRange sqref="D45:O46" name="CBD"/>
  </protectedRange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6"/>
  <sheetViews>
    <sheetView topLeftCell="F1" workbookViewId="0">
      <selection activeCell="O7" sqref="O7"/>
    </sheetView>
  </sheetViews>
  <sheetFormatPr defaultColWidth="9.1796875" defaultRowHeight="14.5" x14ac:dyDescent="0.35"/>
  <cols>
    <col min="1" max="1" width="13.81640625" style="57" customWidth="1"/>
    <col min="2" max="2" width="31.26953125" style="57" customWidth="1"/>
    <col min="3" max="3" width="9.1796875" style="57" customWidth="1"/>
    <col min="4" max="4" width="14.26953125" style="60" customWidth="1"/>
    <col min="5" max="5" width="13.26953125" style="60" customWidth="1"/>
    <col min="6" max="6" width="14.81640625" style="60" customWidth="1"/>
    <col min="7" max="7" width="13.7265625" style="60" customWidth="1"/>
    <col min="8" max="9" width="14.26953125" style="60" customWidth="1"/>
    <col min="10" max="10" width="11.54296875" style="60" customWidth="1"/>
    <col min="11" max="11" width="12.453125" style="60" customWidth="1"/>
    <col min="12" max="12" width="13" style="60" customWidth="1"/>
    <col min="13" max="13" width="15.26953125" style="60" customWidth="1"/>
    <col min="14" max="14" width="12.54296875" style="60" customWidth="1"/>
    <col min="15" max="15" width="14.7265625" style="60" customWidth="1"/>
    <col min="16" max="16384" width="9.1796875" style="57"/>
  </cols>
  <sheetData>
    <row r="1" spans="1:17" x14ac:dyDescent="0.35">
      <c r="A1" s="57" t="str">
        <f>'Distribution Dashboard'!A1</f>
        <v>NAIVAWASS DISTRIBUTION DASHBOARD - NON-REVENUE WATER &amp; ZONAL PERFORMANCE</v>
      </c>
      <c r="B1" s="57">
        <f>'Distribution Dashboard'!B1</f>
        <v>0</v>
      </c>
      <c r="C1" s="57">
        <f>'Distribution Dashboard'!D1</f>
        <v>0</v>
      </c>
    </row>
    <row r="2" spans="1:17" x14ac:dyDescent="0.35">
      <c r="A2" s="57">
        <f>'Distribution Dashboard'!A2</f>
        <v>0</v>
      </c>
      <c r="B2" s="57">
        <f>'Distribution Dashboard'!B2</f>
        <v>46054</v>
      </c>
      <c r="C2" s="57">
        <f>'Distribution Dashboard'!D2</f>
        <v>0</v>
      </c>
    </row>
    <row r="3" spans="1:17" x14ac:dyDescent="0.35">
      <c r="A3" s="57">
        <f>'Distribution Dashboard'!A3</f>
        <v>0</v>
      </c>
      <c r="B3" s="57">
        <f>'Distribution Dashboard'!B3</f>
        <v>0</v>
      </c>
      <c r="C3" s="57" t="str">
        <f>'Distribution Dashboard'!D3</f>
        <v>Monthly</v>
      </c>
    </row>
    <row r="4" spans="1:17" x14ac:dyDescent="0.35">
      <c r="A4" s="57">
        <f>'Distribution Dashboard'!A4</f>
        <v>0</v>
      </c>
      <c r="C4" s="57" t="str">
        <f>'Distribution Dashboard'!C4</f>
        <v>Unit</v>
      </c>
      <c r="D4" s="71">
        <v>45474</v>
      </c>
      <c r="E4" s="71">
        <v>45505</v>
      </c>
      <c r="F4" s="71">
        <v>45536</v>
      </c>
      <c r="G4" s="71">
        <v>45566</v>
      </c>
      <c r="H4" s="71">
        <v>45597</v>
      </c>
      <c r="I4" s="71">
        <v>45627</v>
      </c>
      <c r="J4" s="71">
        <v>45658</v>
      </c>
      <c r="K4" s="71">
        <v>45689</v>
      </c>
      <c r="L4" s="71">
        <v>45717</v>
      </c>
      <c r="M4" s="71">
        <v>45748</v>
      </c>
      <c r="N4" s="71">
        <v>45778</v>
      </c>
      <c r="O4" s="71">
        <v>45809</v>
      </c>
    </row>
    <row r="5" spans="1:17" x14ac:dyDescent="0.35">
      <c r="A5" s="57" t="e">
        <f>'Distribution Dashboard'!#REF!</f>
        <v>#REF!</v>
      </c>
      <c r="B5" s="57" t="e">
        <f>'Distribution Dashboard'!#REF!</f>
        <v>#REF!</v>
      </c>
      <c r="C5" s="57" t="e">
        <f>'Distribution Dashboard'!#REF!</f>
        <v>#REF!</v>
      </c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</row>
    <row r="6" spans="1:17" x14ac:dyDescent="0.35">
      <c r="A6" s="57" t="e">
        <f>'Distribution Dashboard'!#REF!</f>
        <v>#REF!</v>
      </c>
      <c r="B6" s="57" t="e">
        <f>'Distribution Dashboard'!#REF!</f>
        <v>#REF!</v>
      </c>
      <c r="C6" s="57" t="e">
        <f>'Distribution Dashboard'!#REF!</f>
        <v>#REF!</v>
      </c>
      <c r="D6" s="92">
        <v>199192.12</v>
      </c>
      <c r="E6" s="92">
        <v>229211</v>
      </c>
      <c r="F6" s="92">
        <v>219157</v>
      </c>
      <c r="G6" s="92">
        <v>226434</v>
      </c>
      <c r="H6" s="92">
        <v>232327</v>
      </c>
      <c r="I6" s="92">
        <v>162567</v>
      </c>
      <c r="J6" s="92">
        <v>280545</v>
      </c>
      <c r="K6" s="92">
        <v>236218</v>
      </c>
      <c r="L6" s="92">
        <v>234258</v>
      </c>
      <c r="M6" s="92">
        <v>176008</v>
      </c>
      <c r="N6" s="92">
        <v>222024</v>
      </c>
      <c r="O6" s="92">
        <v>228197</v>
      </c>
    </row>
    <row r="7" spans="1:17" x14ac:dyDescent="0.35">
      <c r="A7" s="57" t="e">
        <f>'Distribution Dashboard'!#REF!</f>
        <v>#REF!</v>
      </c>
      <c r="B7" s="57" t="e">
        <f>'Distribution Dashboard'!#REF!</f>
        <v>#REF!</v>
      </c>
      <c r="C7" s="57" t="e">
        <f>'Distribution Dashboard'!#REF!</f>
        <v>#REF!</v>
      </c>
      <c r="D7" s="91">
        <f>D16</f>
        <v>141416</v>
      </c>
      <c r="E7" s="91">
        <f t="shared" ref="E7:O7" si="0">E16</f>
        <v>168508</v>
      </c>
      <c r="F7" s="91">
        <f t="shared" si="0"/>
        <v>163668</v>
      </c>
      <c r="G7" s="91">
        <f t="shared" si="0"/>
        <v>160893</v>
      </c>
      <c r="H7" s="91">
        <f t="shared" si="0"/>
        <v>179892</v>
      </c>
      <c r="I7" s="91">
        <f t="shared" si="0"/>
        <v>116560</v>
      </c>
      <c r="J7" s="91">
        <f t="shared" si="0"/>
        <v>184451</v>
      </c>
      <c r="K7" s="91">
        <f t="shared" si="0"/>
        <v>165475</v>
      </c>
      <c r="L7" s="91">
        <f t="shared" si="0"/>
        <v>175998</v>
      </c>
      <c r="M7" s="91">
        <f t="shared" si="0"/>
        <v>135488</v>
      </c>
      <c r="N7" s="91">
        <f t="shared" si="0"/>
        <v>153695</v>
      </c>
      <c r="O7" s="91">
        <f t="shared" si="0"/>
        <v>164911</v>
      </c>
    </row>
    <row r="8" spans="1:17" x14ac:dyDescent="0.35">
      <c r="A8" s="57" t="e">
        <f>'Distribution Dashboard'!#REF!</f>
        <v>#REF!</v>
      </c>
      <c r="B8" s="57" t="e">
        <f>'Distribution Dashboard'!#REF!</f>
        <v>#REF!</v>
      </c>
      <c r="C8" s="57" t="e">
        <f>'Distribution Dashboard'!#REF!</f>
        <v>#REF!</v>
      </c>
      <c r="D8" s="70">
        <f>(D6-D7)/D6</f>
        <v>0.29005223700616267</v>
      </c>
      <c r="E8" s="70">
        <f t="shared" ref="E8:O8" si="1">(E6-E7)/E6</f>
        <v>0.26483458472760907</v>
      </c>
      <c r="F8" s="70">
        <f t="shared" si="1"/>
        <v>0.25319291649365522</v>
      </c>
      <c r="G8" s="70">
        <f t="shared" si="1"/>
        <v>0.28944858104348287</v>
      </c>
      <c r="H8" s="70">
        <f t="shared" si="1"/>
        <v>0.22569481807968941</v>
      </c>
      <c r="I8" s="70">
        <f t="shared" si="1"/>
        <v>0.28300331555604769</v>
      </c>
      <c r="J8" s="70">
        <f t="shared" si="1"/>
        <v>0.34252615444937534</v>
      </c>
      <c r="K8" s="70">
        <f t="shared" si="1"/>
        <v>0.29948183457653521</v>
      </c>
      <c r="L8" s="70">
        <f t="shared" si="1"/>
        <v>0.24870015111543683</v>
      </c>
      <c r="M8" s="70">
        <f t="shared" si="1"/>
        <v>0.23021680832689423</v>
      </c>
      <c r="N8" s="70">
        <f t="shared" si="1"/>
        <v>0.3077550174755882</v>
      </c>
      <c r="O8" s="70">
        <f t="shared" si="1"/>
        <v>0.27733055211067631</v>
      </c>
    </row>
    <row r="9" spans="1:17" x14ac:dyDescent="0.35">
      <c r="A9" s="57" t="e">
        <f>'Distribution Dashboard'!#REF!</f>
        <v>#REF!</v>
      </c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</row>
    <row r="10" spans="1:17" x14ac:dyDescent="0.35">
      <c r="A10" s="57" t="e">
        <f>'Distribution Dashboard'!#REF!</f>
        <v>#REF!</v>
      </c>
      <c r="B10" s="57" t="e">
        <f>'Distribution Dashboard'!#REF!</f>
        <v>#REF!</v>
      </c>
      <c r="C10" s="57" t="e">
        <f>'Distribution Dashboard'!#REF!</f>
        <v>#REF!</v>
      </c>
      <c r="D10" s="59">
        <f>D6</f>
        <v>199192.12</v>
      </c>
      <c r="E10" s="59">
        <f t="shared" ref="E10:O10" si="2">E6</f>
        <v>229211</v>
      </c>
      <c r="F10" s="59">
        <f t="shared" si="2"/>
        <v>219157</v>
      </c>
      <c r="G10" s="59">
        <f t="shared" si="2"/>
        <v>226434</v>
      </c>
      <c r="H10" s="59">
        <f t="shared" si="2"/>
        <v>232327</v>
      </c>
      <c r="I10" s="59">
        <f t="shared" si="2"/>
        <v>162567</v>
      </c>
      <c r="J10" s="59">
        <f t="shared" si="2"/>
        <v>280545</v>
      </c>
      <c r="K10" s="59">
        <f t="shared" si="2"/>
        <v>236218</v>
      </c>
      <c r="L10" s="59">
        <f t="shared" si="2"/>
        <v>234258</v>
      </c>
      <c r="M10" s="59">
        <f t="shared" si="2"/>
        <v>176008</v>
      </c>
      <c r="N10" s="59">
        <f t="shared" si="2"/>
        <v>222024</v>
      </c>
      <c r="O10" s="59">
        <f t="shared" si="2"/>
        <v>228197</v>
      </c>
    </row>
    <row r="11" spans="1:17" x14ac:dyDescent="0.35">
      <c r="A11" s="57" t="e">
        <f>'Distribution Dashboard'!#REF!</f>
        <v>#REF!</v>
      </c>
      <c r="B11" s="57" t="e">
        <f>'Distribution Dashboard'!#REF!</f>
        <v>#REF!</v>
      </c>
      <c r="C11" s="57" t="e">
        <f>'Distribution Dashboard'!#REF!</f>
        <v>#REF!</v>
      </c>
      <c r="D11" s="59">
        <f>D15</f>
        <v>179812</v>
      </c>
      <c r="E11" s="59">
        <f t="shared" ref="E11:O11" si="3">E15</f>
        <v>218591</v>
      </c>
      <c r="F11" s="59">
        <f t="shared" si="3"/>
        <v>206801</v>
      </c>
      <c r="G11" s="59">
        <f t="shared" si="3"/>
        <v>217593</v>
      </c>
      <c r="H11" s="59">
        <f t="shared" si="3"/>
        <v>230368</v>
      </c>
      <c r="I11" s="59">
        <f t="shared" si="3"/>
        <v>151401</v>
      </c>
      <c r="J11" s="59">
        <f t="shared" si="3"/>
        <v>267445</v>
      </c>
      <c r="K11" s="59">
        <f t="shared" si="3"/>
        <v>216809</v>
      </c>
      <c r="L11" s="59">
        <f t="shared" si="3"/>
        <v>230236</v>
      </c>
      <c r="M11" s="59">
        <f t="shared" si="3"/>
        <v>175341</v>
      </c>
      <c r="N11" s="59">
        <f t="shared" si="3"/>
        <v>207719</v>
      </c>
      <c r="O11" s="59">
        <f t="shared" si="3"/>
        <v>224235</v>
      </c>
    </row>
    <row r="12" spans="1:17" x14ac:dyDescent="0.35">
      <c r="A12" s="57" t="e">
        <f>'Distribution Dashboard'!#REF!</f>
        <v>#REF!</v>
      </c>
      <c r="B12" s="57" t="e">
        <f>'Distribution Dashboard'!#REF!</f>
        <v>#REF!</v>
      </c>
      <c r="C12" s="57" t="e">
        <f>'Distribution Dashboard'!#REF!</f>
        <v>#REF!</v>
      </c>
      <c r="D12" s="70">
        <f>(D10-D11)/D10</f>
        <v>9.729360779934465E-2</v>
      </c>
      <c r="E12" s="70">
        <f t="shared" ref="E12:O12" si="4">(E10-E11)/E10</f>
        <v>4.6332854880437674E-2</v>
      </c>
      <c r="F12" s="70">
        <f t="shared" si="4"/>
        <v>5.6379673019798592E-2</v>
      </c>
      <c r="G12" s="70">
        <f t="shared" si="4"/>
        <v>3.9044489785102943E-2</v>
      </c>
      <c r="H12" s="70">
        <f t="shared" si="4"/>
        <v>8.4320806449530196E-3</v>
      </c>
      <c r="I12" s="70">
        <f t="shared" si="4"/>
        <v>6.868552658288582E-2</v>
      </c>
      <c r="J12" s="70">
        <f t="shared" si="4"/>
        <v>4.6694826141973657E-2</v>
      </c>
      <c r="K12" s="70">
        <f t="shared" si="4"/>
        <v>8.216562666689245E-2</v>
      </c>
      <c r="L12" s="70">
        <f t="shared" si="4"/>
        <v>1.7169104150125077E-2</v>
      </c>
      <c r="M12" s="104">
        <f t="shared" si="4"/>
        <v>3.7896004727057861E-3</v>
      </c>
      <c r="N12" s="70">
        <f t="shared" si="4"/>
        <v>6.4429971534608874E-2</v>
      </c>
      <c r="O12" s="70">
        <f t="shared" si="4"/>
        <v>1.7362191439852407E-2</v>
      </c>
    </row>
    <row r="13" spans="1:17" x14ac:dyDescent="0.35">
      <c r="A13" s="57" t="e">
        <f>'Distribution Dashboard'!#REF!</f>
        <v>#REF!</v>
      </c>
      <c r="B13" s="57" t="e">
        <f>'Distribution Dashboard'!#REF!</f>
        <v>#REF!</v>
      </c>
      <c r="C13" s="57" t="e">
        <f>'Distribution Dashboard'!#REF!</f>
        <v>#REF!</v>
      </c>
      <c r="D13" s="91">
        <f>D10-D11</f>
        <v>19380.119999999995</v>
      </c>
      <c r="E13" s="91">
        <f t="shared" ref="E13:O13" si="5">E10-E11</f>
        <v>10620</v>
      </c>
      <c r="F13" s="91">
        <f t="shared" si="5"/>
        <v>12356</v>
      </c>
      <c r="G13" s="91">
        <f t="shared" si="5"/>
        <v>8841</v>
      </c>
      <c r="H13" s="91">
        <f t="shared" si="5"/>
        <v>1959</v>
      </c>
      <c r="I13" s="91">
        <f t="shared" si="5"/>
        <v>11166</v>
      </c>
      <c r="J13" s="91">
        <f t="shared" si="5"/>
        <v>13100</v>
      </c>
      <c r="K13" s="91">
        <f t="shared" si="5"/>
        <v>19409</v>
      </c>
      <c r="L13" s="91">
        <f t="shared" si="5"/>
        <v>4022</v>
      </c>
      <c r="M13" s="91">
        <f t="shared" si="5"/>
        <v>667</v>
      </c>
      <c r="N13" s="91">
        <f t="shared" si="5"/>
        <v>14305</v>
      </c>
      <c r="O13" s="91">
        <f t="shared" si="5"/>
        <v>3962</v>
      </c>
    </row>
    <row r="14" spans="1:17" x14ac:dyDescent="0.35">
      <c r="A14" s="57">
        <f>'Distribution Dashboard'!A6</f>
        <v>0</v>
      </c>
      <c r="B14" s="57" t="str">
        <f>'Distribution Dashboard'!B6</f>
        <v>REGIONAL  NRW</v>
      </c>
      <c r="C14" s="57">
        <f>'Distribution Dashboard'!C6</f>
        <v>0</v>
      </c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</row>
    <row r="15" spans="1:17" x14ac:dyDescent="0.35">
      <c r="A15" s="57">
        <f>'Distribution Dashboard'!A7</f>
        <v>100</v>
      </c>
      <c r="B15" s="57" t="str">
        <f>'Distribution Dashboard'!B7</f>
        <v>WATER AVAILABLE FOR SALES- REGIONS</v>
      </c>
      <c r="C15" s="57" t="str">
        <f>'Distribution Dashboard'!C7</f>
        <v>m3</v>
      </c>
      <c r="D15" s="59">
        <f>D26+D35+D40</f>
        <v>179812</v>
      </c>
      <c r="E15" s="59">
        <f t="shared" ref="E15:Q15" si="6">E26+E35+E40</f>
        <v>218591</v>
      </c>
      <c r="F15" s="59">
        <f t="shared" si="6"/>
        <v>206801</v>
      </c>
      <c r="G15" s="59">
        <f t="shared" si="6"/>
        <v>217593</v>
      </c>
      <c r="H15" s="59">
        <f t="shared" si="6"/>
        <v>230368</v>
      </c>
      <c r="I15" s="59">
        <f t="shared" si="6"/>
        <v>151401</v>
      </c>
      <c r="J15" s="59">
        <f t="shared" si="6"/>
        <v>267445</v>
      </c>
      <c r="K15" s="59">
        <f t="shared" si="6"/>
        <v>216809</v>
      </c>
      <c r="L15" s="59">
        <f t="shared" si="6"/>
        <v>230236</v>
      </c>
      <c r="M15" s="59">
        <f t="shared" si="6"/>
        <v>175341</v>
      </c>
      <c r="N15" s="59">
        <f t="shared" si="6"/>
        <v>207719</v>
      </c>
      <c r="O15" s="59">
        <f t="shared" si="6"/>
        <v>224235</v>
      </c>
      <c r="P15" s="59">
        <f t="shared" si="6"/>
        <v>0</v>
      </c>
      <c r="Q15" s="59">
        <f t="shared" si="6"/>
        <v>0</v>
      </c>
    </row>
    <row r="16" spans="1:17" x14ac:dyDescent="0.35">
      <c r="A16" s="57" t="str">
        <f>'Distribution Dashboard'!A8</f>
        <v>128a</v>
      </c>
      <c r="B16" s="57" t="str">
        <f>'Distribution Dashboard'!B8</f>
        <v>VOLUME WATER BILLED(CUSTOMERS-M3)</v>
      </c>
      <c r="C16" s="57" t="str">
        <f>'Distribution Dashboard'!C8</f>
        <v>m3</v>
      </c>
      <c r="D16" s="59">
        <f>D27+D41+D36</f>
        <v>141416</v>
      </c>
      <c r="E16" s="59">
        <f t="shared" ref="E16:O16" si="7">E27+E41+E36</f>
        <v>168508</v>
      </c>
      <c r="F16" s="59">
        <f t="shared" si="7"/>
        <v>163668</v>
      </c>
      <c r="G16" s="59">
        <f t="shared" si="7"/>
        <v>160893</v>
      </c>
      <c r="H16" s="59">
        <f t="shared" si="7"/>
        <v>179892</v>
      </c>
      <c r="I16" s="59">
        <f t="shared" si="7"/>
        <v>116560</v>
      </c>
      <c r="J16" s="59">
        <f t="shared" si="7"/>
        <v>184451</v>
      </c>
      <c r="K16" s="59">
        <f t="shared" si="7"/>
        <v>165475</v>
      </c>
      <c r="L16" s="59">
        <f t="shared" si="7"/>
        <v>175998</v>
      </c>
      <c r="M16" s="59">
        <f t="shared" si="7"/>
        <v>135488</v>
      </c>
      <c r="N16" s="59">
        <f t="shared" si="7"/>
        <v>153695</v>
      </c>
      <c r="O16" s="59">
        <f t="shared" si="7"/>
        <v>164911</v>
      </c>
    </row>
    <row r="17" spans="1:15" x14ac:dyDescent="0.35">
      <c r="A17" s="57">
        <f>'Distribution Dashboard'!A9</f>
        <v>128</v>
      </c>
      <c r="B17" s="57" t="str">
        <f>'Distribution Dashboard'!B9</f>
        <v>GLOBAL NRW</v>
      </c>
      <c r="C17" s="57" t="str">
        <f>'Distribution Dashboard'!C9</f>
        <v>%</v>
      </c>
      <c r="D17" s="70">
        <f>(D15-D16)/D15</f>
        <v>0.21353413565279292</v>
      </c>
      <c r="E17" s="70">
        <f t="shared" ref="E17:O17" si="8">(E15-E16)/E15</f>
        <v>0.22911739275633489</v>
      </c>
      <c r="F17" s="70">
        <f t="shared" si="8"/>
        <v>0.20857249239607159</v>
      </c>
      <c r="G17" s="70">
        <f t="shared" si="8"/>
        <v>0.26057823551309095</v>
      </c>
      <c r="H17" s="70">
        <f t="shared" si="8"/>
        <v>0.21911029309626337</v>
      </c>
      <c r="I17" s="70">
        <f t="shared" si="8"/>
        <v>0.23012397540306867</v>
      </c>
      <c r="J17" s="70">
        <f t="shared" si="8"/>
        <v>0.31032174839686666</v>
      </c>
      <c r="K17" s="70">
        <f t="shared" si="8"/>
        <v>0.2367706137660337</v>
      </c>
      <c r="L17" s="70">
        <f t="shared" si="8"/>
        <v>0.23557567018190032</v>
      </c>
      <c r="M17" s="70">
        <f t="shared" si="8"/>
        <v>0.2272885406151442</v>
      </c>
      <c r="N17" s="70">
        <f t="shared" si="8"/>
        <v>0.26008213018549098</v>
      </c>
      <c r="O17" s="70">
        <f t="shared" si="8"/>
        <v>0.26456173211140099</v>
      </c>
    </row>
    <row r="18" spans="1:15" hidden="1" x14ac:dyDescent="0.35">
      <c r="A18" s="57">
        <f>'Distribution Dashboard'!A10</f>
        <v>0</v>
      </c>
      <c r="B18" s="57" t="str">
        <f>'Distribution Dashboard'!B10</f>
        <v>Number of Active water Connections</v>
      </c>
      <c r="C18" s="57" t="str">
        <f>'Distribution Dashboard'!C10</f>
        <v>NO.</v>
      </c>
      <c r="D18" s="60">
        <f>D41+D32</f>
        <v>26497</v>
      </c>
      <c r="E18" s="60">
        <f t="shared" ref="E18:O19" si="9">E41+E32</f>
        <v>29718</v>
      </c>
      <c r="F18" s="60">
        <f t="shared" si="9"/>
        <v>32245</v>
      </c>
      <c r="G18" s="60">
        <f t="shared" si="9"/>
        <v>30200</v>
      </c>
      <c r="H18" s="60">
        <f t="shared" si="9"/>
        <v>32349</v>
      </c>
      <c r="I18" s="60">
        <f t="shared" si="9"/>
        <v>24184</v>
      </c>
      <c r="J18" s="60">
        <f t="shared" si="9"/>
        <v>29173</v>
      </c>
      <c r="K18" s="60">
        <f t="shared" si="9"/>
        <v>28120</v>
      </c>
      <c r="L18" s="60">
        <f t="shared" si="9"/>
        <v>29681</v>
      </c>
      <c r="M18" s="60">
        <f t="shared" si="9"/>
        <v>26294</v>
      </c>
      <c r="N18" s="60">
        <f t="shared" si="9"/>
        <v>27869</v>
      </c>
      <c r="O18" s="60">
        <f t="shared" si="9"/>
        <v>30668</v>
      </c>
    </row>
    <row r="19" spans="1:15" hidden="1" x14ac:dyDescent="0.35">
      <c r="A19" s="57">
        <f>'Distribution Dashboard'!A11</f>
        <v>0</v>
      </c>
      <c r="B19" s="57" t="str">
        <f>'Distribution Dashboard'!B11</f>
        <v>Number of Active sewer Connections</v>
      </c>
      <c r="C19" s="57" t="str">
        <f>'Distribution Dashboard'!C11</f>
        <v>NO.</v>
      </c>
      <c r="D19" s="60">
        <f>D42+D33</f>
        <v>6559</v>
      </c>
      <c r="E19" s="60">
        <f t="shared" si="9"/>
        <v>10191</v>
      </c>
      <c r="F19" s="60">
        <f t="shared" si="9"/>
        <v>3039</v>
      </c>
      <c r="G19" s="60">
        <f t="shared" si="9"/>
        <v>7923</v>
      </c>
      <c r="H19" s="60">
        <f t="shared" si="9"/>
        <v>6667</v>
      </c>
      <c r="I19" s="60">
        <f t="shared" si="9"/>
        <v>5375</v>
      </c>
      <c r="J19" s="60">
        <f t="shared" si="9"/>
        <v>10605</v>
      </c>
      <c r="K19" s="60">
        <f t="shared" si="9"/>
        <v>8769</v>
      </c>
      <c r="L19" s="60">
        <f t="shared" si="9"/>
        <v>14385</v>
      </c>
      <c r="M19" s="60">
        <f t="shared" si="9"/>
        <v>6201</v>
      </c>
      <c r="N19" s="60">
        <f t="shared" si="9"/>
        <v>15540</v>
      </c>
      <c r="O19" s="60">
        <f t="shared" si="9"/>
        <v>16572</v>
      </c>
    </row>
    <row r="20" spans="1:15" hidden="1" x14ac:dyDescent="0.35">
      <c r="A20" s="57">
        <f>'Distribution Dashboard'!A12</f>
        <v>0</v>
      </c>
      <c r="B20" s="57" t="str">
        <f>'Distribution Dashboard'!B12</f>
        <v>Number of In-active Sewer Connections</v>
      </c>
      <c r="C20" s="57" t="str">
        <f>'Distribution Dashboard'!C12</f>
        <v>NO.</v>
      </c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</row>
    <row r="21" spans="1:15" hidden="1" x14ac:dyDescent="0.35">
      <c r="A21" s="57">
        <f>'Distribution Dashboard'!A13</f>
        <v>0</v>
      </c>
      <c r="B21" s="57" t="str">
        <f>'Distribution Dashboard'!B13</f>
        <v>Number of In-active Water Connections</v>
      </c>
      <c r="C21" s="57" t="str">
        <f>'Distribution Dashboard'!C13</f>
        <v>NO.</v>
      </c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</row>
    <row r="22" spans="1:15" hidden="1" x14ac:dyDescent="0.35">
      <c r="A22" s="57">
        <f>'Distribution Dashboard'!A14</f>
        <v>0</v>
      </c>
      <c r="B22" s="57" t="str">
        <f>'Distribution Dashboard'!B14</f>
        <v>Number of Connections</v>
      </c>
      <c r="C22" s="57" t="str">
        <f>'Distribution Dashboard'!C14</f>
        <v>NO.</v>
      </c>
      <c r="D22" s="65">
        <f t="shared" ref="D22:O22" si="10">SUM(D18:D21)</f>
        <v>33056</v>
      </c>
      <c r="E22" s="65">
        <f t="shared" si="10"/>
        <v>39909</v>
      </c>
      <c r="F22" s="65">
        <f t="shared" si="10"/>
        <v>35284</v>
      </c>
      <c r="G22" s="65">
        <f t="shared" si="10"/>
        <v>38123</v>
      </c>
      <c r="H22" s="65">
        <f t="shared" si="10"/>
        <v>39016</v>
      </c>
      <c r="I22" s="65">
        <f t="shared" si="10"/>
        <v>29559</v>
      </c>
      <c r="J22" s="65">
        <f t="shared" si="10"/>
        <v>39778</v>
      </c>
      <c r="K22" s="65">
        <f t="shared" si="10"/>
        <v>36889</v>
      </c>
      <c r="L22" s="65">
        <f t="shared" si="10"/>
        <v>44066</v>
      </c>
      <c r="M22" s="65">
        <f t="shared" si="10"/>
        <v>32495</v>
      </c>
      <c r="N22" s="65">
        <f t="shared" si="10"/>
        <v>43409</v>
      </c>
      <c r="O22" s="65">
        <f t="shared" si="10"/>
        <v>47240</v>
      </c>
    </row>
    <row r="23" spans="1:15" hidden="1" x14ac:dyDescent="0.35">
      <c r="A23" s="57">
        <f>'Distribution Dashboard'!A15</f>
        <v>0</v>
      </c>
      <c r="B23" s="57" t="str">
        <f>'Distribution Dashboard'!B15</f>
        <v>Maintenance, repair and operational cost</v>
      </c>
      <c r="C23" s="57" t="str">
        <f>'Distribution Dashboard'!C15</f>
        <v>KES</v>
      </c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</row>
    <row r="24" spans="1:15" x14ac:dyDescent="0.35">
      <c r="A24" s="57" t="e">
        <f>'Distribution Dashboard'!#REF!</f>
        <v>#REF!</v>
      </c>
      <c r="B24" s="57" t="e">
        <f>'Distribution Dashboard'!#REF!</f>
        <v>#REF!</v>
      </c>
      <c r="C24" s="57" t="e">
        <f>'Distribution Dashboard'!#REF!</f>
        <v>#REF!</v>
      </c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</row>
    <row r="25" spans="1:15" x14ac:dyDescent="0.35">
      <c r="A25" s="57">
        <f>'Distribution Dashboard'!A16</f>
        <v>0</v>
      </c>
      <c r="B25" s="57" t="str">
        <f>'Distribution Dashboard'!B16</f>
        <v>CENTRAL REGION: CBD,CCCR,KABATI,SITE,KIHOTO,LAKEVIEW</v>
      </c>
      <c r="C25" s="57">
        <f>'Distribution Dashboard'!C16</f>
        <v>0</v>
      </c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</row>
    <row r="26" spans="1:15" x14ac:dyDescent="0.35">
      <c r="A26" s="57" t="str">
        <f>'Distribution Dashboard'!A17</f>
        <v>RA</v>
      </c>
      <c r="B26" s="57" t="str">
        <f>'Distribution Dashboard'!B17</f>
        <v>Volume Water Supplied</v>
      </c>
      <c r="C26" s="57" t="str">
        <f>'Distribution Dashboard'!C17</f>
        <v>m3</v>
      </c>
      <c r="D26" s="59">
        <f>D45+D51+D57+D63+D69+D91+D75</f>
        <v>92367</v>
      </c>
      <c r="E26" s="59">
        <f t="shared" ref="E26:O26" si="11">E45+E51+E57+E63+E69+E91+E75</f>
        <v>114426</v>
      </c>
      <c r="F26" s="59">
        <f t="shared" si="11"/>
        <v>101553</v>
      </c>
      <c r="G26" s="59">
        <f t="shared" si="11"/>
        <v>107597</v>
      </c>
      <c r="H26" s="59">
        <f t="shared" si="11"/>
        <v>106133</v>
      </c>
      <c r="I26" s="59">
        <f t="shared" si="11"/>
        <v>74176</v>
      </c>
      <c r="J26" s="59">
        <f t="shared" si="11"/>
        <v>141121</v>
      </c>
      <c r="K26" s="59">
        <f t="shared" si="11"/>
        <v>105690</v>
      </c>
      <c r="L26" s="59">
        <f t="shared" si="11"/>
        <v>115420</v>
      </c>
      <c r="M26" s="59">
        <f t="shared" si="11"/>
        <v>87092</v>
      </c>
      <c r="N26" s="59">
        <f t="shared" si="11"/>
        <v>99548</v>
      </c>
      <c r="O26" s="59">
        <f t="shared" si="11"/>
        <v>108927</v>
      </c>
    </row>
    <row r="27" spans="1:15" x14ac:dyDescent="0.35">
      <c r="A27" s="57" t="str">
        <f>'Distribution Dashboard'!A18</f>
        <v>RA2</v>
      </c>
      <c r="B27" s="57" t="str">
        <f>'Distribution Dashboard'!B18</f>
        <v>Volume Water Sold</v>
      </c>
      <c r="C27" s="57" t="str">
        <f>'Distribution Dashboard'!C18</f>
        <v>m3</v>
      </c>
      <c r="D27" s="59">
        <f>D46+D52+D58+D64+D70+D92+D76</f>
        <v>73301</v>
      </c>
      <c r="E27" s="59">
        <f t="shared" ref="E27:O27" si="12">E46+E52+E58+E64+E70+E92+E76</f>
        <v>93670</v>
      </c>
      <c r="F27" s="59">
        <f t="shared" si="12"/>
        <v>81216</v>
      </c>
      <c r="G27" s="59">
        <f t="shared" si="12"/>
        <v>82720</v>
      </c>
      <c r="H27" s="59">
        <f t="shared" si="12"/>
        <v>87303</v>
      </c>
      <c r="I27" s="59">
        <f t="shared" si="12"/>
        <v>59040</v>
      </c>
      <c r="J27" s="59">
        <f t="shared" si="12"/>
        <v>102175</v>
      </c>
      <c r="K27" s="59">
        <f t="shared" si="12"/>
        <v>87481</v>
      </c>
      <c r="L27" s="59">
        <f t="shared" si="12"/>
        <v>93536</v>
      </c>
      <c r="M27" s="59">
        <f t="shared" si="12"/>
        <v>71595</v>
      </c>
      <c r="N27" s="59">
        <f t="shared" si="12"/>
        <v>83167</v>
      </c>
      <c r="O27" s="59">
        <f t="shared" si="12"/>
        <v>86204</v>
      </c>
    </row>
    <row r="28" spans="1:15" x14ac:dyDescent="0.35">
      <c r="A28" s="57" t="str">
        <f>'Distribution Dashboard'!A19</f>
        <v>RA3</v>
      </c>
      <c r="B28" s="57" t="str">
        <f>'Distribution Dashboard'!B19</f>
        <v>NRW</v>
      </c>
      <c r="C28" s="57" t="str">
        <f>'Distribution Dashboard'!C19</f>
        <v>m3</v>
      </c>
      <c r="D28" s="65">
        <f>D26-D27</f>
        <v>19066</v>
      </c>
      <c r="E28" s="65">
        <f t="shared" ref="E28:O28" si="13">E26-E27</f>
        <v>20756</v>
      </c>
      <c r="F28" s="65">
        <f t="shared" si="13"/>
        <v>20337</v>
      </c>
      <c r="G28" s="65">
        <f t="shared" si="13"/>
        <v>24877</v>
      </c>
      <c r="H28" s="65">
        <f t="shared" si="13"/>
        <v>18830</v>
      </c>
      <c r="I28" s="65">
        <f t="shared" si="13"/>
        <v>15136</v>
      </c>
      <c r="J28" s="65">
        <f t="shared" si="13"/>
        <v>38946</v>
      </c>
      <c r="K28" s="65">
        <f t="shared" si="13"/>
        <v>18209</v>
      </c>
      <c r="L28" s="65">
        <f t="shared" si="13"/>
        <v>21884</v>
      </c>
      <c r="M28" s="65">
        <f t="shared" si="13"/>
        <v>15497</v>
      </c>
      <c r="N28" s="65">
        <f t="shared" si="13"/>
        <v>16381</v>
      </c>
      <c r="O28" s="65">
        <f t="shared" si="13"/>
        <v>22723</v>
      </c>
    </row>
    <row r="29" spans="1:15" x14ac:dyDescent="0.35">
      <c r="A29" s="57" t="str">
        <f>'Distribution Dashboard'!A20</f>
        <v>RA4</v>
      </c>
      <c r="B29" s="57" t="str">
        <f>'Distribution Dashboard'!B20</f>
        <v>NRW</v>
      </c>
      <c r="C29" s="57" t="str">
        <f>'Distribution Dashboard'!C20</f>
        <v>%</v>
      </c>
      <c r="D29" s="58">
        <f>D28/D26</f>
        <v>0.20641571123886238</v>
      </c>
      <c r="E29" s="58">
        <f t="shared" ref="E29:O29" si="14">E28/E26</f>
        <v>0.18139234090154335</v>
      </c>
      <c r="F29" s="58">
        <f t="shared" si="14"/>
        <v>0.20025996277805677</v>
      </c>
      <c r="G29" s="58">
        <f t="shared" si="14"/>
        <v>0.23120533100365251</v>
      </c>
      <c r="H29" s="58">
        <f t="shared" si="14"/>
        <v>0.17741889892870266</v>
      </c>
      <c r="I29" s="58">
        <f t="shared" si="14"/>
        <v>0.20405522001725626</v>
      </c>
      <c r="J29" s="58">
        <f t="shared" si="14"/>
        <v>0.27597593554467442</v>
      </c>
      <c r="K29" s="58">
        <f t="shared" si="14"/>
        <v>0.17228687671492099</v>
      </c>
      <c r="L29" s="58">
        <f t="shared" si="14"/>
        <v>0.18960318835557097</v>
      </c>
      <c r="M29" s="58">
        <f t="shared" si="14"/>
        <v>0.1779382721719561</v>
      </c>
      <c r="N29" s="58">
        <f t="shared" si="14"/>
        <v>0.16455378309961025</v>
      </c>
      <c r="O29" s="58">
        <f t="shared" si="14"/>
        <v>0.20860759958504319</v>
      </c>
    </row>
    <row r="30" spans="1:15" hidden="1" x14ac:dyDescent="0.35">
      <c r="A30" s="57">
        <f>'Distribution Dashboard'!A21</f>
        <v>0</v>
      </c>
      <c r="B30" s="57" t="str">
        <f>'Distribution Dashboard'!B21</f>
        <v>Amount Billed Water</v>
      </c>
      <c r="C30" s="57" t="str">
        <f>'Distribution Dashboard'!C21</f>
        <v>KES</v>
      </c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</row>
    <row r="31" spans="1:15" hidden="1" x14ac:dyDescent="0.35">
      <c r="A31" s="57">
        <f>'Distribution Dashboard'!A22</f>
        <v>0</v>
      </c>
      <c r="B31" s="57" t="str">
        <f>'Distribution Dashboard'!B22</f>
        <v>Amount Billed Sewer</v>
      </c>
      <c r="C31" s="57" t="str">
        <f>'Distribution Dashboard'!C22</f>
        <v>KES</v>
      </c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</row>
    <row r="32" spans="1:15" hidden="1" x14ac:dyDescent="0.35">
      <c r="A32" s="57">
        <f>'Distribution Dashboard'!A23</f>
        <v>0</v>
      </c>
      <c r="B32" s="57" t="str">
        <f>'Distribution Dashboard'!B23</f>
        <v>Number of Active water Connections</v>
      </c>
      <c r="C32" s="57" t="str">
        <f>'Distribution Dashboard'!C23</f>
        <v>KES</v>
      </c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</row>
    <row r="33" spans="1:16" hidden="1" x14ac:dyDescent="0.35">
      <c r="A33" s="57">
        <f>'Distribution Dashboard'!A24</f>
        <v>0</v>
      </c>
      <c r="B33" s="57" t="str">
        <f>'Distribution Dashboard'!B24</f>
        <v>Number of Active sewer Connections</v>
      </c>
      <c r="C33" s="57" t="str">
        <f>'Distribution Dashboard'!C24</f>
        <v>KES</v>
      </c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</row>
    <row r="34" spans="1:16" x14ac:dyDescent="0.35">
      <c r="A34" s="57">
        <f>'Distribution Dashboard'!A25</f>
        <v>0</v>
      </c>
      <c r="B34" s="57" t="str">
        <f>'Distribution Dashboard'!B25</f>
        <v>SOUTHERN REGION: MAI MAHIU,KAMERE,HELLSGATE</v>
      </c>
      <c r="C34" s="57">
        <f>'Distribution Dashboard'!C25</f>
        <v>0</v>
      </c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</row>
    <row r="35" spans="1:16" x14ac:dyDescent="0.35">
      <c r="A35" s="57" t="str">
        <f>'Distribution Dashboard'!A26</f>
        <v>RA6 (B)</v>
      </c>
      <c r="B35" s="57" t="str">
        <f>'Distribution Dashboard'!B26</f>
        <v>Volume Water Supplied</v>
      </c>
      <c r="C35" s="57" t="str">
        <f>'Distribution Dashboard'!C26</f>
        <v>m3</v>
      </c>
      <c r="D35" s="59">
        <f>D79+D85+D103+D121</f>
        <v>54389</v>
      </c>
      <c r="E35" s="59">
        <f t="shared" ref="E35:O35" si="15">E79+E85+E103+E121</f>
        <v>64256</v>
      </c>
      <c r="F35" s="59">
        <f t="shared" si="15"/>
        <v>69964</v>
      </c>
      <c r="G35" s="59">
        <f t="shared" si="15"/>
        <v>71873</v>
      </c>
      <c r="H35" s="59">
        <f t="shared" si="15"/>
        <v>85219</v>
      </c>
      <c r="I35" s="59">
        <f t="shared" si="15"/>
        <v>47666</v>
      </c>
      <c r="J35" s="59">
        <f t="shared" si="15"/>
        <v>86546</v>
      </c>
      <c r="K35" s="59">
        <f t="shared" si="15"/>
        <v>74230</v>
      </c>
      <c r="L35" s="59">
        <f t="shared" si="15"/>
        <v>70750</v>
      </c>
      <c r="M35" s="59">
        <f t="shared" si="15"/>
        <v>55754</v>
      </c>
      <c r="N35" s="59">
        <f t="shared" si="15"/>
        <v>64762</v>
      </c>
      <c r="O35" s="59">
        <f t="shared" si="15"/>
        <v>68068</v>
      </c>
    </row>
    <row r="36" spans="1:16" x14ac:dyDescent="0.35">
      <c r="A36" s="57" t="str">
        <f>'Distribution Dashboard'!A27</f>
        <v>RB2</v>
      </c>
      <c r="B36" s="57" t="str">
        <f>'Distribution Dashboard'!B27</f>
        <v>Volume Water Sold</v>
      </c>
      <c r="C36" s="57" t="str">
        <f>'Distribution Dashboard'!C27</f>
        <v>m3</v>
      </c>
      <c r="D36" s="59">
        <f>D80+D86+D104+D122</f>
        <v>41618</v>
      </c>
      <c r="E36" s="59">
        <f t="shared" ref="E36:O36" si="16">E80+E86+E104+E122</f>
        <v>45120</v>
      </c>
      <c r="F36" s="59">
        <f t="shared" si="16"/>
        <v>50207</v>
      </c>
      <c r="G36" s="59">
        <f t="shared" si="16"/>
        <v>47973</v>
      </c>
      <c r="H36" s="59">
        <f t="shared" si="16"/>
        <v>60240</v>
      </c>
      <c r="I36" s="59">
        <f t="shared" si="16"/>
        <v>33336</v>
      </c>
      <c r="J36" s="59">
        <f t="shared" si="16"/>
        <v>53103</v>
      </c>
      <c r="K36" s="59">
        <f t="shared" si="16"/>
        <v>49874</v>
      </c>
      <c r="L36" s="59">
        <f t="shared" si="16"/>
        <v>52781</v>
      </c>
      <c r="M36" s="59">
        <f t="shared" si="16"/>
        <v>37599</v>
      </c>
      <c r="N36" s="59">
        <f t="shared" si="16"/>
        <v>42659</v>
      </c>
      <c r="O36" s="59">
        <f t="shared" si="16"/>
        <v>48039</v>
      </c>
    </row>
    <row r="37" spans="1:16" x14ac:dyDescent="0.35">
      <c r="A37" s="57" t="str">
        <f>'Distribution Dashboard'!A28</f>
        <v>RB3 (2)</v>
      </c>
      <c r="B37" s="57" t="str">
        <f>'Distribution Dashboard'!B28</f>
        <v>NRW</v>
      </c>
      <c r="C37" s="57" t="str">
        <f>'Distribution Dashboard'!C28</f>
        <v>m3</v>
      </c>
      <c r="D37" s="65">
        <f>D35-D36</f>
        <v>12771</v>
      </c>
      <c r="E37" s="65">
        <f t="shared" ref="E37:O37" si="17">E35-E36</f>
        <v>19136</v>
      </c>
      <c r="F37" s="65">
        <f t="shared" si="17"/>
        <v>19757</v>
      </c>
      <c r="G37" s="65">
        <f t="shared" si="17"/>
        <v>23900</v>
      </c>
      <c r="H37" s="65">
        <f t="shared" si="17"/>
        <v>24979</v>
      </c>
      <c r="I37" s="65">
        <f t="shared" si="17"/>
        <v>14330</v>
      </c>
      <c r="J37" s="65">
        <f t="shared" si="17"/>
        <v>33443</v>
      </c>
      <c r="K37" s="65">
        <f t="shared" si="17"/>
        <v>24356</v>
      </c>
      <c r="L37" s="65">
        <f t="shared" si="17"/>
        <v>17969</v>
      </c>
      <c r="M37" s="65">
        <f t="shared" si="17"/>
        <v>18155</v>
      </c>
      <c r="N37" s="65">
        <f t="shared" si="17"/>
        <v>22103</v>
      </c>
      <c r="O37" s="65">
        <f t="shared" si="17"/>
        <v>20029</v>
      </c>
    </row>
    <row r="38" spans="1:16" x14ac:dyDescent="0.35">
      <c r="A38" s="57" t="str">
        <f>'Distribution Dashboard'!A29</f>
        <v>RB4</v>
      </c>
      <c r="B38" s="57" t="str">
        <f>'Distribution Dashboard'!B29</f>
        <v>NRW</v>
      </c>
      <c r="C38" s="57" t="str">
        <f>'Distribution Dashboard'!C29</f>
        <v>%</v>
      </c>
      <c r="D38" s="58">
        <f>D37/D35</f>
        <v>0.23480850907352591</v>
      </c>
      <c r="E38" s="58">
        <f t="shared" ref="E38:O38" si="18">E37/E35</f>
        <v>0.29780876494023906</v>
      </c>
      <c r="F38" s="58">
        <f t="shared" si="18"/>
        <v>0.28238808530101195</v>
      </c>
      <c r="G38" s="58">
        <f t="shared" si="18"/>
        <v>0.33253099216673854</v>
      </c>
      <c r="H38" s="58">
        <f t="shared" si="18"/>
        <v>0.29311538506671048</v>
      </c>
      <c r="I38" s="58">
        <f t="shared" si="18"/>
        <v>0.30063357529475937</v>
      </c>
      <c r="J38" s="58">
        <f t="shared" si="18"/>
        <v>0.38641878307489658</v>
      </c>
      <c r="K38" s="58">
        <f t="shared" si="18"/>
        <v>0.32811531725717363</v>
      </c>
      <c r="L38" s="58">
        <f t="shared" si="18"/>
        <v>0.25397879858657246</v>
      </c>
      <c r="M38" s="58">
        <f t="shared" si="18"/>
        <v>0.32562686085303294</v>
      </c>
      <c r="N38" s="58">
        <f t="shared" si="18"/>
        <v>0.34129582162379174</v>
      </c>
      <c r="O38" s="58">
        <f t="shared" si="18"/>
        <v>0.29424986777927953</v>
      </c>
    </row>
    <row r="39" spans="1:16" x14ac:dyDescent="0.35">
      <c r="A39" s="57">
        <f>'Distribution Dashboard'!A30</f>
        <v>0</v>
      </c>
      <c r="B39" s="57" t="str">
        <f>'Distribution Dashboard'!B30</f>
        <v>EASTERN REGION: KAYOLE,GONDI, KINUNGI,NJONJORO</v>
      </c>
      <c r="C39" s="57">
        <f>'Distribution Dashboard'!C30</f>
        <v>0</v>
      </c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</row>
    <row r="40" spans="1:16" x14ac:dyDescent="0.35">
      <c r="A40" s="57" t="str">
        <f>'Distribution Dashboard'!A31</f>
        <v>RA6 (B) (2)</v>
      </c>
      <c r="B40" s="57" t="str">
        <f>'Distribution Dashboard'!B31</f>
        <v>Volume Water Supplied</v>
      </c>
      <c r="C40" s="57" t="str">
        <f>'Distribution Dashboard'!C31</f>
        <v>m3</v>
      </c>
      <c r="D40" s="59">
        <f>D97+D125</f>
        <v>33056</v>
      </c>
      <c r="E40" s="59">
        <f t="shared" ref="E40:O40" si="19">E97+E125</f>
        <v>39909</v>
      </c>
      <c r="F40" s="59">
        <f t="shared" si="19"/>
        <v>35284</v>
      </c>
      <c r="G40" s="59">
        <f t="shared" si="19"/>
        <v>38123</v>
      </c>
      <c r="H40" s="59">
        <f t="shared" si="19"/>
        <v>39016</v>
      </c>
      <c r="I40" s="59">
        <f t="shared" si="19"/>
        <v>29559</v>
      </c>
      <c r="J40" s="59">
        <f t="shared" si="19"/>
        <v>39778</v>
      </c>
      <c r="K40" s="59">
        <f t="shared" si="19"/>
        <v>36889</v>
      </c>
      <c r="L40" s="59">
        <f t="shared" si="19"/>
        <v>44066</v>
      </c>
      <c r="M40" s="59">
        <f t="shared" si="19"/>
        <v>32495</v>
      </c>
      <c r="N40" s="59">
        <f t="shared" si="19"/>
        <v>43409</v>
      </c>
      <c r="O40" s="59">
        <f t="shared" si="19"/>
        <v>47240</v>
      </c>
    </row>
    <row r="41" spans="1:16" x14ac:dyDescent="0.35">
      <c r="A41" s="57" t="str">
        <f>'Distribution Dashboard'!A32</f>
        <v>RB2 (3)</v>
      </c>
      <c r="B41" s="57" t="str">
        <f>'Distribution Dashboard'!B32</f>
        <v>Volume Water Sold</v>
      </c>
      <c r="C41" s="57" t="str">
        <f>'Distribution Dashboard'!C32</f>
        <v>m3</v>
      </c>
      <c r="D41" s="59">
        <f>D98+D126</f>
        <v>26497</v>
      </c>
      <c r="E41" s="59">
        <f t="shared" ref="E41:O41" si="20">E98+E126</f>
        <v>29718</v>
      </c>
      <c r="F41" s="59">
        <f t="shared" si="20"/>
        <v>32245</v>
      </c>
      <c r="G41" s="59">
        <f t="shared" si="20"/>
        <v>30200</v>
      </c>
      <c r="H41" s="59">
        <f t="shared" si="20"/>
        <v>32349</v>
      </c>
      <c r="I41" s="59">
        <f t="shared" si="20"/>
        <v>24184</v>
      </c>
      <c r="J41" s="59">
        <f t="shared" si="20"/>
        <v>29173</v>
      </c>
      <c r="K41" s="59">
        <f t="shared" si="20"/>
        <v>28120</v>
      </c>
      <c r="L41" s="59">
        <f t="shared" si="20"/>
        <v>29681</v>
      </c>
      <c r="M41" s="59">
        <f t="shared" si="20"/>
        <v>26294</v>
      </c>
      <c r="N41" s="59">
        <f t="shared" si="20"/>
        <v>27869</v>
      </c>
      <c r="O41" s="59">
        <f t="shared" si="20"/>
        <v>30668</v>
      </c>
    </row>
    <row r="42" spans="1:16" x14ac:dyDescent="0.35">
      <c r="A42" s="57" t="str">
        <f>'Distribution Dashboard'!A33</f>
        <v>RB3 (3)</v>
      </c>
      <c r="B42" s="57" t="str">
        <f>'Distribution Dashboard'!B33</f>
        <v>NRW</v>
      </c>
      <c r="C42" s="57" t="str">
        <f>'Distribution Dashboard'!C33</f>
        <v>m3</v>
      </c>
      <c r="D42" s="72">
        <f t="shared" ref="D42" si="21">D40-D41</f>
        <v>6559</v>
      </c>
      <c r="E42" s="72">
        <f t="shared" ref="E42:O42" si="22">E40-E41</f>
        <v>10191</v>
      </c>
      <c r="F42" s="72">
        <f t="shared" si="22"/>
        <v>3039</v>
      </c>
      <c r="G42" s="72">
        <f t="shared" si="22"/>
        <v>7923</v>
      </c>
      <c r="H42" s="72">
        <f t="shared" si="22"/>
        <v>6667</v>
      </c>
      <c r="I42" s="72">
        <f t="shared" si="22"/>
        <v>5375</v>
      </c>
      <c r="J42" s="72">
        <f t="shared" si="22"/>
        <v>10605</v>
      </c>
      <c r="K42" s="72">
        <f t="shared" si="22"/>
        <v>8769</v>
      </c>
      <c r="L42" s="72">
        <f t="shared" si="22"/>
        <v>14385</v>
      </c>
      <c r="M42" s="72">
        <f t="shared" si="22"/>
        <v>6201</v>
      </c>
      <c r="N42" s="72">
        <f t="shared" si="22"/>
        <v>15540</v>
      </c>
      <c r="O42" s="72">
        <f t="shared" si="22"/>
        <v>16572</v>
      </c>
    </row>
    <row r="43" spans="1:16" x14ac:dyDescent="0.35">
      <c r="A43" s="57" t="str">
        <f>'Distribution Dashboard'!A33</f>
        <v>RB3 (3)</v>
      </c>
      <c r="B43" s="57" t="str">
        <f>'Distribution Dashboard'!B34</f>
        <v>NRW</v>
      </c>
      <c r="C43" s="57" t="str">
        <f>'Distribution Dashboard'!C33</f>
        <v>m3</v>
      </c>
      <c r="D43" s="58">
        <f>D42/D40</f>
        <v>0.19842086156824781</v>
      </c>
      <c r="E43" s="58">
        <f t="shared" ref="E43:O43" si="23">E42/E40</f>
        <v>0.25535593475155982</v>
      </c>
      <c r="F43" s="58">
        <f t="shared" si="23"/>
        <v>8.6129690511279902E-2</v>
      </c>
      <c r="G43" s="58">
        <f t="shared" si="23"/>
        <v>0.20782729585814338</v>
      </c>
      <c r="H43" s="58">
        <f t="shared" si="23"/>
        <v>0.17087861390198894</v>
      </c>
      <c r="I43" s="58">
        <f t="shared" si="23"/>
        <v>0.1818397104096891</v>
      </c>
      <c r="J43" s="58">
        <f t="shared" si="23"/>
        <v>0.2666046558399115</v>
      </c>
      <c r="K43" s="58">
        <f t="shared" si="23"/>
        <v>0.23771313941825475</v>
      </c>
      <c r="L43" s="58">
        <f t="shared" si="23"/>
        <v>0.3264421549493941</v>
      </c>
      <c r="M43" s="58">
        <f t="shared" si="23"/>
        <v>0.19082935836282505</v>
      </c>
      <c r="N43" s="58">
        <f t="shared" si="23"/>
        <v>0.35799027851367227</v>
      </c>
      <c r="O43" s="58">
        <f t="shared" si="23"/>
        <v>0.35080440304826416</v>
      </c>
    </row>
    <row r="44" spans="1:16" x14ac:dyDescent="0.35">
      <c r="A44" s="57" t="str">
        <f>'Distribution Dashboard'!A34</f>
        <v>RB4 (2)</v>
      </c>
      <c r="B44" s="57" t="str">
        <f>'Distribution Dashboard'!B35</f>
        <v>ZONE - CBD</v>
      </c>
      <c r="C44" s="57" t="str">
        <f>'Distribution Dashboard'!C34</f>
        <v>%</v>
      </c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</row>
    <row r="45" spans="1:16" x14ac:dyDescent="0.35">
      <c r="A45" s="57">
        <f>'Distribution Dashboard'!A36</f>
        <v>101</v>
      </c>
      <c r="B45" s="57" t="str">
        <f>'Distribution Dashboard'!B36</f>
        <v>Volume Water Supplied</v>
      </c>
      <c r="C45" s="57" t="str">
        <f>'Distribution Dashboard'!C36</f>
        <v>m3</v>
      </c>
      <c r="D45" s="59">
        <v>19112</v>
      </c>
      <c r="E45" s="59">
        <v>23869</v>
      </c>
      <c r="F45" s="59">
        <v>20294</v>
      </c>
      <c r="G45" s="59">
        <v>23120</v>
      </c>
      <c r="H45" s="59">
        <v>22054</v>
      </c>
      <c r="I45" s="59">
        <v>15058</v>
      </c>
      <c r="J45">
        <v>30251</v>
      </c>
      <c r="K45" s="59">
        <v>21435</v>
      </c>
      <c r="L45" s="59">
        <v>22177</v>
      </c>
      <c r="M45" s="59">
        <v>21609</v>
      </c>
      <c r="N45" s="59">
        <v>22267</v>
      </c>
      <c r="O45" s="59">
        <v>22668</v>
      </c>
    </row>
    <row r="46" spans="1:16" x14ac:dyDescent="0.35">
      <c r="A46" s="57">
        <f>'Distribution Dashboard'!A37</f>
        <v>108</v>
      </c>
      <c r="B46" s="57" t="str">
        <f>'Distribution Dashboard'!B37</f>
        <v>Volume Water Sold</v>
      </c>
      <c r="C46" s="57" t="str">
        <f>'Distribution Dashboard'!C37</f>
        <v>m3</v>
      </c>
      <c r="D46" s="59">
        <v>15333</v>
      </c>
      <c r="E46" s="59">
        <v>18128</v>
      </c>
      <c r="F46" s="59">
        <v>15348</v>
      </c>
      <c r="G46" s="59">
        <v>17288</v>
      </c>
      <c r="H46" s="59">
        <v>16464</v>
      </c>
      <c r="I46" s="59">
        <v>11402</v>
      </c>
      <c r="J46" s="59">
        <v>21639</v>
      </c>
      <c r="K46" s="59">
        <v>16771</v>
      </c>
      <c r="L46" s="59">
        <v>16898</v>
      </c>
      <c r="M46" s="59">
        <v>14822</v>
      </c>
      <c r="N46" s="59">
        <v>15647</v>
      </c>
      <c r="O46" s="89">
        <v>15127</v>
      </c>
    </row>
    <row r="47" spans="1:16" x14ac:dyDescent="0.35">
      <c r="A47" s="57">
        <f>'Distribution Dashboard'!A38</f>
        <v>122</v>
      </c>
      <c r="B47" s="57" t="str">
        <f>'Distribution Dashboard'!B38</f>
        <v>NRW</v>
      </c>
      <c r="C47" s="57" t="str">
        <f>'Distribution Dashboard'!C38</f>
        <v>%</v>
      </c>
      <c r="D47" s="58">
        <f>(D45-D46)/D45</f>
        <v>0.19772917538719129</v>
      </c>
      <c r="E47" s="58">
        <f>(E45-E46)/E45</f>
        <v>0.2405211780971134</v>
      </c>
      <c r="F47" s="58">
        <f t="shared" ref="F47:O47" si="24">(F45-F46)/F45</f>
        <v>0.24371735488321672</v>
      </c>
      <c r="G47" s="58">
        <f t="shared" si="24"/>
        <v>0.25224913494809686</v>
      </c>
      <c r="H47" s="58">
        <f t="shared" si="24"/>
        <v>0.25346875850185907</v>
      </c>
      <c r="I47" s="58">
        <f t="shared" si="24"/>
        <v>0.24279452782574046</v>
      </c>
      <c r="J47" s="58">
        <f t="shared" si="24"/>
        <v>0.2846848038081386</v>
      </c>
      <c r="K47" s="58">
        <f t="shared" si="24"/>
        <v>0.21758805691625846</v>
      </c>
      <c r="L47" s="58">
        <f t="shared" si="24"/>
        <v>0.2380394101997565</v>
      </c>
      <c r="M47" s="58">
        <f t="shared" si="24"/>
        <v>0.31408209542320331</v>
      </c>
      <c r="N47" s="58">
        <f t="shared" si="24"/>
        <v>0.29730093860870344</v>
      </c>
      <c r="O47" s="58">
        <f t="shared" si="24"/>
        <v>0.33267160755249692</v>
      </c>
      <c r="P47" s="61"/>
    </row>
    <row r="48" spans="1:16" hidden="1" x14ac:dyDescent="0.35">
      <c r="A48" s="57">
        <f>'Distribution Dashboard'!A39</f>
        <v>0</v>
      </c>
      <c r="B48" s="57" t="str">
        <f>'Distribution Dashboard'!B39</f>
        <v>Amount Billed Water</v>
      </c>
      <c r="C48" s="57" t="str">
        <f>'Distribution Dashboard'!C39</f>
        <v>KES</v>
      </c>
      <c r="D48" s="59"/>
      <c r="E48" s="59"/>
      <c r="F48" s="59"/>
      <c r="G48" s="66"/>
      <c r="H48" s="59"/>
      <c r="I48"/>
      <c r="J48" s="59"/>
      <c r="K48" s="59"/>
      <c r="L48" s="59"/>
      <c r="M48" s="59"/>
      <c r="N48" s="59"/>
      <c r="O48" s="59"/>
    </row>
    <row r="49" spans="1:15" hidden="1" x14ac:dyDescent="0.35">
      <c r="A49" s="57">
        <f>'Distribution Dashboard'!A40</f>
        <v>0</v>
      </c>
      <c r="B49" s="57" t="str">
        <f>'Distribution Dashboard'!B40</f>
        <v>Amount Billed Sewer</v>
      </c>
      <c r="C49" s="57" t="str">
        <f>'Distribution Dashboard'!C40</f>
        <v>KES</v>
      </c>
      <c r="D49" s="59"/>
      <c r="E49" s="59"/>
      <c r="F49" s="59"/>
      <c r="G49" s="66"/>
      <c r="H49" s="59"/>
      <c r="I49"/>
      <c r="J49" s="59"/>
      <c r="K49" s="59"/>
      <c r="L49" s="59"/>
      <c r="M49" s="59"/>
      <c r="N49" s="59"/>
      <c r="O49" s="59"/>
    </row>
    <row r="50" spans="1:15" x14ac:dyDescent="0.35">
      <c r="A50" s="57">
        <f>'Distribution Dashboard'!A41</f>
        <v>0</v>
      </c>
      <c r="B50" s="57" t="str">
        <f>'Distribution Dashboard'!B41</f>
        <v>ZONE - CCCR</v>
      </c>
      <c r="C50" s="57">
        <f>'Distribution Dashboard'!C41</f>
        <v>0</v>
      </c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</row>
    <row r="51" spans="1:15" x14ac:dyDescent="0.35">
      <c r="A51" s="57">
        <f>'Distribution Dashboard'!A42</f>
        <v>102</v>
      </c>
      <c r="B51" s="57" t="str">
        <f>'Distribution Dashboard'!B42</f>
        <v>Volume Water Supplied</v>
      </c>
      <c r="C51" s="57" t="str">
        <f>'Distribution Dashboard'!C42</f>
        <v>m3</v>
      </c>
      <c r="D51" s="59">
        <v>16236</v>
      </c>
      <c r="E51" s="59">
        <v>22065</v>
      </c>
      <c r="F51" s="59">
        <v>17891</v>
      </c>
      <c r="G51" s="59">
        <v>19851</v>
      </c>
      <c r="H51" s="59">
        <v>19526</v>
      </c>
      <c r="I51" s="59">
        <v>14104</v>
      </c>
      <c r="J51" s="59">
        <v>25367</v>
      </c>
      <c r="K51" s="59">
        <v>19845</v>
      </c>
      <c r="L51" s="59">
        <v>19606</v>
      </c>
      <c r="M51" s="59">
        <v>15629</v>
      </c>
      <c r="N51" s="59">
        <v>21957</v>
      </c>
      <c r="O51" s="59">
        <v>21851</v>
      </c>
    </row>
    <row r="52" spans="1:15" x14ac:dyDescent="0.35">
      <c r="A52" s="57">
        <f>'Distribution Dashboard'!A43</f>
        <v>109</v>
      </c>
      <c r="B52" s="57" t="str">
        <f>'Distribution Dashboard'!B43</f>
        <v>Volume Water Sold</v>
      </c>
      <c r="C52" s="57" t="str">
        <f>'Distribution Dashboard'!C43</f>
        <v>m3</v>
      </c>
      <c r="D52" s="59">
        <v>13187</v>
      </c>
      <c r="E52" s="59">
        <v>19014</v>
      </c>
      <c r="F52" s="59">
        <v>14518</v>
      </c>
      <c r="G52" s="59">
        <v>15348</v>
      </c>
      <c r="H52" s="59">
        <v>15020</v>
      </c>
      <c r="I52" s="59">
        <v>11149</v>
      </c>
      <c r="J52" s="59">
        <v>18653</v>
      </c>
      <c r="K52" s="59">
        <v>16512</v>
      </c>
      <c r="L52" s="59">
        <v>16356</v>
      </c>
      <c r="M52" s="59">
        <v>14401</v>
      </c>
      <c r="N52" s="59">
        <v>18218</v>
      </c>
      <c r="O52" s="89">
        <v>18443</v>
      </c>
    </row>
    <row r="53" spans="1:15" x14ac:dyDescent="0.35">
      <c r="A53" s="57">
        <f>'Distribution Dashboard'!A44</f>
        <v>123</v>
      </c>
      <c r="B53" s="57" t="str">
        <f>'Distribution Dashboard'!B44</f>
        <v>NRW</v>
      </c>
      <c r="C53" s="57" t="str">
        <f>'Distribution Dashboard'!C44</f>
        <v>%</v>
      </c>
      <c r="D53" s="58">
        <f>(D51-D52)/D51</f>
        <v>0.18779255974377926</v>
      </c>
      <c r="E53" s="58">
        <f t="shared" ref="E53:O53" si="25">(E51-E52)/E51</f>
        <v>0.13827328348062543</v>
      </c>
      <c r="F53" s="58">
        <f t="shared" si="25"/>
        <v>0.18853054608462355</v>
      </c>
      <c r="G53" s="58">
        <f t="shared" si="25"/>
        <v>0.2268399576847514</v>
      </c>
      <c r="H53" s="58">
        <f t="shared" si="25"/>
        <v>0.23076923076923078</v>
      </c>
      <c r="I53" s="58">
        <f t="shared" si="25"/>
        <v>0.2095150311968236</v>
      </c>
      <c r="J53" s="58">
        <f t="shared" si="25"/>
        <v>0.26467457720660703</v>
      </c>
      <c r="K53" s="58">
        <f t="shared" si="25"/>
        <v>0.16795162509448225</v>
      </c>
      <c r="L53" s="58">
        <f t="shared" si="25"/>
        <v>0.16576558196470467</v>
      </c>
      <c r="M53" s="58">
        <f t="shared" si="25"/>
        <v>7.8571885597287089E-2</v>
      </c>
      <c r="N53" s="58">
        <f t="shared" si="25"/>
        <v>0.17028737987885412</v>
      </c>
      <c r="O53" s="58">
        <f t="shared" si="25"/>
        <v>0.15596540204109652</v>
      </c>
    </row>
    <row r="54" spans="1:15" hidden="1" x14ac:dyDescent="0.35">
      <c r="A54" s="57">
        <f>'Distribution Dashboard'!A45</f>
        <v>0</v>
      </c>
      <c r="B54" s="57" t="str">
        <f>'Distribution Dashboard'!B45</f>
        <v>Amount Billed Water</v>
      </c>
      <c r="C54" s="57" t="str">
        <f>'Distribution Dashboard'!C45</f>
        <v>KES</v>
      </c>
      <c r="D54" s="59"/>
      <c r="E54" s="59"/>
      <c r="F54" s="59"/>
      <c r="G54" s="66"/>
      <c r="H54" s="59"/>
      <c r="I54"/>
      <c r="J54" s="59"/>
      <c r="K54" s="59"/>
      <c r="L54" s="59"/>
      <c r="M54" s="59"/>
      <c r="N54" s="59"/>
      <c r="O54" s="59"/>
    </row>
    <row r="55" spans="1:15" hidden="1" x14ac:dyDescent="0.35">
      <c r="A55" s="57">
        <f>'Distribution Dashboard'!A46</f>
        <v>0</v>
      </c>
      <c r="B55" s="57" t="str">
        <f>'Distribution Dashboard'!B46</f>
        <v>Amount Billed Sewer</v>
      </c>
      <c r="C55" s="57" t="str">
        <f>'Distribution Dashboard'!C46</f>
        <v>KES</v>
      </c>
      <c r="D55" s="59"/>
      <c r="E55" s="59"/>
      <c r="F55" s="59"/>
      <c r="G55" s="66"/>
      <c r="H55" s="59"/>
      <c r="I55"/>
      <c r="J55" s="59"/>
      <c r="K55" s="59"/>
      <c r="L55" s="59"/>
      <c r="M55" s="59"/>
      <c r="N55" s="59"/>
      <c r="O55" s="59"/>
    </row>
    <row r="56" spans="1:15" x14ac:dyDescent="0.35">
      <c r="A56" s="57">
        <f>'Distribution Dashboard'!A47</f>
        <v>0</v>
      </c>
      <c r="B56" s="57" t="str">
        <f>'Distribution Dashboard'!B47</f>
        <v>ZONE - LAKEVIEW</v>
      </c>
      <c r="C56" s="57">
        <f>'Distribution Dashboard'!C47</f>
        <v>0</v>
      </c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</row>
    <row r="57" spans="1:15" x14ac:dyDescent="0.35">
      <c r="A57" s="57">
        <f>'Distribution Dashboard'!A48</f>
        <v>104</v>
      </c>
      <c r="B57" s="57" t="str">
        <f>'Distribution Dashboard'!B48</f>
        <v>Volume Water Supplied</v>
      </c>
      <c r="C57" s="57" t="str">
        <f>'Distribution Dashboard'!C48</f>
        <v>m3</v>
      </c>
      <c r="D57" s="59">
        <v>29682</v>
      </c>
      <c r="E57" s="59">
        <v>27699</v>
      </c>
      <c r="F57" s="59">
        <v>25361</v>
      </c>
      <c r="G57" s="59">
        <v>26173</v>
      </c>
      <c r="H57" s="59">
        <v>25162</v>
      </c>
      <c r="I57" s="59">
        <v>17827</v>
      </c>
      <c r="J57" s="59">
        <v>33666</v>
      </c>
      <c r="K57" s="59">
        <v>27318</v>
      </c>
      <c r="L57" s="59">
        <v>31524</v>
      </c>
      <c r="M57" s="59">
        <v>17420</v>
      </c>
      <c r="N57" s="59">
        <v>21884</v>
      </c>
      <c r="O57" s="59">
        <v>27334</v>
      </c>
    </row>
    <row r="58" spans="1:15" x14ac:dyDescent="0.35">
      <c r="A58" s="57">
        <f>'Distribution Dashboard'!A49</f>
        <v>111</v>
      </c>
      <c r="B58" s="57" t="str">
        <f>'Distribution Dashboard'!B49</f>
        <v>Volume Water Sold</v>
      </c>
      <c r="C58" s="57" t="str">
        <f>'Distribution Dashboard'!C49</f>
        <v>m3</v>
      </c>
      <c r="D58" s="59">
        <v>22322</v>
      </c>
      <c r="E58" s="59">
        <v>22874</v>
      </c>
      <c r="F58" s="59">
        <v>20854</v>
      </c>
      <c r="G58" s="59">
        <v>19690</v>
      </c>
      <c r="H58" s="59">
        <v>22452</v>
      </c>
      <c r="I58" s="59">
        <v>13727</v>
      </c>
      <c r="J58" s="59">
        <v>22903</v>
      </c>
      <c r="K58" s="59">
        <f>25437-2716</f>
        <v>22721</v>
      </c>
      <c r="L58" s="59">
        <v>23737</v>
      </c>
      <c r="M58" s="59">
        <v>14918</v>
      </c>
      <c r="N58" s="59">
        <v>19396</v>
      </c>
      <c r="O58" s="89">
        <v>20427</v>
      </c>
    </row>
    <row r="59" spans="1:15" x14ac:dyDescent="0.35">
      <c r="A59" s="57">
        <f>'Distribution Dashboard'!A50</f>
        <v>125</v>
      </c>
      <c r="B59" s="57" t="str">
        <f>'Distribution Dashboard'!B50</f>
        <v>NRW</v>
      </c>
      <c r="C59" s="57" t="str">
        <f>'Distribution Dashboard'!C50</f>
        <v>%</v>
      </c>
      <c r="D59" s="58">
        <f>(D57-D58)/D57</f>
        <v>0.24796172764638502</v>
      </c>
      <c r="E59" s="58">
        <f t="shared" ref="E59:O59" si="26">(E57-E58)/E57</f>
        <v>0.17419401422434022</v>
      </c>
      <c r="F59" s="58">
        <f t="shared" si="26"/>
        <v>0.17771381254682386</v>
      </c>
      <c r="G59" s="58">
        <f t="shared" si="26"/>
        <v>0.24769800939899897</v>
      </c>
      <c r="H59" s="58">
        <f t="shared" si="26"/>
        <v>0.10770209045385899</v>
      </c>
      <c r="I59" s="58">
        <f t="shared" si="26"/>
        <v>0.22998822011555506</v>
      </c>
      <c r="J59" s="58">
        <f t="shared" si="26"/>
        <v>0.31969939998811858</v>
      </c>
      <c r="K59" s="58">
        <f t="shared" si="26"/>
        <v>0.16827732630500036</v>
      </c>
      <c r="L59" s="58">
        <f t="shared" si="26"/>
        <v>0.24701814490546886</v>
      </c>
      <c r="M59" s="58">
        <f t="shared" si="26"/>
        <v>0.1436280137772675</v>
      </c>
      <c r="N59" s="58">
        <f t="shared" si="26"/>
        <v>0.1136903673917017</v>
      </c>
      <c r="O59" s="58">
        <f t="shared" si="26"/>
        <v>0.25268895880588277</v>
      </c>
    </row>
    <row r="60" spans="1:15" hidden="1" x14ac:dyDescent="0.35">
      <c r="A60" s="57">
        <f>'Distribution Dashboard'!A51</f>
        <v>0</v>
      </c>
      <c r="B60" s="57" t="str">
        <f>'Distribution Dashboard'!B51</f>
        <v>Amount Billed Water</v>
      </c>
      <c r="C60" s="57" t="str">
        <f>'Distribution Dashboard'!C51</f>
        <v>KES</v>
      </c>
      <c r="D60" s="59"/>
      <c r="E60" s="59"/>
      <c r="F60" s="59"/>
      <c r="G60" s="66"/>
      <c r="H60" s="59"/>
      <c r="I60"/>
      <c r="J60" s="59"/>
      <c r="K60" s="59"/>
      <c r="L60" s="59"/>
      <c r="M60" s="59"/>
      <c r="N60" s="59"/>
      <c r="O60" s="59"/>
    </row>
    <row r="61" spans="1:15" hidden="1" x14ac:dyDescent="0.35">
      <c r="A61" s="57">
        <f>'Distribution Dashboard'!A52</f>
        <v>0</v>
      </c>
      <c r="B61" s="57" t="str">
        <f>'Distribution Dashboard'!B52</f>
        <v>Amount Billed Sewer</v>
      </c>
      <c r="C61" s="57" t="str">
        <f>'Distribution Dashboard'!C52</f>
        <v>KES</v>
      </c>
      <c r="D61" s="59"/>
      <c r="E61" s="59"/>
      <c r="F61" s="59"/>
      <c r="G61" s="66"/>
      <c r="H61" s="59"/>
      <c r="I61"/>
      <c r="J61" s="59"/>
      <c r="K61" s="59"/>
      <c r="L61" s="59"/>
      <c r="M61" s="59"/>
      <c r="N61" s="59"/>
      <c r="O61" s="59"/>
    </row>
    <row r="62" spans="1:15" x14ac:dyDescent="0.35">
      <c r="A62" s="57">
        <f>'Distribution Dashboard'!A53</f>
        <v>0</v>
      </c>
      <c r="B62" s="57" t="str">
        <f>'Distribution Dashboard'!B53</f>
        <v>ZONE - KABATI</v>
      </c>
      <c r="C62" s="57">
        <f>'Distribution Dashboard'!C53</f>
        <v>0</v>
      </c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</row>
    <row r="63" spans="1:15" x14ac:dyDescent="0.35">
      <c r="A63" s="57">
        <f>'Distribution Dashboard'!A54</f>
        <v>103</v>
      </c>
      <c r="B63" s="57" t="str">
        <f>'Distribution Dashboard'!B54</f>
        <v>Volume Water Supplied</v>
      </c>
      <c r="C63" s="57" t="str">
        <f>'Distribution Dashboard'!C54</f>
        <v>m3</v>
      </c>
      <c r="D63" s="59">
        <v>13873</v>
      </c>
      <c r="E63" s="59">
        <v>18468</v>
      </c>
      <c r="F63" s="59">
        <v>16003</v>
      </c>
      <c r="G63" s="59">
        <v>17425</v>
      </c>
      <c r="H63" s="59">
        <v>16584</v>
      </c>
      <c r="I63" s="59">
        <v>11489</v>
      </c>
      <c r="J63" s="59">
        <v>21782</v>
      </c>
      <c r="K63" s="59">
        <v>14988</v>
      </c>
      <c r="L63" s="59">
        <v>18296</v>
      </c>
      <c r="M63" s="59">
        <v>14499</v>
      </c>
      <c r="N63" s="59">
        <v>14001</v>
      </c>
      <c r="O63" s="59">
        <v>15536</v>
      </c>
    </row>
    <row r="64" spans="1:15" x14ac:dyDescent="0.35">
      <c r="A64" s="57">
        <f>'Distribution Dashboard'!A55</f>
        <v>110</v>
      </c>
      <c r="B64" s="57" t="str">
        <f>'Distribution Dashboard'!B55</f>
        <v>Volume Water Sold</v>
      </c>
      <c r="C64" s="57" t="str">
        <f>'Distribution Dashboard'!C55</f>
        <v>m3</v>
      </c>
      <c r="D64" s="59">
        <v>10925</v>
      </c>
      <c r="E64" s="59">
        <v>14744</v>
      </c>
      <c r="F64" s="59">
        <v>12771</v>
      </c>
      <c r="G64" s="59">
        <v>12933</v>
      </c>
      <c r="H64" s="59">
        <v>14236</v>
      </c>
      <c r="I64" s="59">
        <v>9726</v>
      </c>
      <c r="J64" s="59">
        <v>16508</v>
      </c>
      <c r="K64" s="59">
        <v>13532</v>
      </c>
      <c r="L64" s="59">
        <v>15434</v>
      </c>
      <c r="M64" s="59">
        <v>11461</v>
      </c>
      <c r="N64" s="59">
        <v>12714</v>
      </c>
      <c r="O64" s="89">
        <v>13254</v>
      </c>
    </row>
    <row r="65" spans="1:15" x14ac:dyDescent="0.35">
      <c r="A65" s="57">
        <f>'Distribution Dashboard'!A56</f>
        <v>124</v>
      </c>
      <c r="B65" s="57" t="str">
        <f>'Distribution Dashboard'!B56</f>
        <v>NRW</v>
      </c>
      <c r="C65" s="57" t="str">
        <f>'Distribution Dashboard'!C56</f>
        <v>%</v>
      </c>
      <c r="D65" s="58">
        <f>(D63-D64)/D63</f>
        <v>0.21249909896922078</v>
      </c>
      <c r="E65" s="58">
        <f t="shared" ref="E65:O65" si="27">(E63-E64)/E63</f>
        <v>0.20164609053497942</v>
      </c>
      <c r="F65" s="58">
        <f t="shared" si="27"/>
        <v>0.2019621321002312</v>
      </c>
      <c r="G65" s="58">
        <f t="shared" si="27"/>
        <v>0.25779053084648496</v>
      </c>
      <c r="H65" s="58">
        <f t="shared" si="27"/>
        <v>0.14158224794983115</v>
      </c>
      <c r="I65" s="58">
        <f t="shared" si="27"/>
        <v>0.15345112716511447</v>
      </c>
      <c r="J65" s="58">
        <f t="shared" si="27"/>
        <v>0.24212652648976218</v>
      </c>
      <c r="K65" s="58">
        <f t="shared" si="27"/>
        <v>9.7144382172404592E-2</v>
      </c>
      <c r="L65" s="58">
        <f t="shared" si="27"/>
        <v>0.15642763445561872</v>
      </c>
      <c r="M65" s="58">
        <f t="shared" si="27"/>
        <v>0.2095316918408166</v>
      </c>
      <c r="N65" s="58">
        <f t="shared" si="27"/>
        <v>9.1922005571030641E-2</v>
      </c>
      <c r="O65" s="58">
        <f t="shared" si="27"/>
        <v>0.14688465499485068</v>
      </c>
    </row>
    <row r="66" spans="1:15" hidden="1" x14ac:dyDescent="0.35">
      <c r="A66" s="57">
        <f>'Distribution Dashboard'!A57</f>
        <v>0</v>
      </c>
      <c r="B66" s="57" t="str">
        <f>'Distribution Dashboard'!B57</f>
        <v xml:space="preserve">Amount Billed </v>
      </c>
      <c r="C66" s="57" t="str">
        <f>'Distribution Dashboard'!C57</f>
        <v>KES</v>
      </c>
      <c r="D66" s="59"/>
      <c r="E66" s="59"/>
      <c r="F66" s="59"/>
      <c r="G66" s="66"/>
      <c r="H66" s="59"/>
      <c r="I66"/>
      <c r="J66" s="59"/>
      <c r="K66" s="59"/>
      <c r="L66" s="59"/>
      <c r="M66" s="59"/>
      <c r="N66" s="59"/>
      <c r="O66" s="59"/>
    </row>
    <row r="67" spans="1:15" hidden="1" x14ac:dyDescent="0.35">
      <c r="A67" s="57">
        <f>'Distribution Dashboard'!A58</f>
        <v>0</v>
      </c>
      <c r="B67" s="57" t="str">
        <f>'Distribution Dashboard'!B58</f>
        <v>Amount Billed Sewer</v>
      </c>
      <c r="C67" s="57" t="str">
        <f>'Distribution Dashboard'!C58</f>
        <v>KES</v>
      </c>
      <c r="D67" s="59"/>
      <c r="E67" s="59"/>
      <c r="F67" s="59"/>
      <c r="G67" s="66"/>
      <c r="H67" s="59"/>
      <c r="I67"/>
      <c r="J67" s="59"/>
      <c r="K67" s="59"/>
      <c r="L67" s="59"/>
      <c r="M67" s="59"/>
      <c r="N67" s="59"/>
      <c r="O67" s="59"/>
    </row>
    <row r="68" spans="1:15" x14ac:dyDescent="0.35">
      <c r="A68" s="57">
        <f>'Distribution Dashboard'!A59</f>
        <v>0</v>
      </c>
      <c r="B68" s="57" t="str">
        <f>'Distribution Dashboard'!B59</f>
        <v>ZONE - SITE AND SERVICES</v>
      </c>
      <c r="C68" s="57">
        <f>'Distribution Dashboard'!C59</f>
        <v>0</v>
      </c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</row>
    <row r="69" spans="1:15" x14ac:dyDescent="0.35">
      <c r="A69" s="57">
        <f>'Distribution Dashboard'!A60</f>
        <v>105</v>
      </c>
      <c r="B69" s="57" t="str">
        <f>'Distribution Dashboard'!B60</f>
        <v>Volume Water Supplied</v>
      </c>
      <c r="C69" s="57" t="str">
        <f>'Distribution Dashboard'!C60</f>
        <v>m3</v>
      </c>
      <c r="D69" s="59">
        <v>11520</v>
      </c>
      <c r="E69" s="59">
        <v>12895</v>
      </c>
      <c r="F69" s="59">
        <v>12355</v>
      </c>
      <c r="G69" s="59">
        <v>13424</v>
      </c>
      <c r="H69" s="59">
        <v>13622</v>
      </c>
      <c r="I69" s="59">
        <v>10061</v>
      </c>
      <c r="J69" s="59">
        <v>18043</v>
      </c>
      <c r="K69" s="59">
        <v>13219</v>
      </c>
      <c r="L69" s="59">
        <v>13964</v>
      </c>
      <c r="M69" s="59">
        <v>10907</v>
      </c>
      <c r="N69" s="59">
        <v>11166</v>
      </c>
      <c r="O69" s="59">
        <v>12006</v>
      </c>
    </row>
    <row r="70" spans="1:15" x14ac:dyDescent="0.35">
      <c r="A70" s="57">
        <f>'Distribution Dashboard'!A61</f>
        <v>112</v>
      </c>
      <c r="B70" s="57" t="str">
        <f>'Distribution Dashboard'!B61</f>
        <v>Volume Water Sold</v>
      </c>
      <c r="C70" s="57" t="str">
        <f>'Distribution Dashboard'!C61</f>
        <v>m3</v>
      </c>
      <c r="D70" s="59">
        <v>9865</v>
      </c>
      <c r="E70" s="59">
        <v>11182</v>
      </c>
      <c r="F70" s="59">
        <v>9917</v>
      </c>
      <c r="G70" s="59">
        <v>10893</v>
      </c>
      <c r="H70" s="59">
        <v>10729</v>
      </c>
      <c r="I70" s="59">
        <v>7857</v>
      </c>
      <c r="J70" s="59">
        <v>13498</v>
      </c>
      <c r="K70" s="59">
        <v>10409</v>
      </c>
      <c r="L70" s="59">
        <v>12309</v>
      </c>
      <c r="M70" s="59">
        <v>9620</v>
      </c>
      <c r="N70" s="59">
        <v>10093</v>
      </c>
      <c r="O70" s="89">
        <v>10844</v>
      </c>
    </row>
    <row r="71" spans="1:15" x14ac:dyDescent="0.35">
      <c r="A71" s="57">
        <f>'Distribution Dashboard'!A62</f>
        <v>126</v>
      </c>
      <c r="B71" s="57" t="str">
        <f>'Distribution Dashboard'!B62</f>
        <v>NRW</v>
      </c>
      <c r="C71" s="57" t="str">
        <f>'Distribution Dashboard'!C62</f>
        <v>%</v>
      </c>
      <c r="D71" s="58">
        <f>(D69-D70)/D69</f>
        <v>0.14366319444444445</v>
      </c>
      <c r="E71" s="58">
        <f t="shared" ref="E71:O71" si="28">(E69-E70)/E69</f>
        <v>0.13284218689414501</v>
      </c>
      <c r="F71" s="58">
        <f>(F69-F70)/F69</f>
        <v>0.19732901659247268</v>
      </c>
      <c r="G71" s="58">
        <f t="shared" si="28"/>
        <v>0.18854290822407629</v>
      </c>
      <c r="H71" s="58">
        <f t="shared" si="28"/>
        <v>0.21237703714579356</v>
      </c>
      <c r="I71" s="58">
        <f t="shared" si="28"/>
        <v>0.21906371136069974</v>
      </c>
      <c r="J71" s="58">
        <f t="shared" si="28"/>
        <v>0.25189824308596132</v>
      </c>
      <c r="K71" s="58">
        <f t="shared" si="28"/>
        <v>0.2125728118617142</v>
      </c>
      <c r="L71" s="58">
        <f t="shared" si="28"/>
        <v>0.1185190489830994</v>
      </c>
      <c r="M71" s="58">
        <f t="shared" si="28"/>
        <v>0.11799761620977355</v>
      </c>
      <c r="N71" s="58">
        <f t="shared" si="28"/>
        <v>9.609528927100125E-2</v>
      </c>
      <c r="O71" s="58">
        <f t="shared" si="28"/>
        <v>9.6784940862901889E-2</v>
      </c>
    </row>
    <row r="72" spans="1:15" hidden="1" x14ac:dyDescent="0.35">
      <c r="A72" s="57">
        <f>'Distribution Dashboard'!A63</f>
        <v>0</v>
      </c>
      <c r="B72" s="57" t="str">
        <f>'Distribution Dashboard'!B63</f>
        <v>Amount Billed Water</v>
      </c>
      <c r="C72" s="57" t="str">
        <f>'Distribution Dashboard'!C63</f>
        <v>KES</v>
      </c>
      <c r="D72" s="59"/>
      <c r="E72" s="59"/>
      <c r="F72" s="59"/>
      <c r="G72" s="66"/>
      <c r="H72" s="59"/>
      <c r="I72"/>
      <c r="J72" s="59"/>
      <c r="K72" s="59"/>
      <c r="L72" s="59"/>
      <c r="M72" s="59"/>
      <c r="N72" s="59"/>
      <c r="O72" s="59"/>
    </row>
    <row r="73" spans="1:15" hidden="1" x14ac:dyDescent="0.35">
      <c r="A73" s="57">
        <f>'Distribution Dashboard'!A64</f>
        <v>0</v>
      </c>
      <c r="B73" s="57" t="str">
        <f>'Distribution Dashboard'!B64</f>
        <v>Amount Billed Sewer</v>
      </c>
      <c r="C73" s="57" t="str">
        <f>'Distribution Dashboard'!C64</f>
        <v>KES</v>
      </c>
      <c r="D73" s="59"/>
      <c r="E73" s="59"/>
      <c r="F73" s="59"/>
      <c r="G73" s="66"/>
      <c r="H73" s="59"/>
      <c r="I73"/>
      <c r="J73" s="59"/>
      <c r="K73" s="59"/>
      <c r="L73" s="59"/>
      <c r="M73" s="59"/>
      <c r="N73" s="59"/>
      <c r="O73" s="59"/>
    </row>
    <row r="74" spans="1:15" x14ac:dyDescent="0.35">
      <c r="A74" s="57">
        <f>'Distribution Dashboard'!A65</f>
        <v>0</v>
      </c>
      <c r="B74" s="57" t="str">
        <f>'Distribution Dashboard'!B65</f>
        <v>ZONE - HOPEWELL</v>
      </c>
      <c r="C74" s="57">
        <f>'Distribution Dashboard'!C65</f>
        <v>0</v>
      </c>
      <c r="D74" s="59"/>
      <c r="E74" s="59"/>
      <c r="F74" s="59"/>
      <c r="G74" s="66"/>
      <c r="H74" s="59"/>
      <c r="I74"/>
      <c r="J74" s="59"/>
      <c r="K74" s="59"/>
      <c r="L74" s="59"/>
      <c r="M74" s="59"/>
      <c r="N74" s="59"/>
      <c r="O74" s="59"/>
    </row>
    <row r="75" spans="1:15" x14ac:dyDescent="0.35">
      <c r="A75" s="57" t="str">
        <f>'Distribution Dashboard'!A66</f>
        <v>105B</v>
      </c>
      <c r="B75" s="57" t="str">
        <f>'Distribution Dashboard'!B66</f>
        <v>Volume Water Supplied</v>
      </c>
      <c r="C75" s="57" t="str">
        <f>'Distribution Dashboard'!C66</f>
        <v>m3</v>
      </c>
      <c r="D75" s="59"/>
      <c r="E75" s="59">
        <v>6955</v>
      </c>
      <c r="F75" s="59">
        <v>7549</v>
      </c>
      <c r="G75" s="66">
        <v>5654</v>
      </c>
      <c r="H75" s="59">
        <v>7075</v>
      </c>
      <c r="I75">
        <v>4427</v>
      </c>
      <c r="J75" s="59">
        <v>8912</v>
      </c>
      <c r="K75" s="59">
        <v>6739</v>
      </c>
      <c r="L75" s="59">
        <v>7383</v>
      </c>
      <c r="M75" s="59">
        <v>5172</v>
      </c>
      <c r="N75" s="59">
        <v>5790</v>
      </c>
      <c r="O75" s="59">
        <v>7204</v>
      </c>
    </row>
    <row r="76" spans="1:15" x14ac:dyDescent="0.35">
      <c r="A76" s="57" t="str">
        <f>'Distribution Dashboard'!A67</f>
        <v>112B</v>
      </c>
      <c r="B76" s="57" t="str">
        <f>'Distribution Dashboard'!B67</f>
        <v>Volume Water Sold</v>
      </c>
      <c r="C76" s="57" t="str">
        <f>'Distribution Dashboard'!C67</f>
        <v>m3</v>
      </c>
      <c r="D76" s="59"/>
      <c r="E76" s="59">
        <v>5621</v>
      </c>
      <c r="F76" s="59">
        <v>5975</v>
      </c>
      <c r="G76" s="66">
        <v>4906</v>
      </c>
      <c r="H76" s="59">
        <v>6607</v>
      </c>
      <c r="I76" s="59">
        <v>4156</v>
      </c>
      <c r="J76" s="59">
        <v>6448</v>
      </c>
      <c r="K76" s="59">
        <v>5728</v>
      </c>
      <c r="L76" s="59">
        <v>6684</v>
      </c>
      <c r="M76" s="59">
        <v>4887</v>
      </c>
      <c r="N76" s="59">
        <v>5510</v>
      </c>
      <c r="O76" s="59">
        <v>6078</v>
      </c>
    </row>
    <row r="77" spans="1:15" x14ac:dyDescent="0.35">
      <c r="A77" s="57" t="str">
        <f>'Distribution Dashboard'!A68</f>
        <v>126B</v>
      </c>
      <c r="B77" s="57" t="str">
        <f>'Distribution Dashboard'!B68</f>
        <v>NRW</v>
      </c>
      <c r="C77" s="57" t="str">
        <f>'Distribution Dashboard'!C68</f>
        <v>%</v>
      </c>
      <c r="D77" s="58" t="e">
        <f>(D75-D76)/D75</f>
        <v>#DIV/0!</v>
      </c>
      <c r="E77" s="58">
        <f>(E75-E76)/E75</f>
        <v>0.19180445722501796</v>
      </c>
      <c r="F77" s="58">
        <f t="shared" ref="F77:K77" si="29">(F75-F76)/F75</f>
        <v>0.20850443767386409</v>
      </c>
      <c r="G77" s="58">
        <f t="shared" si="29"/>
        <v>0.13229571984435798</v>
      </c>
      <c r="H77" s="58">
        <f t="shared" si="29"/>
        <v>6.6148409893992927E-2</v>
      </c>
      <c r="I77" s="58">
        <f t="shared" si="29"/>
        <v>6.1215269934492882E-2</v>
      </c>
      <c r="J77" s="58">
        <f t="shared" si="29"/>
        <v>0.27648114901256732</v>
      </c>
      <c r="K77" s="58">
        <f t="shared" si="29"/>
        <v>0.15002225849532572</v>
      </c>
      <c r="L77" s="58">
        <f>(L75-L76)/L75</f>
        <v>9.4676960585127992E-2</v>
      </c>
      <c r="M77" s="58">
        <f t="shared" ref="M77" si="30">(M75-M76)/M75</f>
        <v>5.5104408352668215E-2</v>
      </c>
      <c r="N77" s="58">
        <f t="shared" ref="N77" si="31">(N75-N76)/N75</f>
        <v>4.8359240069084632E-2</v>
      </c>
      <c r="O77" s="58">
        <f t="shared" ref="O77" si="32">(O75-O76)/O75</f>
        <v>0.15630205441421433</v>
      </c>
    </row>
    <row r="78" spans="1:15" x14ac:dyDescent="0.35">
      <c r="A78" s="57">
        <f>'Distribution Dashboard'!A69</f>
        <v>0</v>
      </c>
      <c r="B78" s="57" t="str">
        <f>'Distribution Dashboard'!B69</f>
        <v>ZONE - KAMERE</v>
      </c>
      <c r="C78" s="57">
        <f>'Distribution Dashboard'!C69</f>
        <v>0</v>
      </c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</row>
    <row r="79" spans="1:15" x14ac:dyDescent="0.35">
      <c r="A79" s="57">
        <f>'Distribution Dashboard'!A70</f>
        <v>106</v>
      </c>
      <c r="B79" s="57" t="str">
        <f>'Distribution Dashboard'!B70</f>
        <v>Volume Water Supplied</v>
      </c>
      <c r="C79" s="57" t="str">
        <f>'Distribution Dashboard'!C70</f>
        <v>m3</v>
      </c>
      <c r="D79" s="59">
        <v>8393</v>
      </c>
      <c r="E79" s="59">
        <v>7436</v>
      </c>
      <c r="F79" s="59">
        <f>7621+805</f>
        <v>8426</v>
      </c>
      <c r="G79" s="59">
        <f>7463+746</f>
        <v>8209</v>
      </c>
      <c r="H79" s="59">
        <f>7893+1014</f>
        <v>8907</v>
      </c>
      <c r="I79" s="59">
        <f>5140+604</f>
        <v>5744</v>
      </c>
      <c r="J79" s="59">
        <f>9295+1412</f>
        <v>10707</v>
      </c>
      <c r="K79" s="59">
        <f>8519+1282</f>
        <v>9801</v>
      </c>
      <c r="L79" s="59">
        <f>8645+1212</f>
        <v>9857</v>
      </c>
      <c r="M79" s="59">
        <f>473+7248</f>
        <v>7721</v>
      </c>
      <c r="N79" s="59">
        <f>7983+464</f>
        <v>8447</v>
      </c>
      <c r="O79" s="59">
        <v>8408</v>
      </c>
    </row>
    <row r="80" spans="1:15" x14ac:dyDescent="0.35">
      <c r="A80" s="57">
        <f>'Distribution Dashboard'!A71</f>
        <v>113</v>
      </c>
      <c r="B80" s="57" t="str">
        <f>'Distribution Dashboard'!B71</f>
        <v>Volume Water Sold</v>
      </c>
      <c r="C80" s="57" t="str">
        <f>'Distribution Dashboard'!C71</f>
        <v>m3</v>
      </c>
      <c r="D80" s="59">
        <v>6588</v>
      </c>
      <c r="E80" s="59">
        <v>6870</v>
      </c>
      <c r="F80" s="59">
        <v>6726</v>
      </c>
      <c r="G80" s="59">
        <v>6973</v>
      </c>
      <c r="H80" s="59">
        <v>7456</v>
      </c>
      <c r="I80" s="59">
        <v>4906</v>
      </c>
      <c r="J80" s="59">
        <v>7952</v>
      </c>
      <c r="K80" s="59">
        <v>8379</v>
      </c>
      <c r="L80" s="59">
        <v>8691</v>
      </c>
      <c r="M80" s="59">
        <v>6181</v>
      </c>
      <c r="N80" s="59">
        <v>6833</v>
      </c>
      <c r="O80" s="89">
        <v>6893</v>
      </c>
    </row>
    <row r="81" spans="1:15" x14ac:dyDescent="0.35">
      <c r="A81" s="57">
        <f>'Distribution Dashboard'!A72</f>
        <v>127</v>
      </c>
      <c r="B81" s="57" t="str">
        <f>'Distribution Dashboard'!B72</f>
        <v>NRW</v>
      </c>
      <c r="C81" s="57" t="str">
        <f>'Distribution Dashboard'!C72</f>
        <v>%</v>
      </c>
      <c r="D81" s="58">
        <f>(D79-D80)/D79</f>
        <v>0.21506016918860957</v>
      </c>
      <c r="E81" s="58">
        <f t="shared" ref="E81:O81" si="33">(E79-E80)/E79</f>
        <v>7.6116191500806882E-2</v>
      </c>
      <c r="F81" s="58">
        <f>(F79-F80)/F79</f>
        <v>0.20175646807500594</v>
      </c>
      <c r="G81" s="58">
        <f t="shared" si="33"/>
        <v>0.15056645145571934</v>
      </c>
      <c r="H81" s="58">
        <f t="shared" si="33"/>
        <v>0.16290557988099247</v>
      </c>
      <c r="I81" s="58">
        <f t="shared" si="33"/>
        <v>0.14589136490250695</v>
      </c>
      <c r="J81" s="58">
        <f t="shared" si="33"/>
        <v>0.2573083029793593</v>
      </c>
      <c r="K81" s="58">
        <f t="shared" si="33"/>
        <v>0.14508723599632692</v>
      </c>
      <c r="L81" s="58">
        <f t="shared" si="33"/>
        <v>0.11829156944303541</v>
      </c>
      <c r="M81" s="58">
        <f t="shared" si="33"/>
        <v>0.19945602901178605</v>
      </c>
      <c r="N81" s="58">
        <f t="shared" si="33"/>
        <v>0.19107375399550136</v>
      </c>
      <c r="O81" s="58">
        <f t="shared" si="33"/>
        <v>0.18018553758325404</v>
      </c>
    </row>
    <row r="82" spans="1:15" hidden="1" x14ac:dyDescent="0.35">
      <c r="A82" s="57">
        <f>'Distribution Dashboard'!A73</f>
        <v>0</v>
      </c>
      <c r="B82" s="57" t="str">
        <f>'Distribution Dashboard'!B73</f>
        <v>Amount Billed Water</v>
      </c>
      <c r="C82" s="57" t="str">
        <f>'Distribution Dashboard'!C73</f>
        <v>KES</v>
      </c>
      <c r="D82" s="59"/>
      <c r="E82" s="59"/>
      <c r="F82" s="59"/>
      <c r="G82" s="66"/>
      <c r="H82" s="59"/>
      <c r="I82"/>
      <c r="J82" s="59"/>
      <c r="K82" s="59"/>
      <c r="L82" s="59"/>
      <c r="M82" s="59"/>
      <c r="N82" s="59"/>
      <c r="O82" s="59"/>
    </row>
    <row r="83" spans="1:15" hidden="1" x14ac:dyDescent="0.35">
      <c r="A83" s="57">
        <f>'Distribution Dashboard'!A74</f>
        <v>0</v>
      </c>
      <c r="B83" s="57" t="str">
        <f>'Distribution Dashboard'!B74</f>
        <v>Amount Billed Sewer</v>
      </c>
      <c r="C83" s="57" t="str">
        <f>'Distribution Dashboard'!C74</f>
        <v>KES</v>
      </c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</row>
    <row r="84" spans="1:15" x14ac:dyDescent="0.35">
      <c r="A84" s="57">
        <f>'Distribution Dashboard'!A75</f>
        <v>0</v>
      </c>
      <c r="B84" s="57" t="str">
        <f>'Distribution Dashboard'!B75</f>
        <v>ZONE - HELLS GATE</v>
      </c>
      <c r="C84" s="57">
        <f>'Distribution Dashboard'!C75</f>
        <v>0</v>
      </c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</row>
    <row r="85" spans="1:15" x14ac:dyDescent="0.35">
      <c r="A85" s="57" t="str">
        <f>'Distribution Dashboard'!A76</f>
        <v>103 (3)</v>
      </c>
      <c r="B85" s="57" t="str">
        <f>'Distribution Dashboard'!B76</f>
        <v>Volume Water Supplied</v>
      </c>
      <c r="C85" s="57" t="str">
        <f>'Distribution Dashboard'!C76</f>
        <v>m3</v>
      </c>
      <c r="D85" s="59">
        <v>32348</v>
      </c>
      <c r="E85" s="59">
        <v>31918</v>
      </c>
      <c r="F85" s="59">
        <v>33901</v>
      </c>
      <c r="G85" s="59">
        <v>35361</v>
      </c>
      <c r="H85" s="59">
        <v>40547</v>
      </c>
      <c r="I85" s="59">
        <v>26277</v>
      </c>
      <c r="J85" s="59">
        <v>48222</v>
      </c>
      <c r="K85" s="59">
        <v>39376</v>
      </c>
      <c r="L85" s="59">
        <v>33139</v>
      </c>
      <c r="M85" s="59">
        <v>31995</v>
      </c>
      <c r="N85" s="59">
        <v>35998</v>
      </c>
      <c r="O85" s="59">
        <v>40515</v>
      </c>
    </row>
    <row r="86" spans="1:15" x14ac:dyDescent="0.35">
      <c r="A86" s="57" t="str">
        <f>'Distribution Dashboard'!A77</f>
        <v>110 (3)</v>
      </c>
      <c r="B86" s="57" t="str">
        <f>'Distribution Dashboard'!B77</f>
        <v>Volume Water Sold</v>
      </c>
      <c r="C86" s="57" t="str">
        <f>'Distribution Dashboard'!C77</f>
        <v>m3</v>
      </c>
      <c r="D86" s="59">
        <v>26728</v>
      </c>
      <c r="E86" s="59">
        <v>24225</v>
      </c>
      <c r="F86" s="59">
        <v>27308</v>
      </c>
      <c r="G86" s="59">
        <v>26535</v>
      </c>
      <c r="H86" s="59">
        <v>30367</v>
      </c>
      <c r="I86" s="59">
        <v>18026</v>
      </c>
      <c r="J86" s="59">
        <v>31140</v>
      </c>
      <c r="K86" s="59">
        <v>28691</v>
      </c>
      <c r="L86" s="59">
        <v>26588</v>
      </c>
      <c r="M86" s="59">
        <v>22538</v>
      </c>
      <c r="N86" s="59">
        <v>23286</v>
      </c>
      <c r="O86" s="89">
        <v>28109</v>
      </c>
    </row>
    <row r="87" spans="1:15" x14ac:dyDescent="0.35">
      <c r="A87" s="57" t="str">
        <f>'Distribution Dashboard'!A78</f>
        <v>124 (3)</v>
      </c>
      <c r="B87" s="57" t="str">
        <f>'Distribution Dashboard'!B78</f>
        <v>NRW</v>
      </c>
      <c r="C87" s="57" t="str">
        <f>'Distribution Dashboard'!C78</f>
        <v>%</v>
      </c>
      <c r="D87" s="58">
        <f>(D85-D86)/D85</f>
        <v>0.17373562507728454</v>
      </c>
      <c r="E87" s="58">
        <f t="shared" ref="E87:O87" si="34">(E85-E86)/E85</f>
        <v>0.24102387367629552</v>
      </c>
      <c r="F87" s="58">
        <f>(F85-F86)/F85</f>
        <v>0.19447803899589983</v>
      </c>
      <c r="G87" s="58">
        <f t="shared" si="34"/>
        <v>0.24959701365911596</v>
      </c>
      <c r="H87" s="58">
        <f t="shared" si="34"/>
        <v>0.25106666337830175</v>
      </c>
      <c r="I87" s="58">
        <f t="shared" si="34"/>
        <v>0.31400083723408306</v>
      </c>
      <c r="J87" s="58">
        <f t="shared" si="34"/>
        <v>0.35423665546845839</v>
      </c>
      <c r="K87" s="58">
        <f t="shared" si="34"/>
        <v>0.27135818772856563</v>
      </c>
      <c r="L87" s="58">
        <f t="shared" si="34"/>
        <v>0.19768248891034731</v>
      </c>
      <c r="M87" s="58">
        <f t="shared" si="34"/>
        <v>0.29557743397405845</v>
      </c>
      <c r="N87" s="58">
        <f t="shared" si="34"/>
        <v>0.35313072948497137</v>
      </c>
      <c r="O87" s="58">
        <f t="shared" si="34"/>
        <v>0.30620757744045413</v>
      </c>
    </row>
    <row r="88" spans="1:15" hidden="1" x14ac:dyDescent="0.35">
      <c r="A88" s="57">
        <f>'Distribution Dashboard'!A79</f>
        <v>0</v>
      </c>
      <c r="B88" s="57" t="str">
        <f>'Distribution Dashboard'!B79</f>
        <v>Amount Billed Water</v>
      </c>
      <c r="C88" s="57" t="str">
        <f>'Distribution Dashboard'!C79</f>
        <v>KES</v>
      </c>
      <c r="D88" s="59"/>
      <c r="E88" s="59"/>
      <c r="F88" s="59"/>
      <c r="G88" s="66"/>
      <c r="H88" s="59"/>
      <c r="I88"/>
      <c r="J88" s="59"/>
      <c r="K88" s="59"/>
      <c r="L88" s="59"/>
      <c r="M88" s="59"/>
      <c r="N88" s="59"/>
      <c r="O88" s="59"/>
    </row>
    <row r="89" spans="1:15" hidden="1" x14ac:dyDescent="0.35">
      <c r="A89" s="57">
        <f>'Distribution Dashboard'!A80</f>
        <v>0</v>
      </c>
      <c r="B89" s="57" t="str">
        <f>'Distribution Dashboard'!B80</f>
        <v>Amount Billed Sewer</v>
      </c>
      <c r="C89" s="57" t="str">
        <f>'Distribution Dashboard'!C80</f>
        <v>KES</v>
      </c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</row>
    <row r="90" spans="1:15" x14ac:dyDescent="0.35">
      <c r="A90" s="57">
        <f>'Distribution Dashboard'!A81</f>
        <v>0</v>
      </c>
      <c r="B90" s="57" t="str">
        <f>'Distribution Dashboard'!B81</f>
        <v>KIHOTO</v>
      </c>
      <c r="C90" s="57">
        <f>'Distribution Dashboard'!C81</f>
        <v>0</v>
      </c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</row>
    <row r="91" spans="1:15" x14ac:dyDescent="0.35">
      <c r="A91" s="57" t="str">
        <f>'Distribution Dashboard'!A82</f>
        <v>103 (2)</v>
      </c>
      <c r="B91" s="57" t="str">
        <f>'Distribution Dashboard'!B82</f>
        <v>Volume Water Supplied</v>
      </c>
      <c r="C91" s="57" t="str">
        <f>'Distribution Dashboard'!C82</f>
        <v>m3</v>
      </c>
      <c r="D91" s="59">
        <v>1944</v>
      </c>
      <c r="E91" s="59">
        <v>2475</v>
      </c>
      <c r="F91" s="59">
        <v>2100</v>
      </c>
      <c r="G91" s="74">
        <v>1950</v>
      </c>
      <c r="H91" s="59">
        <v>2110</v>
      </c>
      <c r="I91" s="59">
        <v>1210</v>
      </c>
      <c r="J91" s="59">
        <v>3100</v>
      </c>
      <c r="K91" s="59">
        <v>2146</v>
      </c>
      <c r="L91" s="59">
        <v>2470</v>
      </c>
      <c r="M91" s="86">
        <v>1856</v>
      </c>
      <c r="N91" s="59">
        <v>2483</v>
      </c>
      <c r="O91" s="59">
        <v>2328</v>
      </c>
    </row>
    <row r="92" spans="1:15" x14ac:dyDescent="0.35">
      <c r="A92" s="57" t="str">
        <f>'Distribution Dashboard'!A83</f>
        <v>110 (2)</v>
      </c>
      <c r="B92" s="57" t="str">
        <f>'Distribution Dashboard'!B83</f>
        <v>Volume Water Sold</v>
      </c>
      <c r="C92" s="57" t="str">
        <f>'Distribution Dashboard'!C83</f>
        <v>m3</v>
      </c>
      <c r="D92" s="59">
        <v>1669</v>
      </c>
      <c r="E92" s="59">
        <v>2107</v>
      </c>
      <c r="F92" s="59">
        <v>1833</v>
      </c>
      <c r="G92" s="59">
        <v>1662</v>
      </c>
      <c r="H92" s="59">
        <v>1795</v>
      </c>
      <c r="I92" s="59">
        <v>1023</v>
      </c>
      <c r="J92" s="59">
        <v>2526</v>
      </c>
      <c r="K92" s="59">
        <v>1808</v>
      </c>
      <c r="L92" s="59">
        <v>2118</v>
      </c>
      <c r="M92" s="59">
        <v>1486</v>
      </c>
      <c r="N92" s="59">
        <v>1589</v>
      </c>
      <c r="O92" s="89">
        <v>2031</v>
      </c>
    </row>
    <row r="93" spans="1:15" x14ac:dyDescent="0.35">
      <c r="A93" s="57" t="str">
        <f>'Distribution Dashboard'!A84</f>
        <v>124 (2)</v>
      </c>
      <c r="B93" s="57" t="str">
        <f>'Distribution Dashboard'!B84</f>
        <v>NRW</v>
      </c>
      <c r="C93" s="57" t="str">
        <f>'Distribution Dashboard'!C84</f>
        <v>%</v>
      </c>
      <c r="D93" s="58">
        <f>(D91-D92)/D91</f>
        <v>0.14146090534979425</v>
      </c>
      <c r="E93" s="58">
        <f t="shared" ref="E93:O93" si="35">(E91-E92)/E91</f>
        <v>0.1486868686868687</v>
      </c>
      <c r="F93" s="58">
        <f>(F91-F92)/F91</f>
        <v>0.12714285714285714</v>
      </c>
      <c r="G93" s="58">
        <f t="shared" si="35"/>
        <v>0.14769230769230771</v>
      </c>
      <c r="H93" s="58">
        <f t="shared" si="35"/>
        <v>0.14928909952606634</v>
      </c>
      <c r="I93" s="58">
        <f t="shared" si="35"/>
        <v>0.15454545454545454</v>
      </c>
      <c r="J93" s="58">
        <f t="shared" si="35"/>
        <v>0.18516129032258064</v>
      </c>
      <c r="K93" s="58">
        <f t="shared" si="35"/>
        <v>0.15750232991612301</v>
      </c>
      <c r="L93" s="58">
        <f t="shared" si="35"/>
        <v>0.14251012145748987</v>
      </c>
      <c r="M93" s="58">
        <f t="shared" si="35"/>
        <v>0.19935344827586207</v>
      </c>
      <c r="N93" s="58">
        <f t="shared" si="35"/>
        <v>0.36004832863471609</v>
      </c>
      <c r="O93" s="58">
        <f t="shared" si="35"/>
        <v>0.12757731958762886</v>
      </c>
    </row>
    <row r="94" spans="1:15" hidden="1" x14ac:dyDescent="0.35">
      <c r="A94" s="57">
        <f>'Distribution Dashboard'!A85</f>
        <v>0</v>
      </c>
      <c r="B94" s="57" t="str">
        <f>'Distribution Dashboard'!B85</f>
        <v>Amount Billed Water</v>
      </c>
      <c r="C94" s="57" t="str">
        <f>'Distribution Dashboard'!C85</f>
        <v>KES</v>
      </c>
      <c r="D94" s="59"/>
      <c r="E94" s="59"/>
      <c r="F94" s="59"/>
      <c r="G94" s="66"/>
      <c r="H94" s="59"/>
      <c r="I94"/>
      <c r="J94" s="59"/>
      <c r="K94" s="59"/>
      <c r="L94" s="59"/>
      <c r="M94" s="59"/>
      <c r="N94" s="59"/>
      <c r="O94" s="59"/>
    </row>
    <row r="95" spans="1:15" hidden="1" x14ac:dyDescent="0.35">
      <c r="A95" s="57">
        <f>'Distribution Dashboard'!A86</f>
        <v>0</v>
      </c>
      <c r="B95" s="57" t="str">
        <f>'Distribution Dashboard'!B86</f>
        <v>Amount Billed Sewer</v>
      </c>
      <c r="C95" s="57" t="str">
        <f>'Distribution Dashboard'!C86</f>
        <v>KES</v>
      </c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</row>
    <row r="96" spans="1:15" x14ac:dyDescent="0.35">
      <c r="A96" s="57">
        <f>'Distribution Dashboard'!A87</f>
        <v>0</v>
      </c>
      <c r="B96" s="57" t="str">
        <f>'Distribution Dashboard'!B87</f>
        <v>KAYOLE</v>
      </c>
      <c r="C96" s="57">
        <f>'Distribution Dashboard'!C87</f>
        <v>0</v>
      </c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</row>
    <row r="97" spans="1:15" x14ac:dyDescent="0.35">
      <c r="A97" s="57" t="str">
        <f>'Distribution Dashboard'!A88</f>
        <v>103 (4)</v>
      </c>
      <c r="B97" s="57" t="str">
        <f>'Distribution Dashboard'!B88</f>
        <v>Volume Water Supplied</v>
      </c>
      <c r="C97" s="57" t="str">
        <f>'Distribution Dashboard'!C88</f>
        <v>m3</v>
      </c>
      <c r="D97" s="59">
        <f>32530+433</f>
        <v>32963</v>
      </c>
      <c r="E97" s="59">
        <v>39718</v>
      </c>
      <c r="F97" s="59">
        <f>34176+565+318</f>
        <v>35059</v>
      </c>
      <c r="G97" s="59">
        <f>37172+344+364</f>
        <v>37880</v>
      </c>
      <c r="H97" s="59">
        <f>38183+345+311</f>
        <v>38839</v>
      </c>
      <c r="I97" s="59">
        <f>28933+161+314</f>
        <v>29408</v>
      </c>
      <c r="J97" s="59">
        <f>474+39063+224</f>
        <v>39761</v>
      </c>
      <c r="K97" s="59">
        <f>35916+508+465</f>
        <v>36889</v>
      </c>
      <c r="L97" s="59">
        <f>42961+448+657</f>
        <v>44066</v>
      </c>
      <c r="M97" s="59">
        <f>351+31702+442</f>
        <v>32495</v>
      </c>
      <c r="N97" s="59">
        <f>415+42840+154</f>
        <v>43409</v>
      </c>
      <c r="O97" s="59">
        <v>47163</v>
      </c>
    </row>
    <row r="98" spans="1:15" x14ac:dyDescent="0.35">
      <c r="A98" s="57" t="str">
        <f>'Distribution Dashboard'!A89</f>
        <v>110 (4)</v>
      </c>
      <c r="B98" s="57" t="str">
        <f>'Distribution Dashboard'!B89</f>
        <v>Volume Water Sold</v>
      </c>
      <c r="C98" s="57" t="str">
        <f>'Distribution Dashboard'!C89</f>
        <v>m3</v>
      </c>
      <c r="D98" s="59">
        <v>26406</v>
      </c>
      <c r="E98" s="59">
        <v>29527</v>
      </c>
      <c r="F98" s="59">
        <v>32020</v>
      </c>
      <c r="G98" s="59">
        <v>29957</v>
      </c>
      <c r="H98" s="59">
        <v>32172</v>
      </c>
      <c r="I98" s="59">
        <v>24033</v>
      </c>
      <c r="J98" s="59">
        <v>29156</v>
      </c>
      <c r="K98" s="59">
        <v>28120</v>
      </c>
      <c r="L98" s="59">
        <v>29681</v>
      </c>
      <c r="M98" s="59">
        <v>26294</v>
      </c>
      <c r="N98" s="59">
        <v>27869</v>
      </c>
      <c r="O98" s="89">
        <v>30591</v>
      </c>
    </row>
    <row r="99" spans="1:15" x14ac:dyDescent="0.35">
      <c r="A99" s="57" t="str">
        <f>'Distribution Dashboard'!A90</f>
        <v>124 (4)</v>
      </c>
      <c r="B99" s="57" t="str">
        <f>'Distribution Dashboard'!B90</f>
        <v>NRW</v>
      </c>
      <c r="C99" s="57" t="str">
        <f>'Distribution Dashboard'!C90</f>
        <v>%</v>
      </c>
      <c r="D99" s="58">
        <f>(D97-D98)/D97</f>
        <v>0.19892000121348177</v>
      </c>
      <c r="E99" s="58">
        <f t="shared" ref="E99:O99" si="36">(E97-E98)/E97</f>
        <v>0.25658391661211544</v>
      </c>
      <c r="F99" s="58">
        <f>(F97-F98)/F97</f>
        <v>8.6682449584985305E-2</v>
      </c>
      <c r="G99" s="58">
        <f t="shared" si="36"/>
        <v>0.20916050686378035</v>
      </c>
      <c r="H99" s="58">
        <f t="shared" si="36"/>
        <v>0.17165735472077037</v>
      </c>
      <c r="I99" s="58">
        <f t="shared" si="36"/>
        <v>0.1827733949945593</v>
      </c>
      <c r="J99" s="58">
        <f t="shared" si="36"/>
        <v>0.26671864389728628</v>
      </c>
      <c r="K99" s="58">
        <f t="shared" si="36"/>
        <v>0.23771313941825475</v>
      </c>
      <c r="L99" s="58">
        <f t="shared" si="36"/>
        <v>0.3264421549493941</v>
      </c>
      <c r="M99" s="58">
        <f t="shared" si="36"/>
        <v>0.19082935836282505</v>
      </c>
      <c r="N99" s="58">
        <f t="shared" si="36"/>
        <v>0.35799027851367227</v>
      </c>
      <c r="O99" s="58">
        <f t="shared" si="36"/>
        <v>0.35137713885885125</v>
      </c>
    </row>
    <row r="100" spans="1:15" hidden="1" x14ac:dyDescent="0.35">
      <c r="A100" s="57">
        <f>'Distribution Dashboard'!A91</f>
        <v>0</v>
      </c>
      <c r="B100" s="57" t="str">
        <f>'Distribution Dashboard'!B91</f>
        <v>Amount Billed Water</v>
      </c>
      <c r="C100" s="57" t="str">
        <f>'Distribution Dashboard'!C91</f>
        <v>KES</v>
      </c>
      <c r="D100" s="59"/>
      <c r="E100" s="59"/>
      <c r="F100" s="59"/>
      <c r="G100" s="66"/>
      <c r="H100" s="59"/>
      <c r="I100"/>
      <c r="J100" s="59"/>
      <c r="K100" s="59"/>
      <c r="L100" s="59"/>
      <c r="M100" s="59"/>
      <c r="N100" s="59"/>
      <c r="O100" s="59"/>
    </row>
    <row r="101" spans="1:15" hidden="1" x14ac:dyDescent="0.35">
      <c r="A101" s="57">
        <f>'Distribution Dashboard'!A92</f>
        <v>0</v>
      </c>
      <c r="B101" s="57" t="str">
        <f>'Distribution Dashboard'!B92</f>
        <v>Amount Billed Sewer</v>
      </c>
      <c r="C101" s="57" t="str">
        <f>'Distribution Dashboard'!C92</f>
        <v>KES</v>
      </c>
      <c r="D101" s="59"/>
      <c r="E101" s="59"/>
      <c r="F101" s="59"/>
      <c r="G101" s="59"/>
      <c r="H101" s="59"/>
      <c r="I101"/>
      <c r="J101" s="59"/>
      <c r="K101" s="59"/>
      <c r="L101" s="59"/>
      <c r="M101" s="59"/>
      <c r="N101" s="59"/>
      <c r="O101" s="59"/>
    </row>
    <row r="102" spans="1:15" x14ac:dyDescent="0.35">
      <c r="A102" s="57">
        <f>'Distribution Dashboard'!A93</f>
        <v>0</v>
      </c>
      <c r="B102" s="57" t="str">
        <f>'Distribution Dashboard'!B93</f>
        <v>MAI-MAHIU</v>
      </c>
      <c r="C102" s="57">
        <f>'Distribution Dashboard'!C93</f>
        <v>0</v>
      </c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</row>
    <row r="103" spans="1:15" x14ac:dyDescent="0.35">
      <c r="A103" s="57" t="str">
        <f>'Distribution Dashboard'!A94</f>
        <v>103 (5)</v>
      </c>
      <c r="B103" s="57" t="str">
        <f>'Distribution Dashboard'!B94</f>
        <v>Volume Water Supplied</v>
      </c>
      <c r="C103" s="57" t="str">
        <f>'Distribution Dashboard'!C94</f>
        <v>m3</v>
      </c>
      <c r="D103" s="59">
        <v>7589</v>
      </c>
      <c r="E103" s="59">
        <v>15992</v>
      </c>
      <c r="F103" s="59">
        <v>20413</v>
      </c>
      <c r="G103" s="59">
        <v>20982</v>
      </c>
      <c r="H103" s="59">
        <v>29141</v>
      </c>
      <c r="I103" s="59">
        <v>11492</v>
      </c>
      <c r="J103" s="59">
        <v>22162</v>
      </c>
      <c r="K103" s="59">
        <v>18344</v>
      </c>
      <c r="L103" s="59">
        <v>21934</v>
      </c>
      <c r="M103" s="59">
        <v>13179</v>
      </c>
      <c r="N103" s="59">
        <v>17758</v>
      </c>
      <c r="O103" s="59">
        <v>15135</v>
      </c>
    </row>
    <row r="104" spans="1:15" x14ac:dyDescent="0.35">
      <c r="A104" s="57" t="str">
        <f>'Distribution Dashboard'!A95</f>
        <v>110 (5)</v>
      </c>
      <c r="B104" s="57" t="str">
        <f>'Distribution Dashboard'!B95</f>
        <v>Volume Water Sold</v>
      </c>
      <c r="C104" s="57" t="str">
        <f>'Distribution Dashboard'!C95</f>
        <v>m3</v>
      </c>
      <c r="D104" s="59">
        <f>8302-4199</f>
        <v>4103</v>
      </c>
      <c r="E104" s="59">
        <v>8205</v>
      </c>
      <c r="F104" s="59">
        <v>10559</v>
      </c>
      <c r="G104" s="59">
        <v>9172</v>
      </c>
      <c r="H104" s="59">
        <v>17076</v>
      </c>
      <c r="I104" s="59">
        <v>7626</v>
      </c>
      <c r="J104" s="59">
        <v>10742</v>
      </c>
      <c r="K104" s="59">
        <v>9077</v>
      </c>
      <c r="L104" s="59">
        <v>12828</v>
      </c>
      <c r="M104" s="59">
        <v>6907</v>
      </c>
      <c r="N104" s="59">
        <v>10597</v>
      </c>
      <c r="O104" s="89">
        <v>9757</v>
      </c>
    </row>
    <row r="105" spans="1:15" x14ac:dyDescent="0.35">
      <c r="A105" s="57" t="str">
        <f>'Distribution Dashboard'!A96</f>
        <v>124 (5)</v>
      </c>
      <c r="B105" s="57" t="str">
        <f>'Distribution Dashboard'!B96</f>
        <v>NRW</v>
      </c>
      <c r="C105" s="57" t="str">
        <f>'Distribution Dashboard'!C96</f>
        <v>%</v>
      </c>
      <c r="D105" s="58">
        <f>(D103-D104)/D103</f>
        <v>0.45934905784688362</v>
      </c>
      <c r="E105" s="58">
        <f t="shared" ref="E105:O105" si="37">(E103-E104)/E103</f>
        <v>0.4869309654827414</v>
      </c>
      <c r="F105" s="58">
        <f t="shared" si="37"/>
        <v>0.48273159261255083</v>
      </c>
      <c r="G105" s="58">
        <f t="shared" si="37"/>
        <v>0.56286340672957769</v>
      </c>
      <c r="H105" s="58">
        <f t="shared" si="37"/>
        <v>0.4140214817610926</v>
      </c>
      <c r="I105" s="58">
        <f t="shared" si="37"/>
        <v>0.33640793595544727</v>
      </c>
      <c r="J105" s="58">
        <f t="shared" si="37"/>
        <v>0.51529645338868335</v>
      </c>
      <c r="K105" s="58">
        <f t="shared" si="37"/>
        <v>0.5051788050588748</v>
      </c>
      <c r="L105" s="58">
        <f t="shared" si="37"/>
        <v>0.41515455457280936</v>
      </c>
      <c r="M105" s="58">
        <f t="shared" si="37"/>
        <v>0.47590864253737009</v>
      </c>
      <c r="N105" s="58">
        <f t="shared" si="37"/>
        <v>0.40325487104403651</v>
      </c>
      <c r="O105" s="58">
        <f t="shared" si="37"/>
        <v>0.35533531549388836</v>
      </c>
    </row>
    <row r="106" spans="1:15" hidden="1" x14ac:dyDescent="0.35">
      <c r="A106" s="57">
        <f>'Distribution Dashboard'!A97</f>
        <v>0</v>
      </c>
      <c r="B106" s="57" t="str">
        <f>'Distribution Dashboard'!B97</f>
        <v>Amount Billed Water</v>
      </c>
      <c r="C106" s="57" t="str">
        <f>'Distribution Dashboard'!C97</f>
        <v>KES</v>
      </c>
      <c r="D106" s="59"/>
      <c r="E106" s="59"/>
      <c r="F106" s="59"/>
      <c r="G106" s="66"/>
      <c r="H106" s="59"/>
      <c r="I106"/>
      <c r="J106" s="59"/>
      <c r="K106" s="59"/>
      <c r="L106" s="59"/>
      <c r="M106" s="59"/>
      <c r="N106" s="59"/>
      <c r="O106" s="59"/>
    </row>
    <row r="107" spans="1:15" hidden="1" x14ac:dyDescent="0.35">
      <c r="A107" s="57">
        <f>'Distribution Dashboard'!A98</f>
        <v>0</v>
      </c>
      <c r="B107" s="57" t="str">
        <f>'Distribution Dashboard'!B98</f>
        <v>Amount Billed Sewer</v>
      </c>
      <c r="C107" s="57" t="str">
        <f>'Distribution Dashboard'!C98</f>
        <v>KES</v>
      </c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</row>
    <row r="108" spans="1:15" hidden="1" x14ac:dyDescent="0.35">
      <c r="A108" s="57">
        <f>'Distribution Dashboard'!A99</f>
        <v>0</v>
      </c>
      <c r="B108" s="57" t="str">
        <f>'Distribution Dashboard'!B99</f>
        <v>KINUNGI</v>
      </c>
      <c r="C108" s="57">
        <f>'Distribution Dashboard'!C99</f>
        <v>0</v>
      </c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</row>
    <row r="109" spans="1:15" hidden="1" x14ac:dyDescent="0.35">
      <c r="A109" s="57" t="str">
        <f>'Distribution Dashboard'!A100</f>
        <v>Y</v>
      </c>
      <c r="B109" s="57" t="str">
        <f>'Distribution Dashboard'!B100</f>
        <v>Volume Water Supplied-kinungi</v>
      </c>
      <c r="C109" s="57" t="str">
        <f>'Distribution Dashboard'!C100</f>
        <v>m3</v>
      </c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</row>
    <row r="110" spans="1:15" hidden="1" x14ac:dyDescent="0.35">
      <c r="A110" s="57" t="str">
        <f>'Distribution Dashboard'!A101</f>
        <v>z</v>
      </c>
      <c r="B110" s="57" t="str">
        <f>'Distribution Dashboard'!B101</f>
        <v>Volume Water Sold-kinungi</v>
      </c>
      <c r="C110" s="57" t="str">
        <f>'Distribution Dashboard'!C101</f>
        <v>m3</v>
      </c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</row>
    <row r="111" spans="1:15" hidden="1" x14ac:dyDescent="0.35">
      <c r="A111" s="57" t="str">
        <f>'Distribution Dashboard'!A102</f>
        <v>K</v>
      </c>
      <c r="B111" s="57" t="str">
        <f>'Distribution Dashboard'!B102</f>
        <v>NRW</v>
      </c>
      <c r="C111" s="57" t="str">
        <f>'Distribution Dashboard'!C102</f>
        <v>%</v>
      </c>
      <c r="D111" s="58" t="e">
        <f>(D109-D110)/D109</f>
        <v>#DIV/0!</v>
      </c>
      <c r="E111" s="58" t="e">
        <f t="shared" ref="E111:O111" si="38">(E109-E110)/E109</f>
        <v>#DIV/0!</v>
      </c>
      <c r="F111" s="58" t="e">
        <f t="shared" si="38"/>
        <v>#DIV/0!</v>
      </c>
      <c r="G111" s="58" t="e">
        <f t="shared" si="38"/>
        <v>#DIV/0!</v>
      </c>
      <c r="H111" s="58" t="e">
        <f t="shared" si="38"/>
        <v>#DIV/0!</v>
      </c>
      <c r="I111" s="58" t="e">
        <f t="shared" si="38"/>
        <v>#DIV/0!</v>
      </c>
      <c r="J111" s="58" t="e">
        <f t="shared" si="38"/>
        <v>#DIV/0!</v>
      </c>
      <c r="K111" s="58" t="e">
        <f t="shared" si="38"/>
        <v>#DIV/0!</v>
      </c>
      <c r="L111" s="58" t="e">
        <f t="shared" si="38"/>
        <v>#DIV/0!</v>
      </c>
      <c r="M111" s="58" t="e">
        <f t="shared" si="38"/>
        <v>#DIV/0!</v>
      </c>
      <c r="N111" s="58" t="e">
        <f t="shared" si="38"/>
        <v>#DIV/0!</v>
      </c>
      <c r="O111" s="58" t="e">
        <f t="shared" si="38"/>
        <v>#DIV/0!</v>
      </c>
    </row>
    <row r="112" spans="1:15" hidden="1" x14ac:dyDescent="0.35">
      <c r="A112" s="57">
        <f>'Distribution Dashboard'!A103</f>
        <v>0</v>
      </c>
      <c r="B112" s="57" t="str">
        <f>'Distribution Dashboard'!B103</f>
        <v>GONDI</v>
      </c>
      <c r="C112" s="57">
        <f>'Distribution Dashboard'!C103</f>
        <v>0</v>
      </c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</row>
    <row r="113" spans="1:15" hidden="1" x14ac:dyDescent="0.35">
      <c r="A113" s="57" t="str">
        <f>'Distribution Dashboard'!A104</f>
        <v>Y (2)</v>
      </c>
      <c r="B113" s="57" t="str">
        <f>'Distribution Dashboard'!B104</f>
        <v>Volume Water Supplied-Gondi</v>
      </c>
      <c r="C113" s="57" t="str">
        <f>'Distribution Dashboard'!C104</f>
        <v>m3</v>
      </c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</row>
    <row r="114" spans="1:15" hidden="1" x14ac:dyDescent="0.35">
      <c r="A114" s="57" t="str">
        <f>'Distribution Dashboard'!A105</f>
        <v>z (2)</v>
      </c>
      <c r="B114" s="57" t="str">
        <f>'Distribution Dashboard'!B105</f>
        <v>Volume Water Sold-Gondi</v>
      </c>
      <c r="C114" s="57" t="str">
        <f>'Distribution Dashboard'!C105</f>
        <v>m3</v>
      </c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</row>
    <row r="115" spans="1:15" hidden="1" x14ac:dyDescent="0.35">
      <c r="A115" s="57" t="str">
        <f>'Distribution Dashboard'!A106</f>
        <v>K (2)</v>
      </c>
      <c r="B115" s="57" t="str">
        <f>'Distribution Dashboard'!B106</f>
        <v>NRW</v>
      </c>
      <c r="C115" s="57" t="str">
        <f>'Distribution Dashboard'!C106</f>
        <v>%</v>
      </c>
      <c r="D115" s="58" t="e">
        <f>(D113-D114)/D113</f>
        <v>#DIV/0!</v>
      </c>
      <c r="E115" s="58" t="e">
        <f t="shared" ref="E115:O115" si="39">(E113-E114)/E113</f>
        <v>#DIV/0!</v>
      </c>
      <c r="F115" s="58" t="e">
        <f t="shared" si="39"/>
        <v>#DIV/0!</v>
      </c>
      <c r="G115" s="58" t="e">
        <f t="shared" si="39"/>
        <v>#DIV/0!</v>
      </c>
      <c r="H115" s="58" t="e">
        <f t="shared" si="39"/>
        <v>#DIV/0!</v>
      </c>
      <c r="I115" s="58" t="e">
        <f t="shared" si="39"/>
        <v>#DIV/0!</v>
      </c>
      <c r="J115" s="58" t="e">
        <f t="shared" si="39"/>
        <v>#DIV/0!</v>
      </c>
      <c r="K115" s="58" t="e">
        <f t="shared" si="39"/>
        <v>#DIV/0!</v>
      </c>
      <c r="L115" s="58" t="e">
        <f t="shared" si="39"/>
        <v>#DIV/0!</v>
      </c>
      <c r="M115" s="58" t="e">
        <f t="shared" si="39"/>
        <v>#DIV/0!</v>
      </c>
      <c r="N115" s="58" t="e">
        <f t="shared" si="39"/>
        <v>#DIV/0!</v>
      </c>
      <c r="O115" s="58" t="e">
        <f t="shared" si="39"/>
        <v>#DIV/0!</v>
      </c>
    </row>
    <row r="116" spans="1:15" hidden="1" x14ac:dyDescent="0.35">
      <c r="A116" s="57">
        <f>'Distribution Dashboard'!A107</f>
        <v>0</v>
      </c>
      <c r="B116" s="57" t="str">
        <f>'Distribution Dashboard'!B107</f>
        <v>NYONJORO</v>
      </c>
      <c r="C116" s="57">
        <f>'Distribution Dashboard'!C107</f>
        <v>0</v>
      </c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</row>
    <row r="117" spans="1:15" hidden="1" x14ac:dyDescent="0.35">
      <c r="A117" s="57" t="str">
        <f>'Distribution Dashboard'!A108</f>
        <v>Y (3)</v>
      </c>
      <c r="B117" s="57" t="str">
        <f>'Distribution Dashboard'!B108</f>
        <v>Volume Water Supplied-NJONJORO</v>
      </c>
      <c r="C117" s="57" t="str">
        <f>'Distribution Dashboard'!C108</f>
        <v>m3</v>
      </c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</row>
    <row r="118" spans="1:15" hidden="1" x14ac:dyDescent="0.35">
      <c r="A118" s="57" t="str">
        <f>'Distribution Dashboard'!A109</f>
        <v>z (3)</v>
      </c>
      <c r="B118" s="57" t="str">
        <f>'Distribution Dashboard'!B109</f>
        <v>Volume Water Sold-NYONJORO</v>
      </c>
      <c r="C118" s="57" t="str">
        <f>'Distribution Dashboard'!C109</f>
        <v>m3</v>
      </c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</row>
    <row r="119" spans="1:15" hidden="1" x14ac:dyDescent="0.35">
      <c r="A119" s="57" t="str">
        <f>'Distribution Dashboard'!A110</f>
        <v>K (3)</v>
      </c>
      <c r="B119" s="57" t="str">
        <f>'Distribution Dashboard'!B110</f>
        <v>NRW</v>
      </c>
      <c r="C119" s="57" t="str">
        <f>'Distribution Dashboard'!C110</f>
        <v>%</v>
      </c>
      <c r="D119" s="58" t="e">
        <f>(D117-D118)/D117</f>
        <v>#DIV/0!</v>
      </c>
      <c r="E119" s="58" t="e">
        <f t="shared" ref="E119:O119" si="40">(E117-E118)/E117</f>
        <v>#DIV/0!</v>
      </c>
      <c r="F119" s="58" t="e">
        <f t="shared" si="40"/>
        <v>#DIV/0!</v>
      </c>
      <c r="G119" s="58" t="e">
        <f t="shared" si="40"/>
        <v>#DIV/0!</v>
      </c>
      <c r="H119" s="58" t="e">
        <f t="shared" si="40"/>
        <v>#DIV/0!</v>
      </c>
      <c r="I119" s="58" t="e">
        <f t="shared" si="40"/>
        <v>#DIV/0!</v>
      </c>
      <c r="J119" s="58" t="e">
        <f t="shared" si="40"/>
        <v>#DIV/0!</v>
      </c>
      <c r="K119" s="58" t="e">
        <f t="shared" si="40"/>
        <v>#DIV/0!</v>
      </c>
      <c r="L119" s="58" t="e">
        <f t="shared" si="40"/>
        <v>#DIV/0!</v>
      </c>
      <c r="M119" s="58" t="e">
        <f t="shared" si="40"/>
        <v>#DIV/0!</v>
      </c>
      <c r="N119" s="58" t="e">
        <f t="shared" si="40"/>
        <v>#DIV/0!</v>
      </c>
      <c r="O119" s="58" t="e">
        <f t="shared" si="40"/>
        <v>#DIV/0!</v>
      </c>
    </row>
    <row r="120" spans="1:15" x14ac:dyDescent="0.35">
      <c r="B120" s="57" t="str">
        <f>'Distribution Dashboard'!B111</f>
        <v>LONGONOT</v>
      </c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</row>
    <row r="121" spans="1:15" x14ac:dyDescent="0.35">
      <c r="A121" s="57" t="str">
        <f>'Distribution Dashboard'!A112</f>
        <v>103 (7)</v>
      </c>
      <c r="B121" s="57" t="str">
        <f>'Distribution Dashboard'!B112</f>
        <v>Volume Water Supplied</v>
      </c>
      <c r="C121" s="57" t="str">
        <f>'Distribution Dashboard'!C112</f>
        <v>m3</v>
      </c>
      <c r="D121" s="87">
        <v>6059</v>
      </c>
      <c r="E121" s="87">
        <v>8910</v>
      </c>
      <c r="F121" s="87">
        <v>7224</v>
      </c>
      <c r="G121" s="87">
        <v>7321</v>
      </c>
      <c r="H121" s="87">
        <v>6624</v>
      </c>
      <c r="I121" s="87">
        <v>4153</v>
      </c>
      <c r="J121" s="87">
        <v>5455</v>
      </c>
      <c r="K121" s="87">
        <v>6709</v>
      </c>
      <c r="L121" s="87">
        <v>5820</v>
      </c>
      <c r="M121" s="87">
        <v>2859</v>
      </c>
      <c r="N121" s="87">
        <v>2559</v>
      </c>
      <c r="O121" s="87">
        <v>4010</v>
      </c>
    </row>
    <row r="122" spans="1:15" x14ac:dyDescent="0.35">
      <c r="A122" s="57" t="str">
        <f>'Distribution Dashboard'!A113</f>
        <v>110 (7)</v>
      </c>
      <c r="B122" s="57" t="str">
        <f>'Distribution Dashboard'!B113</f>
        <v>Volume Water Sold</v>
      </c>
      <c r="C122" s="57" t="str">
        <f>'Distribution Dashboard'!C113</f>
        <v>m3</v>
      </c>
      <c r="D122" s="87">
        <v>4199</v>
      </c>
      <c r="E122" s="87">
        <v>5820</v>
      </c>
      <c r="F122" s="87">
        <v>5614</v>
      </c>
      <c r="G122" s="87">
        <v>5293</v>
      </c>
      <c r="H122" s="87">
        <v>5341</v>
      </c>
      <c r="I122" s="87">
        <v>2778</v>
      </c>
      <c r="J122" s="87">
        <v>3269</v>
      </c>
      <c r="K122" s="87">
        <v>3727</v>
      </c>
      <c r="L122" s="87">
        <v>4674</v>
      </c>
      <c r="M122" s="87">
        <v>1973</v>
      </c>
      <c r="N122" s="87">
        <v>1943</v>
      </c>
      <c r="O122" s="87">
        <v>3280</v>
      </c>
    </row>
    <row r="123" spans="1:15" x14ac:dyDescent="0.35">
      <c r="A123" s="57" t="str">
        <f>'Distribution Dashboard'!A114</f>
        <v>124 (7)</v>
      </c>
      <c r="B123" s="57" t="str">
        <f>'Distribution Dashboard'!B114</f>
        <v>NRW</v>
      </c>
      <c r="C123" s="57" t="str">
        <f>'Distribution Dashboard'!C114</f>
        <v>%</v>
      </c>
      <c r="D123" s="58">
        <f>IFERROR((D121-D122)/D121,0)</f>
        <v>0.30698135005776533</v>
      </c>
      <c r="E123" s="58">
        <f t="shared" ref="E123:O123" si="41">IFERROR((E121-E122)/E121,0)</f>
        <v>0.34680134680134678</v>
      </c>
      <c r="F123" s="58">
        <f t="shared" si="41"/>
        <v>0.22286821705426357</v>
      </c>
      <c r="G123" s="58">
        <f t="shared" si="41"/>
        <v>0.27701133724900973</v>
      </c>
      <c r="H123" s="58">
        <f t="shared" si="41"/>
        <v>0.19368961352657005</v>
      </c>
      <c r="I123" s="58">
        <f t="shared" si="41"/>
        <v>0.33108596195521312</v>
      </c>
      <c r="J123" s="58">
        <f t="shared" si="41"/>
        <v>0.40073327222731436</v>
      </c>
      <c r="K123" s="58">
        <f t="shared" si="41"/>
        <v>0.44447756744671335</v>
      </c>
      <c r="L123" s="58">
        <f t="shared" si="41"/>
        <v>0.19690721649484536</v>
      </c>
      <c r="M123" s="58">
        <f t="shared" si="41"/>
        <v>0.3098985659321441</v>
      </c>
      <c r="N123" s="58">
        <f t="shared" si="41"/>
        <v>0.24071903087143415</v>
      </c>
      <c r="O123" s="58">
        <f t="shared" si="41"/>
        <v>0.18204488778054864</v>
      </c>
    </row>
    <row r="124" spans="1:15" x14ac:dyDescent="0.35">
      <c r="A124" s="57">
        <f>'Distribution Dashboard'!A127</f>
        <v>0</v>
      </c>
      <c r="B124" s="57" t="str">
        <f>'Distribution Dashboard'!B115</f>
        <v>IHINDU</v>
      </c>
      <c r="C124" s="57">
        <f>'Distribution Dashboard'!C115</f>
        <v>0</v>
      </c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</row>
    <row r="125" spans="1:15" x14ac:dyDescent="0.35">
      <c r="A125" s="57" t="str">
        <f>'Distribution Dashboard'!A116</f>
        <v>103 (6)</v>
      </c>
      <c r="B125" s="57" t="str">
        <f>'Distribution Dashboard'!B116</f>
        <v>Volume Water Supplied</v>
      </c>
      <c r="C125" s="57" t="str">
        <f>'Distribution Dashboard'!C116</f>
        <v>m3</v>
      </c>
      <c r="D125" s="59">
        <v>93</v>
      </c>
      <c r="E125" s="59">
        <v>191</v>
      </c>
      <c r="F125" s="59">
        <v>225</v>
      </c>
      <c r="G125" s="59">
        <v>243</v>
      </c>
      <c r="H125" s="59">
        <v>177</v>
      </c>
      <c r="I125" s="59">
        <v>151</v>
      </c>
      <c r="J125" s="59">
        <v>17</v>
      </c>
      <c r="K125" s="59">
        <v>0</v>
      </c>
      <c r="L125" s="59"/>
      <c r="M125" s="59">
        <v>0</v>
      </c>
      <c r="N125" s="59"/>
      <c r="O125" s="59">
        <v>77</v>
      </c>
    </row>
    <row r="126" spans="1:15" x14ac:dyDescent="0.35">
      <c r="A126" s="57" t="str">
        <f>'Distribution Dashboard'!A117</f>
        <v>110 (6)</v>
      </c>
      <c r="B126" s="57" t="str">
        <f>'Distribution Dashboard'!B117</f>
        <v>Volume Water Sold</v>
      </c>
      <c r="C126" s="57" t="str">
        <f>'Distribution Dashboard'!C117</f>
        <v>m3</v>
      </c>
      <c r="D126" s="59">
        <v>91</v>
      </c>
      <c r="E126" s="59">
        <v>191</v>
      </c>
      <c r="F126" s="59">
        <v>225</v>
      </c>
      <c r="G126" s="59">
        <v>243</v>
      </c>
      <c r="H126" s="59">
        <v>177</v>
      </c>
      <c r="I126" s="59">
        <v>151</v>
      </c>
      <c r="J126" s="59">
        <v>17</v>
      </c>
      <c r="K126" s="59">
        <v>0</v>
      </c>
      <c r="L126" s="59"/>
      <c r="M126" s="59">
        <v>0</v>
      </c>
      <c r="N126" s="59"/>
      <c r="O126" s="59">
        <v>77</v>
      </c>
    </row>
    <row r="127" spans="1:15" x14ac:dyDescent="0.35">
      <c r="A127" s="57" t="str">
        <f>'Distribution Dashboard'!A118</f>
        <v>124 (6)</v>
      </c>
      <c r="B127" s="57" t="str">
        <f>'Distribution Dashboard'!B118</f>
        <v>NRW</v>
      </c>
      <c r="C127" s="57" t="str">
        <f>'Distribution Dashboard'!C118</f>
        <v>%</v>
      </c>
      <c r="D127" s="58">
        <f t="shared" ref="D127:J127" si="42">(D125-D126)/D125</f>
        <v>2.1505376344086023E-2</v>
      </c>
      <c r="E127" s="58">
        <f t="shared" si="42"/>
        <v>0</v>
      </c>
      <c r="F127" s="58">
        <f t="shared" si="42"/>
        <v>0</v>
      </c>
      <c r="G127" s="58">
        <f t="shared" si="42"/>
        <v>0</v>
      </c>
      <c r="H127" s="58">
        <f t="shared" si="42"/>
        <v>0</v>
      </c>
      <c r="I127" s="58">
        <f t="shared" si="42"/>
        <v>0</v>
      </c>
      <c r="J127" s="58">
        <f t="shared" si="42"/>
        <v>0</v>
      </c>
      <c r="K127" s="58">
        <f>IFERROR((K125-K126)/K125,0)</f>
        <v>0</v>
      </c>
      <c r="L127" s="58">
        <f>IFERROR((L125-L126)/L125,0)</f>
        <v>0</v>
      </c>
      <c r="M127" s="58">
        <f>IFERROR((M125-M126)/M125,0)</f>
        <v>0</v>
      </c>
      <c r="N127" s="58">
        <f>IFERROR((N125-N126)/N125,0)</f>
        <v>0</v>
      </c>
      <c r="O127" s="58">
        <f>IFERROR((O125-O126)/O125,0)</f>
        <v>0</v>
      </c>
    </row>
    <row r="128" spans="1:15" x14ac:dyDescent="0.35">
      <c r="A128" s="57">
        <f>'Distribution Dashboard'!A131</f>
        <v>0</v>
      </c>
      <c r="B128" s="57">
        <f>'Distribution Dashboard'!B131</f>
        <v>0</v>
      </c>
      <c r="C128" s="57">
        <f>'Distribution Dashboard'!C131</f>
        <v>0</v>
      </c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</row>
    <row r="129" spans="1:15" x14ac:dyDescent="0.35">
      <c r="A129" s="57">
        <f>'Distribution Dashboard'!A132</f>
        <v>0</v>
      </c>
      <c r="B129" s="57">
        <f>'Distribution Dashboard'!B132</f>
        <v>0</v>
      </c>
      <c r="C129" s="57">
        <f>'Distribution Dashboard'!C132</f>
        <v>0</v>
      </c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</row>
    <row r="130" spans="1:15" x14ac:dyDescent="0.35">
      <c r="A130" s="57">
        <f>'Distribution Dashboard'!A133</f>
        <v>0</v>
      </c>
      <c r="B130" s="57">
        <f>'Distribution Dashboard'!B133</f>
        <v>0</v>
      </c>
      <c r="C130" s="57">
        <f>'Distribution Dashboard'!C133</f>
        <v>0</v>
      </c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</row>
    <row r="131" spans="1:15" x14ac:dyDescent="0.35">
      <c r="A131" s="57">
        <f>'Distribution Dashboard'!A134</f>
        <v>0</v>
      </c>
      <c r="B131" s="57">
        <f>'Distribution Dashboard'!B134</f>
        <v>0</v>
      </c>
      <c r="C131" s="57">
        <f>'Distribution Dashboard'!C134</f>
        <v>0</v>
      </c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</row>
    <row r="132" spans="1:15" x14ac:dyDescent="0.35">
      <c r="A132" s="57">
        <f>'Distribution Dashboard'!A135</f>
        <v>0</v>
      </c>
      <c r="B132" s="57">
        <f>'Distribution Dashboard'!B135</f>
        <v>0</v>
      </c>
      <c r="C132" s="57">
        <f>'Distribution Dashboard'!C135</f>
        <v>0</v>
      </c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</row>
    <row r="133" spans="1:15" x14ac:dyDescent="0.35">
      <c r="A133" s="57">
        <f>'Distribution Dashboard'!A136</f>
        <v>0</v>
      </c>
      <c r="B133" s="57">
        <f>'Distribution Dashboard'!B136</f>
        <v>0</v>
      </c>
      <c r="C133" s="57">
        <f>'Distribution Dashboard'!C136</f>
        <v>0</v>
      </c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</row>
    <row r="134" spans="1:15" x14ac:dyDescent="0.35">
      <c r="A134" s="57">
        <f>'Distribution Dashboard'!A137</f>
        <v>0</v>
      </c>
      <c r="B134" s="57">
        <f>'Distribution Dashboard'!B137</f>
        <v>0</v>
      </c>
      <c r="C134" s="57">
        <f>'Distribution Dashboard'!C137</f>
        <v>0</v>
      </c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</row>
    <row r="135" spans="1:15" x14ac:dyDescent="0.35">
      <c r="A135" s="57">
        <f>'Distribution Dashboard'!A138</f>
        <v>0</v>
      </c>
      <c r="B135" s="57">
        <f>'Distribution Dashboard'!B138</f>
        <v>0</v>
      </c>
      <c r="C135" s="57">
        <f>'Distribution Dashboard'!C138</f>
        <v>0</v>
      </c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</row>
    <row r="136" spans="1:15" x14ac:dyDescent="0.35">
      <c r="A136" s="57">
        <f>'Distribution Dashboard'!A139</f>
        <v>0</v>
      </c>
      <c r="B136" s="57">
        <f>'Distribution Dashboard'!B139</f>
        <v>0</v>
      </c>
      <c r="C136" s="57">
        <f>'Distribution Dashboard'!C139</f>
        <v>0</v>
      </c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</row>
    <row r="137" spans="1:15" x14ac:dyDescent="0.35">
      <c r="A137" s="57">
        <f>'Distribution Dashboard'!A140</f>
        <v>0</v>
      </c>
      <c r="B137" s="57">
        <f>'Distribution Dashboard'!B140</f>
        <v>0</v>
      </c>
      <c r="C137" s="57">
        <f>'Distribution Dashboard'!C140</f>
        <v>0</v>
      </c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</row>
    <row r="138" spans="1:15" x14ac:dyDescent="0.35">
      <c r="A138" s="57">
        <f>'Distribution Dashboard'!A141</f>
        <v>0</v>
      </c>
      <c r="B138" s="57">
        <f>'Distribution Dashboard'!B141</f>
        <v>0</v>
      </c>
      <c r="C138" s="57">
        <f>'Distribution Dashboard'!C141</f>
        <v>0</v>
      </c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</row>
    <row r="139" spans="1:15" x14ac:dyDescent="0.35">
      <c r="A139" s="57">
        <f>'Distribution Dashboard'!A142</f>
        <v>0</v>
      </c>
      <c r="B139" s="57">
        <f>'Distribution Dashboard'!B142</f>
        <v>0</v>
      </c>
      <c r="C139" s="57">
        <f>'Distribution Dashboard'!C142</f>
        <v>0</v>
      </c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</row>
    <row r="140" spans="1:15" x14ac:dyDescent="0.35">
      <c r="A140" s="57">
        <f>'Distribution Dashboard'!A143</f>
        <v>0</v>
      </c>
      <c r="B140" s="57">
        <f>'Distribution Dashboard'!B143</f>
        <v>0</v>
      </c>
      <c r="C140" s="57">
        <f>'Distribution Dashboard'!C143</f>
        <v>0</v>
      </c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</row>
    <row r="141" spans="1:15" x14ac:dyDescent="0.35">
      <c r="A141" s="57">
        <f>'Distribution Dashboard'!A144</f>
        <v>0</v>
      </c>
      <c r="B141" s="57">
        <f>'Distribution Dashboard'!B144</f>
        <v>0</v>
      </c>
      <c r="C141" s="57">
        <f>'Distribution Dashboard'!C144</f>
        <v>0</v>
      </c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</row>
    <row r="142" spans="1:15" x14ac:dyDescent="0.35">
      <c r="A142" s="57">
        <f>'Distribution Dashboard'!A145</f>
        <v>0</v>
      </c>
      <c r="B142" s="57">
        <f>'Distribution Dashboard'!B145</f>
        <v>0</v>
      </c>
      <c r="C142" s="57">
        <f>'Distribution Dashboard'!C145</f>
        <v>0</v>
      </c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</row>
    <row r="143" spans="1:15" x14ac:dyDescent="0.35">
      <c r="A143" s="57">
        <f>'Distribution Dashboard'!A146</f>
        <v>0</v>
      </c>
      <c r="B143" s="57">
        <f>'Distribution Dashboard'!B146</f>
        <v>0</v>
      </c>
      <c r="C143" s="57">
        <f>'Distribution Dashboard'!C146</f>
        <v>0</v>
      </c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</row>
    <row r="144" spans="1:15" x14ac:dyDescent="0.35">
      <c r="A144" s="57">
        <f>'Distribution Dashboard'!A147</f>
        <v>0</v>
      </c>
      <c r="B144" s="57">
        <f>'Distribution Dashboard'!B147</f>
        <v>0</v>
      </c>
      <c r="C144" s="57">
        <f>'Distribution Dashboard'!C147</f>
        <v>0</v>
      </c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</row>
    <row r="145" spans="1:15" x14ac:dyDescent="0.35">
      <c r="A145" s="57">
        <f>'Distribution Dashboard'!A148</f>
        <v>0</v>
      </c>
      <c r="B145" s="57">
        <f>'Distribution Dashboard'!B148</f>
        <v>0</v>
      </c>
      <c r="C145" s="57">
        <f>'Distribution Dashboard'!C148</f>
        <v>0</v>
      </c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</row>
    <row r="146" spans="1:15" x14ac:dyDescent="0.35">
      <c r="A146" s="57">
        <f>'Distribution Dashboard'!A149</f>
        <v>0</v>
      </c>
      <c r="B146" s="57">
        <f>'Distribution Dashboard'!B149</f>
        <v>0</v>
      </c>
      <c r="C146" s="57">
        <f>'Distribution Dashboard'!C149</f>
        <v>0</v>
      </c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</row>
    <row r="147" spans="1:15" x14ac:dyDescent="0.35">
      <c r="A147" s="57">
        <f>'Distribution Dashboard'!A150</f>
        <v>0</v>
      </c>
      <c r="B147" s="57">
        <f>'Distribution Dashboard'!B150</f>
        <v>0</v>
      </c>
      <c r="C147" s="57">
        <f>'Distribution Dashboard'!C150</f>
        <v>0</v>
      </c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</row>
    <row r="148" spans="1:15" x14ac:dyDescent="0.35">
      <c r="A148" s="57">
        <f>'Distribution Dashboard'!A151</f>
        <v>0</v>
      </c>
      <c r="B148" s="57">
        <f>'Distribution Dashboard'!B151</f>
        <v>0</v>
      </c>
      <c r="C148" s="57">
        <f>'Distribution Dashboard'!C151</f>
        <v>0</v>
      </c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</row>
    <row r="149" spans="1:15" x14ac:dyDescent="0.35">
      <c r="A149" s="57">
        <f>'Distribution Dashboard'!A152</f>
        <v>0</v>
      </c>
      <c r="B149" s="57">
        <f>'Distribution Dashboard'!B152</f>
        <v>0</v>
      </c>
      <c r="C149" s="57">
        <f>'Distribution Dashboard'!C152</f>
        <v>0</v>
      </c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</row>
    <row r="150" spans="1:15" x14ac:dyDescent="0.35">
      <c r="A150" s="57">
        <f>'Distribution Dashboard'!A153</f>
        <v>0</v>
      </c>
      <c r="B150" s="57">
        <f>'Distribution Dashboard'!B153</f>
        <v>0</v>
      </c>
      <c r="C150" s="57">
        <f>'Distribution Dashboard'!C153</f>
        <v>0</v>
      </c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</row>
    <row r="151" spans="1:15" x14ac:dyDescent="0.35">
      <c r="A151" s="57">
        <f>'Distribution Dashboard'!A154</f>
        <v>0</v>
      </c>
      <c r="B151" s="57">
        <f>'Distribution Dashboard'!B154</f>
        <v>0</v>
      </c>
      <c r="C151" s="57">
        <f>'Distribution Dashboard'!C154</f>
        <v>0</v>
      </c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</row>
    <row r="152" spans="1:15" x14ac:dyDescent="0.35">
      <c r="A152" s="57">
        <f>'Distribution Dashboard'!A155</f>
        <v>0</v>
      </c>
      <c r="B152" s="57">
        <f>'Distribution Dashboard'!B155</f>
        <v>0</v>
      </c>
      <c r="C152" s="57">
        <f>'Distribution Dashboard'!C155</f>
        <v>0</v>
      </c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</row>
    <row r="153" spans="1:15" x14ac:dyDescent="0.35">
      <c r="A153" s="57">
        <f>'Distribution Dashboard'!A156</f>
        <v>0</v>
      </c>
      <c r="B153" s="57">
        <f>'Distribution Dashboard'!B156</f>
        <v>0</v>
      </c>
      <c r="C153" s="57">
        <f>'Distribution Dashboard'!C156</f>
        <v>0</v>
      </c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</row>
    <row r="154" spans="1:15" x14ac:dyDescent="0.35">
      <c r="A154" s="57">
        <f>'Distribution Dashboard'!A157</f>
        <v>0</v>
      </c>
      <c r="B154" s="57">
        <f>'Distribution Dashboard'!B157</f>
        <v>0</v>
      </c>
      <c r="C154" s="57">
        <f>'Distribution Dashboard'!C157</f>
        <v>0</v>
      </c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</row>
    <row r="155" spans="1:15" x14ac:dyDescent="0.35">
      <c r="A155" s="57">
        <f>'Distribution Dashboard'!A158</f>
        <v>0</v>
      </c>
      <c r="B155" s="57">
        <f>'Distribution Dashboard'!B158</f>
        <v>0</v>
      </c>
      <c r="C155" s="57">
        <f>'Distribution Dashboard'!C158</f>
        <v>0</v>
      </c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</row>
    <row r="156" spans="1:15" x14ac:dyDescent="0.35">
      <c r="A156" s="57">
        <f>'Distribution Dashboard'!A159</f>
        <v>0</v>
      </c>
      <c r="B156" s="57">
        <f>'Distribution Dashboard'!B159</f>
        <v>0</v>
      </c>
      <c r="C156" s="57">
        <f>'Distribution Dashboard'!C159</f>
        <v>0</v>
      </c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</row>
    <row r="157" spans="1:15" x14ac:dyDescent="0.35">
      <c r="A157" s="57">
        <f>'Distribution Dashboard'!A160</f>
        <v>0</v>
      </c>
      <c r="B157" s="57">
        <f>'Distribution Dashboard'!B160</f>
        <v>0</v>
      </c>
      <c r="C157" s="57">
        <f>'Distribution Dashboard'!C160</f>
        <v>0</v>
      </c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</row>
    <row r="158" spans="1:15" x14ac:dyDescent="0.35">
      <c r="A158" s="57">
        <f>'Distribution Dashboard'!A161</f>
        <v>0</v>
      </c>
      <c r="B158" s="57">
        <f>'Distribution Dashboard'!B161</f>
        <v>0</v>
      </c>
      <c r="C158" s="57">
        <f>'Distribution Dashboard'!C161</f>
        <v>0</v>
      </c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</row>
    <row r="159" spans="1:15" x14ac:dyDescent="0.35">
      <c r="A159" s="57">
        <f>'Distribution Dashboard'!A162</f>
        <v>0</v>
      </c>
      <c r="B159" s="57">
        <f>'Distribution Dashboard'!B162</f>
        <v>0</v>
      </c>
      <c r="C159" s="57">
        <f>'Distribution Dashboard'!C162</f>
        <v>0</v>
      </c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</row>
    <row r="160" spans="1:15" x14ac:dyDescent="0.35">
      <c r="A160" s="57">
        <f>'Distribution Dashboard'!A163</f>
        <v>0</v>
      </c>
      <c r="B160" s="57">
        <f>'Distribution Dashboard'!B163</f>
        <v>0</v>
      </c>
      <c r="C160" s="57">
        <f>'Distribution Dashboard'!C163</f>
        <v>0</v>
      </c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</row>
    <row r="161" spans="1:15" x14ac:dyDescent="0.35">
      <c r="A161" s="57">
        <f>'Distribution Dashboard'!A164</f>
        <v>0</v>
      </c>
      <c r="B161" s="57">
        <f>'Distribution Dashboard'!B164</f>
        <v>0</v>
      </c>
      <c r="C161" s="57">
        <f>'Distribution Dashboard'!C164</f>
        <v>0</v>
      </c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</row>
    <row r="162" spans="1:15" x14ac:dyDescent="0.35">
      <c r="A162" s="57">
        <f>'Distribution Dashboard'!A165</f>
        <v>0</v>
      </c>
      <c r="B162" s="57">
        <f>'Distribution Dashboard'!B165</f>
        <v>0</v>
      </c>
      <c r="C162" s="57">
        <f>'Distribution Dashboard'!C165</f>
        <v>0</v>
      </c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</row>
    <row r="163" spans="1:15" x14ac:dyDescent="0.35">
      <c r="A163" s="57">
        <f>'Distribution Dashboard'!A166</f>
        <v>0</v>
      </c>
      <c r="B163" s="57">
        <f>'Distribution Dashboard'!B166</f>
        <v>0</v>
      </c>
      <c r="C163" s="57">
        <f>'Distribution Dashboard'!C166</f>
        <v>0</v>
      </c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</row>
    <row r="164" spans="1:15" x14ac:dyDescent="0.35">
      <c r="A164" s="57">
        <f>'Distribution Dashboard'!A167</f>
        <v>0</v>
      </c>
      <c r="B164" s="57">
        <f>'Distribution Dashboard'!B167</f>
        <v>0</v>
      </c>
      <c r="C164" s="57">
        <f>'Distribution Dashboard'!C167</f>
        <v>0</v>
      </c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</row>
    <row r="165" spans="1:15" x14ac:dyDescent="0.35">
      <c r="A165" s="57">
        <f>'Distribution Dashboard'!A168</f>
        <v>0</v>
      </c>
      <c r="B165" s="57">
        <f>'Distribution Dashboard'!B168</f>
        <v>0</v>
      </c>
      <c r="C165" s="57">
        <f>'Distribution Dashboard'!C168</f>
        <v>0</v>
      </c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</row>
    <row r="166" spans="1:15" x14ac:dyDescent="0.35">
      <c r="A166" s="57">
        <f>'Distribution Dashboard'!A169</f>
        <v>0</v>
      </c>
      <c r="B166" s="57">
        <f>'Distribution Dashboard'!B169</f>
        <v>0</v>
      </c>
      <c r="C166" s="57">
        <f>'Distribution Dashboard'!C169</f>
        <v>0</v>
      </c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</row>
    <row r="167" spans="1:15" x14ac:dyDescent="0.35">
      <c r="A167" s="57">
        <f>'Distribution Dashboard'!A170</f>
        <v>0</v>
      </c>
      <c r="B167" s="57">
        <f>'Distribution Dashboard'!B170</f>
        <v>0</v>
      </c>
      <c r="C167" s="57">
        <f>'Distribution Dashboard'!C170</f>
        <v>0</v>
      </c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</row>
    <row r="168" spans="1:15" x14ac:dyDescent="0.35">
      <c r="A168" s="57">
        <f>'Distribution Dashboard'!A171</f>
        <v>0</v>
      </c>
      <c r="B168" s="57">
        <f>'Distribution Dashboard'!B171</f>
        <v>0</v>
      </c>
      <c r="C168" s="57">
        <f>'Distribution Dashboard'!C171</f>
        <v>0</v>
      </c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</row>
    <row r="169" spans="1:15" x14ac:dyDescent="0.35">
      <c r="A169" s="57">
        <f>'Distribution Dashboard'!A172</f>
        <v>0</v>
      </c>
      <c r="B169" s="57">
        <f>'Distribution Dashboard'!B172</f>
        <v>0</v>
      </c>
      <c r="C169" s="57">
        <f>'Distribution Dashboard'!C172</f>
        <v>0</v>
      </c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</row>
    <row r="170" spans="1:15" x14ac:dyDescent="0.35">
      <c r="A170" s="57">
        <f>'Distribution Dashboard'!A173</f>
        <v>0</v>
      </c>
      <c r="B170" s="57">
        <f>'Distribution Dashboard'!B173</f>
        <v>0</v>
      </c>
      <c r="C170" s="57">
        <f>'Distribution Dashboard'!C173</f>
        <v>0</v>
      </c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</row>
    <row r="171" spans="1:15" x14ac:dyDescent="0.35">
      <c r="A171" s="57">
        <f>'Distribution Dashboard'!A174</f>
        <v>0</v>
      </c>
      <c r="B171" s="57">
        <f>'Distribution Dashboard'!B174</f>
        <v>0</v>
      </c>
      <c r="C171" s="57">
        <f>'Distribution Dashboard'!C174</f>
        <v>0</v>
      </c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</row>
    <row r="172" spans="1:15" x14ac:dyDescent="0.35">
      <c r="A172" s="57">
        <f>'Distribution Dashboard'!A175</f>
        <v>0</v>
      </c>
      <c r="B172" s="57">
        <f>'Distribution Dashboard'!B175</f>
        <v>0</v>
      </c>
      <c r="C172" s="57">
        <f>'Distribution Dashboard'!C175</f>
        <v>0</v>
      </c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</row>
    <row r="173" spans="1:15" x14ac:dyDescent="0.35">
      <c r="A173" s="57">
        <f>'Distribution Dashboard'!A176</f>
        <v>0</v>
      </c>
      <c r="B173" s="57">
        <f>'Distribution Dashboard'!B176</f>
        <v>0</v>
      </c>
      <c r="C173" s="57">
        <f>'Distribution Dashboard'!C176</f>
        <v>0</v>
      </c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</row>
    <row r="174" spans="1:15" x14ac:dyDescent="0.35">
      <c r="A174" s="57">
        <f>'Distribution Dashboard'!A177</f>
        <v>0</v>
      </c>
      <c r="B174" s="57">
        <f>'Distribution Dashboard'!B177</f>
        <v>0</v>
      </c>
      <c r="C174" s="57">
        <f>'Distribution Dashboard'!C177</f>
        <v>0</v>
      </c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</row>
    <row r="175" spans="1:15" x14ac:dyDescent="0.35">
      <c r="A175" s="57">
        <f>'Distribution Dashboard'!A178</f>
        <v>0</v>
      </c>
      <c r="B175" s="57">
        <f>'Distribution Dashboard'!B178</f>
        <v>0</v>
      </c>
      <c r="C175" s="57">
        <f>'Distribution Dashboard'!C178</f>
        <v>0</v>
      </c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</row>
    <row r="176" spans="1:15" x14ac:dyDescent="0.35">
      <c r="A176" s="57">
        <f>'Distribution Dashboard'!A179</f>
        <v>0</v>
      </c>
      <c r="B176" s="57">
        <f>'Distribution Dashboard'!B179</f>
        <v>0</v>
      </c>
      <c r="C176" s="57">
        <f>'Distribution Dashboard'!C179</f>
        <v>0</v>
      </c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9"/>
  <sheetViews>
    <sheetView topLeftCell="B1" zoomScaleNormal="100" workbookViewId="0">
      <selection activeCell="N8" sqref="N8"/>
    </sheetView>
  </sheetViews>
  <sheetFormatPr defaultColWidth="9.1796875" defaultRowHeight="14.5" x14ac:dyDescent="0.35"/>
  <cols>
    <col min="1" max="1" width="13.81640625" style="57" customWidth="1"/>
    <col min="2" max="2" width="31.26953125" style="57" customWidth="1"/>
    <col min="3" max="3" width="9.1796875" style="57" customWidth="1"/>
    <col min="4" max="4" width="14.26953125" style="60" customWidth="1"/>
    <col min="5" max="5" width="13.26953125" style="60" customWidth="1"/>
    <col min="6" max="6" width="14.81640625" style="60" customWidth="1"/>
    <col min="7" max="7" width="13.7265625" style="60" customWidth="1"/>
    <col min="8" max="9" width="14.26953125" style="60" customWidth="1"/>
    <col min="10" max="10" width="11.54296875" style="60" customWidth="1"/>
    <col min="11" max="11" width="12.453125" style="60" customWidth="1"/>
    <col min="12" max="12" width="13" style="60" customWidth="1"/>
    <col min="13" max="13" width="15.26953125" style="60" customWidth="1"/>
    <col min="14" max="14" width="12.54296875" style="60" customWidth="1"/>
    <col min="15" max="15" width="14.7265625" style="60" customWidth="1"/>
    <col min="16" max="16384" width="9.1796875" style="57"/>
  </cols>
  <sheetData>
    <row r="1" spans="1:17" x14ac:dyDescent="0.35">
      <c r="A1" s="57" t="str">
        <f>'Distribution Dashboard'!A1</f>
        <v>NAIVAWASS DISTRIBUTION DASHBOARD - NON-REVENUE WATER &amp; ZONAL PERFORMANCE</v>
      </c>
      <c r="B1" s="57">
        <f>'Distribution Dashboard'!B1</f>
        <v>0</v>
      </c>
      <c r="C1" s="57">
        <f>'Distribution Dashboard'!D1</f>
        <v>0</v>
      </c>
    </row>
    <row r="2" spans="1:17" x14ac:dyDescent="0.35">
      <c r="A2" s="57">
        <f>'Distribution Dashboard'!A2</f>
        <v>0</v>
      </c>
      <c r="B2" s="57">
        <f>'Distribution Dashboard'!B2</f>
        <v>46054</v>
      </c>
      <c r="C2" s="57">
        <f>'Distribution Dashboard'!D2</f>
        <v>0</v>
      </c>
    </row>
    <row r="3" spans="1:17" x14ac:dyDescent="0.35">
      <c r="A3" s="57">
        <f>'Distribution Dashboard'!A3</f>
        <v>0</v>
      </c>
      <c r="B3" s="57">
        <f>'Distribution Dashboard'!B3</f>
        <v>0</v>
      </c>
      <c r="C3" s="57" t="str">
        <f>'Distribution Dashboard'!D3</f>
        <v>Monthly</v>
      </c>
    </row>
    <row r="4" spans="1:17" x14ac:dyDescent="0.35">
      <c r="A4" s="57">
        <f>'Distribution Dashboard'!A4</f>
        <v>0</v>
      </c>
      <c r="C4" s="57" t="str">
        <f>'Distribution Dashboard'!C4</f>
        <v>Unit</v>
      </c>
      <c r="D4" s="71">
        <v>44743</v>
      </c>
      <c r="E4" s="71">
        <v>44774</v>
      </c>
      <c r="F4" s="71">
        <v>44805</v>
      </c>
      <c r="G4" s="71">
        <v>44835</v>
      </c>
      <c r="H4" s="71">
        <v>44866</v>
      </c>
      <c r="I4" s="71">
        <v>44896</v>
      </c>
      <c r="J4" s="71">
        <v>44927</v>
      </c>
      <c r="K4" s="71">
        <v>44958</v>
      </c>
      <c r="L4" s="71">
        <v>44986</v>
      </c>
      <c r="M4" s="71">
        <v>45017</v>
      </c>
      <c r="N4" s="71">
        <v>45047</v>
      </c>
      <c r="O4" s="71">
        <v>45078</v>
      </c>
    </row>
    <row r="5" spans="1:17" x14ac:dyDescent="0.35">
      <c r="A5" s="57">
        <f>'Distribution Dashboard'!A6</f>
        <v>0</v>
      </c>
      <c r="B5" s="57" t="str">
        <f>'Distribution Dashboard'!B6</f>
        <v>REGIONAL  NRW</v>
      </c>
      <c r="C5" s="57">
        <f>'Distribution Dashboard'!C6</f>
        <v>0</v>
      </c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</row>
    <row r="6" spans="1:17" x14ac:dyDescent="0.35">
      <c r="A6" s="57">
        <f>'Distribution Dashboard'!A7</f>
        <v>100</v>
      </c>
      <c r="B6" s="57" t="str">
        <f>'Distribution Dashboard'!B7</f>
        <v>WATER AVAILABLE FOR SALES- REGIONS</v>
      </c>
      <c r="C6" s="57" t="str">
        <f>'Distribution Dashboard'!C7</f>
        <v>m3</v>
      </c>
      <c r="D6" s="59">
        <f>D17+D26+D27</f>
        <v>202300</v>
      </c>
      <c r="E6" s="59">
        <f t="shared" ref="E6" si="0">E17+E26+E27</f>
        <v>205466</v>
      </c>
      <c r="F6" s="59">
        <f>F17+F26+F31</f>
        <v>211119</v>
      </c>
      <c r="G6" s="59">
        <f t="shared" ref="G6:O6" si="1">G17+G26+G31</f>
        <v>159438</v>
      </c>
      <c r="H6" s="59">
        <f t="shared" si="1"/>
        <v>176489</v>
      </c>
      <c r="I6" s="59">
        <f t="shared" si="1"/>
        <v>173351</v>
      </c>
      <c r="J6" s="59">
        <f t="shared" si="1"/>
        <v>187922</v>
      </c>
      <c r="K6" s="59">
        <f t="shared" si="1"/>
        <v>216999</v>
      </c>
      <c r="L6" s="59">
        <f t="shared" si="1"/>
        <v>215601</v>
      </c>
      <c r="M6" s="59">
        <f t="shared" si="1"/>
        <v>200611</v>
      </c>
      <c r="N6" s="59">
        <f t="shared" si="1"/>
        <v>169938</v>
      </c>
      <c r="O6" s="59">
        <f t="shared" si="1"/>
        <v>185559</v>
      </c>
      <c r="Q6" s="73"/>
    </row>
    <row r="7" spans="1:17" x14ac:dyDescent="0.35">
      <c r="A7" s="57" t="str">
        <f>'Distribution Dashboard'!A8</f>
        <v>128a</v>
      </c>
      <c r="B7" s="57" t="str">
        <f>'Distribution Dashboard'!B8</f>
        <v>VOLUME WATER BILLED(CUSTOMERS-M3)</v>
      </c>
      <c r="C7" s="57" t="str">
        <f>'Distribution Dashboard'!C8</f>
        <v>m3</v>
      </c>
      <c r="D7" s="59">
        <f>D18+D27+D31</f>
        <v>152162</v>
      </c>
      <c r="E7" s="59">
        <f t="shared" ref="E7" si="2">E18+E27+E31</f>
        <v>157614</v>
      </c>
      <c r="F7" s="59">
        <f>F18+F27+F32</f>
        <v>139547</v>
      </c>
      <c r="G7" s="59">
        <f t="shared" ref="G7:O7" si="3">G18+G27+G32</f>
        <v>120836</v>
      </c>
      <c r="H7" s="59">
        <f t="shared" si="3"/>
        <v>123996</v>
      </c>
      <c r="I7" s="59">
        <f t="shared" si="3"/>
        <v>130054</v>
      </c>
      <c r="J7" s="59">
        <f t="shared" si="3"/>
        <v>138635</v>
      </c>
      <c r="K7" s="59">
        <f t="shared" si="3"/>
        <v>153470</v>
      </c>
      <c r="L7" s="59">
        <f t="shared" si="3"/>
        <v>163824</v>
      </c>
      <c r="M7" s="59">
        <f t="shared" si="3"/>
        <v>145291</v>
      </c>
      <c r="N7" s="59">
        <f t="shared" si="3"/>
        <v>117706</v>
      </c>
      <c r="O7" s="59">
        <f t="shared" si="3"/>
        <v>137010</v>
      </c>
    </row>
    <row r="8" spans="1:17" x14ac:dyDescent="0.35">
      <c r="A8" s="57">
        <f>'Distribution Dashboard'!A9</f>
        <v>128</v>
      </c>
      <c r="B8" s="57" t="str">
        <f>'Distribution Dashboard'!B9</f>
        <v>GLOBAL NRW</v>
      </c>
      <c r="C8" s="57" t="str">
        <f>'Distribution Dashboard'!C9</f>
        <v>%</v>
      </c>
      <c r="D8" s="70">
        <f>(D6-D7)/D6</f>
        <v>0.24783984181908059</v>
      </c>
      <c r="E8" s="70">
        <f t="shared" ref="E8:O8" si="4">(E6-E7)/E6</f>
        <v>0.23289498019136987</v>
      </c>
      <c r="F8" s="70">
        <f t="shared" si="4"/>
        <v>0.33901259479251039</v>
      </c>
      <c r="G8" s="70">
        <f t="shared" si="4"/>
        <v>0.24211292163725084</v>
      </c>
      <c r="H8" s="70">
        <f t="shared" si="4"/>
        <v>0.29742930154287234</v>
      </c>
      <c r="I8" s="70">
        <f t="shared" si="4"/>
        <v>0.24976492780543522</v>
      </c>
      <c r="J8" s="70">
        <f t="shared" si="4"/>
        <v>0.26227370930492439</v>
      </c>
      <c r="K8" s="70">
        <f t="shared" si="4"/>
        <v>0.29276171779593452</v>
      </c>
      <c r="L8" s="70">
        <f t="shared" si="4"/>
        <v>0.24015194734718298</v>
      </c>
      <c r="M8" s="70">
        <f t="shared" si="4"/>
        <v>0.27575756065220752</v>
      </c>
      <c r="N8" s="70">
        <f t="shared" si="4"/>
        <v>0.30735915451517615</v>
      </c>
      <c r="O8" s="70">
        <f t="shared" si="4"/>
        <v>0.26163646064055096</v>
      </c>
    </row>
    <row r="9" spans="1:17" hidden="1" x14ac:dyDescent="0.35">
      <c r="A9" s="57">
        <f>'Distribution Dashboard'!A10</f>
        <v>0</v>
      </c>
      <c r="B9" s="57" t="str">
        <f>'Distribution Dashboard'!B10</f>
        <v>Number of Active water Connections</v>
      </c>
      <c r="C9" s="57" t="str">
        <f>'Distribution Dashboard'!C10</f>
        <v>NO.</v>
      </c>
      <c r="D9" s="60">
        <f>D32+D23</f>
        <v>23761</v>
      </c>
      <c r="E9" s="60">
        <f t="shared" ref="E9:O10" si="5">E32+E23</f>
        <v>27125</v>
      </c>
      <c r="F9" s="60">
        <f t="shared" si="5"/>
        <v>16098</v>
      </c>
      <c r="G9" s="60">
        <f t="shared" si="5"/>
        <v>19707</v>
      </c>
      <c r="H9" s="60">
        <f t="shared" si="5"/>
        <v>21640</v>
      </c>
      <c r="I9" s="60">
        <f t="shared" si="5"/>
        <v>20144</v>
      </c>
      <c r="J9" s="60">
        <f t="shared" si="5"/>
        <v>22923</v>
      </c>
      <c r="K9" s="60">
        <f t="shared" si="5"/>
        <v>24955</v>
      </c>
      <c r="L9" s="60">
        <f t="shared" si="5"/>
        <v>28920</v>
      </c>
      <c r="M9" s="60">
        <f t="shared" si="5"/>
        <v>24631</v>
      </c>
      <c r="N9" s="60">
        <f t="shared" si="5"/>
        <v>22558</v>
      </c>
      <c r="O9" s="60">
        <f t="shared" si="5"/>
        <v>22371</v>
      </c>
    </row>
    <row r="10" spans="1:17" hidden="1" x14ac:dyDescent="0.35">
      <c r="A10" s="57">
        <f>'Distribution Dashboard'!A11</f>
        <v>0</v>
      </c>
      <c r="B10" s="57" t="str">
        <f>'Distribution Dashboard'!B11</f>
        <v>Number of Active sewer Connections</v>
      </c>
      <c r="C10" s="57" t="str">
        <f>'Distribution Dashboard'!C11</f>
        <v>NO.</v>
      </c>
      <c r="D10" s="60">
        <f>D33+D24</f>
        <v>7326</v>
      </c>
      <c r="E10" s="60">
        <f t="shared" si="5"/>
        <v>5299</v>
      </c>
      <c r="F10" s="60">
        <f t="shared" si="5"/>
        <v>8296</v>
      </c>
      <c r="G10" s="60">
        <f t="shared" si="5"/>
        <v>3219</v>
      </c>
      <c r="H10" s="60">
        <f t="shared" si="5"/>
        <v>8027</v>
      </c>
      <c r="I10" s="60">
        <f t="shared" si="5"/>
        <v>5516</v>
      </c>
      <c r="J10" s="60">
        <f t="shared" si="5"/>
        <v>6620</v>
      </c>
      <c r="K10" s="60">
        <f t="shared" si="5"/>
        <v>8110</v>
      </c>
      <c r="L10" s="60">
        <f t="shared" si="5"/>
        <v>8991</v>
      </c>
      <c r="M10" s="60">
        <f t="shared" si="5"/>
        <v>9214</v>
      </c>
      <c r="N10" s="60">
        <f t="shared" si="5"/>
        <v>1891</v>
      </c>
      <c r="O10" s="60">
        <f t="shared" si="5"/>
        <v>7283</v>
      </c>
    </row>
    <row r="11" spans="1:17" hidden="1" x14ac:dyDescent="0.35">
      <c r="A11" s="57">
        <f>'Distribution Dashboard'!A12</f>
        <v>0</v>
      </c>
      <c r="B11" s="57" t="str">
        <f>'Distribution Dashboard'!B12</f>
        <v>Number of In-active Sewer Connections</v>
      </c>
      <c r="C11" s="57" t="str">
        <f>'Distribution Dashboard'!C12</f>
        <v>NO.</v>
      </c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</row>
    <row r="12" spans="1:17" hidden="1" x14ac:dyDescent="0.35">
      <c r="A12" s="57">
        <f>'Distribution Dashboard'!A13</f>
        <v>0</v>
      </c>
      <c r="B12" s="57" t="str">
        <f>'Distribution Dashboard'!B13</f>
        <v>Number of In-active Water Connections</v>
      </c>
      <c r="C12" s="57" t="str">
        <f>'Distribution Dashboard'!C13</f>
        <v>NO.</v>
      </c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</row>
    <row r="13" spans="1:17" hidden="1" x14ac:dyDescent="0.35">
      <c r="A13" s="57">
        <f>'Distribution Dashboard'!A14</f>
        <v>0</v>
      </c>
      <c r="B13" s="57" t="str">
        <f>'Distribution Dashboard'!B14</f>
        <v>Number of Connections</v>
      </c>
      <c r="C13" s="57" t="str">
        <f>'Distribution Dashboard'!C14</f>
        <v>NO.</v>
      </c>
      <c r="D13" s="65">
        <f t="shared" ref="D13:O13" si="6">SUM(D9:D12)</f>
        <v>31087</v>
      </c>
      <c r="E13" s="65">
        <f t="shared" si="6"/>
        <v>32424</v>
      </c>
      <c r="F13" s="65">
        <f t="shared" si="6"/>
        <v>24394</v>
      </c>
      <c r="G13" s="65">
        <f t="shared" si="6"/>
        <v>22926</v>
      </c>
      <c r="H13" s="65">
        <f t="shared" si="6"/>
        <v>29667</v>
      </c>
      <c r="I13" s="65">
        <f t="shared" si="6"/>
        <v>25660</v>
      </c>
      <c r="J13" s="65">
        <f t="shared" si="6"/>
        <v>29543</v>
      </c>
      <c r="K13" s="65">
        <f t="shared" si="6"/>
        <v>33065</v>
      </c>
      <c r="L13" s="65">
        <f t="shared" si="6"/>
        <v>37911</v>
      </c>
      <c r="M13" s="65">
        <f t="shared" si="6"/>
        <v>33845</v>
      </c>
      <c r="N13" s="65">
        <f t="shared" si="6"/>
        <v>24449</v>
      </c>
      <c r="O13" s="65">
        <f t="shared" si="6"/>
        <v>29654</v>
      </c>
    </row>
    <row r="14" spans="1:17" hidden="1" x14ac:dyDescent="0.35">
      <c r="A14" s="57">
        <f>'Distribution Dashboard'!A15</f>
        <v>0</v>
      </c>
      <c r="B14" s="57" t="str">
        <f>'Distribution Dashboard'!B15</f>
        <v>Maintenance, repair and operational cost</v>
      </c>
      <c r="C14" s="57" t="str">
        <f>'Distribution Dashboard'!C15</f>
        <v>KES</v>
      </c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</row>
    <row r="15" spans="1:17" x14ac:dyDescent="0.35">
      <c r="A15" s="57" t="e">
        <f>'Distribution Dashboard'!#REF!</f>
        <v>#REF!</v>
      </c>
      <c r="B15" s="57" t="e">
        <f>'Distribution Dashboard'!#REF!</f>
        <v>#REF!</v>
      </c>
      <c r="C15" s="57" t="e">
        <f>'Distribution Dashboard'!#REF!</f>
        <v>#REF!</v>
      </c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</row>
    <row r="16" spans="1:17" x14ac:dyDescent="0.35">
      <c r="A16" s="57">
        <f>'Distribution Dashboard'!A16</f>
        <v>0</v>
      </c>
      <c r="B16" s="57" t="str">
        <f>'Distribution Dashboard'!B16</f>
        <v>CENTRAL REGION: CBD,CCCR,KABATI,SITE,KIHOTO,LAKEVIEW</v>
      </c>
      <c r="C16" s="57">
        <f>'Distribution Dashboard'!C16</f>
        <v>0</v>
      </c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</row>
    <row r="17" spans="1:15" x14ac:dyDescent="0.35">
      <c r="A17" s="57" t="str">
        <f>'Distribution Dashboard'!A17</f>
        <v>RA</v>
      </c>
      <c r="B17" s="57" t="str">
        <f>'Distribution Dashboard'!B17</f>
        <v>Volume Water Supplied</v>
      </c>
      <c r="C17" s="57" t="str">
        <f>'Distribution Dashboard'!C17</f>
        <v>m3</v>
      </c>
      <c r="D17" s="59">
        <f t="shared" ref="D17:O17" si="7">D36+D42+D48+D54+D60+D78</f>
        <v>130641</v>
      </c>
      <c r="E17" s="59">
        <f t="shared" si="7"/>
        <v>128120</v>
      </c>
      <c r="F17" s="59">
        <f t="shared" si="7"/>
        <v>139029</v>
      </c>
      <c r="G17" s="59">
        <f t="shared" si="7"/>
        <v>95119</v>
      </c>
      <c r="H17" s="59">
        <f t="shared" si="7"/>
        <v>100181</v>
      </c>
      <c r="I17" s="59">
        <f t="shared" si="7"/>
        <v>108449</v>
      </c>
      <c r="J17" s="59">
        <f>J36+J42+J48+J54+J60+J78</f>
        <v>106481</v>
      </c>
      <c r="K17" s="59">
        <f>K36+K42+K48+K54+K60+K78</f>
        <v>125827</v>
      </c>
      <c r="L17" s="59">
        <f t="shared" si="7"/>
        <v>117535</v>
      </c>
      <c r="M17" s="59">
        <f t="shared" si="7"/>
        <v>113118</v>
      </c>
      <c r="N17" s="59">
        <f t="shared" si="7"/>
        <v>111992</v>
      </c>
      <c r="O17" s="59">
        <f t="shared" si="7"/>
        <v>108257</v>
      </c>
    </row>
    <row r="18" spans="1:15" x14ac:dyDescent="0.35">
      <c r="A18" s="57" t="str">
        <f>'Distribution Dashboard'!A18</f>
        <v>RA2</v>
      </c>
      <c r="B18" s="57" t="str">
        <f>'Distribution Dashboard'!B18</f>
        <v>Volume Water Sold</v>
      </c>
      <c r="C18" s="57" t="str">
        <f>'Distribution Dashboard'!C18</f>
        <v>m3</v>
      </c>
      <c r="D18" s="59">
        <f t="shared" ref="D18:O18" si="8">D37+D43+D49+D55+D61+D79</f>
        <v>90624</v>
      </c>
      <c r="E18" s="59">
        <f t="shared" si="8"/>
        <v>92447</v>
      </c>
      <c r="F18" s="59">
        <f t="shared" si="8"/>
        <v>91237</v>
      </c>
      <c r="G18" s="59">
        <f t="shared" si="8"/>
        <v>70936</v>
      </c>
      <c r="H18" s="59">
        <f t="shared" si="8"/>
        <v>71901</v>
      </c>
      <c r="I18" s="59">
        <f t="shared" si="8"/>
        <v>80684</v>
      </c>
      <c r="J18" s="59">
        <f t="shared" si="8"/>
        <v>82616</v>
      </c>
      <c r="K18" s="59">
        <f t="shared" si="8"/>
        <v>91234</v>
      </c>
      <c r="L18" s="59">
        <f t="shared" si="8"/>
        <v>93804</v>
      </c>
      <c r="M18" s="59">
        <f t="shared" si="8"/>
        <v>84707</v>
      </c>
      <c r="N18" s="59">
        <f t="shared" si="8"/>
        <v>73579</v>
      </c>
      <c r="O18" s="59">
        <f t="shared" si="8"/>
        <v>81174</v>
      </c>
    </row>
    <row r="19" spans="1:15" x14ac:dyDescent="0.35">
      <c r="A19" s="57" t="str">
        <f>'Distribution Dashboard'!A19</f>
        <v>RA3</v>
      </c>
      <c r="B19" s="57" t="str">
        <f>'Distribution Dashboard'!B19</f>
        <v>NRW</v>
      </c>
      <c r="C19" s="57" t="str">
        <f>'Distribution Dashboard'!C19</f>
        <v>m3</v>
      </c>
      <c r="D19" s="65">
        <f>D17-D18</f>
        <v>40017</v>
      </c>
      <c r="E19" s="65">
        <f t="shared" ref="E19:O19" si="9">E17-E18</f>
        <v>35673</v>
      </c>
      <c r="F19" s="65">
        <f t="shared" si="9"/>
        <v>47792</v>
      </c>
      <c r="G19" s="65">
        <f t="shared" si="9"/>
        <v>24183</v>
      </c>
      <c r="H19" s="65">
        <f t="shared" si="9"/>
        <v>28280</v>
      </c>
      <c r="I19" s="65">
        <f t="shared" si="9"/>
        <v>27765</v>
      </c>
      <c r="J19" s="65">
        <f t="shared" si="9"/>
        <v>23865</v>
      </c>
      <c r="K19" s="65">
        <f t="shared" si="9"/>
        <v>34593</v>
      </c>
      <c r="L19" s="65">
        <f t="shared" si="9"/>
        <v>23731</v>
      </c>
      <c r="M19" s="65">
        <f t="shared" si="9"/>
        <v>28411</v>
      </c>
      <c r="N19" s="65">
        <f t="shared" si="9"/>
        <v>38413</v>
      </c>
      <c r="O19" s="65">
        <f t="shared" si="9"/>
        <v>27083</v>
      </c>
    </row>
    <row r="20" spans="1:15" x14ac:dyDescent="0.35">
      <c r="A20" s="57" t="str">
        <f>'Distribution Dashboard'!A20</f>
        <v>RA4</v>
      </c>
      <c r="B20" s="57" t="str">
        <f>'Distribution Dashboard'!B20</f>
        <v>NRW</v>
      </c>
      <c r="C20" s="57" t="str">
        <f>'Distribution Dashboard'!C20</f>
        <v>%</v>
      </c>
      <c r="D20" s="58">
        <f>D19/D17</f>
        <v>0.30631271959032769</v>
      </c>
      <c r="E20" s="58">
        <f t="shared" ref="E20:O20" si="10">E19/E17</f>
        <v>0.2784342803621605</v>
      </c>
      <c r="F20" s="58">
        <f t="shared" si="10"/>
        <v>0.34375561933121868</v>
      </c>
      <c r="G20" s="58">
        <f t="shared" si="10"/>
        <v>0.25423942640271657</v>
      </c>
      <c r="H20" s="58">
        <f t="shared" si="10"/>
        <v>0.28228905680717903</v>
      </c>
      <c r="I20" s="58">
        <f t="shared" si="10"/>
        <v>0.25601895821999282</v>
      </c>
      <c r="J20" s="58">
        <f t="shared" si="10"/>
        <v>0.22412449169335374</v>
      </c>
      <c r="K20" s="58">
        <f t="shared" si="10"/>
        <v>0.27492509556772393</v>
      </c>
      <c r="L20" s="58">
        <f t="shared" si="10"/>
        <v>0.20190581528906285</v>
      </c>
      <c r="M20" s="58">
        <f t="shared" si="10"/>
        <v>0.25116250287310599</v>
      </c>
      <c r="N20" s="58">
        <f t="shared" si="10"/>
        <v>0.34299771412243729</v>
      </c>
      <c r="O20" s="58">
        <f t="shared" si="10"/>
        <v>0.25017319896172996</v>
      </c>
    </row>
    <row r="21" spans="1:15" hidden="1" x14ac:dyDescent="0.35">
      <c r="A21" s="57">
        <f>'Distribution Dashboard'!A21</f>
        <v>0</v>
      </c>
      <c r="B21" s="57" t="str">
        <f>'Distribution Dashboard'!B21</f>
        <v>Amount Billed Water</v>
      </c>
      <c r="C21" s="57" t="str">
        <f>'Distribution Dashboard'!C21</f>
        <v>KES</v>
      </c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</row>
    <row r="22" spans="1:15" hidden="1" x14ac:dyDescent="0.35">
      <c r="A22" s="57">
        <f>'Distribution Dashboard'!A22</f>
        <v>0</v>
      </c>
      <c r="B22" s="57" t="str">
        <f>'Distribution Dashboard'!B22</f>
        <v>Amount Billed Sewer</v>
      </c>
      <c r="C22" s="57" t="str">
        <f>'Distribution Dashboard'!C22</f>
        <v>KES</v>
      </c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</row>
    <row r="23" spans="1:15" hidden="1" x14ac:dyDescent="0.35">
      <c r="A23" s="57">
        <f>'Distribution Dashboard'!A23</f>
        <v>0</v>
      </c>
      <c r="B23" s="57" t="str">
        <f>'Distribution Dashboard'!B23</f>
        <v>Number of Active water Connections</v>
      </c>
      <c r="C23" s="57" t="str">
        <f>'Distribution Dashboard'!C23</f>
        <v>KES</v>
      </c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</row>
    <row r="24" spans="1:15" hidden="1" x14ac:dyDescent="0.35">
      <c r="A24" s="57">
        <f>'Distribution Dashboard'!A24</f>
        <v>0</v>
      </c>
      <c r="B24" s="57" t="str">
        <f>'Distribution Dashboard'!B24</f>
        <v>Number of Active sewer Connections</v>
      </c>
      <c r="C24" s="57" t="str">
        <f>'Distribution Dashboard'!C24</f>
        <v>KES</v>
      </c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</row>
    <row r="25" spans="1:15" x14ac:dyDescent="0.35">
      <c r="A25" s="57">
        <f>'Distribution Dashboard'!A25</f>
        <v>0</v>
      </c>
      <c r="B25" s="57" t="str">
        <f>'Distribution Dashboard'!B25</f>
        <v>SOUTHERN REGION: MAI MAHIU,KAMERE,HELLSGATE</v>
      </c>
      <c r="C25" s="57">
        <f>'Distribution Dashboard'!C25</f>
        <v>0</v>
      </c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</row>
    <row r="26" spans="1:15" x14ac:dyDescent="0.35">
      <c r="A26" s="57" t="str">
        <f>'Distribution Dashboard'!A26</f>
        <v>RA6 (B)</v>
      </c>
      <c r="B26" s="57" t="str">
        <f>'Distribution Dashboard'!B26</f>
        <v>Volume Water Supplied</v>
      </c>
      <c r="C26" s="57" t="str">
        <f>'Distribution Dashboard'!C26</f>
        <v>m3</v>
      </c>
      <c r="D26" s="59">
        <f t="shared" ref="D26:O26" si="11">D66+D72+D90</f>
        <v>41208</v>
      </c>
      <c r="E26" s="59">
        <f t="shared" si="11"/>
        <v>44603</v>
      </c>
      <c r="F26" s="59">
        <f t="shared" si="11"/>
        <v>47696</v>
      </c>
      <c r="G26" s="59">
        <f t="shared" si="11"/>
        <v>41393</v>
      </c>
      <c r="H26" s="59">
        <f t="shared" si="11"/>
        <v>46641</v>
      </c>
      <c r="I26" s="59">
        <f t="shared" si="11"/>
        <v>39242</v>
      </c>
      <c r="J26" s="59">
        <f>J66+J72+J90</f>
        <v>51898</v>
      </c>
      <c r="K26" s="59">
        <f>K66+K72+K90</f>
        <v>58107</v>
      </c>
      <c r="L26" s="59">
        <f t="shared" si="11"/>
        <v>60155</v>
      </c>
      <c r="M26" s="59">
        <f t="shared" si="11"/>
        <v>53648</v>
      </c>
      <c r="N26" s="59">
        <f t="shared" si="11"/>
        <v>33497</v>
      </c>
      <c r="O26" s="59">
        <f t="shared" si="11"/>
        <v>47648</v>
      </c>
    </row>
    <row r="27" spans="1:15" x14ac:dyDescent="0.35">
      <c r="A27" s="57" t="str">
        <f>'Distribution Dashboard'!A27</f>
        <v>RB2</v>
      </c>
      <c r="B27" s="57" t="str">
        <f>'Distribution Dashboard'!B27</f>
        <v>Volume Water Sold</v>
      </c>
      <c r="C27" s="57" t="str">
        <f>'Distribution Dashboard'!C27</f>
        <v>m3</v>
      </c>
      <c r="D27" s="59">
        <f t="shared" ref="D27:O27" si="12">D67+D73+D91</f>
        <v>30451</v>
      </c>
      <c r="E27" s="59">
        <f t="shared" si="12"/>
        <v>32743</v>
      </c>
      <c r="F27" s="59">
        <f t="shared" si="12"/>
        <v>32212</v>
      </c>
      <c r="G27" s="59">
        <f t="shared" si="12"/>
        <v>30193</v>
      </c>
      <c r="H27" s="59">
        <f t="shared" si="12"/>
        <v>30455</v>
      </c>
      <c r="I27" s="59">
        <f t="shared" si="12"/>
        <v>29226</v>
      </c>
      <c r="J27" s="59">
        <f t="shared" si="12"/>
        <v>33096</v>
      </c>
      <c r="K27" s="59">
        <f t="shared" si="12"/>
        <v>37281</v>
      </c>
      <c r="L27" s="59">
        <f t="shared" si="12"/>
        <v>41100</v>
      </c>
      <c r="M27" s="59">
        <f t="shared" si="12"/>
        <v>35953</v>
      </c>
      <c r="N27" s="59">
        <f t="shared" si="12"/>
        <v>21569</v>
      </c>
      <c r="O27" s="59">
        <f t="shared" si="12"/>
        <v>33465</v>
      </c>
    </row>
    <row r="28" spans="1:15" x14ac:dyDescent="0.35">
      <c r="A28" s="57" t="str">
        <f>'Distribution Dashboard'!A28</f>
        <v>RB3 (2)</v>
      </c>
      <c r="B28" s="57" t="str">
        <f>'Distribution Dashboard'!B28</f>
        <v>NRW</v>
      </c>
      <c r="C28" s="57" t="str">
        <f>'Distribution Dashboard'!C28</f>
        <v>m3</v>
      </c>
      <c r="D28" s="65">
        <f>D26-D27</f>
        <v>10757</v>
      </c>
      <c r="E28" s="65">
        <f t="shared" ref="E28:O28" si="13">E26-E27</f>
        <v>11860</v>
      </c>
      <c r="F28" s="65">
        <f t="shared" si="13"/>
        <v>15484</v>
      </c>
      <c r="G28" s="65">
        <f t="shared" si="13"/>
        <v>11200</v>
      </c>
      <c r="H28" s="65">
        <f t="shared" si="13"/>
        <v>16186</v>
      </c>
      <c r="I28" s="65">
        <f t="shared" si="13"/>
        <v>10016</v>
      </c>
      <c r="J28" s="65">
        <f t="shared" si="13"/>
        <v>18802</v>
      </c>
      <c r="K28" s="65">
        <f t="shared" si="13"/>
        <v>20826</v>
      </c>
      <c r="L28" s="65">
        <f t="shared" si="13"/>
        <v>19055</v>
      </c>
      <c r="M28" s="65">
        <f t="shared" si="13"/>
        <v>17695</v>
      </c>
      <c r="N28" s="65">
        <f t="shared" si="13"/>
        <v>11928</v>
      </c>
      <c r="O28" s="65">
        <f t="shared" si="13"/>
        <v>14183</v>
      </c>
    </row>
    <row r="29" spans="1:15" x14ac:dyDescent="0.35">
      <c r="A29" s="57" t="str">
        <f>'Distribution Dashboard'!A29</f>
        <v>RB4</v>
      </c>
      <c r="B29" s="57" t="str">
        <f>'Distribution Dashboard'!B29</f>
        <v>NRW</v>
      </c>
      <c r="C29" s="57" t="str">
        <f>'Distribution Dashboard'!C29</f>
        <v>%</v>
      </c>
      <c r="D29" s="58">
        <f>D28/D26</f>
        <v>0.26104154533100371</v>
      </c>
      <c r="E29" s="58">
        <f t="shared" ref="E29:O29" si="14">E28/E26</f>
        <v>0.26590139676703362</v>
      </c>
      <c r="F29" s="58">
        <f>F28/F26</f>
        <v>0.32463938275746396</v>
      </c>
      <c r="G29" s="58">
        <f t="shared" si="14"/>
        <v>0.27057715072596816</v>
      </c>
      <c r="H29" s="58">
        <f t="shared" si="14"/>
        <v>0.34703372569198776</v>
      </c>
      <c r="I29" s="58">
        <f t="shared" si="14"/>
        <v>0.25523673615004333</v>
      </c>
      <c r="J29" s="58">
        <f t="shared" si="14"/>
        <v>0.36228756406797952</v>
      </c>
      <c r="K29" s="58">
        <f t="shared" si="14"/>
        <v>0.35840776498528576</v>
      </c>
      <c r="L29" s="58">
        <f t="shared" si="14"/>
        <v>0.31676502368880394</v>
      </c>
      <c r="M29" s="58">
        <f t="shared" si="14"/>
        <v>0.3298352221890844</v>
      </c>
      <c r="N29" s="58">
        <f t="shared" si="14"/>
        <v>0.35609159029166793</v>
      </c>
      <c r="O29" s="58">
        <f t="shared" si="14"/>
        <v>0.29766202149093351</v>
      </c>
    </row>
    <row r="30" spans="1:15" x14ac:dyDescent="0.35">
      <c r="A30" s="57">
        <f>'Distribution Dashboard'!A30</f>
        <v>0</v>
      </c>
      <c r="B30" s="57" t="str">
        <f>'Distribution Dashboard'!B30</f>
        <v>EASTERN REGION: KAYOLE,GONDI, KINUNGI,NJONJORO</v>
      </c>
      <c r="C30" s="57">
        <f>'Distribution Dashboard'!C30</f>
        <v>0</v>
      </c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</row>
    <row r="31" spans="1:15" x14ac:dyDescent="0.35">
      <c r="A31" s="57" t="str">
        <f>'Distribution Dashboard'!A31</f>
        <v>RA6 (B) (2)</v>
      </c>
      <c r="B31" s="57" t="str">
        <f>'Distribution Dashboard'!B31</f>
        <v>Volume Water Supplied</v>
      </c>
      <c r="C31" s="57" t="str">
        <f>'Distribution Dashboard'!C31</f>
        <v>m3</v>
      </c>
      <c r="D31" s="59">
        <f t="shared" ref="D31:E31" si="15">D84+D96+D100+D104</f>
        <v>31087</v>
      </c>
      <c r="E31" s="59">
        <f t="shared" si="15"/>
        <v>32424</v>
      </c>
      <c r="F31" s="59">
        <f>F84+F96+F100+F104</f>
        <v>24394</v>
      </c>
      <c r="G31" s="59">
        <f t="shared" ref="G31:O31" si="16">G84+G96+G100+G104</f>
        <v>22926</v>
      </c>
      <c r="H31" s="59">
        <f t="shared" si="16"/>
        <v>29667</v>
      </c>
      <c r="I31" s="59">
        <f t="shared" si="16"/>
        <v>25660</v>
      </c>
      <c r="J31" s="59">
        <f>J84+J96+J100+J104</f>
        <v>29543</v>
      </c>
      <c r="K31" s="59">
        <f>K84+K96+K100+K104</f>
        <v>33065</v>
      </c>
      <c r="L31" s="59">
        <f t="shared" si="16"/>
        <v>37911</v>
      </c>
      <c r="M31" s="59">
        <f t="shared" si="16"/>
        <v>33845</v>
      </c>
      <c r="N31" s="59">
        <f t="shared" si="16"/>
        <v>24449</v>
      </c>
      <c r="O31" s="59">
        <f t="shared" si="16"/>
        <v>29654</v>
      </c>
    </row>
    <row r="32" spans="1:15" x14ac:dyDescent="0.35">
      <c r="A32" s="57" t="str">
        <f>'Distribution Dashboard'!A32</f>
        <v>RB2 (3)</v>
      </c>
      <c r="B32" s="57" t="str">
        <f>'Distribution Dashboard'!B32</f>
        <v>Volume Water Sold</v>
      </c>
      <c r="C32" s="57" t="str">
        <f>'Distribution Dashboard'!C32</f>
        <v>m3</v>
      </c>
      <c r="D32" s="59">
        <f t="shared" ref="D32:O32" si="17">D85+D97+D101+D105</f>
        <v>23761</v>
      </c>
      <c r="E32" s="59">
        <f t="shared" si="17"/>
        <v>27125</v>
      </c>
      <c r="F32" s="59">
        <f t="shared" si="17"/>
        <v>16098</v>
      </c>
      <c r="G32" s="59">
        <f t="shared" si="17"/>
        <v>19707</v>
      </c>
      <c r="H32" s="59">
        <f t="shared" si="17"/>
        <v>21640</v>
      </c>
      <c r="I32" s="59">
        <f t="shared" si="17"/>
        <v>20144</v>
      </c>
      <c r="J32" s="59">
        <f t="shared" si="17"/>
        <v>22923</v>
      </c>
      <c r="K32" s="59">
        <f t="shared" si="17"/>
        <v>24955</v>
      </c>
      <c r="L32" s="59">
        <f t="shared" si="17"/>
        <v>28920</v>
      </c>
      <c r="M32" s="59">
        <f t="shared" si="17"/>
        <v>24631</v>
      </c>
      <c r="N32" s="59">
        <f t="shared" si="17"/>
        <v>22558</v>
      </c>
      <c r="O32" s="59">
        <f t="shared" si="17"/>
        <v>22371</v>
      </c>
    </row>
    <row r="33" spans="1:16" x14ac:dyDescent="0.35">
      <c r="A33" s="57" t="str">
        <f>'Distribution Dashboard'!A33</f>
        <v>RB3 (3)</v>
      </c>
      <c r="B33" s="57" t="str">
        <f>'Distribution Dashboard'!B33</f>
        <v>NRW</v>
      </c>
      <c r="C33" s="57" t="str">
        <f>'Distribution Dashboard'!C33</f>
        <v>m3</v>
      </c>
      <c r="D33" s="72">
        <f t="shared" ref="D33:E33" si="18">D31-D32</f>
        <v>7326</v>
      </c>
      <c r="E33" s="72">
        <f t="shared" si="18"/>
        <v>5299</v>
      </c>
      <c r="F33" s="72">
        <f>F31-F32</f>
        <v>8296</v>
      </c>
      <c r="G33" s="72">
        <f>G31-G32</f>
        <v>3219</v>
      </c>
      <c r="H33" s="72">
        <f>H31-H32</f>
        <v>8027</v>
      </c>
      <c r="I33" s="72">
        <f>I31-I32</f>
        <v>5516</v>
      </c>
      <c r="J33" s="72">
        <f>J31-J32</f>
        <v>6620</v>
      </c>
      <c r="K33" s="72">
        <f t="shared" ref="K33:O33" si="19">K31-K32</f>
        <v>8110</v>
      </c>
      <c r="L33" s="72">
        <f t="shared" si="19"/>
        <v>8991</v>
      </c>
      <c r="M33" s="72">
        <f t="shared" si="19"/>
        <v>9214</v>
      </c>
      <c r="N33" s="72">
        <f t="shared" si="19"/>
        <v>1891</v>
      </c>
      <c r="O33" s="72">
        <f t="shared" si="19"/>
        <v>7283</v>
      </c>
    </row>
    <row r="34" spans="1:16" x14ac:dyDescent="0.35">
      <c r="A34" s="57" t="str">
        <f>'Distribution Dashboard'!A33</f>
        <v>RB3 (3)</v>
      </c>
      <c r="B34" s="57" t="str">
        <f>'Distribution Dashboard'!B34</f>
        <v>NRW</v>
      </c>
      <c r="C34" s="57" t="str">
        <f>'Distribution Dashboard'!C33</f>
        <v>m3</v>
      </c>
      <c r="D34" s="58">
        <f>D33/D31</f>
        <v>0.23566120886544215</v>
      </c>
      <c r="E34" s="58">
        <f t="shared" ref="E34" si="20">E33/E31</f>
        <v>0.16342832469775476</v>
      </c>
      <c r="F34" s="58">
        <f t="shared" ref="F34:O34" si="21">F33/F31</f>
        <v>0.34008362712142332</v>
      </c>
      <c r="G34" s="58">
        <f t="shared" si="21"/>
        <v>0.14040827008636483</v>
      </c>
      <c r="H34" s="58">
        <f t="shared" si="21"/>
        <v>0.2705699935955776</v>
      </c>
      <c r="I34" s="58">
        <f t="shared" si="21"/>
        <v>0.21496492595479344</v>
      </c>
      <c r="J34" s="58">
        <f t="shared" si="21"/>
        <v>0.22408015435128456</v>
      </c>
      <c r="K34" s="58">
        <f t="shared" si="21"/>
        <v>0.24527445939815515</v>
      </c>
      <c r="L34" s="58">
        <f t="shared" si="21"/>
        <v>0.23716071852496637</v>
      </c>
      <c r="M34" s="58">
        <f t="shared" si="21"/>
        <v>0.27224109912837935</v>
      </c>
      <c r="N34" s="58">
        <f t="shared" si="21"/>
        <v>7.7344676673892596E-2</v>
      </c>
      <c r="O34" s="58">
        <f t="shared" si="21"/>
        <v>0.24559924462129898</v>
      </c>
    </row>
    <row r="35" spans="1:16" x14ac:dyDescent="0.35">
      <c r="A35" s="57" t="str">
        <f>'Distribution Dashboard'!A34</f>
        <v>RB4 (2)</v>
      </c>
      <c r="B35" s="57" t="str">
        <f>'Distribution Dashboard'!B35</f>
        <v>ZONE - CBD</v>
      </c>
      <c r="C35" s="57" t="str">
        <f>'Distribution Dashboard'!C34</f>
        <v>%</v>
      </c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</row>
    <row r="36" spans="1:16" x14ac:dyDescent="0.35">
      <c r="A36" s="57">
        <f>'Distribution Dashboard'!A36</f>
        <v>101</v>
      </c>
      <c r="B36" s="57" t="str">
        <f>'Distribution Dashboard'!B36</f>
        <v>Volume Water Supplied</v>
      </c>
      <c r="C36" s="57" t="str">
        <f>'Distribution Dashboard'!C36</f>
        <v>m3</v>
      </c>
      <c r="D36" s="59">
        <v>27084</v>
      </c>
      <c r="E36" s="59">
        <v>29273</v>
      </c>
      <c r="F36" s="59">
        <v>34236</v>
      </c>
      <c r="G36" s="59">
        <v>18117</v>
      </c>
      <c r="H36" s="59">
        <v>23467</v>
      </c>
      <c r="I36" s="59">
        <v>22590</v>
      </c>
      <c r="J36">
        <v>19637</v>
      </c>
      <c r="K36" s="59">
        <v>27368</v>
      </c>
      <c r="L36" s="59">
        <v>26236</v>
      </c>
      <c r="M36" s="59">
        <v>24481</v>
      </c>
      <c r="N36" s="59">
        <v>25388</v>
      </c>
      <c r="O36" s="59">
        <v>22257</v>
      </c>
    </row>
    <row r="37" spans="1:16" x14ac:dyDescent="0.35">
      <c r="A37" s="57">
        <f>'Distribution Dashboard'!A37</f>
        <v>108</v>
      </c>
      <c r="B37" s="57" t="str">
        <f>'Distribution Dashboard'!B37</f>
        <v>Volume Water Sold</v>
      </c>
      <c r="C37" s="57" t="str">
        <f>'Distribution Dashboard'!C37</f>
        <v>m3</v>
      </c>
      <c r="D37" s="59">
        <v>16276</v>
      </c>
      <c r="E37" s="59">
        <v>15745</v>
      </c>
      <c r="F37" s="59">
        <v>14638</v>
      </c>
      <c r="G37" s="59">
        <v>10926</v>
      </c>
      <c r="H37" s="59">
        <v>16241</v>
      </c>
      <c r="I37">
        <v>14596</v>
      </c>
      <c r="J37" s="59">
        <v>13738</v>
      </c>
      <c r="K37" s="59">
        <v>16338</v>
      </c>
      <c r="L37" s="59">
        <v>16947</v>
      </c>
      <c r="M37" s="59">
        <v>13863</v>
      </c>
      <c r="N37" s="59">
        <v>14764</v>
      </c>
      <c r="O37" s="59">
        <v>15453</v>
      </c>
    </row>
    <row r="38" spans="1:16" x14ac:dyDescent="0.35">
      <c r="A38" s="57">
        <f>'Distribution Dashboard'!A38</f>
        <v>122</v>
      </c>
      <c r="B38" s="57" t="str">
        <f>'Distribution Dashboard'!B38</f>
        <v>NRW</v>
      </c>
      <c r="C38" s="57" t="str">
        <f>'Distribution Dashboard'!C38</f>
        <v>%</v>
      </c>
      <c r="D38" s="58">
        <f>(D36-D37)/D36</f>
        <v>0.39905479249741543</v>
      </c>
      <c r="E38" s="58">
        <f t="shared" ref="E38:O38" si="22">(E36-E37)/E36</f>
        <v>0.46213234038192191</v>
      </c>
      <c r="F38" s="58">
        <f>(F36-F37)/F36</f>
        <v>0.57243836896833744</v>
      </c>
      <c r="G38" s="58">
        <f t="shared" si="22"/>
        <v>0.39692001987083952</v>
      </c>
      <c r="H38" s="58">
        <f t="shared" si="22"/>
        <v>0.30792176247496483</v>
      </c>
      <c r="I38" s="58">
        <f t="shared" si="22"/>
        <v>0.35387339530765827</v>
      </c>
      <c r="J38" s="58">
        <f t="shared" si="22"/>
        <v>0.30040230177725724</v>
      </c>
      <c r="K38" s="58">
        <f t="shared" si="22"/>
        <v>0.4030254311604794</v>
      </c>
      <c r="L38" s="58">
        <f t="shared" si="22"/>
        <v>0.35405549626467447</v>
      </c>
      <c r="M38" s="58">
        <f t="shared" si="22"/>
        <v>0.43372411257710058</v>
      </c>
      <c r="N38" s="58">
        <f t="shared" si="22"/>
        <v>0.41846541673231447</v>
      </c>
      <c r="O38" s="58">
        <f t="shared" si="22"/>
        <v>0.305701577031945</v>
      </c>
      <c r="P38" s="61"/>
    </row>
    <row r="39" spans="1:16" hidden="1" x14ac:dyDescent="0.35">
      <c r="A39" s="57">
        <f>'Distribution Dashboard'!A39</f>
        <v>0</v>
      </c>
      <c r="B39" s="57" t="str">
        <f>'Distribution Dashboard'!B39</f>
        <v>Amount Billed Water</v>
      </c>
      <c r="C39" s="57" t="str">
        <f>'Distribution Dashboard'!C39</f>
        <v>KES</v>
      </c>
      <c r="D39" s="59"/>
      <c r="E39" s="59"/>
      <c r="F39" s="59"/>
      <c r="G39" s="66"/>
      <c r="H39" s="59"/>
      <c r="I39"/>
      <c r="J39" s="59"/>
      <c r="K39" s="59"/>
      <c r="L39" s="59"/>
      <c r="M39" s="59"/>
      <c r="N39" s="59"/>
      <c r="O39" s="59"/>
    </row>
    <row r="40" spans="1:16" hidden="1" x14ac:dyDescent="0.35">
      <c r="A40" s="57">
        <f>'Distribution Dashboard'!A40</f>
        <v>0</v>
      </c>
      <c r="B40" s="57" t="str">
        <f>'Distribution Dashboard'!B40</f>
        <v>Amount Billed Sewer</v>
      </c>
      <c r="C40" s="57" t="str">
        <f>'Distribution Dashboard'!C40</f>
        <v>KES</v>
      </c>
      <c r="D40" s="59"/>
      <c r="E40" s="59"/>
      <c r="F40" s="59"/>
      <c r="G40" s="66"/>
      <c r="H40" s="59"/>
      <c r="I40"/>
      <c r="J40" s="59"/>
      <c r="K40" s="59"/>
      <c r="L40" s="59"/>
      <c r="M40" s="59"/>
      <c r="N40" s="59"/>
      <c r="O40" s="59"/>
    </row>
    <row r="41" spans="1:16" x14ac:dyDescent="0.35">
      <c r="A41" s="57">
        <f>'Distribution Dashboard'!A41</f>
        <v>0</v>
      </c>
      <c r="B41" s="57" t="str">
        <f>'Distribution Dashboard'!B41</f>
        <v>ZONE - CCCR</v>
      </c>
      <c r="C41" s="57">
        <f>'Distribution Dashboard'!C41</f>
        <v>0</v>
      </c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</row>
    <row r="42" spans="1:16" x14ac:dyDescent="0.35">
      <c r="A42" s="57">
        <f>'Distribution Dashboard'!A42</f>
        <v>102</v>
      </c>
      <c r="B42" s="57" t="str">
        <f>'Distribution Dashboard'!B42</f>
        <v>Volume Water Supplied</v>
      </c>
      <c r="C42" s="57" t="str">
        <f>'Distribution Dashboard'!C42</f>
        <v>m3</v>
      </c>
      <c r="D42" s="59">
        <v>38982</v>
      </c>
      <c r="E42" s="59">
        <v>32157</v>
      </c>
      <c r="F42" s="59">
        <v>29043</v>
      </c>
      <c r="G42" s="59">
        <v>19707</v>
      </c>
      <c r="H42" s="59">
        <v>21588</v>
      </c>
      <c r="I42" s="59">
        <v>29406</v>
      </c>
      <c r="J42" s="59">
        <v>27080</v>
      </c>
      <c r="K42" s="59">
        <v>28569</v>
      </c>
      <c r="L42" s="59">
        <v>26192</v>
      </c>
      <c r="M42" s="59">
        <v>29087</v>
      </c>
      <c r="N42" s="59">
        <v>28761</v>
      </c>
      <c r="O42" s="59">
        <v>27337</v>
      </c>
    </row>
    <row r="43" spans="1:16" x14ac:dyDescent="0.35">
      <c r="A43" s="57">
        <f>'Distribution Dashboard'!A43</f>
        <v>109</v>
      </c>
      <c r="B43" s="57" t="str">
        <f>'Distribution Dashboard'!B43</f>
        <v>Volume Water Sold</v>
      </c>
      <c r="C43" s="57" t="str">
        <f>'Distribution Dashboard'!C43</f>
        <v>m3</v>
      </c>
      <c r="D43" s="59">
        <v>25989</v>
      </c>
      <c r="E43" s="59">
        <v>25915</v>
      </c>
      <c r="F43" s="59">
        <v>22961</v>
      </c>
      <c r="G43" s="59">
        <v>15606</v>
      </c>
      <c r="H43" s="59">
        <v>18594</v>
      </c>
      <c r="I43">
        <v>22016</v>
      </c>
      <c r="J43" s="59">
        <v>22166</v>
      </c>
      <c r="K43" s="59">
        <v>22610</v>
      </c>
      <c r="L43" s="59">
        <v>23154</v>
      </c>
      <c r="M43" s="59">
        <v>22838</v>
      </c>
      <c r="N43" s="59">
        <v>21463</v>
      </c>
      <c r="O43" s="59">
        <v>21858</v>
      </c>
    </row>
    <row r="44" spans="1:16" x14ac:dyDescent="0.35">
      <c r="A44" s="57">
        <f>'Distribution Dashboard'!A44</f>
        <v>123</v>
      </c>
      <c r="B44" s="57" t="str">
        <f>'Distribution Dashboard'!B44</f>
        <v>NRW</v>
      </c>
      <c r="C44" s="57" t="str">
        <f>'Distribution Dashboard'!C44</f>
        <v>%</v>
      </c>
      <c r="D44" s="58">
        <f>(D42-D43)/D42</f>
        <v>0.33330768046790826</v>
      </c>
      <c r="E44" s="58">
        <f t="shared" ref="E44:O44" si="23">(E42-E43)/E42</f>
        <v>0.1941101470908356</v>
      </c>
      <c r="F44" s="58">
        <f>(F42-F43)/F42</f>
        <v>0.20941362806872568</v>
      </c>
      <c r="G44" s="58">
        <f t="shared" si="23"/>
        <v>0.20809864515146903</v>
      </c>
      <c r="H44" s="58">
        <f t="shared" si="23"/>
        <v>0.13868816008893831</v>
      </c>
      <c r="I44" s="58">
        <f t="shared" si="23"/>
        <v>0.25130925661429643</v>
      </c>
      <c r="J44" s="58">
        <f t="shared" si="23"/>
        <v>0.18146233382570162</v>
      </c>
      <c r="K44" s="58">
        <f t="shared" si="23"/>
        <v>0.20858272953201021</v>
      </c>
      <c r="L44" s="58">
        <f t="shared" si="23"/>
        <v>0.11598961514966402</v>
      </c>
      <c r="M44" s="58">
        <f t="shared" si="23"/>
        <v>0.21483824388902259</v>
      </c>
      <c r="N44" s="58">
        <f t="shared" si="23"/>
        <v>0.25374639268453808</v>
      </c>
      <c r="O44" s="58">
        <f t="shared" si="23"/>
        <v>0.20042433332113985</v>
      </c>
    </row>
    <row r="45" spans="1:16" hidden="1" x14ac:dyDescent="0.35">
      <c r="A45" s="57">
        <f>'Distribution Dashboard'!A45</f>
        <v>0</v>
      </c>
      <c r="B45" s="57" t="str">
        <f>'Distribution Dashboard'!B45</f>
        <v>Amount Billed Water</v>
      </c>
      <c r="C45" s="57" t="str">
        <f>'Distribution Dashboard'!C45</f>
        <v>KES</v>
      </c>
      <c r="D45" s="59"/>
      <c r="E45" s="59"/>
      <c r="F45" s="59"/>
      <c r="G45" s="66"/>
      <c r="H45" s="59"/>
      <c r="I45"/>
      <c r="J45" s="59"/>
      <c r="K45" s="59"/>
      <c r="L45" s="59"/>
      <c r="M45" s="59"/>
      <c r="N45" s="59"/>
      <c r="O45" s="59"/>
    </row>
    <row r="46" spans="1:16" hidden="1" x14ac:dyDescent="0.35">
      <c r="A46" s="57">
        <f>'Distribution Dashboard'!A46</f>
        <v>0</v>
      </c>
      <c r="B46" s="57" t="str">
        <f>'Distribution Dashboard'!B46</f>
        <v>Amount Billed Sewer</v>
      </c>
      <c r="C46" s="57" t="str">
        <f>'Distribution Dashboard'!C46</f>
        <v>KES</v>
      </c>
      <c r="D46" s="59"/>
      <c r="E46" s="59"/>
      <c r="F46" s="59"/>
      <c r="G46" s="66"/>
      <c r="H46" s="59"/>
      <c r="I46"/>
      <c r="J46" s="59"/>
      <c r="K46" s="59"/>
      <c r="L46" s="59"/>
      <c r="M46" s="59"/>
      <c r="N46" s="59"/>
      <c r="O46" s="59"/>
    </row>
    <row r="47" spans="1:16" x14ac:dyDescent="0.35">
      <c r="A47" s="57">
        <f>'Distribution Dashboard'!A47</f>
        <v>0</v>
      </c>
      <c r="B47" s="57" t="str">
        <f>'Distribution Dashboard'!B47</f>
        <v>ZONE - LAKEVIEW</v>
      </c>
      <c r="C47" s="57">
        <f>'Distribution Dashboard'!C47</f>
        <v>0</v>
      </c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</row>
    <row r="48" spans="1:16" x14ac:dyDescent="0.35">
      <c r="A48" s="57">
        <f>'Distribution Dashboard'!A48</f>
        <v>104</v>
      </c>
      <c r="B48" s="57" t="str">
        <f>'Distribution Dashboard'!B48</f>
        <v>Volume Water Supplied</v>
      </c>
      <c r="C48" s="57" t="str">
        <f>'Distribution Dashboard'!C48</f>
        <v>m3</v>
      </c>
      <c r="D48" s="59">
        <v>33482</v>
      </c>
      <c r="E48" s="59">
        <v>34676</v>
      </c>
      <c r="F48" s="59">
        <v>42603</v>
      </c>
      <c r="G48" s="59">
        <v>27372</v>
      </c>
      <c r="H48" s="59">
        <v>26658</v>
      </c>
      <c r="I48" s="59">
        <v>26063</v>
      </c>
      <c r="J48" s="59">
        <v>30406</v>
      </c>
      <c r="K48" s="59">
        <v>34515</v>
      </c>
      <c r="L48" s="59">
        <v>31324</v>
      </c>
      <c r="M48" s="59">
        <v>26746</v>
      </c>
      <c r="N48" s="59">
        <v>26536</v>
      </c>
      <c r="O48" s="59">
        <v>27776</v>
      </c>
    </row>
    <row r="49" spans="1:15" x14ac:dyDescent="0.35">
      <c r="A49" s="57">
        <f>'Distribution Dashboard'!A49</f>
        <v>111</v>
      </c>
      <c r="B49" s="57" t="str">
        <f>'Distribution Dashboard'!B49</f>
        <v>Volume Water Sold</v>
      </c>
      <c r="C49" s="57" t="str">
        <f>'Distribution Dashboard'!C49</f>
        <v>m3</v>
      </c>
      <c r="D49" s="59">
        <v>23236</v>
      </c>
      <c r="E49" s="59">
        <v>25400</v>
      </c>
      <c r="F49" s="59">
        <v>32739</v>
      </c>
      <c r="G49" s="59">
        <v>20259</v>
      </c>
      <c r="H49" s="59">
        <v>19822</v>
      </c>
      <c r="I49">
        <v>21110</v>
      </c>
      <c r="J49" s="59">
        <v>23140</v>
      </c>
      <c r="K49" s="59">
        <v>25593</v>
      </c>
      <c r="L49" s="59">
        <v>27005</v>
      </c>
      <c r="M49" s="59">
        <v>24587</v>
      </c>
      <c r="N49" s="59">
        <v>16817</v>
      </c>
      <c r="O49" s="59">
        <v>21299</v>
      </c>
    </row>
    <row r="50" spans="1:15" x14ac:dyDescent="0.35">
      <c r="A50" s="57">
        <f>'Distribution Dashboard'!A50</f>
        <v>125</v>
      </c>
      <c r="B50" s="57" t="str">
        <f>'Distribution Dashboard'!B50</f>
        <v>NRW</v>
      </c>
      <c r="C50" s="57" t="str">
        <f>'Distribution Dashboard'!C50</f>
        <v>%</v>
      </c>
      <c r="D50" s="58">
        <f>(D48-D49)/D48</f>
        <v>0.30601517233140196</v>
      </c>
      <c r="E50" s="58">
        <f t="shared" ref="E50:O50" si="24">(E48-E49)/E48</f>
        <v>0.26750490252624293</v>
      </c>
      <c r="F50" s="58">
        <f>(F48-F49)/F48</f>
        <v>0.23153299063446237</v>
      </c>
      <c r="G50" s="58">
        <f t="shared" si="24"/>
        <v>0.25986409469530908</v>
      </c>
      <c r="H50" s="58">
        <f t="shared" si="24"/>
        <v>0.25643334083577163</v>
      </c>
      <c r="I50" s="58">
        <f t="shared" si="24"/>
        <v>0.19003951962552276</v>
      </c>
      <c r="J50" s="58">
        <f t="shared" si="24"/>
        <v>0.23896599355390383</v>
      </c>
      <c r="K50" s="58">
        <f t="shared" si="24"/>
        <v>0.25849630595393308</v>
      </c>
      <c r="L50" s="58">
        <f t="shared" si="24"/>
        <v>0.13788149661601329</v>
      </c>
      <c r="M50" s="58">
        <f t="shared" si="24"/>
        <v>8.0722351005757864E-2</v>
      </c>
      <c r="N50" s="58">
        <f t="shared" si="24"/>
        <v>0.36625716008441361</v>
      </c>
      <c r="O50" s="58">
        <f t="shared" si="24"/>
        <v>0.23318692396313365</v>
      </c>
    </row>
    <row r="51" spans="1:15" hidden="1" x14ac:dyDescent="0.35">
      <c r="A51" s="57">
        <f>'Distribution Dashboard'!A51</f>
        <v>0</v>
      </c>
      <c r="B51" s="57" t="str">
        <f>'Distribution Dashboard'!B51</f>
        <v>Amount Billed Water</v>
      </c>
      <c r="C51" s="57" t="str">
        <f>'Distribution Dashboard'!C51</f>
        <v>KES</v>
      </c>
      <c r="D51" s="59"/>
      <c r="E51" s="59"/>
      <c r="F51" s="59"/>
      <c r="G51" s="66"/>
      <c r="H51" s="59"/>
      <c r="I51"/>
      <c r="J51" s="59"/>
      <c r="K51" s="59"/>
      <c r="L51" s="59"/>
      <c r="M51" s="59"/>
      <c r="N51" s="59"/>
      <c r="O51" s="59"/>
    </row>
    <row r="52" spans="1:15" hidden="1" x14ac:dyDescent="0.35">
      <c r="A52" s="57">
        <f>'Distribution Dashboard'!A52</f>
        <v>0</v>
      </c>
      <c r="B52" s="57" t="str">
        <f>'Distribution Dashboard'!B52</f>
        <v>Amount Billed Sewer</v>
      </c>
      <c r="C52" s="57" t="str">
        <f>'Distribution Dashboard'!C52</f>
        <v>KES</v>
      </c>
      <c r="D52" s="59"/>
      <c r="E52" s="59"/>
      <c r="F52" s="59"/>
      <c r="G52" s="66"/>
      <c r="H52" s="59"/>
      <c r="I52"/>
      <c r="J52" s="59"/>
      <c r="K52" s="59"/>
      <c r="L52" s="59"/>
      <c r="M52" s="59"/>
      <c r="N52" s="59"/>
      <c r="O52" s="59"/>
    </row>
    <row r="53" spans="1:15" x14ac:dyDescent="0.35">
      <c r="A53" s="57">
        <f>'Distribution Dashboard'!A53</f>
        <v>0</v>
      </c>
      <c r="B53" s="57" t="str">
        <f>'Distribution Dashboard'!B53</f>
        <v>ZONE - KABATI</v>
      </c>
      <c r="C53" s="57">
        <f>'Distribution Dashboard'!C53</f>
        <v>0</v>
      </c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</row>
    <row r="54" spans="1:15" x14ac:dyDescent="0.35">
      <c r="A54" s="57">
        <f>'Distribution Dashboard'!A54</f>
        <v>103</v>
      </c>
      <c r="B54" s="57" t="str">
        <f>'Distribution Dashboard'!B54</f>
        <v>Volume Water Supplied</v>
      </c>
      <c r="C54" s="57" t="str">
        <f>'Distribution Dashboard'!C54</f>
        <v>m3</v>
      </c>
      <c r="D54" s="59">
        <v>17591</v>
      </c>
      <c r="E54" s="59">
        <v>18277</v>
      </c>
      <c r="F54" s="59">
        <v>19226</v>
      </c>
      <c r="G54" s="59">
        <v>15721</v>
      </c>
      <c r="H54" s="59">
        <v>16212</v>
      </c>
      <c r="I54" s="59">
        <v>16586</v>
      </c>
      <c r="J54" s="59">
        <v>14323</v>
      </c>
      <c r="K54" s="59">
        <v>19047</v>
      </c>
      <c r="L54" s="59">
        <v>19044</v>
      </c>
      <c r="M54" s="59">
        <v>17801</v>
      </c>
      <c r="N54" s="59">
        <v>16113</v>
      </c>
      <c r="O54" s="59">
        <v>15798</v>
      </c>
    </row>
    <row r="55" spans="1:15" x14ac:dyDescent="0.35">
      <c r="A55" s="57">
        <f>'Distribution Dashboard'!A55</f>
        <v>110</v>
      </c>
      <c r="B55" s="57" t="str">
        <f>'Distribution Dashboard'!B55</f>
        <v>Volume Water Sold</v>
      </c>
      <c r="C55" s="57" t="str">
        <f>'Distribution Dashboard'!C55</f>
        <v>m3</v>
      </c>
      <c r="D55" s="59">
        <v>12529</v>
      </c>
      <c r="E55" s="59">
        <v>13190</v>
      </c>
      <c r="F55" s="59">
        <v>10526</v>
      </c>
      <c r="G55" s="59">
        <v>13004</v>
      </c>
      <c r="H55" s="59">
        <v>7682</v>
      </c>
      <c r="I55">
        <v>12092</v>
      </c>
      <c r="J55" s="59">
        <v>10940</v>
      </c>
      <c r="K55" s="59">
        <v>13438</v>
      </c>
      <c r="L55" s="59">
        <v>13760</v>
      </c>
      <c r="M55" s="59">
        <v>11740</v>
      </c>
      <c r="N55" s="59">
        <v>9964</v>
      </c>
      <c r="O55" s="59">
        <v>11468</v>
      </c>
    </row>
    <row r="56" spans="1:15" x14ac:dyDescent="0.35">
      <c r="A56" s="57">
        <f>'Distribution Dashboard'!A56</f>
        <v>124</v>
      </c>
      <c r="B56" s="57" t="str">
        <f>'Distribution Dashboard'!B56</f>
        <v>NRW</v>
      </c>
      <c r="C56" s="57" t="str">
        <f>'Distribution Dashboard'!C56</f>
        <v>%</v>
      </c>
      <c r="D56" s="58">
        <f>(D54-D55)/D54</f>
        <v>0.28776078676595984</v>
      </c>
      <c r="E56" s="58">
        <f t="shared" ref="E56:O56" si="25">(E54-E55)/E54</f>
        <v>0.27832795316518028</v>
      </c>
      <c r="F56" s="58">
        <f>(F54-F55)/F54</f>
        <v>0.45251222303131178</v>
      </c>
      <c r="G56" s="58">
        <f t="shared" si="25"/>
        <v>0.17282615609694041</v>
      </c>
      <c r="H56" s="58">
        <f t="shared" si="25"/>
        <v>0.52615346656797435</v>
      </c>
      <c r="I56" s="58">
        <f t="shared" si="25"/>
        <v>0.27095140479922825</v>
      </c>
      <c r="J56" s="58">
        <f t="shared" si="25"/>
        <v>0.23619353487397893</v>
      </c>
      <c r="K56" s="58">
        <f t="shared" si="25"/>
        <v>0.2944820706672967</v>
      </c>
      <c r="L56" s="58">
        <f t="shared" si="25"/>
        <v>0.27746271791640409</v>
      </c>
      <c r="M56" s="58">
        <f t="shared" si="25"/>
        <v>0.34048648952306049</v>
      </c>
      <c r="N56" s="58">
        <f t="shared" si="25"/>
        <v>0.38161732762365791</v>
      </c>
      <c r="O56" s="58">
        <f t="shared" si="25"/>
        <v>0.27408532725661477</v>
      </c>
    </row>
    <row r="57" spans="1:15" hidden="1" x14ac:dyDescent="0.35">
      <c r="A57" s="57">
        <f>'Distribution Dashboard'!A57</f>
        <v>0</v>
      </c>
      <c r="B57" s="57" t="str">
        <f>'Distribution Dashboard'!B57</f>
        <v xml:space="preserve">Amount Billed </v>
      </c>
      <c r="C57" s="57" t="str">
        <f>'Distribution Dashboard'!C57</f>
        <v>KES</v>
      </c>
      <c r="D57" s="59"/>
      <c r="E57" s="59"/>
      <c r="F57" s="59"/>
      <c r="G57" s="66"/>
      <c r="H57" s="59"/>
      <c r="I57"/>
      <c r="J57" s="59"/>
      <c r="K57" s="59"/>
      <c r="L57" s="59"/>
      <c r="M57" s="59"/>
      <c r="N57" s="59"/>
      <c r="O57" s="59"/>
    </row>
    <row r="58" spans="1:15" hidden="1" x14ac:dyDescent="0.35">
      <c r="A58" s="57">
        <f>'Distribution Dashboard'!A58</f>
        <v>0</v>
      </c>
      <c r="B58" s="57" t="str">
        <f>'Distribution Dashboard'!B58</f>
        <v>Amount Billed Sewer</v>
      </c>
      <c r="C58" s="57" t="str">
        <f>'Distribution Dashboard'!C58</f>
        <v>KES</v>
      </c>
      <c r="D58" s="59"/>
      <c r="E58" s="59"/>
      <c r="F58" s="59"/>
      <c r="G58" s="66"/>
      <c r="H58" s="59"/>
      <c r="I58"/>
      <c r="J58" s="59"/>
      <c r="K58" s="59"/>
      <c r="L58" s="59"/>
      <c r="M58" s="59"/>
      <c r="N58" s="59"/>
      <c r="O58" s="59"/>
    </row>
    <row r="59" spans="1:15" x14ac:dyDescent="0.35">
      <c r="A59" s="57">
        <f>'Distribution Dashboard'!A59</f>
        <v>0</v>
      </c>
      <c r="B59" s="57" t="str">
        <f>'Distribution Dashboard'!B59</f>
        <v>ZONE - SITE AND SERVICES</v>
      </c>
      <c r="C59" s="57">
        <f>'Distribution Dashboard'!C59</f>
        <v>0</v>
      </c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</row>
    <row r="60" spans="1:15" x14ac:dyDescent="0.35">
      <c r="A60" s="57">
        <f>'Distribution Dashboard'!A60</f>
        <v>105</v>
      </c>
      <c r="B60" s="57" t="str">
        <f>'Distribution Dashboard'!B60</f>
        <v>Volume Water Supplied</v>
      </c>
      <c r="C60" s="57" t="str">
        <f>'Distribution Dashboard'!C60</f>
        <v>m3</v>
      </c>
      <c r="D60" s="59">
        <v>11927</v>
      </c>
      <c r="E60" s="59">
        <v>12251</v>
      </c>
      <c r="F60" s="59">
        <v>12513</v>
      </c>
      <c r="G60" s="59">
        <v>12532</v>
      </c>
      <c r="H60" s="59">
        <v>10496</v>
      </c>
      <c r="I60" s="59">
        <v>11866</v>
      </c>
      <c r="J60" s="59">
        <v>12158</v>
      </c>
      <c r="K60" s="59">
        <v>13341</v>
      </c>
      <c r="L60" s="59">
        <v>12024</v>
      </c>
      <c r="M60" s="59">
        <v>13105</v>
      </c>
      <c r="N60" s="59">
        <v>12878</v>
      </c>
      <c r="O60" s="59">
        <v>12700</v>
      </c>
    </row>
    <row r="61" spans="1:15" x14ac:dyDescent="0.35">
      <c r="A61" s="57">
        <f>'Distribution Dashboard'!A61</f>
        <v>112</v>
      </c>
      <c r="B61" s="57" t="str">
        <f>'Distribution Dashboard'!B61</f>
        <v>Volume Water Sold</v>
      </c>
      <c r="C61" s="57" t="str">
        <f>'Distribution Dashboard'!C61</f>
        <v>m3</v>
      </c>
      <c r="D61" s="59">
        <v>10322</v>
      </c>
      <c r="E61" s="59">
        <v>10117</v>
      </c>
      <c r="F61" s="59">
        <v>9026</v>
      </c>
      <c r="G61" s="59">
        <v>10000</v>
      </c>
      <c r="H61" s="59">
        <v>7869</v>
      </c>
      <c r="I61">
        <v>9280</v>
      </c>
      <c r="J61" s="59">
        <v>10263</v>
      </c>
      <c r="K61" s="59">
        <v>11014</v>
      </c>
      <c r="L61" s="59">
        <v>10702</v>
      </c>
      <c r="M61" s="59">
        <v>10235</v>
      </c>
      <c r="N61" s="59">
        <v>9134</v>
      </c>
      <c r="O61" s="59">
        <v>9404</v>
      </c>
    </row>
    <row r="62" spans="1:15" x14ac:dyDescent="0.35">
      <c r="A62" s="57">
        <f>'Distribution Dashboard'!A62</f>
        <v>126</v>
      </c>
      <c r="B62" s="57" t="str">
        <f>'Distribution Dashboard'!B62</f>
        <v>NRW</v>
      </c>
      <c r="C62" s="57" t="str">
        <f>'Distribution Dashboard'!C62</f>
        <v>%</v>
      </c>
      <c r="D62" s="58">
        <f>(D60-D61)/D60</f>
        <v>0.13456862580699253</v>
      </c>
      <c r="E62" s="58">
        <f t="shared" ref="E62:O62" si="26">(E60-E61)/E60</f>
        <v>0.17418986205207737</v>
      </c>
      <c r="F62" s="58">
        <f>(F60-F61)/F60</f>
        <v>0.27867018300966995</v>
      </c>
      <c r="G62" s="58">
        <f t="shared" si="26"/>
        <v>0.2020427705075008</v>
      </c>
      <c r="H62" s="58">
        <f t="shared" si="26"/>
        <v>0.25028582317073172</v>
      </c>
      <c r="I62" s="58">
        <f t="shared" si="26"/>
        <v>0.2179335917748188</v>
      </c>
      <c r="J62" s="58">
        <f t="shared" si="26"/>
        <v>0.15586445139003124</v>
      </c>
      <c r="K62" s="58">
        <f t="shared" si="26"/>
        <v>0.17442470579416836</v>
      </c>
      <c r="L62" s="58">
        <f t="shared" si="26"/>
        <v>0.10994677312042582</v>
      </c>
      <c r="M62" s="58">
        <f t="shared" si="26"/>
        <v>0.21900038153376575</v>
      </c>
      <c r="N62" s="58">
        <f t="shared" si="26"/>
        <v>0.29072837397111351</v>
      </c>
      <c r="O62" s="58">
        <f t="shared" si="26"/>
        <v>0.2595275590551181</v>
      </c>
    </row>
    <row r="63" spans="1:15" hidden="1" x14ac:dyDescent="0.35">
      <c r="A63" s="57">
        <f>'Distribution Dashboard'!A63</f>
        <v>0</v>
      </c>
      <c r="B63" s="57" t="str">
        <f>'Distribution Dashboard'!B63</f>
        <v>Amount Billed Water</v>
      </c>
      <c r="C63" s="57" t="str">
        <f>'Distribution Dashboard'!C63</f>
        <v>KES</v>
      </c>
      <c r="D63" s="59"/>
      <c r="E63" s="59"/>
      <c r="F63" s="59"/>
      <c r="G63" s="66"/>
      <c r="H63" s="59"/>
      <c r="I63"/>
      <c r="J63" s="59"/>
      <c r="K63" s="59"/>
      <c r="L63" s="59"/>
      <c r="M63" s="59"/>
      <c r="N63" s="59"/>
      <c r="O63" s="59"/>
    </row>
    <row r="64" spans="1:15" hidden="1" x14ac:dyDescent="0.35">
      <c r="A64" s="57">
        <f>'Distribution Dashboard'!A64</f>
        <v>0</v>
      </c>
      <c r="B64" s="57" t="str">
        <f>'Distribution Dashboard'!B64</f>
        <v>Amount Billed Sewer</v>
      </c>
      <c r="C64" s="57" t="str">
        <f>'Distribution Dashboard'!C64</f>
        <v>KES</v>
      </c>
      <c r="D64" s="59"/>
      <c r="E64" s="59"/>
      <c r="F64" s="59"/>
      <c r="G64" s="66"/>
      <c r="H64" s="59"/>
      <c r="I64"/>
      <c r="J64" s="59"/>
      <c r="K64" s="59"/>
      <c r="L64" s="59"/>
      <c r="M64" s="59"/>
      <c r="N64" s="59"/>
      <c r="O64" s="59"/>
    </row>
    <row r="65" spans="1:15" x14ac:dyDescent="0.35">
      <c r="A65" s="57">
        <f>'Distribution Dashboard'!A69</f>
        <v>0</v>
      </c>
      <c r="B65" s="57" t="str">
        <f>'Distribution Dashboard'!B69</f>
        <v>ZONE - KAMERE</v>
      </c>
      <c r="C65" s="57">
        <f>'Distribution Dashboard'!C69</f>
        <v>0</v>
      </c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</row>
    <row r="66" spans="1:15" x14ac:dyDescent="0.35">
      <c r="A66" s="57">
        <f>'Distribution Dashboard'!A70</f>
        <v>106</v>
      </c>
      <c r="B66" s="57" t="str">
        <f>'Distribution Dashboard'!B70</f>
        <v>Volume Water Supplied</v>
      </c>
      <c r="C66" s="57" t="str">
        <f>'Distribution Dashboard'!C70</f>
        <v>m3</v>
      </c>
      <c r="D66" s="59">
        <v>8218</v>
      </c>
      <c r="E66" s="59">
        <v>8614</v>
      </c>
      <c r="F66" s="59">
        <v>8518</v>
      </c>
      <c r="G66" s="59">
        <v>7756</v>
      </c>
      <c r="H66" s="59">
        <v>10551</v>
      </c>
      <c r="I66" s="59">
        <v>7323</v>
      </c>
      <c r="J66" s="59">
        <v>8005</v>
      </c>
      <c r="K66" s="59">
        <v>8581</v>
      </c>
      <c r="L66" s="59">
        <v>7724</v>
      </c>
      <c r="M66" s="59">
        <v>7180</v>
      </c>
      <c r="N66" s="59">
        <v>4554</v>
      </c>
      <c r="O66" s="59">
        <v>7600</v>
      </c>
    </row>
    <row r="67" spans="1:15" x14ac:dyDescent="0.35">
      <c r="A67" s="57">
        <f>'Distribution Dashboard'!A71</f>
        <v>113</v>
      </c>
      <c r="B67" s="57" t="str">
        <f>'Distribution Dashboard'!B71</f>
        <v>Volume Water Sold</v>
      </c>
      <c r="C67" s="57" t="str">
        <f>'Distribution Dashboard'!C71</f>
        <v>m3</v>
      </c>
      <c r="D67" s="59">
        <v>6689</v>
      </c>
      <c r="E67" s="59">
        <v>7168</v>
      </c>
      <c r="F67" s="59">
        <v>6762</v>
      </c>
      <c r="G67" s="59">
        <v>6199</v>
      </c>
      <c r="H67" s="59">
        <v>5794</v>
      </c>
      <c r="I67">
        <v>5451</v>
      </c>
      <c r="J67" s="59">
        <v>5916</v>
      </c>
      <c r="K67" s="59">
        <v>6958</v>
      </c>
      <c r="L67" s="59">
        <v>6756</v>
      </c>
      <c r="M67" s="59">
        <v>6326</v>
      </c>
      <c r="N67" s="59">
        <v>4365</v>
      </c>
      <c r="O67" s="59">
        <v>5937</v>
      </c>
    </row>
    <row r="68" spans="1:15" x14ac:dyDescent="0.35">
      <c r="A68" s="57">
        <f>'Distribution Dashboard'!A72</f>
        <v>127</v>
      </c>
      <c r="B68" s="57" t="str">
        <f>'Distribution Dashboard'!B72</f>
        <v>NRW</v>
      </c>
      <c r="C68" s="57" t="str">
        <f>'Distribution Dashboard'!C72</f>
        <v>%</v>
      </c>
      <c r="D68" s="58">
        <f>(D66-D67)/D66</f>
        <v>0.18605500121684107</v>
      </c>
      <c r="E68" s="58">
        <f t="shared" ref="E68:O68" si="27">(E66-E67)/E66</f>
        <v>0.16786626422103551</v>
      </c>
      <c r="F68" s="58">
        <f>(F66-F67)/F66</f>
        <v>0.20615167879783988</v>
      </c>
      <c r="G68" s="58">
        <f t="shared" si="27"/>
        <v>0.20074780814853016</v>
      </c>
      <c r="H68" s="58">
        <f t="shared" si="27"/>
        <v>0.45085773860297601</v>
      </c>
      <c r="I68" s="58">
        <f t="shared" si="27"/>
        <v>0.25563293732077019</v>
      </c>
      <c r="J68" s="58">
        <f t="shared" si="27"/>
        <v>0.26096189881324172</v>
      </c>
      <c r="K68" s="58">
        <f t="shared" si="27"/>
        <v>0.18913879501223635</v>
      </c>
      <c r="L68" s="58">
        <f t="shared" si="27"/>
        <v>0.12532366649404453</v>
      </c>
      <c r="M68" s="58">
        <f t="shared" si="27"/>
        <v>0.11894150417827298</v>
      </c>
      <c r="N68" s="58">
        <f t="shared" si="27"/>
        <v>4.1501976284584984E-2</v>
      </c>
      <c r="O68" s="58">
        <f t="shared" si="27"/>
        <v>0.21881578947368421</v>
      </c>
    </row>
    <row r="69" spans="1:15" hidden="1" x14ac:dyDescent="0.35">
      <c r="A69" s="57">
        <f>'Distribution Dashboard'!A73</f>
        <v>0</v>
      </c>
      <c r="B69" s="57" t="str">
        <f>'Distribution Dashboard'!B73</f>
        <v>Amount Billed Water</v>
      </c>
      <c r="C69" s="57" t="str">
        <f>'Distribution Dashboard'!C73</f>
        <v>KES</v>
      </c>
      <c r="D69" s="59"/>
      <c r="E69" s="59"/>
      <c r="F69" s="59"/>
      <c r="G69" s="66"/>
      <c r="H69" s="59"/>
      <c r="I69"/>
      <c r="J69" s="59"/>
      <c r="K69" s="59"/>
      <c r="L69" s="59"/>
      <c r="M69" s="59"/>
      <c r="N69" s="59"/>
      <c r="O69" s="59"/>
    </row>
    <row r="70" spans="1:15" hidden="1" x14ac:dyDescent="0.35">
      <c r="A70" s="57">
        <f>'Distribution Dashboard'!A74</f>
        <v>0</v>
      </c>
      <c r="B70" s="57" t="str">
        <f>'Distribution Dashboard'!B74</f>
        <v>Amount Billed Sewer</v>
      </c>
      <c r="C70" s="57" t="str">
        <f>'Distribution Dashboard'!C74</f>
        <v>KES</v>
      </c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</row>
    <row r="71" spans="1:15" x14ac:dyDescent="0.35">
      <c r="A71" s="57">
        <f>'Distribution Dashboard'!A75</f>
        <v>0</v>
      </c>
      <c r="B71" s="57" t="str">
        <f>'Distribution Dashboard'!B75</f>
        <v>ZONE - HELLS GATE</v>
      </c>
      <c r="C71" s="57">
        <f>'Distribution Dashboard'!C75</f>
        <v>0</v>
      </c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</row>
    <row r="72" spans="1:15" x14ac:dyDescent="0.35">
      <c r="A72" s="57" t="str">
        <f>'Distribution Dashboard'!A76</f>
        <v>103 (3)</v>
      </c>
      <c r="B72" s="57" t="str">
        <f>'Distribution Dashboard'!B76</f>
        <v>Volume Water Supplied</v>
      </c>
      <c r="C72" s="57" t="str">
        <f>'Distribution Dashboard'!C76</f>
        <v>m3</v>
      </c>
      <c r="D72" s="59">
        <v>28838</v>
      </c>
      <c r="E72" s="59">
        <v>30652</v>
      </c>
      <c r="F72" s="59">
        <v>31585</v>
      </c>
      <c r="G72" s="59">
        <v>25426</v>
      </c>
      <c r="H72" s="59">
        <v>28565</v>
      </c>
      <c r="I72" s="59">
        <v>24228</v>
      </c>
      <c r="J72" s="59">
        <v>30171</v>
      </c>
      <c r="K72" s="59">
        <v>33537</v>
      </c>
      <c r="L72" s="59">
        <v>31889</v>
      </c>
      <c r="M72" s="59">
        <v>30995</v>
      </c>
      <c r="N72" s="59">
        <v>21791</v>
      </c>
      <c r="O72" s="59">
        <v>31533</v>
      </c>
    </row>
    <row r="73" spans="1:15" x14ac:dyDescent="0.35">
      <c r="A73" s="57" t="str">
        <f>'Distribution Dashboard'!A77</f>
        <v>110 (3)</v>
      </c>
      <c r="B73" s="57" t="str">
        <f>'Distribution Dashboard'!B77</f>
        <v>Volume Water Sold</v>
      </c>
      <c r="C73" s="57" t="str">
        <f>'Distribution Dashboard'!C77</f>
        <v>m3</v>
      </c>
      <c r="D73" s="59">
        <v>20752</v>
      </c>
      <c r="E73" s="59">
        <v>21521</v>
      </c>
      <c r="F73" s="59">
        <v>18968</v>
      </c>
      <c r="G73" s="59">
        <v>18382</v>
      </c>
      <c r="H73" s="59">
        <v>19743</v>
      </c>
      <c r="I73">
        <v>17301</v>
      </c>
      <c r="J73" s="59">
        <v>20591</v>
      </c>
      <c r="K73" s="59">
        <v>22250</v>
      </c>
      <c r="L73" s="59">
        <v>24784</v>
      </c>
      <c r="M73" s="59">
        <v>22577</v>
      </c>
      <c r="N73" s="59">
        <v>14170</v>
      </c>
      <c r="O73" s="59">
        <v>22076</v>
      </c>
    </row>
    <row r="74" spans="1:15" x14ac:dyDescent="0.35">
      <c r="A74" s="57" t="str">
        <f>'Distribution Dashboard'!A78</f>
        <v>124 (3)</v>
      </c>
      <c r="B74" s="57" t="str">
        <f>'Distribution Dashboard'!B78</f>
        <v>NRW</v>
      </c>
      <c r="C74" s="57" t="str">
        <f>'Distribution Dashboard'!C78</f>
        <v>%</v>
      </c>
      <c r="D74" s="58">
        <f>(D72-D73)/D72</f>
        <v>0.28039392468271029</v>
      </c>
      <c r="E74" s="58">
        <f t="shared" ref="E74:O74" si="28">(E72-E73)/E72</f>
        <v>0.29789247031188831</v>
      </c>
      <c r="F74" s="58">
        <f>(F72-F73)/F72</f>
        <v>0.39946176982744974</v>
      </c>
      <c r="G74" s="58">
        <f t="shared" si="28"/>
        <v>0.2770392511602297</v>
      </c>
      <c r="H74" s="58">
        <f t="shared" si="28"/>
        <v>0.30883948888499912</v>
      </c>
      <c r="I74" s="58">
        <f t="shared" si="28"/>
        <v>0.28590886577513619</v>
      </c>
      <c r="J74" s="58">
        <f t="shared" si="28"/>
        <v>0.31752344967021312</v>
      </c>
      <c r="K74" s="58">
        <f t="shared" si="28"/>
        <v>0.33655365715478425</v>
      </c>
      <c r="L74" s="58">
        <f t="shared" si="28"/>
        <v>0.22280410172786855</v>
      </c>
      <c r="M74" s="58">
        <f t="shared" si="28"/>
        <v>0.27159219228907888</v>
      </c>
      <c r="N74" s="58">
        <f t="shared" si="28"/>
        <v>0.34973154054426137</v>
      </c>
      <c r="O74" s="58">
        <f t="shared" si="28"/>
        <v>0.29990803285446993</v>
      </c>
    </row>
    <row r="75" spans="1:15" hidden="1" x14ac:dyDescent="0.35">
      <c r="A75" s="57">
        <f>'Distribution Dashboard'!A79</f>
        <v>0</v>
      </c>
      <c r="B75" s="57" t="str">
        <f>'Distribution Dashboard'!B79</f>
        <v>Amount Billed Water</v>
      </c>
      <c r="C75" s="57" t="str">
        <f>'Distribution Dashboard'!C79</f>
        <v>KES</v>
      </c>
      <c r="D75" s="59"/>
      <c r="E75" s="59"/>
      <c r="F75" s="59"/>
      <c r="G75" s="66"/>
      <c r="H75" s="59"/>
      <c r="I75"/>
      <c r="J75" s="59"/>
      <c r="K75" s="59"/>
      <c r="L75" s="59"/>
      <c r="M75" s="59"/>
      <c r="N75" s="59"/>
      <c r="O75" s="59"/>
    </row>
    <row r="76" spans="1:15" hidden="1" x14ac:dyDescent="0.35">
      <c r="A76" s="57">
        <f>'Distribution Dashboard'!A80</f>
        <v>0</v>
      </c>
      <c r="B76" s="57" t="str">
        <f>'Distribution Dashboard'!B80</f>
        <v>Amount Billed Sewer</v>
      </c>
      <c r="C76" s="57" t="str">
        <f>'Distribution Dashboard'!C80</f>
        <v>KES</v>
      </c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</row>
    <row r="77" spans="1:15" x14ac:dyDescent="0.35">
      <c r="A77" s="57">
        <f>'Distribution Dashboard'!A81</f>
        <v>0</v>
      </c>
      <c r="B77" s="57" t="str">
        <f>'Distribution Dashboard'!B81</f>
        <v>KIHOTO</v>
      </c>
      <c r="C77" s="57">
        <f>'Distribution Dashboard'!C81</f>
        <v>0</v>
      </c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</row>
    <row r="78" spans="1:15" x14ac:dyDescent="0.35">
      <c r="A78" s="57" t="str">
        <f>'Distribution Dashboard'!A82</f>
        <v>103 (2)</v>
      </c>
      <c r="B78" s="57" t="str">
        <f>'Distribution Dashboard'!B82</f>
        <v>Volume Water Supplied</v>
      </c>
      <c r="C78" s="57" t="str">
        <f>'Distribution Dashboard'!C82</f>
        <v>m3</v>
      </c>
      <c r="D78" s="59">
        <v>1575</v>
      </c>
      <c r="E78" s="59">
        <v>1486</v>
      </c>
      <c r="F78" s="59">
        <v>1408</v>
      </c>
      <c r="G78" s="59">
        <v>1670</v>
      </c>
      <c r="H78" s="59">
        <v>1760</v>
      </c>
      <c r="I78" s="59">
        <v>1938</v>
      </c>
      <c r="J78" s="59">
        <v>2877</v>
      </c>
      <c r="K78" s="59">
        <v>2987</v>
      </c>
      <c r="L78" s="59">
        <v>2715</v>
      </c>
      <c r="M78" s="59">
        <v>1898</v>
      </c>
      <c r="N78" s="59">
        <v>2316</v>
      </c>
      <c r="O78" s="59">
        <v>2389</v>
      </c>
    </row>
    <row r="79" spans="1:15" x14ac:dyDescent="0.35">
      <c r="A79" s="57" t="str">
        <f>'Distribution Dashboard'!A83</f>
        <v>110 (2)</v>
      </c>
      <c r="B79" s="57" t="str">
        <f>'Distribution Dashboard'!B83</f>
        <v>Volume Water Sold</v>
      </c>
      <c r="C79" s="57" t="str">
        <f>'Distribution Dashboard'!C83</f>
        <v>m3</v>
      </c>
      <c r="D79" s="59">
        <v>2272</v>
      </c>
      <c r="E79" s="59">
        <v>2080</v>
      </c>
      <c r="F79" s="59">
        <v>1347</v>
      </c>
      <c r="G79" s="59">
        <v>1141</v>
      </c>
      <c r="H79" s="59">
        <v>1693</v>
      </c>
      <c r="I79">
        <v>1590</v>
      </c>
      <c r="J79" s="59">
        <v>2369</v>
      </c>
      <c r="K79" s="59">
        <v>2241</v>
      </c>
      <c r="L79" s="59">
        <v>2236</v>
      </c>
      <c r="M79" s="59">
        <v>1444</v>
      </c>
      <c r="N79" s="59">
        <v>1437</v>
      </c>
      <c r="O79" s="59">
        <v>1692</v>
      </c>
    </row>
    <row r="80" spans="1:15" x14ac:dyDescent="0.35">
      <c r="A80" s="57" t="str">
        <f>'Distribution Dashboard'!A84</f>
        <v>124 (2)</v>
      </c>
      <c r="B80" s="57" t="str">
        <f>'Distribution Dashboard'!B84</f>
        <v>NRW</v>
      </c>
      <c r="C80" s="57" t="str">
        <f>'Distribution Dashboard'!C84</f>
        <v>%</v>
      </c>
      <c r="D80" s="58">
        <f>(D78-D79)/D78</f>
        <v>-0.44253968253968257</v>
      </c>
      <c r="E80" s="58">
        <f t="shared" ref="E80:O80" si="29">(E78-E79)/E78</f>
        <v>-0.3997308209959623</v>
      </c>
      <c r="F80" s="58">
        <f>(F78-F79)/F78</f>
        <v>4.332386363636364E-2</v>
      </c>
      <c r="G80" s="58">
        <f t="shared" si="29"/>
        <v>0.31676646706586825</v>
      </c>
      <c r="H80" s="58">
        <f t="shared" si="29"/>
        <v>3.806818181818182E-2</v>
      </c>
      <c r="I80" s="58">
        <f t="shared" si="29"/>
        <v>0.17956656346749225</v>
      </c>
      <c r="J80" s="58">
        <f t="shared" si="29"/>
        <v>0.17657281890858534</v>
      </c>
      <c r="K80" s="58">
        <f t="shared" si="29"/>
        <v>0.24974891195179111</v>
      </c>
      <c r="L80" s="58">
        <f t="shared" si="29"/>
        <v>0.17642725598526704</v>
      </c>
      <c r="M80" s="58">
        <f t="shared" si="29"/>
        <v>0.23919915700737618</v>
      </c>
      <c r="N80" s="58">
        <f t="shared" si="29"/>
        <v>0.3795336787564767</v>
      </c>
      <c r="O80" s="58">
        <f t="shared" si="29"/>
        <v>0.29175387191293428</v>
      </c>
    </row>
    <row r="81" spans="1:15" hidden="1" x14ac:dyDescent="0.35">
      <c r="A81" s="57">
        <f>'Distribution Dashboard'!A85</f>
        <v>0</v>
      </c>
      <c r="B81" s="57" t="str">
        <f>'Distribution Dashboard'!B85</f>
        <v>Amount Billed Water</v>
      </c>
      <c r="C81" s="57" t="str">
        <f>'Distribution Dashboard'!C85</f>
        <v>KES</v>
      </c>
      <c r="D81" s="59"/>
      <c r="E81" s="59"/>
      <c r="F81" s="59"/>
      <c r="G81" s="66"/>
      <c r="H81" s="59"/>
      <c r="I81"/>
      <c r="J81" s="59"/>
      <c r="K81" s="59"/>
      <c r="L81" s="59"/>
      <c r="M81" s="59"/>
      <c r="N81" s="59"/>
      <c r="O81" s="59"/>
    </row>
    <row r="82" spans="1:15" hidden="1" x14ac:dyDescent="0.35">
      <c r="A82" s="57">
        <f>'Distribution Dashboard'!A86</f>
        <v>0</v>
      </c>
      <c r="B82" s="57" t="str">
        <f>'Distribution Dashboard'!B86</f>
        <v>Amount Billed Sewer</v>
      </c>
      <c r="C82" s="57" t="str">
        <f>'Distribution Dashboard'!C86</f>
        <v>KES</v>
      </c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</row>
    <row r="83" spans="1:15" x14ac:dyDescent="0.35">
      <c r="A83" s="57">
        <f>'Distribution Dashboard'!A87</f>
        <v>0</v>
      </c>
      <c r="B83" s="57" t="str">
        <f>'Distribution Dashboard'!B87</f>
        <v>KAYOLE</v>
      </c>
      <c r="C83" s="57">
        <f>'Distribution Dashboard'!C87</f>
        <v>0</v>
      </c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</row>
    <row r="84" spans="1:15" x14ac:dyDescent="0.35">
      <c r="A84" s="57" t="str">
        <f>'Distribution Dashboard'!A88</f>
        <v>103 (4)</v>
      </c>
      <c r="B84" s="57" t="str">
        <f>'Distribution Dashboard'!B88</f>
        <v>Volume Water Supplied</v>
      </c>
      <c r="C84" s="57" t="str">
        <f>'Distribution Dashboard'!C88</f>
        <v>m3</v>
      </c>
      <c r="D84" s="59">
        <v>30501</v>
      </c>
      <c r="E84" s="59">
        <v>32010</v>
      </c>
      <c r="F84" s="59">
        <v>24149</v>
      </c>
      <c r="G84" s="59">
        <v>22652</v>
      </c>
      <c r="H84" s="59">
        <v>28576</v>
      </c>
      <c r="I84" s="59">
        <v>25660</v>
      </c>
      <c r="J84" s="59">
        <v>29543</v>
      </c>
      <c r="K84" s="59">
        <v>32538</v>
      </c>
      <c r="L84" s="59">
        <v>37911</v>
      </c>
      <c r="M84" s="59">
        <v>33845</v>
      </c>
      <c r="N84" s="59">
        <v>24449</v>
      </c>
      <c r="O84" s="59">
        <v>29654</v>
      </c>
    </row>
    <row r="85" spans="1:15" x14ac:dyDescent="0.35">
      <c r="A85" s="57" t="str">
        <f>'Distribution Dashboard'!A89</f>
        <v>110 (4)</v>
      </c>
      <c r="B85" s="57" t="str">
        <f>'Distribution Dashboard'!B89</f>
        <v>Volume Water Sold</v>
      </c>
      <c r="C85" s="57" t="str">
        <f>'Distribution Dashboard'!C89</f>
        <v>m3</v>
      </c>
      <c r="D85" s="59">
        <v>23539</v>
      </c>
      <c r="E85" s="59">
        <v>26711</v>
      </c>
      <c r="F85" s="59">
        <v>15874</v>
      </c>
      <c r="G85" s="59">
        <v>19300</v>
      </c>
      <c r="H85" s="59">
        <v>21187</v>
      </c>
      <c r="I85">
        <v>19348</v>
      </c>
      <c r="J85" s="59">
        <v>22923</v>
      </c>
      <c r="K85" s="59">
        <v>24955</v>
      </c>
      <c r="L85" s="59">
        <v>28920</v>
      </c>
      <c r="M85" s="59">
        <v>24631</v>
      </c>
      <c r="N85" s="59">
        <v>22558</v>
      </c>
      <c r="O85" s="59">
        <v>22371</v>
      </c>
    </row>
    <row r="86" spans="1:15" x14ac:dyDescent="0.35">
      <c r="A86" s="57" t="str">
        <f>'Distribution Dashboard'!A90</f>
        <v>124 (4)</v>
      </c>
      <c r="B86" s="57" t="str">
        <f>'Distribution Dashboard'!B90</f>
        <v>NRW</v>
      </c>
      <c r="C86" s="57" t="str">
        <f>'Distribution Dashboard'!C90</f>
        <v>%</v>
      </c>
      <c r="D86" s="58">
        <f>(D84-D85)/D84</f>
        <v>0.2282548113176617</v>
      </c>
      <c r="E86" s="58">
        <f t="shared" ref="E86:O86" si="30">(E84-E85)/E84</f>
        <v>0.16554201811933772</v>
      </c>
      <c r="F86" s="58">
        <f>(F84-F85)/F84</f>
        <v>0.34266429251728853</v>
      </c>
      <c r="G86" s="58">
        <f t="shared" si="30"/>
        <v>0.14797810347872153</v>
      </c>
      <c r="H86" s="58">
        <f t="shared" si="30"/>
        <v>0.25857362821948487</v>
      </c>
      <c r="I86" s="58">
        <f t="shared" si="30"/>
        <v>0.24598597038191738</v>
      </c>
      <c r="J86" s="58">
        <f t="shared" si="30"/>
        <v>0.22408015435128456</v>
      </c>
      <c r="K86" s="58">
        <f t="shared" si="30"/>
        <v>0.23305058700596226</v>
      </c>
      <c r="L86" s="58">
        <f t="shared" si="30"/>
        <v>0.23716071852496637</v>
      </c>
      <c r="M86" s="58">
        <f t="shared" si="30"/>
        <v>0.27224109912837935</v>
      </c>
      <c r="N86" s="58">
        <f t="shared" si="30"/>
        <v>7.7344676673892596E-2</v>
      </c>
      <c r="O86" s="58">
        <f t="shared" si="30"/>
        <v>0.24559924462129898</v>
      </c>
    </row>
    <row r="87" spans="1:15" hidden="1" x14ac:dyDescent="0.35">
      <c r="A87" s="57">
        <f>'Distribution Dashboard'!A91</f>
        <v>0</v>
      </c>
      <c r="B87" s="57" t="str">
        <f>'Distribution Dashboard'!B91</f>
        <v>Amount Billed Water</v>
      </c>
      <c r="C87" s="57" t="str">
        <f>'Distribution Dashboard'!C91</f>
        <v>KES</v>
      </c>
      <c r="D87" s="59"/>
      <c r="E87" s="59"/>
      <c r="F87" s="59"/>
      <c r="G87" s="66"/>
      <c r="H87" s="59"/>
      <c r="I87"/>
      <c r="J87" s="59"/>
      <c r="K87" s="59"/>
      <c r="L87" s="59"/>
      <c r="M87" s="59"/>
      <c r="N87" s="59"/>
      <c r="O87" s="59"/>
    </row>
    <row r="88" spans="1:15" hidden="1" x14ac:dyDescent="0.35">
      <c r="A88" s="57">
        <f>'Distribution Dashboard'!A92</f>
        <v>0</v>
      </c>
      <c r="B88" s="57" t="str">
        <f>'Distribution Dashboard'!B92</f>
        <v>Amount Billed Sewer</v>
      </c>
      <c r="C88" s="57" t="str">
        <f>'Distribution Dashboard'!C92</f>
        <v>KES</v>
      </c>
      <c r="D88" s="59"/>
      <c r="E88" s="59"/>
      <c r="F88" s="59"/>
      <c r="G88" s="59"/>
      <c r="H88" s="59"/>
      <c r="I88"/>
      <c r="J88" s="59"/>
      <c r="K88" s="59"/>
      <c r="L88" s="59"/>
      <c r="M88" s="59"/>
      <c r="N88" s="59"/>
      <c r="O88" s="59"/>
    </row>
    <row r="89" spans="1:15" x14ac:dyDescent="0.35">
      <c r="A89" s="57">
        <f>'Distribution Dashboard'!A93</f>
        <v>0</v>
      </c>
      <c r="B89" s="57" t="str">
        <f>'Distribution Dashboard'!B93</f>
        <v>MAI-MAHIU</v>
      </c>
      <c r="C89" s="57">
        <f>'Distribution Dashboard'!C93</f>
        <v>0</v>
      </c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</row>
    <row r="90" spans="1:15" x14ac:dyDescent="0.35">
      <c r="A90" s="57" t="str">
        <f>'Distribution Dashboard'!A94</f>
        <v>103 (5)</v>
      </c>
      <c r="B90" s="57" t="str">
        <f>'Distribution Dashboard'!B94</f>
        <v>Volume Water Supplied</v>
      </c>
      <c r="C90" s="57" t="str">
        <f>'Distribution Dashboard'!C94</f>
        <v>m3</v>
      </c>
      <c r="D90" s="59">
        <v>4152</v>
      </c>
      <c r="E90" s="59">
        <v>5337</v>
      </c>
      <c r="F90" s="59">
        <v>7593</v>
      </c>
      <c r="G90" s="59">
        <v>8211</v>
      </c>
      <c r="H90" s="59">
        <v>7525</v>
      </c>
      <c r="I90" s="59">
        <v>7691</v>
      </c>
      <c r="J90" s="59">
        <v>13722</v>
      </c>
      <c r="K90" s="59">
        <v>15989</v>
      </c>
      <c r="L90" s="59">
        <v>20542</v>
      </c>
      <c r="M90" s="59">
        <v>15473</v>
      </c>
      <c r="N90" s="59">
        <v>7152</v>
      </c>
      <c r="O90" s="59">
        <v>8515</v>
      </c>
    </row>
    <row r="91" spans="1:15" x14ac:dyDescent="0.35">
      <c r="A91" s="57" t="str">
        <f>'Distribution Dashboard'!A95</f>
        <v>110 (5)</v>
      </c>
      <c r="B91" s="57" t="str">
        <f>'Distribution Dashboard'!B95</f>
        <v>Volume Water Sold</v>
      </c>
      <c r="C91" s="57" t="str">
        <f>'Distribution Dashboard'!C95</f>
        <v>m3</v>
      </c>
      <c r="D91" s="59">
        <v>3010</v>
      </c>
      <c r="E91" s="59">
        <v>4054</v>
      </c>
      <c r="F91" s="59">
        <v>6482</v>
      </c>
      <c r="G91" s="59">
        <v>5612</v>
      </c>
      <c r="H91" s="59">
        <v>4918</v>
      </c>
      <c r="I91">
        <v>6474</v>
      </c>
      <c r="J91" s="59">
        <v>6589</v>
      </c>
      <c r="K91" s="59">
        <v>8073</v>
      </c>
      <c r="L91" s="59">
        <v>9560</v>
      </c>
      <c r="M91" s="59">
        <v>7050</v>
      </c>
      <c r="N91" s="59">
        <v>3034</v>
      </c>
      <c r="O91" s="59">
        <v>5452</v>
      </c>
    </row>
    <row r="92" spans="1:15" x14ac:dyDescent="0.35">
      <c r="A92" s="57" t="str">
        <f>'Distribution Dashboard'!A96</f>
        <v>124 (5)</v>
      </c>
      <c r="B92" s="57" t="str">
        <f>'Distribution Dashboard'!B96</f>
        <v>NRW</v>
      </c>
      <c r="C92" s="57" t="str">
        <f>'Distribution Dashboard'!C96</f>
        <v>%</v>
      </c>
      <c r="D92" s="58">
        <f>(D90-D91)/D90</f>
        <v>0.27504816955684008</v>
      </c>
      <c r="E92" s="58">
        <f t="shared" ref="E92:O92" si="31">(E90-E91)/E90</f>
        <v>0.24039722690650178</v>
      </c>
      <c r="F92" s="58">
        <f t="shared" si="31"/>
        <v>0.1463189780060582</v>
      </c>
      <c r="G92" s="58">
        <f t="shared" si="31"/>
        <v>0.31652661064425769</v>
      </c>
      <c r="H92" s="58">
        <f t="shared" si="31"/>
        <v>0.34644518272425251</v>
      </c>
      <c r="I92" s="58">
        <f t="shared" si="31"/>
        <v>0.1582369002730464</v>
      </c>
      <c r="J92" s="58">
        <f t="shared" si="31"/>
        <v>0.51982218335519603</v>
      </c>
      <c r="K92" s="58">
        <f t="shared" si="31"/>
        <v>0.49509037463255989</v>
      </c>
      <c r="L92" s="58">
        <f t="shared" si="31"/>
        <v>0.53461201440950246</v>
      </c>
      <c r="M92" s="58">
        <f t="shared" si="31"/>
        <v>0.5443676080915143</v>
      </c>
      <c r="N92" s="58">
        <f t="shared" si="31"/>
        <v>0.57578299776286357</v>
      </c>
      <c r="O92" s="58">
        <f t="shared" si="31"/>
        <v>0.35971814445096889</v>
      </c>
    </row>
    <row r="93" spans="1:15" hidden="1" x14ac:dyDescent="0.35">
      <c r="A93" s="57">
        <f>'Distribution Dashboard'!A97</f>
        <v>0</v>
      </c>
      <c r="B93" s="57" t="str">
        <f>'Distribution Dashboard'!B97</f>
        <v>Amount Billed Water</v>
      </c>
      <c r="C93" s="57" t="str">
        <f>'Distribution Dashboard'!C97</f>
        <v>KES</v>
      </c>
      <c r="D93" s="59"/>
      <c r="E93" s="59"/>
      <c r="F93" s="59"/>
      <c r="G93" s="66"/>
      <c r="H93" s="59"/>
      <c r="I93"/>
      <c r="J93" s="59"/>
      <c r="K93" s="59"/>
      <c r="L93" s="59"/>
      <c r="M93" s="59"/>
      <c r="N93" s="59"/>
      <c r="O93" s="59"/>
    </row>
    <row r="94" spans="1:15" hidden="1" x14ac:dyDescent="0.35">
      <c r="A94" s="57">
        <f>'Distribution Dashboard'!A98</f>
        <v>0</v>
      </c>
      <c r="B94" s="57" t="str">
        <f>'Distribution Dashboard'!B98</f>
        <v>Amount Billed Sewer</v>
      </c>
      <c r="C94" s="57" t="str">
        <f>'Distribution Dashboard'!C98</f>
        <v>KES</v>
      </c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</row>
    <row r="95" spans="1:15" x14ac:dyDescent="0.35">
      <c r="A95" s="57">
        <f>'Distribution Dashboard'!A99</f>
        <v>0</v>
      </c>
      <c r="B95" s="57" t="str">
        <f>'Distribution Dashboard'!B99</f>
        <v>KINUNGI</v>
      </c>
      <c r="C95" s="57">
        <f>'Distribution Dashboard'!C99</f>
        <v>0</v>
      </c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</row>
    <row r="96" spans="1:15" x14ac:dyDescent="0.35">
      <c r="A96" s="57" t="str">
        <f>'Distribution Dashboard'!A100</f>
        <v>Y</v>
      </c>
      <c r="B96" s="57" t="str">
        <f>'Distribution Dashboard'!B100</f>
        <v>Volume Water Supplied-kinungi</v>
      </c>
      <c r="C96" s="57" t="str">
        <f>'Distribution Dashboard'!C100</f>
        <v>m3</v>
      </c>
      <c r="D96" s="59">
        <v>331</v>
      </c>
      <c r="E96" s="59">
        <v>160</v>
      </c>
      <c r="F96" s="59">
        <v>108</v>
      </c>
      <c r="G96" s="59">
        <v>137</v>
      </c>
      <c r="H96" s="59">
        <v>290</v>
      </c>
      <c r="I96" s="59"/>
      <c r="J96" s="59"/>
      <c r="K96" s="59">
        <v>235</v>
      </c>
      <c r="L96" s="59"/>
      <c r="M96" s="59"/>
      <c r="N96" s="59"/>
      <c r="O96" s="59"/>
    </row>
    <row r="97" spans="1:15" x14ac:dyDescent="0.35">
      <c r="A97" s="57" t="str">
        <f>'Distribution Dashboard'!A101</f>
        <v>z</v>
      </c>
      <c r="B97" s="57" t="str">
        <f>'Distribution Dashboard'!B101</f>
        <v>Volume Water Sold-kinungi</v>
      </c>
      <c r="C97" s="57" t="str">
        <f>'Distribution Dashboard'!C101</f>
        <v>m3</v>
      </c>
      <c r="D97" s="59">
        <v>54</v>
      </c>
      <c r="E97" s="59">
        <v>160</v>
      </c>
      <c r="F97" s="59">
        <v>87</v>
      </c>
      <c r="G97" s="59">
        <v>147</v>
      </c>
      <c r="H97" s="59">
        <v>0</v>
      </c>
      <c r="I97" s="59">
        <v>373</v>
      </c>
      <c r="J97" s="59"/>
      <c r="K97" s="59"/>
      <c r="L97" s="59"/>
      <c r="M97" s="59"/>
      <c r="N97" s="59"/>
      <c r="O97" s="59"/>
    </row>
    <row r="98" spans="1:15" x14ac:dyDescent="0.35">
      <c r="A98" s="57" t="str">
        <f>'Distribution Dashboard'!A102</f>
        <v>K</v>
      </c>
      <c r="B98" s="57" t="str">
        <f>'Distribution Dashboard'!B102</f>
        <v>NRW</v>
      </c>
      <c r="C98" s="57" t="str">
        <f>'Distribution Dashboard'!C102</f>
        <v>%</v>
      </c>
      <c r="D98" s="58">
        <f>(D96-D97)/D96</f>
        <v>0.8368580060422961</v>
      </c>
      <c r="E98" s="58">
        <f t="shared" ref="E98:O98" si="32">(E96-E97)/E96</f>
        <v>0</v>
      </c>
      <c r="F98" s="58">
        <f t="shared" si="32"/>
        <v>0.19444444444444445</v>
      </c>
      <c r="G98" s="58">
        <f t="shared" si="32"/>
        <v>-7.2992700729927001E-2</v>
      </c>
      <c r="H98" s="58">
        <f t="shared" si="32"/>
        <v>1</v>
      </c>
      <c r="I98" s="58" t="e">
        <f t="shared" si="32"/>
        <v>#DIV/0!</v>
      </c>
      <c r="J98" s="58" t="e">
        <f t="shared" si="32"/>
        <v>#DIV/0!</v>
      </c>
      <c r="K98" s="58">
        <f t="shared" si="32"/>
        <v>1</v>
      </c>
      <c r="L98" s="58" t="e">
        <f t="shared" si="32"/>
        <v>#DIV/0!</v>
      </c>
      <c r="M98" s="58" t="e">
        <f t="shared" si="32"/>
        <v>#DIV/0!</v>
      </c>
      <c r="N98" s="58" t="e">
        <f t="shared" si="32"/>
        <v>#DIV/0!</v>
      </c>
      <c r="O98" s="58" t="e">
        <f t="shared" si="32"/>
        <v>#DIV/0!</v>
      </c>
    </row>
    <row r="99" spans="1:15" x14ac:dyDescent="0.35">
      <c r="A99" s="57">
        <f>'Distribution Dashboard'!A103</f>
        <v>0</v>
      </c>
      <c r="B99" s="57" t="str">
        <f>'Distribution Dashboard'!B103</f>
        <v>GONDI</v>
      </c>
      <c r="C99" s="57">
        <f>'Distribution Dashboard'!C103</f>
        <v>0</v>
      </c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</row>
    <row r="100" spans="1:15" x14ac:dyDescent="0.35">
      <c r="A100" s="57" t="str">
        <f>'Distribution Dashboard'!A104</f>
        <v>Y (2)</v>
      </c>
      <c r="B100" s="57" t="str">
        <f>'Distribution Dashboard'!B104</f>
        <v>Volume Water Supplied-Gondi</v>
      </c>
      <c r="C100" s="57" t="str">
        <f>'Distribution Dashboard'!C104</f>
        <v>m3</v>
      </c>
      <c r="D100" s="59">
        <v>119</v>
      </c>
      <c r="E100" s="59">
        <v>105</v>
      </c>
      <c r="F100" s="59">
        <v>67</v>
      </c>
      <c r="G100" s="59">
        <v>30</v>
      </c>
      <c r="H100" s="59">
        <v>551</v>
      </c>
      <c r="I100" s="59"/>
      <c r="J100" s="59"/>
      <c r="K100" s="59"/>
      <c r="L100" s="59"/>
      <c r="M100" s="59"/>
      <c r="N100" s="59"/>
      <c r="O100" s="59"/>
    </row>
    <row r="101" spans="1:15" x14ac:dyDescent="0.35">
      <c r="A101" s="57" t="str">
        <f>'Distribution Dashboard'!A105</f>
        <v>z (2)</v>
      </c>
      <c r="B101" s="57" t="str">
        <f>'Distribution Dashboard'!B105</f>
        <v>Volume Water Sold-Gondi</v>
      </c>
      <c r="C101" s="57" t="str">
        <f>'Distribution Dashboard'!C105</f>
        <v>m3</v>
      </c>
      <c r="D101" s="59">
        <v>90</v>
      </c>
      <c r="E101" s="59">
        <v>105</v>
      </c>
      <c r="F101" s="59">
        <v>67</v>
      </c>
      <c r="G101" s="59">
        <v>170</v>
      </c>
      <c r="H101" s="59">
        <v>453</v>
      </c>
      <c r="I101" s="59">
        <v>255</v>
      </c>
      <c r="J101" s="59"/>
      <c r="K101" s="59"/>
      <c r="L101" s="59"/>
      <c r="M101" s="59"/>
      <c r="N101" s="59"/>
      <c r="O101" s="59"/>
    </row>
    <row r="102" spans="1:15" x14ac:dyDescent="0.35">
      <c r="A102" s="57" t="str">
        <f>'Distribution Dashboard'!A106</f>
        <v>K (2)</v>
      </c>
      <c r="B102" s="57" t="str">
        <f>'Distribution Dashboard'!B106</f>
        <v>NRW</v>
      </c>
      <c r="C102" s="57" t="str">
        <f>'Distribution Dashboard'!C106</f>
        <v>%</v>
      </c>
      <c r="D102" s="58">
        <f>(D100-D101)/D100</f>
        <v>0.24369747899159663</v>
      </c>
      <c r="E102" s="58">
        <f t="shared" ref="E102:O102" si="33">(E100-E101)/E100</f>
        <v>0</v>
      </c>
      <c r="F102" s="58">
        <f t="shared" si="33"/>
        <v>0</v>
      </c>
      <c r="G102" s="58">
        <f t="shared" si="33"/>
        <v>-4.666666666666667</v>
      </c>
      <c r="H102" s="58">
        <f t="shared" si="33"/>
        <v>0.17785843920145192</v>
      </c>
      <c r="I102" s="58" t="e">
        <f t="shared" si="33"/>
        <v>#DIV/0!</v>
      </c>
      <c r="J102" s="58" t="e">
        <f t="shared" si="33"/>
        <v>#DIV/0!</v>
      </c>
      <c r="K102" s="58" t="e">
        <f t="shared" si="33"/>
        <v>#DIV/0!</v>
      </c>
      <c r="L102" s="58" t="e">
        <f t="shared" si="33"/>
        <v>#DIV/0!</v>
      </c>
      <c r="M102" s="58" t="e">
        <f t="shared" si="33"/>
        <v>#DIV/0!</v>
      </c>
      <c r="N102" s="58" t="e">
        <f t="shared" si="33"/>
        <v>#DIV/0!</v>
      </c>
      <c r="O102" s="58" t="e">
        <f t="shared" si="33"/>
        <v>#DIV/0!</v>
      </c>
    </row>
    <row r="103" spans="1:15" x14ac:dyDescent="0.35">
      <c r="A103" s="57">
        <f>'Distribution Dashboard'!A107</f>
        <v>0</v>
      </c>
      <c r="B103" s="57" t="str">
        <f>'Distribution Dashboard'!B107</f>
        <v>NYONJORO</v>
      </c>
      <c r="C103" s="57">
        <f>'Distribution Dashboard'!C107</f>
        <v>0</v>
      </c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</row>
    <row r="104" spans="1:15" x14ac:dyDescent="0.35">
      <c r="A104" s="57" t="str">
        <f>'Distribution Dashboard'!A108</f>
        <v>Y (3)</v>
      </c>
      <c r="B104" s="57" t="str">
        <f>'Distribution Dashboard'!B108</f>
        <v>Volume Water Supplied-NJONJORO</v>
      </c>
      <c r="C104" s="57" t="str">
        <f>'Distribution Dashboard'!C108</f>
        <v>m3</v>
      </c>
      <c r="D104" s="59">
        <v>136</v>
      </c>
      <c r="E104" s="59">
        <v>149</v>
      </c>
      <c r="F104" s="59">
        <v>70</v>
      </c>
      <c r="G104" s="59">
        <v>107</v>
      </c>
      <c r="H104" s="59">
        <v>250</v>
      </c>
      <c r="I104" s="59"/>
      <c r="J104" s="59"/>
      <c r="K104" s="59">
        <v>292</v>
      </c>
      <c r="L104" s="59"/>
      <c r="M104" s="59"/>
      <c r="N104" s="59"/>
      <c r="O104" s="59"/>
    </row>
    <row r="105" spans="1:15" x14ac:dyDescent="0.35">
      <c r="A105" s="57" t="str">
        <f>'Distribution Dashboard'!A109</f>
        <v>z (3)</v>
      </c>
      <c r="B105" s="57" t="str">
        <f>'Distribution Dashboard'!B109</f>
        <v>Volume Water Sold-NYONJORO</v>
      </c>
      <c r="C105" s="57" t="str">
        <f>'Distribution Dashboard'!C109</f>
        <v>m3</v>
      </c>
      <c r="D105" s="59">
        <v>78</v>
      </c>
      <c r="E105" s="59">
        <v>149</v>
      </c>
      <c r="F105" s="59">
        <v>70</v>
      </c>
      <c r="G105" s="59">
        <v>90</v>
      </c>
      <c r="H105" s="59">
        <v>0</v>
      </c>
      <c r="I105" s="59">
        <v>168</v>
      </c>
      <c r="J105" s="59"/>
      <c r="K105" s="59"/>
      <c r="L105" s="59"/>
      <c r="M105" s="59"/>
      <c r="N105" s="59"/>
      <c r="O105" s="59"/>
    </row>
    <row r="106" spans="1:15" x14ac:dyDescent="0.35">
      <c r="A106" s="57" t="str">
        <f>'Distribution Dashboard'!A110</f>
        <v>K (3)</v>
      </c>
      <c r="B106" s="57" t="str">
        <f>'Distribution Dashboard'!B110</f>
        <v>NRW</v>
      </c>
      <c r="C106" s="57" t="str">
        <f>'Distribution Dashboard'!C110</f>
        <v>%</v>
      </c>
      <c r="D106" s="58">
        <f>(D104-D105)/D104</f>
        <v>0.4264705882352941</v>
      </c>
      <c r="E106" s="58">
        <f t="shared" ref="E106:O106" si="34">(E104-E105)/E104</f>
        <v>0</v>
      </c>
      <c r="F106" s="58">
        <f t="shared" si="34"/>
        <v>0</v>
      </c>
      <c r="G106" s="58">
        <f t="shared" si="34"/>
        <v>0.15887850467289719</v>
      </c>
      <c r="H106" s="58">
        <f t="shared" si="34"/>
        <v>1</v>
      </c>
      <c r="I106" s="58" t="e">
        <f t="shared" si="34"/>
        <v>#DIV/0!</v>
      </c>
      <c r="J106" s="58" t="e">
        <f t="shared" si="34"/>
        <v>#DIV/0!</v>
      </c>
      <c r="K106" s="58">
        <f t="shared" si="34"/>
        <v>1</v>
      </c>
      <c r="L106" s="58" t="e">
        <f t="shared" si="34"/>
        <v>#DIV/0!</v>
      </c>
      <c r="M106" s="58" t="e">
        <f t="shared" si="34"/>
        <v>#DIV/0!</v>
      </c>
      <c r="N106" s="58" t="e">
        <f t="shared" si="34"/>
        <v>#DIV/0!</v>
      </c>
      <c r="O106" s="58" t="e">
        <f t="shared" si="34"/>
        <v>#DIV/0!</v>
      </c>
    </row>
    <row r="107" spans="1:15" x14ac:dyDescent="0.35">
      <c r="A107" s="57">
        <f>'Distribution Dashboard'!A127</f>
        <v>0</v>
      </c>
      <c r="B107" s="57" t="str">
        <f>'Distribution Dashboard'!B115</f>
        <v>IHINDU</v>
      </c>
      <c r="C107" s="57">
        <f>'Distribution Dashboard'!C115</f>
        <v>0</v>
      </c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</row>
    <row r="108" spans="1:15" x14ac:dyDescent="0.35">
      <c r="A108" s="57">
        <f>'Distribution Dashboard'!A128</f>
        <v>0</v>
      </c>
      <c r="B108" s="57">
        <f>'Distribution Dashboard'!B128</f>
        <v>0</v>
      </c>
      <c r="C108" s="57">
        <f>'Distribution Dashboard'!C128</f>
        <v>0</v>
      </c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</row>
    <row r="109" spans="1:15" x14ac:dyDescent="0.35">
      <c r="A109" s="57">
        <f>'Distribution Dashboard'!A129</f>
        <v>0</v>
      </c>
      <c r="B109" s="57">
        <f>'Distribution Dashboard'!B129</f>
        <v>0</v>
      </c>
      <c r="C109" s="57">
        <f>'Distribution Dashboard'!C129</f>
        <v>0</v>
      </c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</row>
    <row r="110" spans="1:15" x14ac:dyDescent="0.35">
      <c r="A110" s="57">
        <f>'Distribution Dashboard'!A130</f>
        <v>0</v>
      </c>
      <c r="B110" s="57">
        <f>'Distribution Dashboard'!B130</f>
        <v>0</v>
      </c>
      <c r="C110" s="57">
        <f>'Distribution Dashboard'!C130</f>
        <v>0</v>
      </c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</row>
    <row r="111" spans="1:15" x14ac:dyDescent="0.35">
      <c r="A111" s="57">
        <f>'Distribution Dashboard'!A131</f>
        <v>0</v>
      </c>
      <c r="B111" s="57">
        <f>'Distribution Dashboard'!B131</f>
        <v>0</v>
      </c>
      <c r="C111" s="57">
        <f>'Distribution Dashboard'!C131</f>
        <v>0</v>
      </c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</row>
    <row r="112" spans="1:15" x14ac:dyDescent="0.35">
      <c r="A112" s="57">
        <f>'Distribution Dashboard'!A132</f>
        <v>0</v>
      </c>
      <c r="B112" s="57">
        <f>'Distribution Dashboard'!B132</f>
        <v>0</v>
      </c>
      <c r="C112" s="57">
        <f>'Distribution Dashboard'!C132</f>
        <v>0</v>
      </c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</row>
    <row r="113" spans="1:15" x14ac:dyDescent="0.35">
      <c r="A113" s="57">
        <f>'Distribution Dashboard'!A133</f>
        <v>0</v>
      </c>
      <c r="B113" s="57">
        <f>'Distribution Dashboard'!B133</f>
        <v>0</v>
      </c>
      <c r="C113" s="57">
        <f>'Distribution Dashboard'!C133</f>
        <v>0</v>
      </c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</row>
    <row r="114" spans="1:15" x14ac:dyDescent="0.35">
      <c r="A114" s="57">
        <f>'Distribution Dashboard'!A134</f>
        <v>0</v>
      </c>
      <c r="B114" s="57">
        <f>'Distribution Dashboard'!B134</f>
        <v>0</v>
      </c>
      <c r="C114" s="57">
        <f>'Distribution Dashboard'!C134</f>
        <v>0</v>
      </c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</row>
    <row r="115" spans="1:15" x14ac:dyDescent="0.35">
      <c r="A115" s="57">
        <f>'Distribution Dashboard'!A135</f>
        <v>0</v>
      </c>
      <c r="B115" s="57">
        <f>'Distribution Dashboard'!B135</f>
        <v>0</v>
      </c>
      <c r="C115" s="57">
        <f>'Distribution Dashboard'!C135</f>
        <v>0</v>
      </c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</row>
    <row r="116" spans="1:15" x14ac:dyDescent="0.35">
      <c r="A116" s="57">
        <f>'Distribution Dashboard'!A136</f>
        <v>0</v>
      </c>
      <c r="B116" s="57">
        <f>'Distribution Dashboard'!B136</f>
        <v>0</v>
      </c>
      <c r="C116" s="57">
        <f>'Distribution Dashboard'!C136</f>
        <v>0</v>
      </c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</row>
    <row r="117" spans="1:15" x14ac:dyDescent="0.35">
      <c r="A117" s="57">
        <f>'Distribution Dashboard'!A137</f>
        <v>0</v>
      </c>
      <c r="B117" s="57">
        <f>'Distribution Dashboard'!B137</f>
        <v>0</v>
      </c>
      <c r="C117" s="57">
        <f>'Distribution Dashboard'!C137</f>
        <v>0</v>
      </c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</row>
    <row r="118" spans="1:15" x14ac:dyDescent="0.35">
      <c r="A118" s="57">
        <f>'Distribution Dashboard'!A138</f>
        <v>0</v>
      </c>
      <c r="B118" s="57">
        <f>'Distribution Dashboard'!B138</f>
        <v>0</v>
      </c>
      <c r="C118" s="57">
        <f>'Distribution Dashboard'!C138</f>
        <v>0</v>
      </c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</row>
    <row r="119" spans="1:15" x14ac:dyDescent="0.35">
      <c r="A119" s="57">
        <f>'Distribution Dashboard'!A139</f>
        <v>0</v>
      </c>
      <c r="B119" s="57">
        <f>'Distribution Dashboard'!B139</f>
        <v>0</v>
      </c>
      <c r="C119" s="57">
        <f>'Distribution Dashboard'!C139</f>
        <v>0</v>
      </c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</row>
    <row r="120" spans="1:15" x14ac:dyDescent="0.35">
      <c r="A120" s="57">
        <f>'Distribution Dashboard'!A140</f>
        <v>0</v>
      </c>
      <c r="B120" s="57">
        <f>'Distribution Dashboard'!B140</f>
        <v>0</v>
      </c>
      <c r="C120" s="57">
        <f>'Distribution Dashboard'!C140</f>
        <v>0</v>
      </c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</row>
    <row r="121" spans="1:15" x14ac:dyDescent="0.35">
      <c r="A121" s="57">
        <f>'Distribution Dashboard'!A141</f>
        <v>0</v>
      </c>
      <c r="B121" s="57">
        <f>'Distribution Dashboard'!B141</f>
        <v>0</v>
      </c>
      <c r="C121" s="57">
        <f>'Distribution Dashboard'!C141</f>
        <v>0</v>
      </c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</row>
    <row r="122" spans="1:15" x14ac:dyDescent="0.35">
      <c r="A122" s="57">
        <f>'Distribution Dashboard'!A142</f>
        <v>0</v>
      </c>
      <c r="B122" s="57">
        <f>'Distribution Dashboard'!B142</f>
        <v>0</v>
      </c>
      <c r="C122" s="57">
        <f>'Distribution Dashboard'!C142</f>
        <v>0</v>
      </c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</row>
    <row r="123" spans="1:15" x14ac:dyDescent="0.35">
      <c r="A123" s="57">
        <f>'Distribution Dashboard'!A143</f>
        <v>0</v>
      </c>
      <c r="B123" s="57">
        <f>'Distribution Dashboard'!B143</f>
        <v>0</v>
      </c>
      <c r="C123" s="57">
        <f>'Distribution Dashboard'!C143</f>
        <v>0</v>
      </c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</row>
    <row r="124" spans="1:15" x14ac:dyDescent="0.35">
      <c r="A124" s="57">
        <f>'Distribution Dashboard'!A144</f>
        <v>0</v>
      </c>
      <c r="B124" s="57">
        <f>'Distribution Dashboard'!B144</f>
        <v>0</v>
      </c>
      <c r="C124" s="57">
        <f>'Distribution Dashboard'!C144</f>
        <v>0</v>
      </c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</row>
    <row r="125" spans="1:15" x14ac:dyDescent="0.35">
      <c r="A125" s="57">
        <f>'Distribution Dashboard'!A145</f>
        <v>0</v>
      </c>
      <c r="B125" s="57">
        <f>'Distribution Dashboard'!B145</f>
        <v>0</v>
      </c>
      <c r="C125" s="57">
        <f>'Distribution Dashboard'!C145</f>
        <v>0</v>
      </c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</row>
    <row r="126" spans="1:15" x14ac:dyDescent="0.35">
      <c r="A126" s="57">
        <f>'Distribution Dashboard'!A146</f>
        <v>0</v>
      </c>
      <c r="B126" s="57">
        <f>'Distribution Dashboard'!B146</f>
        <v>0</v>
      </c>
      <c r="C126" s="57">
        <f>'Distribution Dashboard'!C146</f>
        <v>0</v>
      </c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</row>
    <row r="127" spans="1:15" x14ac:dyDescent="0.35">
      <c r="A127" s="57">
        <f>'Distribution Dashboard'!A147</f>
        <v>0</v>
      </c>
      <c r="B127" s="57">
        <f>'Distribution Dashboard'!B147</f>
        <v>0</v>
      </c>
      <c r="C127" s="57">
        <f>'Distribution Dashboard'!C147</f>
        <v>0</v>
      </c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</row>
    <row r="128" spans="1:15" x14ac:dyDescent="0.35">
      <c r="A128" s="57">
        <f>'Distribution Dashboard'!A148</f>
        <v>0</v>
      </c>
      <c r="B128" s="57">
        <f>'Distribution Dashboard'!B148</f>
        <v>0</v>
      </c>
      <c r="C128" s="57">
        <f>'Distribution Dashboard'!C148</f>
        <v>0</v>
      </c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</row>
    <row r="129" spans="1:15" x14ac:dyDescent="0.35">
      <c r="A129" s="57">
        <f>'Distribution Dashboard'!A149</f>
        <v>0</v>
      </c>
      <c r="B129" s="57">
        <f>'Distribution Dashboard'!B149</f>
        <v>0</v>
      </c>
      <c r="C129" s="57">
        <f>'Distribution Dashboard'!C149</f>
        <v>0</v>
      </c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</row>
    <row r="130" spans="1:15" x14ac:dyDescent="0.35">
      <c r="A130" s="57">
        <f>'Distribution Dashboard'!A150</f>
        <v>0</v>
      </c>
      <c r="B130" s="57">
        <f>'Distribution Dashboard'!B150</f>
        <v>0</v>
      </c>
      <c r="C130" s="57">
        <f>'Distribution Dashboard'!C150</f>
        <v>0</v>
      </c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</row>
    <row r="131" spans="1:15" x14ac:dyDescent="0.35">
      <c r="A131" s="57">
        <f>'Distribution Dashboard'!A151</f>
        <v>0</v>
      </c>
      <c r="B131" s="57">
        <f>'Distribution Dashboard'!B151</f>
        <v>0</v>
      </c>
      <c r="C131" s="57">
        <f>'Distribution Dashboard'!C151</f>
        <v>0</v>
      </c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</row>
    <row r="132" spans="1:15" x14ac:dyDescent="0.35">
      <c r="A132" s="57">
        <f>'Distribution Dashboard'!A152</f>
        <v>0</v>
      </c>
      <c r="B132" s="57">
        <f>'Distribution Dashboard'!B152</f>
        <v>0</v>
      </c>
      <c r="C132" s="57">
        <f>'Distribution Dashboard'!C152</f>
        <v>0</v>
      </c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</row>
    <row r="133" spans="1:15" x14ac:dyDescent="0.35">
      <c r="A133" s="57">
        <f>'Distribution Dashboard'!A153</f>
        <v>0</v>
      </c>
      <c r="B133" s="57">
        <f>'Distribution Dashboard'!B153</f>
        <v>0</v>
      </c>
      <c r="C133" s="57">
        <f>'Distribution Dashboard'!C153</f>
        <v>0</v>
      </c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</row>
    <row r="134" spans="1:15" x14ac:dyDescent="0.35">
      <c r="A134" s="57">
        <f>'Distribution Dashboard'!A154</f>
        <v>0</v>
      </c>
      <c r="B134" s="57">
        <f>'Distribution Dashboard'!B154</f>
        <v>0</v>
      </c>
      <c r="C134" s="57">
        <f>'Distribution Dashboard'!C154</f>
        <v>0</v>
      </c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</row>
    <row r="135" spans="1:15" x14ac:dyDescent="0.35">
      <c r="A135" s="57">
        <f>'Distribution Dashboard'!A155</f>
        <v>0</v>
      </c>
      <c r="B135" s="57">
        <f>'Distribution Dashboard'!B155</f>
        <v>0</v>
      </c>
      <c r="C135" s="57">
        <f>'Distribution Dashboard'!C155</f>
        <v>0</v>
      </c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</row>
    <row r="136" spans="1:15" x14ac:dyDescent="0.35">
      <c r="A136" s="57">
        <f>'Distribution Dashboard'!A156</f>
        <v>0</v>
      </c>
      <c r="B136" s="57">
        <f>'Distribution Dashboard'!B156</f>
        <v>0</v>
      </c>
      <c r="C136" s="57">
        <f>'Distribution Dashboard'!C156</f>
        <v>0</v>
      </c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</row>
    <row r="137" spans="1:15" x14ac:dyDescent="0.35">
      <c r="A137" s="57">
        <f>'Distribution Dashboard'!A157</f>
        <v>0</v>
      </c>
      <c r="B137" s="57">
        <f>'Distribution Dashboard'!B157</f>
        <v>0</v>
      </c>
      <c r="C137" s="57">
        <f>'Distribution Dashboard'!C157</f>
        <v>0</v>
      </c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</row>
    <row r="138" spans="1:15" x14ac:dyDescent="0.35">
      <c r="A138" s="57">
        <f>'Distribution Dashboard'!A158</f>
        <v>0</v>
      </c>
      <c r="B138" s="57">
        <f>'Distribution Dashboard'!B158</f>
        <v>0</v>
      </c>
      <c r="C138" s="57">
        <f>'Distribution Dashboard'!C158</f>
        <v>0</v>
      </c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</row>
    <row r="139" spans="1:15" x14ac:dyDescent="0.35">
      <c r="A139" s="57">
        <f>'Distribution Dashboard'!A159</f>
        <v>0</v>
      </c>
      <c r="B139" s="57">
        <f>'Distribution Dashboard'!B159</f>
        <v>0</v>
      </c>
      <c r="C139" s="57">
        <f>'Distribution Dashboard'!C159</f>
        <v>0</v>
      </c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</row>
    <row r="140" spans="1:15" x14ac:dyDescent="0.35">
      <c r="A140" s="57">
        <f>'Distribution Dashboard'!A160</f>
        <v>0</v>
      </c>
      <c r="B140" s="57">
        <f>'Distribution Dashboard'!B160</f>
        <v>0</v>
      </c>
      <c r="C140" s="57">
        <f>'Distribution Dashboard'!C160</f>
        <v>0</v>
      </c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</row>
    <row r="141" spans="1:15" x14ac:dyDescent="0.35">
      <c r="A141" s="57">
        <f>'Distribution Dashboard'!A161</f>
        <v>0</v>
      </c>
      <c r="B141" s="57">
        <f>'Distribution Dashboard'!B161</f>
        <v>0</v>
      </c>
      <c r="C141" s="57">
        <f>'Distribution Dashboard'!C161</f>
        <v>0</v>
      </c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</row>
    <row r="142" spans="1:15" x14ac:dyDescent="0.35">
      <c r="A142" s="57">
        <f>'Distribution Dashboard'!A162</f>
        <v>0</v>
      </c>
      <c r="B142" s="57">
        <f>'Distribution Dashboard'!B162</f>
        <v>0</v>
      </c>
      <c r="C142" s="57">
        <f>'Distribution Dashboard'!C162</f>
        <v>0</v>
      </c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</row>
    <row r="143" spans="1:15" x14ac:dyDescent="0.35">
      <c r="A143" s="57">
        <f>'Distribution Dashboard'!A163</f>
        <v>0</v>
      </c>
      <c r="B143" s="57">
        <f>'Distribution Dashboard'!B163</f>
        <v>0</v>
      </c>
      <c r="C143" s="57">
        <f>'Distribution Dashboard'!C163</f>
        <v>0</v>
      </c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</row>
    <row r="144" spans="1:15" x14ac:dyDescent="0.35">
      <c r="A144" s="57">
        <f>'Distribution Dashboard'!A164</f>
        <v>0</v>
      </c>
      <c r="B144" s="57">
        <f>'Distribution Dashboard'!B164</f>
        <v>0</v>
      </c>
      <c r="C144" s="57">
        <f>'Distribution Dashboard'!C164</f>
        <v>0</v>
      </c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</row>
    <row r="145" spans="1:15" x14ac:dyDescent="0.35">
      <c r="A145" s="57">
        <f>'Distribution Dashboard'!A165</f>
        <v>0</v>
      </c>
      <c r="B145" s="57">
        <f>'Distribution Dashboard'!B165</f>
        <v>0</v>
      </c>
      <c r="C145" s="57">
        <f>'Distribution Dashboard'!C165</f>
        <v>0</v>
      </c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</row>
    <row r="146" spans="1:15" x14ac:dyDescent="0.35">
      <c r="A146" s="57">
        <f>'Distribution Dashboard'!A166</f>
        <v>0</v>
      </c>
      <c r="B146" s="57">
        <f>'Distribution Dashboard'!B166</f>
        <v>0</v>
      </c>
      <c r="C146" s="57">
        <f>'Distribution Dashboard'!C166</f>
        <v>0</v>
      </c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</row>
    <row r="147" spans="1:15" x14ac:dyDescent="0.35">
      <c r="A147" s="57">
        <f>'Distribution Dashboard'!A167</f>
        <v>0</v>
      </c>
      <c r="B147" s="57">
        <f>'Distribution Dashboard'!B167</f>
        <v>0</v>
      </c>
      <c r="C147" s="57">
        <f>'Distribution Dashboard'!C167</f>
        <v>0</v>
      </c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</row>
    <row r="148" spans="1:15" x14ac:dyDescent="0.35">
      <c r="A148" s="57">
        <f>'Distribution Dashboard'!A168</f>
        <v>0</v>
      </c>
      <c r="B148" s="57">
        <f>'Distribution Dashboard'!B168</f>
        <v>0</v>
      </c>
      <c r="C148" s="57">
        <f>'Distribution Dashboard'!C168</f>
        <v>0</v>
      </c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</row>
    <row r="149" spans="1:15" x14ac:dyDescent="0.35">
      <c r="A149" s="57">
        <f>'Distribution Dashboard'!A169</f>
        <v>0</v>
      </c>
      <c r="B149" s="57">
        <f>'Distribution Dashboard'!B169</f>
        <v>0</v>
      </c>
      <c r="C149" s="57">
        <f>'Distribution Dashboard'!C169</f>
        <v>0</v>
      </c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</row>
    <row r="150" spans="1:15" x14ac:dyDescent="0.35">
      <c r="A150" s="57">
        <f>'Distribution Dashboard'!A170</f>
        <v>0</v>
      </c>
      <c r="B150" s="57">
        <f>'Distribution Dashboard'!B170</f>
        <v>0</v>
      </c>
      <c r="C150" s="57">
        <f>'Distribution Dashboard'!C170</f>
        <v>0</v>
      </c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</row>
    <row r="151" spans="1:15" x14ac:dyDescent="0.35">
      <c r="A151" s="57">
        <f>'Distribution Dashboard'!A171</f>
        <v>0</v>
      </c>
      <c r="B151" s="57">
        <f>'Distribution Dashboard'!B171</f>
        <v>0</v>
      </c>
      <c r="C151" s="57">
        <f>'Distribution Dashboard'!C171</f>
        <v>0</v>
      </c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</row>
    <row r="152" spans="1:15" x14ac:dyDescent="0.35">
      <c r="A152" s="57">
        <f>'Distribution Dashboard'!A172</f>
        <v>0</v>
      </c>
      <c r="B152" s="57">
        <f>'Distribution Dashboard'!B172</f>
        <v>0</v>
      </c>
      <c r="C152" s="57">
        <f>'Distribution Dashboard'!C172</f>
        <v>0</v>
      </c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</row>
    <row r="153" spans="1:15" x14ac:dyDescent="0.35">
      <c r="A153" s="57">
        <f>'Distribution Dashboard'!A173</f>
        <v>0</v>
      </c>
      <c r="B153" s="57">
        <f>'Distribution Dashboard'!B173</f>
        <v>0</v>
      </c>
      <c r="C153" s="57">
        <f>'Distribution Dashboard'!C173</f>
        <v>0</v>
      </c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</row>
    <row r="154" spans="1:15" x14ac:dyDescent="0.35">
      <c r="A154" s="57">
        <f>'Distribution Dashboard'!A174</f>
        <v>0</v>
      </c>
      <c r="B154" s="57">
        <f>'Distribution Dashboard'!B174</f>
        <v>0</v>
      </c>
      <c r="C154" s="57">
        <f>'Distribution Dashboard'!C174</f>
        <v>0</v>
      </c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</row>
    <row r="155" spans="1:15" x14ac:dyDescent="0.35">
      <c r="A155" s="57">
        <f>'Distribution Dashboard'!A175</f>
        <v>0</v>
      </c>
      <c r="B155" s="57">
        <f>'Distribution Dashboard'!B175</f>
        <v>0</v>
      </c>
      <c r="C155" s="57">
        <f>'Distribution Dashboard'!C175</f>
        <v>0</v>
      </c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</row>
    <row r="156" spans="1:15" x14ac:dyDescent="0.35">
      <c r="A156" s="57">
        <f>'Distribution Dashboard'!A176</f>
        <v>0</v>
      </c>
      <c r="B156" s="57">
        <f>'Distribution Dashboard'!B176</f>
        <v>0</v>
      </c>
      <c r="C156" s="57">
        <f>'Distribution Dashboard'!C176</f>
        <v>0</v>
      </c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</row>
    <row r="157" spans="1:15" x14ac:dyDescent="0.35">
      <c r="A157" s="57">
        <f>'Distribution Dashboard'!A177</f>
        <v>0</v>
      </c>
      <c r="B157" s="57">
        <f>'Distribution Dashboard'!B177</f>
        <v>0</v>
      </c>
      <c r="C157" s="57">
        <f>'Distribution Dashboard'!C177</f>
        <v>0</v>
      </c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</row>
    <row r="158" spans="1:15" x14ac:dyDescent="0.35">
      <c r="A158" s="57">
        <f>'Distribution Dashboard'!A178</f>
        <v>0</v>
      </c>
      <c r="B158" s="57">
        <f>'Distribution Dashboard'!B178</f>
        <v>0</v>
      </c>
      <c r="C158" s="57">
        <f>'Distribution Dashboard'!C178</f>
        <v>0</v>
      </c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</row>
    <row r="159" spans="1:15" x14ac:dyDescent="0.35">
      <c r="A159" s="57">
        <f>'Distribution Dashboard'!A179</f>
        <v>0</v>
      </c>
      <c r="B159" s="57">
        <f>'Distribution Dashboard'!B179</f>
        <v>0</v>
      </c>
      <c r="C159" s="57">
        <f>'Distribution Dashboard'!C179</f>
        <v>0</v>
      </c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8"/>
  <sheetViews>
    <sheetView workbookViewId="0">
      <pane xSplit="3" ySplit="4" topLeftCell="G29" activePane="bottomRight" state="frozen"/>
      <selection activeCell="E101" sqref="E101"/>
      <selection pane="topRight" activeCell="E101" sqref="E101"/>
      <selection pane="bottomLeft" activeCell="E101" sqref="E101"/>
      <selection pane="bottomRight" activeCell="H52" sqref="H52"/>
    </sheetView>
  </sheetViews>
  <sheetFormatPr defaultColWidth="9.1796875" defaultRowHeight="14.5" x14ac:dyDescent="0.35"/>
  <cols>
    <col min="1" max="1" width="13.81640625" style="57" customWidth="1"/>
    <col min="2" max="2" width="31.26953125" style="57" customWidth="1"/>
    <col min="3" max="3" width="9.1796875" style="57" customWidth="1"/>
    <col min="4" max="4" width="14.26953125" style="60" customWidth="1"/>
    <col min="5" max="5" width="13.26953125" style="60" customWidth="1"/>
    <col min="6" max="6" width="14.81640625" style="60" customWidth="1"/>
    <col min="7" max="7" width="13.7265625" style="60" customWidth="1"/>
    <col min="8" max="8" width="14.26953125" style="60" bestFit="1" customWidth="1"/>
    <col min="9" max="9" width="14.26953125" style="60" customWidth="1"/>
    <col min="10" max="10" width="11.54296875" style="60" bestFit="1" customWidth="1"/>
    <col min="11" max="11" width="12.453125" style="60" customWidth="1"/>
    <col min="12" max="12" width="13" style="60" customWidth="1"/>
    <col min="13" max="13" width="15.26953125" style="60" customWidth="1"/>
    <col min="14" max="14" width="12.54296875" style="60" customWidth="1"/>
    <col min="15" max="15" width="13.26953125" style="60" customWidth="1"/>
    <col min="16" max="16384" width="9.1796875" style="57"/>
  </cols>
  <sheetData>
    <row r="1" spans="1:15" x14ac:dyDescent="0.35">
      <c r="A1" s="57" t="s">
        <v>80</v>
      </c>
      <c r="B1" s="57">
        <v>0</v>
      </c>
      <c r="C1" s="57">
        <v>0</v>
      </c>
    </row>
    <row r="2" spans="1:15" x14ac:dyDescent="0.35">
      <c r="A2" s="57">
        <v>0</v>
      </c>
      <c r="B2" s="57">
        <v>44713</v>
      </c>
      <c r="C2" s="57">
        <v>0</v>
      </c>
    </row>
    <row r="3" spans="1:15" x14ac:dyDescent="0.35">
      <c r="A3" s="57">
        <v>0</v>
      </c>
      <c r="B3" s="57">
        <v>0</v>
      </c>
      <c r="C3" s="57" t="s">
        <v>17</v>
      </c>
    </row>
    <row r="4" spans="1:15" x14ac:dyDescent="0.35">
      <c r="A4" s="57">
        <v>0</v>
      </c>
      <c r="C4" s="57" t="s">
        <v>14</v>
      </c>
      <c r="D4" s="60" t="s">
        <v>106</v>
      </c>
      <c r="E4" s="60" t="s">
        <v>107</v>
      </c>
      <c r="F4" s="60" t="s">
        <v>108</v>
      </c>
      <c r="G4" s="60" t="s">
        <v>109</v>
      </c>
      <c r="H4" s="60" t="s">
        <v>110</v>
      </c>
      <c r="I4" s="60" t="s">
        <v>111</v>
      </c>
      <c r="J4" s="60" t="s">
        <v>112</v>
      </c>
      <c r="K4" s="60" t="s">
        <v>113</v>
      </c>
      <c r="L4" s="60" t="s">
        <v>114</v>
      </c>
      <c r="M4" s="60" t="s">
        <v>115</v>
      </c>
      <c r="N4" s="60" t="s">
        <v>30</v>
      </c>
      <c r="O4" s="60" t="s">
        <v>116</v>
      </c>
    </row>
    <row r="5" spans="1:15" x14ac:dyDescent="0.35">
      <c r="A5" s="57">
        <v>0</v>
      </c>
      <c r="B5" s="57" t="s">
        <v>45</v>
      </c>
      <c r="C5" s="57">
        <v>0</v>
      </c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</row>
    <row r="6" spans="1:15" x14ac:dyDescent="0.35">
      <c r="A6" s="57">
        <v>0</v>
      </c>
      <c r="B6" s="57" t="s">
        <v>46</v>
      </c>
      <c r="C6" s="57" t="s">
        <v>15</v>
      </c>
      <c r="D6" s="59">
        <v>161811</v>
      </c>
      <c r="E6" s="59">
        <v>162132</v>
      </c>
      <c r="F6" s="59">
        <v>173274</v>
      </c>
      <c r="G6" s="59">
        <v>167697</v>
      </c>
      <c r="H6" s="59">
        <v>169182</v>
      </c>
      <c r="I6" s="59">
        <v>173312</v>
      </c>
      <c r="J6" s="59">
        <v>179560</v>
      </c>
      <c r="K6" s="59">
        <v>183597</v>
      </c>
      <c r="L6" s="59">
        <v>164840</v>
      </c>
      <c r="M6" s="59">
        <v>187589</v>
      </c>
      <c r="N6" s="59">
        <v>162736</v>
      </c>
      <c r="O6" s="59">
        <v>166867</v>
      </c>
    </row>
    <row r="7" spans="1:15" x14ac:dyDescent="0.35">
      <c r="A7" s="57">
        <v>0</v>
      </c>
      <c r="B7" s="57" t="s">
        <v>47</v>
      </c>
      <c r="C7" s="57" t="s">
        <v>15</v>
      </c>
      <c r="D7" s="59">
        <v>120266</v>
      </c>
      <c r="E7" s="59">
        <v>121428</v>
      </c>
      <c r="F7" s="59">
        <v>122614</v>
      </c>
      <c r="G7" s="59">
        <v>126272</v>
      </c>
      <c r="H7" s="59">
        <v>125501</v>
      </c>
      <c r="I7" s="59">
        <v>122751</v>
      </c>
      <c r="J7" s="59">
        <v>137132</v>
      </c>
      <c r="K7" s="59">
        <v>137861</v>
      </c>
      <c r="L7" s="59">
        <v>122697</v>
      </c>
      <c r="M7" s="59">
        <v>144656</v>
      </c>
      <c r="N7" s="59">
        <v>117988</v>
      </c>
      <c r="O7" s="59">
        <v>116824</v>
      </c>
    </row>
    <row r="8" spans="1:15" x14ac:dyDescent="0.35">
      <c r="A8" s="57">
        <v>0</v>
      </c>
      <c r="B8" s="57" t="s">
        <v>87</v>
      </c>
      <c r="C8" s="57" t="s">
        <v>1</v>
      </c>
      <c r="D8" s="58">
        <v>0.25675015913627625</v>
      </c>
      <c r="E8" s="58">
        <v>0.25105469617348825</v>
      </c>
      <c r="F8" s="58">
        <v>0.2923693110333922</v>
      </c>
      <c r="G8" s="58">
        <v>0.24702290440496849</v>
      </c>
      <c r="H8" s="58">
        <v>0.25818940549231006</v>
      </c>
      <c r="I8" s="58">
        <v>0.29173398264401773</v>
      </c>
      <c r="J8" s="58">
        <v>0.23628870572510582</v>
      </c>
      <c r="K8" s="58">
        <v>0.24911082425094092</v>
      </c>
      <c r="L8" s="58">
        <v>0.25566003397233683</v>
      </c>
      <c r="M8" s="58">
        <v>0.22886736429108318</v>
      </c>
      <c r="N8" s="58">
        <v>0.27497296234391899</v>
      </c>
      <c r="O8" s="58">
        <v>0.29989752317714108</v>
      </c>
    </row>
    <row r="9" spans="1:15" hidden="1" x14ac:dyDescent="0.35">
      <c r="A9" s="57">
        <v>0</v>
      </c>
      <c r="B9" s="57" t="s">
        <v>42</v>
      </c>
      <c r="C9" s="57" t="s">
        <v>43</v>
      </c>
      <c r="D9" s="60">
        <v>6417</v>
      </c>
      <c r="E9" s="60">
        <v>6512</v>
      </c>
      <c r="F9" s="60">
        <v>6581</v>
      </c>
      <c r="G9" s="60">
        <v>6678</v>
      </c>
      <c r="H9" s="60">
        <v>6810</v>
      </c>
      <c r="I9" s="60">
        <v>6908</v>
      </c>
      <c r="J9" s="60">
        <v>0</v>
      </c>
      <c r="K9" s="60">
        <v>0</v>
      </c>
      <c r="L9" s="60">
        <v>0</v>
      </c>
      <c r="M9" s="60">
        <v>0</v>
      </c>
      <c r="N9" s="60">
        <v>0</v>
      </c>
      <c r="O9" s="60">
        <v>0</v>
      </c>
    </row>
    <row r="10" spans="1:15" hidden="1" x14ac:dyDescent="0.35">
      <c r="A10" s="57">
        <v>0</v>
      </c>
      <c r="B10" s="57" t="s">
        <v>44</v>
      </c>
      <c r="C10" s="57" t="s">
        <v>43</v>
      </c>
      <c r="D10" s="60">
        <v>1503</v>
      </c>
      <c r="E10" s="60">
        <v>1514</v>
      </c>
      <c r="F10" s="60">
        <v>1512</v>
      </c>
      <c r="G10" s="60">
        <v>1525</v>
      </c>
      <c r="H10" s="60">
        <v>1533</v>
      </c>
      <c r="I10" s="60">
        <v>1536</v>
      </c>
      <c r="J10" s="60">
        <v>0</v>
      </c>
      <c r="K10" s="60">
        <v>0</v>
      </c>
      <c r="L10" s="60">
        <v>0</v>
      </c>
      <c r="M10" s="60">
        <v>0</v>
      </c>
      <c r="N10" s="60">
        <v>0</v>
      </c>
      <c r="O10" s="60">
        <v>0</v>
      </c>
    </row>
    <row r="11" spans="1:15" hidden="1" x14ac:dyDescent="0.35">
      <c r="A11" s="57">
        <v>0</v>
      </c>
      <c r="B11" s="57" t="s">
        <v>77</v>
      </c>
      <c r="C11" s="57" t="s">
        <v>43</v>
      </c>
      <c r="D11" s="59">
        <v>201</v>
      </c>
      <c r="E11" s="59">
        <v>197</v>
      </c>
      <c r="F11" s="59">
        <v>198</v>
      </c>
      <c r="G11" s="59">
        <v>200</v>
      </c>
      <c r="H11" s="59">
        <v>205</v>
      </c>
      <c r="I11" s="59">
        <v>203</v>
      </c>
      <c r="J11" s="59"/>
      <c r="K11" s="59"/>
      <c r="L11" s="59"/>
      <c r="M11" s="59"/>
      <c r="N11" s="59"/>
      <c r="O11" s="59"/>
    </row>
    <row r="12" spans="1:15" hidden="1" x14ac:dyDescent="0.35">
      <c r="A12" s="57">
        <v>0</v>
      </c>
      <c r="B12" s="57" t="s">
        <v>78</v>
      </c>
      <c r="C12" s="57" t="s">
        <v>43</v>
      </c>
      <c r="D12" s="59">
        <v>1340</v>
      </c>
      <c r="E12" s="59">
        <v>1355</v>
      </c>
      <c r="F12" s="59">
        <v>1450</v>
      </c>
      <c r="G12" s="59">
        <v>1667</v>
      </c>
      <c r="H12" s="59">
        <v>1723</v>
      </c>
      <c r="I12" s="59">
        <v>1859</v>
      </c>
      <c r="J12" s="59"/>
      <c r="K12" s="59"/>
      <c r="L12" s="59"/>
      <c r="M12" s="59"/>
      <c r="N12" s="59"/>
      <c r="O12" s="59"/>
    </row>
    <row r="13" spans="1:15" hidden="1" x14ac:dyDescent="0.35">
      <c r="A13" s="57">
        <v>0</v>
      </c>
      <c r="B13" s="57" t="s">
        <v>76</v>
      </c>
      <c r="C13" s="57" t="s">
        <v>43</v>
      </c>
      <c r="D13" s="65">
        <v>9461</v>
      </c>
      <c r="E13" s="65">
        <v>9578</v>
      </c>
      <c r="F13" s="65">
        <v>9741</v>
      </c>
      <c r="G13" s="65">
        <v>10070</v>
      </c>
      <c r="H13" s="65">
        <v>10271</v>
      </c>
      <c r="I13" s="65">
        <v>10506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r="O13" s="65">
        <v>0</v>
      </c>
    </row>
    <row r="14" spans="1:15" hidden="1" x14ac:dyDescent="0.35">
      <c r="A14" s="57">
        <v>0</v>
      </c>
      <c r="B14" s="57" t="s">
        <v>34</v>
      </c>
      <c r="C14" s="57" t="s">
        <v>35</v>
      </c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</row>
    <row r="15" spans="1:15" x14ac:dyDescent="0.35">
      <c r="A15" s="57" t="s">
        <v>99</v>
      </c>
      <c r="B15" s="57">
        <v>0</v>
      </c>
      <c r="C15" s="57">
        <v>0</v>
      </c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</row>
    <row r="16" spans="1:15" x14ac:dyDescent="0.35">
      <c r="A16" s="57">
        <v>0</v>
      </c>
      <c r="B16" s="57" t="s">
        <v>100</v>
      </c>
      <c r="C16" s="57">
        <v>0</v>
      </c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</row>
    <row r="17" spans="1:15" x14ac:dyDescent="0.35">
      <c r="A17" s="57">
        <v>0</v>
      </c>
      <c r="B17" s="57" t="s">
        <v>33</v>
      </c>
      <c r="C17" s="57" t="s">
        <v>15</v>
      </c>
      <c r="D17" s="59">
        <v>80561</v>
      </c>
      <c r="E17" s="59">
        <v>76366</v>
      </c>
      <c r="F17" s="59">
        <v>86486</v>
      </c>
      <c r="G17" s="59">
        <v>78872</v>
      </c>
      <c r="H17" s="59">
        <v>81663</v>
      </c>
      <c r="I17" s="59">
        <v>80014</v>
      </c>
      <c r="J17" s="59">
        <v>83536</v>
      </c>
      <c r="K17" s="59">
        <v>82356</v>
      </c>
      <c r="L17" s="59">
        <v>71189</v>
      </c>
      <c r="M17" s="59">
        <v>81107</v>
      </c>
      <c r="N17" s="59">
        <v>73794</v>
      </c>
      <c r="O17" s="59">
        <v>74401</v>
      </c>
    </row>
    <row r="18" spans="1:15" x14ac:dyDescent="0.35">
      <c r="A18" s="57">
        <v>0</v>
      </c>
      <c r="B18" s="57" t="s">
        <v>36</v>
      </c>
      <c r="C18" s="57" t="s">
        <v>15</v>
      </c>
      <c r="D18" s="59">
        <v>59740</v>
      </c>
      <c r="E18" s="59">
        <v>56625</v>
      </c>
      <c r="F18" s="59">
        <v>60469</v>
      </c>
      <c r="G18" s="59">
        <v>59919</v>
      </c>
      <c r="H18" s="59">
        <v>63505</v>
      </c>
      <c r="I18" s="59">
        <v>62002</v>
      </c>
      <c r="J18" s="59">
        <v>64491</v>
      </c>
      <c r="K18" s="59">
        <v>70882</v>
      </c>
      <c r="L18" s="59">
        <v>61332</v>
      </c>
      <c r="M18" s="59">
        <v>64084</v>
      </c>
      <c r="N18" s="59">
        <v>57552</v>
      </c>
      <c r="O18" s="59">
        <v>54519</v>
      </c>
    </row>
    <row r="19" spans="1:15" x14ac:dyDescent="0.35">
      <c r="A19" s="57">
        <v>0</v>
      </c>
      <c r="B19" s="57" t="s">
        <v>37</v>
      </c>
      <c r="C19" s="57" t="s">
        <v>15</v>
      </c>
      <c r="D19" s="59">
        <v>20821</v>
      </c>
      <c r="E19" s="59">
        <v>19741</v>
      </c>
      <c r="F19" s="59">
        <v>26017</v>
      </c>
      <c r="G19" s="59">
        <v>18953</v>
      </c>
      <c r="H19" s="59">
        <v>18158</v>
      </c>
      <c r="I19" s="59">
        <v>18012</v>
      </c>
      <c r="J19" s="59">
        <v>19045</v>
      </c>
      <c r="K19" s="59">
        <v>11474</v>
      </c>
      <c r="L19" s="59">
        <v>9857</v>
      </c>
      <c r="M19" s="59">
        <v>17023</v>
      </c>
      <c r="N19" s="59">
        <v>16242</v>
      </c>
      <c r="O19" s="59">
        <v>19882</v>
      </c>
    </row>
    <row r="20" spans="1:15" x14ac:dyDescent="0.35">
      <c r="A20" s="57">
        <v>0</v>
      </c>
      <c r="B20" s="57" t="s">
        <v>37</v>
      </c>
      <c r="C20" s="57" t="s">
        <v>1</v>
      </c>
      <c r="D20" s="58">
        <v>0.25845011854371219</v>
      </c>
      <c r="E20" s="58">
        <v>0.25850509388995102</v>
      </c>
      <c r="F20" s="58">
        <v>0.30082325463080728</v>
      </c>
      <c r="G20" s="58">
        <v>0.24030074044020691</v>
      </c>
      <c r="H20" s="58">
        <v>0.22235284033160674</v>
      </c>
      <c r="I20" s="58">
        <v>0.22511060564401231</v>
      </c>
      <c r="J20" s="58">
        <v>0.22798553916874162</v>
      </c>
      <c r="K20" s="58">
        <v>0.13932196804118704</v>
      </c>
      <c r="L20" s="58">
        <v>0.13846240289932432</v>
      </c>
      <c r="M20" s="58">
        <v>0.20988324065740319</v>
      </c>
      <c r="N20" s="58">
        <v>0.22009919505650866</v>
      </c>
      <c r="O20" s="58">
        <v>0.26722759102700233</v>
      </c>
    </row>
    <row r="21" spans="1:15" hidden="1" x14ac:dyDescent="0.35">
      <c r="A21" s="57">
        <v>0</v>
      </c>
      <c r="B21" s="57" t="s">
        <v>90</v>
      </c>
      <c r="C21" s="57" t="s">
        <v>35</v>
      </c>
      <c r="D21" s="59">
        <v>5302030</v>
      </c>
      <c r="E21" s="59">
        <v>4887807</v>
      </c>
      <c r="F21" s="59">
        <v>5455618.2999999998</v>
      </c>
      <c r="G21" s="59">
        <v>5416695</v>
      </c>
      <c r="H21" s="59">
        <v>5791785</v>
      </c>
      <c r="I21" s="59">
        <v>5819845</v>
      </c>
      <c r="J21" s="59">
        <v>0</v>
      </c>
      <c r="K21" s="59">
        <v>0</v>
      </c>
      <c r="L21" s="59">
        <v>0</v>
      </c>
      <c r="M21" s="59">
        <v>0</v>
      </c>
      <c r="N21" s="59">
        <v>0</v>
      </c>
      <c r="O21" s="59">
        <v>0</v>
      </c>
    </row>
    <row r="22" spans="1:15" hidden="1" x14ac:dyDescent="0.35">
      <c r="A22" s="57">
        <v>0</v>
      </c>
      <c r="B22" s="57" t="s">
        <v>104</v>
      </c>
      <c r="C22" s="57" t="s">
        <v>35</v>
      </c>
      <c r="D22" s="59">
        <v>3288087.8</v>
      </c>
      <c r="E22" s="59">
        <v>3201537.7</v>
      </c>
      <c r="F22" s="59">
        <v>3456698.3499999996</v>
      </c>
      <c r="G22" s="59">
        <v>3443299.15</v>
      </c>
      <c r="H22" s="59">
        <v>3601247.15</v>
      </c>
      <c r="I22" s="59">
        <v>3830623.6500000004</v>
      </c>
      <c r="J22" s="59">
        <v>0</v>
      </c>
      <c r="K22" s="59">
        <v>0</v>
      </c>
      <c r="L22" s="59">
        <v>0</v>
      </c>
      <c r="M22" s="59">
        <v>0</v>
      </c>
      <c r="N22" s="59">
        <v>0</v>
      </c>
      <c r="O22" s="59">
        <v>0</v>
      </c>
    </row>
    <row r="23" spans="1:15" hidden="1" x14ac:dyDescent="0.35">
      <c r="A23" s="57">
        <v>0</v>
      </c>
      <c r="B23" s="57" t="s">
        <v>42</v>
      </c>
      <c r="C23" s="57" t="s">
        <v>35</v>
      </c>
      <c r="D23" s="59">
        <v>2594</v>
      </c>
      <c r="E23" s="59">
        <v>2625</v>
      </c>
      <c r="F23" s="59">
        <v>2639</v>
      </c>
      <c r="G23" s="59">
        <v>2659</v>
      </c>
      <c r="H23" s="59">
        <v>2682</v>
      </c>
      <c r="I23" s="59">
        <v>2696</v>
      </c>
      <c r="J23" s="59"/>
      <c r="K23" s="59"/>
      <c r="L23" s="59"/>
      <c r="M23" s="59"/>
      <c r="N23" s="59"/>
      <c r="O23" s="59"/>
    </row>
    <row r="24" spans="1:15" hidden="1" x14ac:dyDescent="0.35">
      <c r="A24" s="57">
        <v>0</v>
      </c>
      <c r="B24" s="57" t="s">
        <v>44</v>
      </c>
      <c r="C24" s="57" t="s">
        <v>35</v>
      </c>
      <c r="D24" s="59">
        <v>1390</v>
      </c>
      <c r="E24" s="59">
        <v>1400</v>
      </c>
      <c r="F24" s="59">
        <v>1398</v>
      </c>
      <c r="G24" s="59">
        <v>1406</v>
      </c>
      <c r="H24" s="59">
        <v>1411</v>
      </c>
      <c r="I24" s="59">
        <v>1413</v>
      </c>
      <c r="J24" s="59"/>
      <c r="K24" s="59"/>
      <c r="L24" s="59"/>
      <c r="M24" s="59"/>
      <c r="N24" s="59"/>
      <c r="O24" s="59"/>
    </row>
    <row r="25" spans="1:15" x14ac:dyDescent="0.35">
      <c r="A25" s="57">
        <v>0</v>
      </c>
      <c r="B25" s="57" t="s">
        <v>105</v>
      </c>
      <c r="C25" s="57">
        <v>0</v>
      </c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</row>
    <row r="26" spans="1:15" x14ac:dyDescent="0.35">
      <c r="A26" s="57">
        <v>0</v>
      </c>
      <c r="B26" s="57" t="s">
        <v>33</v>
      </c>
      <c r="C26" s="57" t="s">
        <v>15</v>
      </c>
      <c r="D26" s="59">
        <v>81250</v>
      </c>
      <c r="E26" s="59">
        <v>85766</v>
      </c>
      <c r="F26" s="59">
        <v>86788</v>
      </c>
      <c r="G26" s="59">
        <v>88825</v>
      </c>
      <c r="H26" s="59">
        <v>87519</v>
      </c>
      <c r="I26" s="59">
        <v>93298</v>
      </c>
      <c r="J26" s="59">
        <v>96024</v>
      </c>
      <c r="K26" s="59">
        <v>101241</v>
      </c>
      <c r="L26" s="59">
        <v>93651</v>
      </c>
      <c r="M26" s="59">
        <v>106482</v>
      </c>
      <c r="N26" s="59">
        <v>88942</v>
      </c>
      <c r="O26" s="59">
        <v>92466</v>
      </c>
    </row>
    <row r="27" spans="1:15" x14ac:dyDescent="0.35">
      <c r="A27" s="57">
        <v>0</v>
      </c>
      <c r="B27" s="57" t="s">
        <v>36</v>
      </c>
      <c r="C27" s="57" t="s">
        <v>15</v>
      </c>
      <c r="D27" s="59">
        <v>60526</v>
      </c>
      <c r="E27" s="59">
        <v>64803</v>
      </c>
      <c r="F27" s="59">
        <v>62145</v>
      </c>
      <c r="G27" s="59">
        <v>66353</v>
      </c>
      <c r="H27" s="59">
        <v>61996</v>
      </c>
      <c r="I27" s="59">
        <v>60749</v>
      </c>
      <c r="J27" s="59">
        <v>72641</v>
      </c>
      <c r="K27" s="59">
        <v>66979</v>
      </c>
      <c r="L27" s="59">
        <v>61365</v>
      </c>
      <c r="M27" s="59">
        <v>80572</v>
      </c>
      <c r="N27" s="59">
        <v>60436</v>
      </c>
      <c r="O27" s="59">
        <v>62305</v>
      </c>
    </row>
    <row r="28" spans="1:15" x14ac:dyDescent="0.35">
      <c r="A28" s="57">
        <v>0</v>
      </c>
      <c r="B28" s="57" t="s">
        <v>37</v>
      </c>
      <c r="C28" s="57" t="s">
        <v>15</v>
      </c>
      <c r="D28" s="59">
        <v>20724</v>
      </c>
      <c r="E28" s="59">
        <v>20963</v>
      </c>
      <c r="F28" s="59">
        <v>24643</v>
      </c>
      <c r="G28" s="59">
        <v>22472</v>
      </c>
      <c r="H28" s="59">
        <v>25523</v>
      </c>
      <c r="I28" s="59">
        <v>32549</v>
      </c>
      <c r="J28" s="59">
        <v>23383</v>
      </c>
      <c r="K28" s="59">
        <v>34262</v>
      </c>
      <c r="L28" s="59">
        <v>32286</v>
      </c>
      <c r="M28" s="59">
        <v>25910</v>
      </c>
      <c r="N28" s="59">
        <v>28506</v>
      </c>
      <c r="O28" s="59">
        <v>30161</v>
      </c>
    </row>
    <row r="29" spans="1:15" x14ac:dyDescent="0.35">
      <c r="A29" s="57">
        <v>0</v>
      </c>
      <c r="B29" s="57" t="s">
        <v>37</v>
      </c>
      <c r="C29" s="57" t="s">
        <v>1</v>
      </c>
      <c r="D29" s="58">
        <v>0.25506461538461539</v>
      </c>
      <c r="E29" s="58">
        <v>0.2444208660774666</v>
      </c>
      <c r="F29" s="58">
        <v>0.28394478499331705</v>
      </c>
      <c r="G29" s="58">
        <v>0.25299183788347873</v>
      </c>
      <c r="H29" s="58">
        <v>0.29162810361178715</v>
      </c>
      <c r="I29" s="58">
        <v>0.34887135844283906</v>
      </c>
      <c r="J29" s="58">
        <v>0.24351203865700241</v>
      </c>
      <c r="K29" s="58">
        <v>0.33842020525281258</v>
      </c>
      <c r="L29" s="58">
        <v>0.34474805394496588</v>
      </c>
      <c r="M29" s="58">
        <v>0.24332751075299111</v>
      </c>
      <c r="N29" s="58">
        <v>0.32050100065211035</v>
      </c>
      <c r="O29" s="58">
        <v>0.32618475980360351</v>
      </c>
    </row>
    <row r="30" spans="1:15" hidden="1" x14ac:dyDescent="0.35">
      <c r="A30" s="57">
        <v>0</v>
      </c>
      <c r="B30" s="57" t="s">
        <v>90</v>
      </c>
      <c r="C30" s="57" t="s">
        <v>35</v>
      </c>
      <c r="D30" s="59">
        <v>4538930</v>
      </c>
      <c r="E30" s="59">
        <v>4741735</v>
      </c>
      <c r="F30" s="59">
        <v>4534960</v>
      </c>
      <c r="G30" s="59">
        <v>4906330</v>
      </c>
      <c r="H30" s="59">
        <v>4642570</v>
      </c>
      <c r="I30" s="59">
        <v>4437925</v>
      </c>
      <c r="J30" s="59">
        <v>0</v>
      </c>
      <c r="K30" s="59">
        <v>0</v>
      </c>
      <c r="L30" s="59">
        <v>0</v>
      </c>
      <c r="M30" s="59">
        <v>0</v>
      </c>
      <c r="N30" s="59">
        <v>0</v>
      </c>
      <c r="O30" s="59">
        <v>0</v>
      </c>
    </row>
    <row r="31" spans="1:15" hidden="1" x14ac:dyDescent="0.35">
      <c r="A31" s="57">
        <v>0</v>
      </c>
      <c r="B31" s="57" t="s">
        <v>104</v>
      </c>
      <c r="C31" s="57" t="s">
        <v>35</v>
      </c>
      <c r="D31" s="59">
        <v>1112109.3500000001</v>
      </c>
      <c r="E31" s="59">
        <v>1149846</v>
      </c>
      <c r="F31" s="59">
        <v>1081878.1000000001</v>
      </c>
      <c r="G31" s="59">
        <v>1101855.1000000001</v>
      </c>
      <c r="H31" s="59">
        <v>1476121.3</v>
      </c>
      <c r="I31" s="59">
        <v>517655.25000000006</v>
      </c>
      <c r="J31" s="59">
        <v>0</v>
      </c>
      <c r="K31" s="59">
        <v>0</v>
      </c>
      <c r="L31" s="59">
        <v>0</v>
      </c>
      <c r="M31" s="59">
        <v>0</v>
      </c>
      <c r="N31" s="59">
        <v>0</v>
      </c>
      <c r="O31" s="59">
        <v>0</v>
      </c>
    </row>
    <row r="32" spans="1:15" hidden="1" x14ac:dyDescent="0.35">
      <c r="A32" s="57">
        <v>0</v>
      </c>
      <c r="B32" s="57" t="s">
        <v>42</v>
      </c>
      <c r="C32" s="57" t="s">
        <v>35</v>
      </c>
      <c r="D32" s="59">
        <v>3823</v>
      </c>
      <c r="E32" s="59">
        <v>3887</v>
      </c>
      <c r="F32" s="59">
        <v>3942</v>
      </c>
      <c r="G32" s="59">
        <v>4019</v>
      </c>
      <c r="H32" s="59">
        <v>4128</v>
      </c>
      <c r="I32" s="59">
        <v>4212</v>
      </c>
      <c r="J32" s="59"/>
      <c r="K32" s="59"/>
      <c r="L32" s="59"/>
      <c r="M32" s="59"/>
      <c r="N32" s="59"/>
      <c r="O32" s="59"/>
    </row>
    <row r="33" spans="1:16" hidden="1" x14ac:dyDescent="0.35">
      <c r="A33" s="57">
        <v>0</v>
      </c>
      <c r="B33" s="57" t="s">
        <v>44</v>
      </c>
      <c r="C33" s="57" t="s">
        <v>35</v>
      </c>
      <c r="D33" s="59">
        <v>113</v>
      </c>
      <c r="E33" s="59">
        <v>114</v>
      </c>
      <c r="F33" s="59">
        <v>114</v>
      </c>
      <c r="G33" s="59">
        <v>119</v>
      </c>
      <c r="H33" s="59">
        <v>122</v>
      </c>
      <c r="I33" s="59">
        <v>123</v>
      </c>
      <c r="J33" s="59"/>
      <c r="K33" s="59"/>
      <c r="L33" s="59"/>
      <c r="M33" s="59"/>
      <c r="N33" s="59"/>
      <c r="O33" s="59"/>
    </row>
    <row r="34" spans="1:16" x14ac:dyDescent="0.35">
      <c r="A34" s="57">
        <v>0</v>
      </c>
      <c r="B34" s="57" t="s">
        <v>81</v>
      </c>
      <c r="C34" s="57">
        <v>0</v>
      </c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</row>
    <row r="35" spans="1:16" x14ac:dyDescent="0.35">
      <c r="A35" s="57">
        <v>0</v>
      </c>
      <c r="B35" s="57" t="s">
        <v>33</v>
      </c>
      <c r="C35" s="57" t="s">
        <v>15</v>
      </c>
      <c r="D35" s="59">
        <v>25464</v>
      </c>
      <c r="E35" s="59">
        <v>25318</v>
      </c>
      <c r="F35" s="59">
        <v>29549</v>
      </c>
      <c r="G35" s="59">
        <v>26589</v>
      </c>
      <c r="H35" s="59">
        <v>24717</v>
      </c>
      <c r="I35" s="59">
        <v>23699</v>
      </c>
      <c r="J35">
        <v>25215</v>
      </c>
      <c r="K35" s="59">
        <v>25652</v>
      </c>
      <c r="L35" s="59">
        <v>23081</v>
      </c>
      <c r="M35" s="59">
        <v>25654</v>
      </c>
      <c r="N35" s="59">
        <v>21461</v>
      </c>
      <c r="O35" s="59">
        <v>27026</v>
      </c>
    </row>
    <row r="36" spans="1:16" x14ac:dyDescent="0.35">
      <c r="A36" s="57">
        <v>0</v>
      </c>
      <c r="B36" s="57" t="s">
        <v>36</v>
      </c>
      <c r="C36" s="57" t="s">
        <v>15</v>
      </c>
      <c r="D36" s="59">
        <v>14570</v>
      </c>
      <c r="E36" s="59">
        <v>12703</v>
      </c>
      <c r="F36" s="59">
        <v>14042</v>
      </c>
      <c r="G36" s="59">
        <v>14935</v>
      </c>
      <c r="H36" s="59">
        <v>13880</v>
      </c>
      <c r="I36" s="59">
        <v>13632</v>
      </c>
      <c r="J36" s="59">
        <v>12993</v>
      </c>
      <c r="K36" s="59">
        <v>16261</v>
      </c>
      <c r="L36" s="59">
        <v>13989</v>
      </c>
      <c r="M36" s="59">
        <v>15368</v>
      </c>
      <c r="N36" s="59">
        <v>13743</v>
      </c>
      <c r="O36" s="59">
        <v>15808</v>
      </c>
    </row>
    <row r="37" spans="1:16" x14ac:dyDescent="0.35">
      <c r="A37" s="57">
        <v>0</v>
      </c>
      <c r="B37" s="57" t="s">
        <v>37</v>
      </c>
      <c r="C37" s="57" t="s">
        <v>1</v>
      </c>
      <c r="D37" s="58">
        <v>0.42781966698083568</v>
      </c>
      <c r="E37" s="58">
        <v>0.49826210601153331</v>
      </c>
      <c r="F37" s="58">
        <v>0.52478933297235097</v>
      </c>
      <c r="G37" s="58">
        <v>0.43830155327391024</v>
      </c>
      <c r="H37" s="58">
        <v>0.43844317676093375</v>
      </c>
      <c r="I37" s="58">
        <v>0.42478585594328877</v>
      </c>
      <c r="J37" s="58">
        <v>0.4847114812611541</v>
      </c>
      <c r="K37" s="58">
        <v>0.36609231249025415</v>
      </c>
      <c r="L37" s="58">
        <v>0.39391707465014514</v>
      </c>
      <c r="M37" s="58">
        <v>0.40095111873392064</v>
      </c>
      <c r="N37" s="58">
        <v>0.359629094636783</v>
      </c>
      <c r="O37" s="58">
        <v>0.41508177310737809</v>
      </c>
      <c r="P37" s="61"/>
    </row>
    <row r="38" spans="1:16" hidden="1" x14ac:dyDescent="0.35">
      <c r="A38" s="57">
        <v>0</v>
      </c>
      <c r="B38" s="57" t="s">
        <v>90</v>
      </c>
      <c r="C38" s="57" t="s">
        <v>35</v>
      </c>
      <c r="D38" s="59">
        <v>1314750</v>
      </c>
      <c r="E38" s="59">
        <v>1079305</v>
      </c>
      <c r="F38" s="59">
        <v>1224540</v>
      </c>
      <c r="G38" s="66">
        <v>1322020</v>
      </c>
      <c r="H38" s="59">
        <v>1192110</v>
      </c>
      <c r="I38">
        <v>1162935</v>
      </c>
      <c r="J38" s="59"/>
      <c r="K38" s="59"/>
      <c r="L38" s="59"/>
      <c r="M38" s="59"/>
      <c r="N38" s="59"/>
      <c r="O38" s="59"/>
    </row>
    <row r="39" spans="1:16" hidden="1" x14ac:dyDescent="0.35">
      <c r="A39" s="57">
        <v>0</v>
      </c>
      <c r="B39" s="57" t="s">
        <v>104</v>
      </c>
      <c r="C39" s="57" t="s">
        <v>35</v>
      </c>
      <c r="D39" s="59">
        <v>985045.0499999997</v>
      </c>
      <c r="E39" s="59">
        <v>1008806.6</v>
      </c>
      <c r="F39" s="59">
        <v>981659.24999999988</v>
      </c>
      <c r="G39" s="66">
        <v>989112.99999999965</v>
      </c>
      <c r="H39" s="59">
        <v>979101.1</v>
      </c>
      <c r="I39">
        <v>952018</v>
      </c>
      <c r="J39" s="59"/>
      <c r="K39" s="59"/>
      <c r="L39" s="59"/>
      <c r="M39" s="59"/>
      <c r="N39" s="59"/>
      <c r="O39" s="59"/>
    </row>
    <row r="40" spans="1:16" x14ac:dyDescent="0.35">
      <c r="A40" s="57">
        <v>0</v>
      </c>
      <c r="B40" s="57" t="s">
        <v>82</v>
      </c>
      <c r="C40" s="57">
        <v>0</v>
      </c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</row>
    <row r="41" spans="1:16" x14ac:dyDescent="0.35">
      <c r="A41" s="57">
        <v>0</v>
      </c>
      <c r="B41" s="57" t="s">
        <v>33</v>
      </c>
      <c r="C41" s="57" t="s">
        <v>15</v>
      </c>
      <c r="D41" s="59">
        <v>23862</v>
      </c>
      <c r="E41" s="59">
        <v>22279</v>
      </c>
      <c r="F41" s="59">
        <v>24748</v>
      </c>
      <c r="G41" s="59">
        <v>24385</v>
      </c>
      <c r="H41" s="59">
        <v>25884</v>
      </c>
      <c r="I41" s="59">
        <v>28340</v>
      </c>
      <c r="J41" s="59">
        <v>30406</v>
      </c>
      <c r="K41" s="59">
        <v>31153</v>
      </c>
      <c r="L41" s="59">
        <v>27595</v>
      </c>
      <c r="M41" s="59">
        <v>27126</v>
      </c>
      <c r="N41" s="59">
        <v>22554</v>
      </c>
      <c r="O41" s="59">
        <v>16703</v>
      </c>
    </row>
    <row r="42" spans="1:16" x14ac:dyDescent="0.35">
      <c r="A42" s="57">
        <v>0</v>
      </c>
      <c r="B42" s="57" t="s">
        <v>36</v>
      </c>
      <c r="C42" s="57" t="s">
        <v>15</v>
      </c>
      <c r="D42" s="59">
        <v>21194</v>
      </c>
      <c r="E42" s="59">
        <v>20639</v>
      </c>
      <c r="F42" s="59">
        <v>23153</v>
      </c>
      <c r="G42" s="59">
        <v>22430</v>
      </c>
      <c r="H42" s="59">
        <v>26502</v>
      </c>
      <c r="I42" s="59">
        <v>28276</v>
      </c>
      <c r="J42" s="59">
        <v>27957</v>
      </c>
      <c r="K42" s="59">
        <v>30971</v>
      </c>
      <c r="L42" s="59">
        <v>26244</v>
      </c>
      <c r="M42" s="59">
        <v>25901</v>
      </c>
      <c r="N42" s="59">
        <v>21206</v>
      </c>
      <c r="O42" s="59">
        <v>14455</v>
      </c>
    </row>
    <row r="43" spans="1:16" x14ac:dyDescent="0.35">
      <c r="A43" s="57">
        <v>0</v>
      </c>
      <c r="B43" s="57" t="s">
        <v>37</v>
      </c>
      <c r="C43" s="57" t="s">
        <v>1</v>
      </c>
      <c r="D43" s="58">
        <v>0.11180957170396447</v>
      </c>
      <c r="E43" s="58">
        <v>7.3611921540464115E-2</v>
      </c>
      <c r="F43" s="58">
        <v>6.4449652497171495E-2</v>
      </c>
      <c r="G43" s="58">
        <v>8.0172237030961657E-2</v>
      </c>
      <c r="H43" s="58">
        <v>-2.3875753361149745E-2</v>
      </c>
      <c r="I43" s="58">
        <v>2.2582921665490474E-3</v>
      </c>
      <c r="J43" s="58">
        <v>8.054331381964086E-2</v>
      </c>
      <c r="K43" s="58">
        <v>5.8421339838859825E-3</v>
      </c>
      <c r="L43" s="58">
        <v>4.8958144591411484E-2</v>
      </c>
      <c r="M43" s="58">
        <v>4.5159625451596255E-2</v>
      </c>
      <c r="N43" s="58">
        <v>5.9767668706216193E-2</v>
      </c>
      <c r="O43" s="58">
        <v>0.13458660120936358</v>
      </c>
    </row>
    <row r="44" spans="1:16" hidden="1" x14ac:dyDescent="0.35">
      <c r="A44" s="57">
        <v>0</v>
      </c>
      <c r="B44" s="57" t="s">
        <v>90</v>
      </c>
      <c r="C44" s="57" t="s">
        <v>35</v>
      </c>
      <c r="D44" s="59">
        <v>2294380</v>
      </c>
      <c r="E44" s="59">
        <v>2205022</v>
      </c>
      <c r="F44" s="59">
        <v>2591230</v>
      </c>
      <c r="G44" s="66">
        <v>2498860</v>
      </c>
      <c r="H44" s="59">
        <v>2990520</v>
      </c>
      <c r="I44">
        <v>3255475</v>
      </c>
      <c r="J44" s="59"/>
      <c r="K44" s="59"/>
      <c r="L44" s="59"/>
      <c r="M44" s="59"/>
      <c r="N44" s="59"/>
      <c r="O44" s="59"/>
    </row>
    <row r="45" spans="1:16" hidden="1" x14ac:dyDescent="0.35">
      <c r="A45" s="57">
        <v>0</v>
      </c>
      <c r="B45" s="57" t="s">
        <v>104</v>
      </c>
      <c r="C45" s="57" t="s">
        <v>35</v>
      </c>
      <c r="D45" s="59">
        <v>1674527.0999999999</v>
      </c>
      <c r="E45" s="59">
        <v>1594854.75</v>
      </c>
      <c r="F45" s="59">
        <v>1881149.45</v>
      </c>
      <c r="G45" s="66">
        <v>1853744.3499999999</v>
      </c>
      <c r="H45" s="59">
        <v>2035489.95</v>
      </c>
      <c r="I45">
        <v>2328839.6</v>
      </c>
      <c r="J45" s="59"/>
      <c r="K45" s="59"/>
      <c r="L45" s="59"/>
      <c r="M45" s="59"/>
      <c r="N45" s="59"/>
      <c r="O45" s="59"/>
    </row>
    <row r="46" spans="1:16" x14ac:dyDescent="0.35">
      <c r="A46" s="57">
        <v>0</v>
      </c>
      <c r="B46" s="57" t="s">
        <v>83</v>
      </c>
      <c r="C46" s="57">
        <v>0</v>
      </c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</row>
    <row r="47" spans="1:16" x14ac:dyDescent="0.35">
      <c r="A47" s="57">
        <v>0</v>
      </c>
      <c r="B47" s="57" t="s">
        <v>33</v>
      </c>
      <c r="C47" s="57" t="s">
        <v>15</v>
      </c>
      <c r="D47" s="59">
        <v>31196</v>
      </c>
      <c r="E47" s="59">
        <v>31516</v>
      </c>
      <c r="F47" s="59">
        <v>32245</v>
      </c>
      <c r="G47" s="59">
        <v>30049</v>
      </c>
      <c r="H47" s="59">
        <v>30407</v>
      </c>
      <c r="I47" s="59">
        <v>31615</v>
      </c>
      <c r="J47" s="59">
        <v>33706</v>
      </c>
      <c r="K47" s="59">
        <v>35148</v>
      </c>
      <c r="L47" s="59">
        <v>31057</v>
      </c>
      <c r="M47" s="59">
        <v>33835</v>
      </c>
      <c r="N47" s="59">
        <v>27524</v>
      </c>
      <c r="O47" s="59">
        <v>28258</v>
      </c>
    </row>
    <row r="48" spans="1:16" x14ac:dyDescent="0.35">
      <c r="A48" s="57">
        <v>0</v>
      </c>
      <c r="B48" s="57" t="s">
        <v>36</v>
      </c>
      <c r="C48" s="57" t="s">
        <v>15</v>
      </c>
      <c r="D48" s="59">
        <v>21080</v>
      </c>
      <c r="E48" s="59">
        <v>23926</v>
      </c>
      <c r="F48" s="59">
        <v>22037</v>
      </c>
      <c r="G48" s="59">
        <v>21522</v>
      </c>
      <c r="H48" s="59">
        <v>19960</v>
      </c>
      <c r="I48" s="59">
        <v>18923</v>
      </c>
      <c r="J48" s="59">
        <v>22230</v>
      </c>
      <c r="K48" s="59">
        <v>21621</v>
      </c>
      <c r="L48" s="59">
        <v>18992</v>
      </c>
      <c r="M48" s="59">
        <v>23230</v>
      </c>
      <c r="N48" s="59">
        <v>18377</v>
      </c>
      <c r="O48" s="59">
        <v>19259</v>
      </c>
    </row>
    <row r="49" spans="1:15" x14ac:dyDescent="0.35">
      <c r="A49" s="57">
        <v>0</v>
      </c>
      <c r="B49" s="57" t="s">
        <v>37</v>
      </c>
      <c r="C49" s="57" t="s">
        <v>1</v>
      </c>
      <c r="D49" s="58">
        <v>0.32427234260802668</v>
      </c>
      <c r="E49" s="58">
        <v>0.24083005457545373</v>
      </c>
      <c r="F49" s="58">
        <v>0.31657621336641339</v>
      </c>
      <c r="G49" s="58">
        <v>0.28376984259043564</v>
      </c>
      <c r="H49" s="58">
        <v>0.34357220376886899</v>
      </c>
      <c r="I49" s="58">
        <v>0.40145500553534713</v>
      </c>
      <c r="J49" s="58">
        <v>0.34047350620067646</v>
      </c>
      <c r="K49" s="58">
        <v>0.38485831341754867</v>
      </c>
      <c r="L49" s="58">
        <v>0.38847924783462667</v>
      </c>
      <c r="M49" s="58">
        <v>0.31343283582089554</v>
      </c>
      <c r="N49" s="58">
        <v>0.33232814997820082</v>
      </c>
      <c r="O49" s="58">
        <v>0.31845848963125489</v>
      </c>
    </row>
    <row r="50" spans="1:15" hidden="1" x14ac:dyDescent="0.35">
      <c r="A50" s="57">
        <v>0</v>
      </c>
      <c r="B50" s="57" t="s">
        <v>90</v>
      </c>
      <c r="C50" s="57" t="s">
        <v>35</v>
      </c>
      <c r="D50" s="59">
        <v>1629340</v>
      </c>
      <c r="E50" s="59">
        <v>1783915</v>
      </c>
      <c r="F50" s="59">
        <v>1644820</v>
      </c>
      <c r="G50" s="66">
        <v>1661950</v>
      </c>
      <c r="H50" s="59">
        <v>1555545</v>
      </c>
      <c r="I50">
        <v>1441085</v>
      </c>
      <c r="J50" s="59"/>
      <c r="K50" s="59"/>
      <c r="L50" s="59"/>
      <c r="M50" s="59"/>
      <c r="N50" s="59"/>
      <c r="O50" s="59"/>
    </row>
    <row r="51" spans="1:15" hidden="1" x14ac:dyDescent="0.35">
      <c r="A51" s="57">
        <v>0</v>
      </c>
      <c r="B51" s="57" t="s">
        <v>104</v>
      </c>
      <c r="C51" s="57" t="s">
        <v>35</v>
      </c>
      <c r="D51" s="59">
        <v>1112109.3500000001</v>
      </c>
      <c r="E51" s="59">
        <v>1149845.6000000001</v>
      </c>
      <c r="F51" s="59">
        <v>1081878.1000000001</v>
      </c>
      <c r="G51" s="66">
        <v>1101855.1000000001</v>
      </c>
      <c r="H51" s="59">
        <v>1473132.55</v>
      </c>
      <c r="I51">
        <v>511091.50000000006</v>
      </c>
      <c r="J51" s="59"/>
      <c r="K51" s="59"/>
      <c r="L51" s="59"/>
      <c r="M51" s="59"/>
      <c r="N51" s="59"/>
      <c r="O51" s="59"/>
    </row>
    <row r="52" spans="1:15" x14ac:dyDescent="0.35">
      <c r="A52" s="57">
        <v>0</v>
      </c>
      <c r="B52" s="57" t="s">
        <v>84</v>
      </c>
      <c r="C52" s="57">
        <v>0</v>
      </c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</row>
    <row r="53" spans="1:15" x14ac:dyDescent="0.35">
      <c r="A53" s="57">
        <v>0</v>
      </c>
      <c r="B53" s="57" t="s">
        <v>33</v>
      </c>
      <c r="C53" s="57" t="s">
        <v>15</v>
      </c>
      <c r="D53" s="59">
        <v>16602</v>
      </c>
      <c r="E53" s="59">
        <v>14522</v>
      </c>
      <c r="F53" s="59">
        <v>16634</v>
      </c>
      <c r="G53" s="59">
        <v>16768</v>
      </c>
      <c r="H53" s="59">
        <v>16744</v>
      </c>
      <c r="I53" s="59">
        <v>15666</v>
      </c>
      <c r="J53" s="59">
        <v>16440</v>
      </c>
      <c r="K53" s="59">
        <v>16501</v>
      </c>
      <c r="L53" s="59">
        <v>12687</v>
      </c>
      <c r="M53" s="59">
        <v>16299</v>
      </c>
      <c r="N53" s="59">
        <v>16975</v>
      </c>
      <c r="O53" s="59">
        <v>17418</v>
      </c>
    </row>
    <row r="54" spans="1:15" x14ac:dyDescent="0.35">
      <c r="A54" s="57">
        <v>0</v>
      </c>
      <c r="B54" s="57" t="s">
        <v>36</v>
      </c>
      <c r="C54" s="57" t="s">
        <v>15</v>
      </c>
      <c r="D54" s="59">
        <v>11902</v>
      </c>
      <c r="E54" s="59">
        <v>11649</v>
      </c>
      <c r="F54" s="59">
        <v>11670</v>
      </c>
      <c r="G54" s="59">
        <v>11430</v>
      </c>
      <c r="H54" s="59">
        <v>11627</v>
      </c>
      <c r="I54" s="59">
        <v>9817</v>
      </c>
      <c r="J54" s="59">
        <v>11177</v>
      </c>
      <c r="K54" s="59">
        <v>11595</v>
      </c>
      <c r="L54" s="59">
        <v>9134</v>
      </c>
      <c r="M54" s="59">
        <v>11564</v>
      </c>
      <c r="N54" s="59">
        <v>11007</v>
      </c>
      <c r="O54" s="59">
        <v>12306</v>
      </c>
    </row>
    <row r="55" spans="1:15" x14ac:dyDescent="0.35">
      <c r="A55" s="57">
        <v>0</v>
      </c>
      <c r="B55" s="57" t="s">
        <v>37</v>
      </c>
      <c r="C55" s="57" t="s">
        <v>1</v>
      </c>
      <c r="D55" s="58">
        <v>0.28309842187688228</v>
      </c>
      <c r="E55" s="58">
        <v>0.19783776339347198</v>
      </c>
      <c r="F55" s="58">
        <v>0.29842491282914513</v>
      </c>
      <c r="G55" s="58">
        <v>0.31834446564885494</v>
      </c>
      <c r="H55" s="58">
        <v>0.3056020066889632</v>
      </c>
      <c r="I55" s="58">
        <v>0.37335631303459721</v>
      </c>
      <c r="J55" s="58">
        <v>0.32013381995133822</v>
      </c>
      <c r="K55" s="58">
        <v>0.29731531422338042</v>
      </c>
      <c r="L55" s="58">
        <v>0.28005044533774731</v>
      </c>
      <c r="M55" s="58">
        <v>0.29050862016074608</v>
      </c>
      <c r="N55" s="58">
        <v>0.35157584683357879</v>
      </c>
      <c r="O55" s="58">
        <v>0.29348949362728211</v>
      </c>
    </row>
    <row r="56" spans="1:15" hidden="1" x14ac:dyDescent="0.35">
      <c r="A56" s="57">
        <v>0</v>
      </c>
      <c r="B56" s="57" t="s">
        <v>38</v>
      </c>
      <c r="C56" s="57" t="s">
        <v>35</v>
      </c>
      <c r="D56" s="59">
        <v>872970</v>
      </c>
      <c r="E56" s="59">
        <v>818990</v>
      </c>
      <c r="F56" s="59">
        <v>826623.3</v>
      </c>
      <c r="G56" s="66">
        <v>826540</v>
      </c>
      <c r="H56" s="59">
        <v>813730</v>
      </c>
      <c r="I56">
        <v>687405</v>
      </c>
      <c r="J56" s="59"/>
      <c r="K56" s="59"/>
      <c r="L56" s="59"/>
      <c r="M56" s="59"/>
      <c r="N56" s="59"/>
      <c r="O56" s="59"/>
    </row>
    <row r="57" spans="1:15" hidden="1" x14ac:dyDescent="0.35">
      <c r="A57" s="57">
        <v>0</v>
      </c>
      <c r="B57" s="57" t="s">
        <v>104</v>
      </c>
      <c r="C57" s="57" t="s">
        <v>35</v>
      </c>
      <c r="D57" s="59">
        <v>293273.2</v>
      </c>
      <c r="E57" s="59">
        <v>275943.40000000002</v>
      </c>
      <c r="F57" s="59">
        <v>288160.14999999997</v>
      </c>
      <c r="G57" s="66">
        <v>300148.85000000009</v>
      </c>
      <c r="H57" s="59">
        <v>278265.34999999998</v>
      </c>
      <c r="I57">
        <v>262541.84999999998</v>
      </c>
      <c r="J57" s="59"/>
      <c r="K57" s="59"/>
      <c r="L57" s="59"/>
      <c r="M57" s="59"/>
      <c r="N57" s="59"/>
      <c r="O57" s="59"/>
    </row>
    <row r="58" spans="1:15" x14ac:dyDescent="0.35">
      <c r="A58" s="57">
        <v>0</v>
      </c>
      <c r="B58" s="57" t="s">
        <v>85</v>
      </c>
      <c r="C58" s="57">
        <v>0</v>
      </c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</row>
    <row r="59" spans="1:15" x14ac:dyDescent="0.35">
      <c r="A59" s="57">
        <v>0</v>
      </c>
      <c r="B59" s="57" t="s">
        <v>33</v>
      </c>
      <c r="C59" s="57" t="s">
        <v>15</v>
      </c>
      <c r="D59" s="59">
        <v>12851</v>
      </c>
      <c r="E59" s="59">
        <v>12812</v>
      </c>
      <c r="F59" s="59">
        <v>13598</v>
      </c>
      <c r="G59" s="59">
        <v>12551</v>
      </c>
      <c r="H59" s="59">
        <v>12485</v>
      </c>
      <c r="I59" s="59">
        <v>10672</v>
      </c>
      <c r="J59" s="59">
        <v>9744</v>
      </c>
      <c r="K59" s="59">
        <v>7461</v>
      </c>
      <c r="L59" s="59">
        <v>6621</v>
      </c>
      <c r="M59" s="59">
        <v>11019</v>
      </c>
      <c r="N59" s="59">
        <v>11936</v>
      </c>
      <c r="O59" s="59">
        <v>12065</v>
      </c>
    </row>
    <row r="60" spans="1:15" x14ac:dyDescent="0.35">
      <c r="A60" s="57">
        <v>0</v>
      </c>
      <c r="B60" s="57" t="s">
        <v>36</v>
      </c>
      <c r="C60" s="57" t="s">
        <v>15</v>
      </c>
      <c r="D60" s="59">
        <v>10380</v>
      </c>
      <c r="E60" s="59">
        <v>10384</v>
      </c>
      <c r="F60" s="59">
        <v>9824</v>
      </c>
      <c r="G60" s="59">
        <v>9575</v>
      </c>
      <c r="H60" s="59">
        <v>9820</v>
      </c>
      <c r="I60" s="59">
        <v>8786</v>
      </c>
      <c r="J60" s="59">
        <v>10516</v>
      </c>
      <c r="K60" s="59">
        <v>10497</v>
      </c>
      <c r="L60" s="59">
        <v>10543</v>
      </c>
      <c r="M60" s="59">
        <v>9624</v>
      </c>
      <c r="N60" s="59">
        <v>10549</v>
      </c>
      <c r="O60" s="59">
        <v>10453</v>
      </c>
    </row>
    <row r="61" spans="1:15" x14ac:dyDescent="0.35">
      <c r="A61" s="57">
        <v>0</v>
      </c>
      <c r="B61" s="57" t="s">
        <v>37</v>
      </c>
      <c r="C61" s="57" t="s">
        <v>1</v>
      </c>
      <c r="D61" s="58">
        <v>0.19228075636137265</v>
      </c>
      <c r="E61" s="58">
        <v>0.18950983453012801</v>
      </c>
      <c r="F61" s="58">
        <v>0.27754081482570964</v>
      </c>
      <c r="G61" s="58">
        <v>0.23711258067086288</v>
      </c>
      <c r="H61" s="58">
        <v>0.21345614737685223</v>
      </c>
      <c r="I61" s="58">
        <v>0.17672413793103448</v>
      </c>
      <c r="J61" s="58">
        <v>-7.922824302134647E-2</v>
      </c>
      <c r="K61" s="58">
        <v>-0.40691596300763971</v>
      </c>
      <c r="L61" s="58">
        <v>-0.59235764990182749</v>
      </c>
      <c r="M61" s="58">
        <v>0.12659950993738089</v>
      </c>
      <c r="N61" s="58">
        <v>0.11620308310991957</v>
      </c>
      <c r="O61" s="58">
        <v>0.13360961458765022</v>
      </c>
    </row>
    <row r="62" spans="1:15" hidden="1" x14ac:dyDescent="0.35">
      <c r="A62" s="57">
        <v>0</v>
      </c>
      <c r="B62" s="57" t="s">
        <v>90</v>
      </c>
      <c r="C62" s="57" t="s">
        <v>35</v>
      </c>
      <c r="D62" s="59">
        <v>696955</v>
      </c>
      <c r="E62" s="59">
        <v>688640</v>
      </c>
      <c r="F62" s="59">
        <v>678935</v>
      </c>
      <c r="G62" s="66">
        <v>651830</v>
      </c>
      <c r="H62" s="59">
        <v>672340</v>
      </c>
      <c r="I62">
        <v>603400</v>
      </c>
      <c r="J62" s="59"/>
      <c r="K62" s="59"/>
      <c r="L62" s="59"/>
      <c r="M62" s="59"/>
      <c r="N62" s="59"/>
      <c r="O62" s="59"/>
    </row>
    <row r="63" spans="1:15" hidden="1" x14ac:dyDescent="0.35">
      <c r="A63" s="57">
        <v>0</v>
      </c>
      <c r="B63" s="57" t="s">
        <v>104</v>
      </c>
      <c r="C63" s="57" t="s">
        <v>35</v>
      </c>
      <c r="D63" s="59">
        <v>335242.44999999995</v>
      </c>
      <c r="E63" s="59">
        <v>321932.95</v>
      </c>
      <c r="F63" s="59">
        <v>305729.49999999994</v>
      </c>
      <c r="G63" s="66">
        <v>300292.95000000013</v>
      </c>
      <c r="H63" s="59">
        <v>308390.75</v>
      </c>
      <c r="I63">
        <v>287224.19999999995</v>
      </c>
      <c r="J63" s="59"/>
      <c r="K63" s="59"/>
      <c r="L63" s="59"/>
      <c r="M63" s="59"/>
      <c r="N63" s="59"/>
      <c r="O63" s="59"/>
    </row>
    <row r="64" spans="1:15" x14ac:dyDescent="0.35">
      <c r="A64" s="57">
        <v>0</v>
      </c>
      <c r="B64" s="57" t="s">
        <v>86</v>
      </c>
      <c r="C64" s="57">
        <v>0</v>
      </c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</row>
    <row r="65" spans="1:15" x14ac:dyDescent="0.35">
      <c r="A65" s="57">
        <v>0</v>
      </c>
      <c r="B65" s="57" t="s">
        <v>33</v>
      </c>
      <c r="C65" s="57" t="s">
        <v>15</v>
      </c>
      <c r="D65" s="59">
        <v>7669</v>
      </c>
      <c r="E65" s="59">
        <v>7071</v>
      </c>
      <c r="F65" s="59">
        <v>7829</v>
      </c>
      <c r="G65" s="59">
        <v>7167</v>
      </c>
      <c r="H65" s="59">
        <v>7534</v>
      </c>
      <c r="I65" s="59">
        <v>7538</v>
      </c>
      <c r="J65" s="59">
        <v>7083</v>
      </c>
      <c r="K65" s="59">
        <v>7404</v>
      </c>
      <c r="L65" s="59">
        <v>6801</v>
      </c>
      <c r="M65" s="59">
        <v>8155</v>
      </c>
      <c r="N65" s="59">
        <v>6378</v>
      </c>
      <c r="O65" s="59">
        <v>6513</v>
      </c>
    </row>
    <row r="66" spans="1:15" x14ac:dyDescent="0.35">
      <c r="A66" s="57">
        <v>0</v>
      </c>
      <c r="B66" s="57" t="s">
        <v>36</v>
      </c>
      <c r="C66" s="57" t="s">
        <v>15</v>
      </c>
      <c r="D66" s="59">
        <v>3826</v>
      </c>
      <c r="E66" s="59">
        <v>5784</v>
      </c>
      <c r="F66" s="59">
        <v>5973</v>
      </c>
      <c r="G66" s="59">
        <v>6283</v>
      </c>
      <c r="H66" s="59">
        <v>6051</v>
      </c>
      <c r="I66" s="59">
        <v>5901</v>
      </c>
      <c r="J66" s="59">
        <v>6534</v>
      </c>
      <c r="K66" s="59">
        <v>6121</v>
      </c>
      <c r="L66" s="59">
        <v>4679</v>
      </c>
      <c r="M66" s="59">
        <v>6665</v>
      </c>
      <c r="N66" s="59">
        <v>5651</v>
      </c>
      <c r="O66" s="59">
        <v>5352</v>
      </c>
    </row>
    <row r="67" spans="1:15" x14ac:dyDescent="0.35">
      <c r="A67" s="57">
        <v>0</v>
      </c>
      <c r="B67" s="57" t="s">
        <v>37</v>
      </c>
      <c r="C67" s="57" t="s">
        <v>1</v>
      </c>
      <c r="D67" s="58">
        <v>0.50110835832572698</v>
      </c>
      <c r="E67" s="58">
        <v>0.18201103097157403</v>
      </c>
      <c r="F67" s="58">
        <v>0.2370673138331843</v>
      </c>
      <c r="G67" s="58">
        <v>0.12334310032091531</v>
      </c>
      <c r="H67" s="58">
        <v>0.19684098752322804</v>
      </c>
      <c r="I67" s="58">
        <v>0.21716635712390556</v>
      </c>
      <c r="J67" s="58">
        <v>7.7509529860228715E-2</v>
      </c>
      <c r="K67" s="58">
        <v>0.17328471096704484</v>
      </c>
      <c r="L67" s="58">
        <v>0.31201293927363621</v>
      </c>
      <c r="M67" s="58">
        <v>0.18270999386879216</v>
      </c>
      <c r="N67" s="58">
        <v>0.11398557541549074</v>
      </c>
      <c r="O67" s="58">
        <v>0.17825886688162138</v>
      </c>
    </row>
    <row r="68" spans="1:15" hidden="1" x14ac:dyDescent="0.35">
      <c r="A68" s="57">
        <v>0</v>
      </c>
      <c r="B68" s="57" t="s">
        <v>90</v>
      </c>
      <c r="C68" s="57" t="s">
        <v>35</v>
      </c>
      <c r="D68" s="59">
        <v>261860</v>
      </c>
      <c r="E68" s="59">
        <v>419440</v>
      </c>
      <c r="F68" s="59">
        <v>430630</v>
      </c>
      <c r="G68" s="66">
        <v>456335</v>
      </c>
      <c r="H68" s="59">
        <v>441575</v>
      </c>
      <c r="I68">
        <v>417925</v>
      </c>
      <c r="J68" s="59"/>
      <c r="K68" s="59"/>
      <c r="L68" s="59"/>
      <c r="M68" s="59"/>
      <c r="N68" s="59"/>
      <c r="O68" s="59"/>
    </row>
    <row r="69" spans="1:15" hidden="1" x14ac:dyDescent="0.35">
      <c r="A69" s="57">
        <v>0</v>
      </c>
      <c r="B69" s="57" t="s">
        <v>104</v>
      </c>
      <c r="C69" s="57" t="s">
        <v>35</v>
      </c>
      <c r="D69" s="59">
        <v>0</v>
      </c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</row>
    <row r="70" spans="1:15" x14ac:dyDescent="0.35">
      <c r="A70" s="57">
        <v>0</v>
      </c>
      <c r="B70" s="57" t="s">
        <v>96</v>
      </c>
      <c r="C70" s="57">
        <v>0</v>
      </c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</row>
    <row r="71" spans="1:15" x14ac:dyDescent="0.35">
      <c r="A71" s="57">
        <v>0</v>
      </c>
      <c r="B71" s="57" t="s">
        <v>33</v>
      </c>
      <c r="C71" s="57" t="s">
        <v>15</v>
      </c>
      <c r="D71" s="59">
        <v>18217</v>
      </c>
      <c r="E71" s="59">
        <v>21853</v>
      </c>
      <c r="F71" s="59">
        <v>22691</v>
      </c>
      <c r="G71" s="59">
        <v>22445</v>
      </c>
      <c r="H71" s="59">
        <v>23907</v>
      </c>
      <c r="I71" s="59">
        <v>25068</v>
      </c>
      <c r="J71" s="59">
        <v>25169</v>
      </c>
      <c r="K71" s="59">
        <v>25372</v>
      </c>
      <c r="L71" s="59">
        <v>24637</v>
      </c>
      <c r="M71" s="59">
        <v>28867</v>
      </c>
      <c r="N71" s="59">
        <v>24435</v>
      </c>
      <c r="O71" s="59">
        <v>27338</v>
      </c>
    </row>
    <row r="72" spans="1:15" x14ac:dyDescent="0.35">
      <c r="A72" s="57">
        <v>0</v>
      </c>
      <c r="B72" s="57" t="s">
        <v>36</v>
      </c>
      <c r="C72" s="57" t="s">
        <v>15</v>
      </c>
      <c r="D72" s="59">
        <v>15499</v>
      </c>
      <c r="E72" s="59">
        <v>15491</v>
      </c>
      <c r="F72" s="59">
        <v>15957</v>
      </c>
      <c r="G72" s="59">
        <v>17272</v>
      </c>
      <c r="H72" s="59">
        <v>16979</v>
      </c>
      <c r="I72" s="59">
        <v>16972</v>
      </c>
      <c r="J72" s="59">
        <v>20812</v>
      </c>
      <c r="K72" s="59">
        <v>18533</v>
      </c>
      <c r="L72" s="59">
        <v>17119</v>
      </c>
      <c r="M72" s="59">
        <v>23651</v>
      </c>
      <c r="N72" s="59">
        <v>16398</v>
      </c>
      <c r="O72" s="59">
        <v>17921</v>
      </c>
    </row>
    <row r="73" spans="1:15" x14ac:dyDescent="0.35">
      <c r="A73" s="57">
        <v>0</v>
      </c>
      <c r="B73" s="57" t="s">
        <v>37</v>
      </c>
      <c r="C73" s="57" t="s">
        <v>1</v>
      </c>
      <c r="D73" s="58">
        <v>0.14920129549322061</v>
      </c>
      <c r="E73" s="58">
        <v>0.29112707637395324</v>
      </c>
      <c r="F73" s="58">
        <v>0.2967696443523864</v>
      </c>
      <c r="G73" s="58">
        <v>0.23047449320561372</v>
      </c>
      <c r="H73" s="58">
        <v>0.28978960137198312</v>
      </c>
      <c r="I73" s="58">
        <v>0.32296154459869159</v>
      </c>
      <c r="J73" s="58">
        <v>0.17310977790138662</v>
      </c>
      <c r="K73" s="58">
        <v>0.26954910925429609</v>
      </c>
      <c r="L73" s="58">
        <v>0.30515078946300278</v>
      </c>
      <c r="M73" s="58">
        <v>0.18069075414833546</v>
      </c>
      <c r="N73" s="58">
        <v>0.32891344383057092</v>
      </c>
      <c r="O73" s="58">
        <v>0.34446557904747971</v>
      </c>
    </row>
    <row r="74" spans="1:15" hidden="1" x14ac:dyDescent="0.35">
      <c r="A74" s="57">
        <v>0</v>
      </c>
      <c r="B74" s="57" t="s">
        <v>90</v>
      </c>
      <c r="C74" s="57" t="s">
        <v>35</v>
      </c>
      <c r="D74" s="59">
        <v>1081140</v>
      </c>
      <c r="E74" s="59">
        <v>1097130</v>
      </c>
      <c r="F74" s="59">
        <v>1123975</v>
      </c>
      <c r="G74" s="66">
        <v>1207365</v>
      </c>
      <c r="H74" s="59">
        <v>1215745</v>
      </c>
      <c r="I74">
        <v>1215285</v>
      </c>
      <c r="J74" s="59"/>
      <c r="K74" s="59"/>
      <c r="L74" s="59"/>
      <c r="M74" s="59"/>
      <c r="N74" s="59"/>
      <c r="O74" s="59"/>
    </row>
    <row r="75" spans="1:15" hidden="1" x14ac:dyDescent="0.35">
      <c r="A75" s="57">
        <v>0</v>
      </c>
      <c r="B75" s="57" t="s">
        <v>104</v>
      </c>
      <c r="C75" s="57" t="s">
        <v>35</v>
      </c>
      <c r="D75" s="59">
        <v>0</v>
      </c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</row>
    <row r="76" spans="1:15" x14ac:dyDescent="0.35">
      <c r="A76" s="57">
        <v>0</v>
      </c>
      <c r="B76" s="57" t="s">
        <v>39</v>
      </c>
      <c r="C76" s="57">
        <v>0</v>
      </c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</row>
    <row r="77" spans="1:15" x14ac:dyDescent="0.35">
      <c r="A77" s="57">
        <v>0</v>
      </c>
      <c r="B77" s="57" t="s">
        <v>33</v>
      </c>
      <c r="C77" s="57" t="s">
        <v>15</v>
      </c>
      <c r="D77" s="59">
        <v>1782</v>
      </c>
      <c r="E77" s="59">
        <v>1435</v>
      </c>
      <c r="F77" s="59">
        <v>1957</v>
      </c>
      <c r="G77" s="59">
        <v>1708</v>
      </c>
      <c r="H77" s="59">
        <v>1833</v>
      </c>
      <c r="I77" s="59">
        <v>1637</v>
      </c>
      <c r="J77" s="59">
        <v>1731</v>
      </c>
      <c r="K77" s="59">
        <v>1589</v>
      </c>
      <c r="L77" s="59">
        <v>1205</v>
      </c>
      <c r="M77" s="59">
        <v>1009</v>
      </c>
      <c r="N77" s="59">
        <v>868</v>
      </c>
      <c r="O77" s="59">
        <v>1189</v>
      </c>
    </row>
    <row r="78" spans="1:15" x14ac:dyDescent="0.35">
      <c r="A78" s="57">
        <v>0</v>
      </c>
      <c r="B78" s="57" t="s">
        <v>36</v>
      </c>
      <c r="C78" s="57" t="s">
        <v>15</v>
      </c>
      <c r="D78" s="59">
        <v>1694</v>
      </c>
      <c r="E78" s="59">
        <v>1250</v>
      </c>
      <c r="F78" s="59">
        <v>1780</v>
      </c>
      <c r="G78" s="59">
        <v>1549</v>
      </c>
      <c r="H78" s="59">
        <v>1676</v>
      </c>
      <c r="I78" s="59">
        <v>1491</v>
      </c>
      <c r="J78" s="59">
        <v>1848</v>
      </c>
      <c r="K78" s="59">
        <v>1558</v>
      </c>
      <c r="L78" s="59">
        <v>1422</v>
      </c>
      <c r="M78" s="59">
        <v>1627</v>
      </c>
      <c r="N78" s="59">
        <v>1047</v>
      </c>
      <c r="O78" s="59">
        <v>1497</v>
      </c>
    </row>
    <row r="79" spans="1:15" x14ac:dyDescent="0.35">
      <c r="A79" s="57">
        <v>0</v>
      </c>
      <c r="B79" s="57" t="s">
        <v>37</v>
      </c>
      <c r="C79" s="57" t="s">
        <v>1</v>
      </c>
      <c r="D79" s="58">
        <v>4.9382716049382713E-2</v>
      </c>
      <c r="E79" s="58">
        <v>0.1289198606271777</v>
      </c>
      <c r="F79" s="58">
        <v>9.0444557996934086E-2</v>
      </c>
      <c r="G79" s="58">
        <v>9.3091334894613589E-2</v>
      </c>
      <c r="H79" s="58">
        <v>8.56519367157665E-2</v>
      </c>
      <c r="I79" s="58">
        <v>8.918753817959682E-2</v>
      </c>
      <c r="J79" s="58">
        <v>-6.7590987868284227E-2</v>
      </c>
      <c r="K79" s="58">
        <v>1.9509125235997484E-2</v>
      </c>
      <c r="L79" s="58">
        <v>-0.18008298755186722</v>
      </c>
      <c r="M79" s="58">
        <v>-0.61248761149653119</v>
      </c>
      <c r="N79" s="58">
        <v>-0.20622119815668202</v>
      </c>
      <c r="O79" s="58">
        <v>-0.2590412111017662</v>
      </c>
    </row>
    <row r="80" spans="1:15" hidden="1" x14ac:dyDescent="0.35">
      <c r="A80" s="57">
        <v>0</v>
      </c>
      <c r="B80" s="57" t="s">
        <v>90</v>
      </c>
      <c r="C80" s="57" t="s">
        <v>35</v>
      </c>
      <c r="D80" s="59">
        <v>122975</v>
      </c>
      <c r="E80" s="59">
        <v>95850</v>
      </c>
      <c r="F80" s="59">
        <v>134290</v>
      </c>
      <c r="G80" s="66">
        <v>117445</v>
      </c>
      <c r="H80" s="59">
        <v>123085</v>
      </c>
      <c r="I80">
        <v>110630</v>
      </c>
      <c r="J80" s="59"/>
      <c r="K80" s="59"/>
      <c r="L80" s="59"/>
      <c r="M80" s="59"/>
      <c r="N80" s="59"/>
      <c r="O80" s="59"/>
    </row>
    <row r="81" spans="1:15" hidden="1" x14ac:dyDescent="0.35">
      <c r="A81" s="57">
        <v>0</v>
      </c>
      <c r="B81" s="57" t="s">
        <v>104</v>
      </c>
      <c r="C81" s="57" t="s">
        <v>35</v>
      </c>
      <c r="D81" s="59">
        <v>0</v>
      </c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</row>
    <row r="82" spans="1:15" x14ac:dyDescent="0.35">
      <c r="A82" s="57">
        <v>0</v>
      </c>
      <c r="B82" s="57" t="s">
        <v>40</v>
      </c>
      <c r="C82" s="57">
        <v>0</v>
      </c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</row>
    <row r="83" spans="1:15" x14ac:dyDescent="0.35">
      <c r="A83" s="57">
        <v>0</v>
      </c>
      <c r="B83" s="57" t="s">
        <v>33</v>
      </c>
      <c r="C83" s="57" t="s">
        <v>15</v>
      </c>
      <c r="D83" s="59">
        <v>22745</v>
      </c>
      <c r="E83" s="59">
        <v>23836</v>
      </c>
      <c r="F83" s="59">
        <v>20502</v>
      </c>
      <c r="G83" s="59">
        <v>26353</v>
      </c>
      <c r="H83" s="59">
        <v>23395</v>
      </c>
      <c r="I83" s="59">
        <v>26841</v>
      </c>
      <c r="J83" s="59">
        <v>26869</v>
      </c>
      <c r="K83" s="59">
        <v>30661</v>
      </c>
      <c r="L83" s="59">
        <v>28689</v>
      </c>
      <c r="M83" s="59">
        <v>31224</v>
      </c>
      <c r="N83" s="59">
        <v>28141</v>
      </c>
      <c r="O83" s="59">
        <v>27338</v>
      </c>
    </row>
    <row r="84" spans="1:15" x14ac:dyDescent="0.35">
      <c r="A84" s="57">
        <v>0</v>
      </c>
      <c r="B84" s="57" t="s">
        <v>36</v>
      </c>
      <c r="C84" s="57" t="s">
        <v>15</v>
      </c>
      <c r="D84" s="59">
        <v>19638</v>
      </c>
      <c r="E84" s="59">
        <v>18845</v>
      </c>
      <c r="F84" s="59">
        <v>16366</v>
      </c>
      <c r="G84" s="59">
        <v>20028</v>
      </c>
      <c r="H84" s="59">
        <v>17507</v>
      </c>
      <c r="I84" s="59">
        <v>17716</v>
      </c>
      <c r="J84" s="59">
        <v>20471</v>
      </c>
      <c r="K84" s="59">
        <v>18921</v>
      </c>
      <c r="L84" s="59">
        <v>18590</v>
      </c>
      <c r="M84" s="59">
        <v>23996</v>
      </c>
      <c r="N84" s="59">
        <v>18450</v>
      </c>
      <c r="O84" s="59">
        <v>17776</v>
      </c>
    </row>
    <row r="85" spans="1:15" x14ac:dyDescent="0.35">
      <c r="A85" s="57">
        <v>0</v>
      </c>
      <c r="B85" s="57" t="s">
        <v>37</v>
      </c>
      <c r="C85" s="57" t="s">
        <v>1</v>
      </c>
      <c r="D85" s="58">
        <v>0.1366014508683227</v>
      </c>
      <c r="E85" s="58">
        <v>0.20938915925490853</v>
      </c>
      <c r="F85" s="58">
        <v>0.2017364159594186</v>
      </c>
      <c r="G85" s="58">
        <v>0.24001062497628353</v>
      </c>
      <c r="H85" s="58">
        <v>0.25167770891216074</v>
      </c>
      <c r="I85" s="58">
        <v>0.33996497895011363</v>
      </c>
      <c r="J85" s="58">
        <v>0.23811827756894563</v>
      </c>
      <c r="K85" s="58">
        <v>0.38289683963341054</v>
      </c>
      <c r="L85" s="58">
        <v>0.35201645229879047</v>
      </c>
      <c r="M85" s="58">
        <v>0.23148859851396361</v>
      </c>
      <c r="N85" s="58">
        <v>0.34437297892754343</v>
      </c>
      <c r="O85" s="58">
        <v>0.34976955153998096</v>
      </c>
    </row>
    <row r="86" spans="1:15" hidden="1" x14ac:dyDescent="0.35">
      <c r="A86" s="57">
        <v>0</v>
      </c>
      <c r="B86" s="57" t="s">
        <v>90</v>
      </c>
      <c r="C86" s="57" t="s">
        <v>35</v>
      </c>
      <c r="D86" s="59">
        <v>1529830</v>
      </c>
      <c r="E86" s="59">
        <v>1395460</v>
      </c>
      <c r="F86" s="59">
        <v>1244770</v>
      </c>
      <c r="G86" s="66">
        <v>1500085</v>
      </c>
      <c r="H86" s="59">
        <v>1324150</v>
      </c>
      <c r="I86">
        <v>1277850</v>
      </c>
      <c r="J86" s="59"/>
      <c r="K86" s="59"/>
      <c r="L86" s="59"/>
      <c r="M86" s="59"/>
      <c r="N86" s="59"/>
      <c r="O86" s="59"/>
    </row>
    <row r="87" spans="1:15" hidden="1" x14ac:dyDescent="0.35">
      <c r="A87" s="57">
        <v>0</v>
      </c>
      <c r="B87" s="57" t="s">
        <v>104</v>
      </c>
      <c r="C87" s="57" t="s">
        <v>35</v>
      </c>
      <c r="D87" s="59">
        <v>0</v>
      </c>
      <c r="E87" s="59"/>
      <c r="F87" s="59"/>
      <c r="G87" s="59"/>
      <c r="H87" s="59">
        <v>2988.75</v>
      </c>
      <c r="I87">
        <v>6563.75</v>
      </c>
      <c r="J87" s="59"/>
      <c r="K87" s="59"/>
      <c r="L87" s="59"/>
      <c r="M87" s="59"/>
      <c r="N87" s="59"/>
      <c r="O87" s="59"/>
    </row>
    <row r="88" spans="1:15" x14ac:dyDescent="0.35">
      <c r="A88" s="57">
        <v>0</v>
      </c>
      <c r="B88" s="57" t="s">
        <v>91</v>
      </c>
      <c r="C88" s="57">
        <v>0</v>
      </c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</row>
    <row r="89" spans="1:15" x14ac:dyDescent="0.35">
      <c r="A89" s="57">
        <v>0</v>
      </c>
      <c r="B89" s="57" t="s">
        <v>33</v>
      </c>
      <c r="C89" s="57" t="s">
        <v>15</v>
      </c>
      <c r="D89" s="59">
        <v>1423</v>
      </c>
      <c r="E89" s="59">
        <v>1490</v>
      </c>
      <c r="F89" s="59">
        <v>3521</v>
      </c>
      <c r="G89" s="59">
        <v>2660</v>
      </c>
      <c r="H89" s="59">
        <v>2276</v>
      </c>
      <c r="I89" s="59">
        <v>2236</v>
      </c>
      <c r="J89" s="59">
        <v>3197</v>
      </c>
      <c r="K89" s="59">
        <v>2656</v>
      </c>
      <c r="L89" s="59">
        <v>2467</v>
      </c>
      <c r="M89" s="59">
        <v>4401</v>
      </c>
      <c r="N89" s="59">
        <v>2464</v>
      </c>
      <c r="O89" s="59">
        <v>3019</v>
      </c>
    </row>
    <row r="90" spans="1:15" x14ac:dyDescent="0.35">
      <c r="A90" s="57">
        <v>0</v>
      </c>
      <c r="B90" s="57" t="s">
        <v>36</v>
      </c>
      <c r="C90" s="57" t="s">
        <v>15</v>
      </c>
      <c r="D90" s="59">
        <v>483</v>
      </c>
      <c r="E90" s="59">
        <v>757</v>
      </c>
      <c r="F90" s="59">
        <v>1812</v>
      </c>
      <c r="G90" s="59">
        <v>1248</v>
      </c>
      <c r="H90" s="59">
        <v>1499</v>
      </c>
      <c r="I90" s="59">
        <v>1237</v>
      </c>
      <c r="J90" s="59">
        <v>2594</v>
      </c>
      <c r="K90" s="59">
        <v>1783</v>
      </c>
      <c r="L90" s="59">
        <v>1985</v>
      </c>
      <c r="M90" s="59">
        <v>3030</v>
      </c>
      <c r="N90" s="59">
        <v>1560</v>
      </c>
      <c r="O90" s="59">
        <v>1997</v>
      </c>
    </row>
    <row r="91" spans="1:15" x14ac:dyDescent="0.35">
      <c r="A91" s="57">
        <v>0</v>
      </c>
      <c r="B91" s="57" t="s">
        <v>37</v>
      </c>
      <c r="C91" s="57" t="s">
        <v>1</v>
      </c>
      <c r="D91" s="58">
        <v>0.66057624736472242</v>
      </c>
      <c r="E91" s="58">
        <v>0.49194630872483219</v>
      </c>
      <c r="F91" s="58">
        <v>0.485373473445044</v>
      </c>
      <c r="G91" s="58">
        <v>0.53082706766917298</v>
      </c>
      <c r="H91" s="58">
        <v>0.3413884007029877</v>
      </c>
      <c r="I91" s="58">
        <v>0.4467799642218247</v>
      </c>
      <c r="J91" s="58">
        <v>0.18861432593055991</v>
      </c>
      <c r="K91" s="58">
        <v>0.32868975903614456</v>
      </c>
      <c r="L91" s="58">
        <v>0.19537900283745441</v>
      </c>
      <c r="M91" s="58">
        <v>0.31152010906612132</v>
      </c>
      <c r="N91" s="58">
        <v>0.36688311688311687</v>
      </c>
      <c r="O91" s="58">
        <v>0.33852268963232857</v>
      </c>
    </row>
    <row r="92" spans="1:15" hidden="1" x14ac:dyDescent="0.35">
      <c r="A92" s="57">
        <v>0</v>
      </c>
      <c r="B92" s="57" t="s">
        <v>90</v>
      </c>
      <c r="C92" s="57" t="s">
        <v>35</v>
      </c>
      <c r="D92" s="59">
        <v>36760</v>
      </c>
      <c r="E92" s="59">
        <v>45790</v>
      </c>
      <c r="F92" s="59">
        <v>90765</v>
      </c>
      <c r="G92" s="66">
        <v>80595</v>
      </c>
      <c r="H92" s="59">
        <v>105555</v>
      </c>
      <c r="I92">
        <v>85780</v>
      </c>
      <c r="J92" s="59"/>
      <c r="K92" s="59"/>
      <c r="L92" s="59"/>
      <c r="M92" s="59"/>
      <c r="N92" s="59"/>
      <c r="O92" s="59"/>
    </row>
    <row r="93" spans="1:15" hidden="1" x14ac:dyDescent="0.35">
      <c r="A93" s="57">
        <v>0</v>
      </c>
      <c r="B93" s="57" t="s">
        <v>104</v>
      </c>
      <c r="C93" s="57" t="s">
        <v>35</v>
      </c>
      <c r="D93" s="59">
        <v>0</v>
      </c>
      <c r="E93" s="59">
        <v>0</v>
      </c>
      <c r="F93" s="59">
        <v>0</v>
      </c>
      <c r="G93" s="59"/>
      <c r="H93" s="59"/>
      <c r="I93" s="59"/>
      <c r="J93" s="59"/>
      <c r="K93" s="59"/>
      <c r="L93" s="59"/>
      <c r="M93" s="59"/>
      <c r="N93" s="59"/>
      <c r="O93" s="59"/>
    </row>
    <row r="94" spans="1:15" x14ac:dyDescent="0.35">
      <c r="A94" s="57">
        <v>0</v>
      </c>
      <c r="B94" s="57" t="s">
        <v>125</v>
      </c>
      <c r="C94" s="57">
        <v>0</v>
      </c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</row>
    <row r="95" spans="1:15" x14ac:dyDescent="0.35">
      <c r="A95" s="57">
        <v>0</v>
      </c>
      <c r="B95" s="57" t="s">
        <v>127</v>
      </c>
      <c r="C95" s="57" t="s">
        <v>43</v>
      </c>
      <c r="D95" s="59"/>
      <c r="E95" s="59"/>
      <c r="F95" s="59"/>
      <c r="G95" s="59"/>
      <c r="H95" s="59"/>
      <c r="I95" s="59">
        <v>3</v>
      </c>
      <c r="J95" s="59"/>
      <c r="K95" s="59"/>
      <c r="L95" s="59"/>
      <c r="M95" s="59"/>
      <c r="N95" s="59"/>
      <c r="O95" s="59"/>
    </row>
    <row r="96" spans="1:15" x14ac:dyDescent="0.35">
      <c r="A96" s="57">
        <v>0</v>
      </c>
      <c r="B96" s="57" t="s">
        <v>126</v>
      </c>
      <c r="C96" s="57" t="s">
        <v>129</v>
      </c>
      <c r="D96" s="59"/>
      <c r="E96" s="59"/>
      <c r="F96" s="59"/>
      <c r="G96" s="59"/>
      <c r="H96" s="59"/>
      <c r="I96" s="59">
        <v>16561</v>
      </c>
      <c r="J96" s="59"/>
      <c r="K96" s="59"/>
      <c r="L96" s="59"/>
      <c r="M96" s="59"/>
      <c r="N96" s="59"/>
      <c r="O96" s="59"/>
    </row>
    <row r="97" spans="1:15" x14ac:dyDescent="0.35">
      <c r="A97" s="57">
        <v>0</v>
      </c>
      <c r="B97" s="57" t="s">
        <v>128</v>
      </c>
      <c r="C97" s="57">
        <v>0</v>
      </c>
      <c r="D97" s="59"/>
      <c r="E97" s="59"/>
      <c r="F97" s="59"/>
      <c r="G97" s="59"/>
      <c r="H97" s="59"/>
      <c r="I97" s="59">
        <v>37339</v>
      </c>
      <c r="J97" s="59"/>
      <c r="K97" s="59"/>
      <c r="L97" s="59"/>
      <c r="M97" s="59"/>
      <c r="N97" s="59"/>
      <c r="O97" s="59"/>
    </row>
    <row r="98" spans="1:15" x14ac:dyDescent="0.35">
      <c r="A98" s="57">
        <v>0</v>
      </c>
      <c r="B98" s="57">
        <v>0</v>
      </c>
      <c r="C98" s="57">
        <v>0</v>
      </c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</row>
    <row r="99" spans="1:15" x14ac:dyDescent="0.35">
      <c r="A99" s="57">
        <v>0</v>
      </c>
      <c r="B99" s="57">
        <v>0</v>
      </c>
      <c r="C99" s="57">
        <v>0</v>
      </c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</row>
    <row r="100" spans="1:15" x14ac:dyDescent="0.35">
      <c r="A100" s="57">
        <v>0</v>
      </c>
      <c r="B100" s="57">
        <v>0</v>
      </c>
      <c r="C100" s="57">
        <v>0</v>
      </c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</row>
    <row r="101" spans="1:15" x14ac:dyDescent="0.35">
      <c r="A101" s="57">
        <v>0</v>
      </c>
      <c r="B101" s="57">
        <v>0</v>
      </c>
      <c r="C101" s="57">
        <v>0</v>
      </c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</row>
    <row r="102" spans="1:15" x14ac:dyDescent="0.35">
      <c r="A102" s="57">
        <v>0</v>
      </c>
      <c r="B102" s="57">
        <v>0</v>
      </c>
      <c r="C102" s="57">
        <v>0</v>
      </c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</row>
    <row r="103" spans="1:15" x14ac:dyDescent="0.35">
      <c r="A103" s="57">
        <v>0</v>
      </c>
      <c r="B103" s="57">
        <v>0</v>
      </c>
      <c r="C103" s="57">
        <v>0</v>
      </c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</row>
    <row r="104" spans="1:15" x14ac:dyDescent="0.35">
      <c r="A104" s="57">
        <v>0</v>
      </c>
      <c r="B104" s="57">
        <v>0</v>
      </c>
      <c r="C104" s="57">
        <v>0</v>
      </c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</row>
    <row r="105" spans="1:15" x14ac:dyDescent="0.35">
      <c r="A105" s="57">
        <v>0</v>
      </c>
      <c r="B105" s="57">
        <v>0</v>
      </c>
      <c r="C105" s="57">
        <v>0</v>
      </c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</row>
    <row r="106" spans="1:15" x14ac:dyDescent="0.35">
      <c r="A106" s="57">
        <v>0</v>
      </c>
      <c r="B106" s="57">
        <v>0</v>
      </c>
      <c r="C106" s="57">
        <v>0</v>
      </c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</row>
    <row r="107" spans="1:15" x14ac:dyDescent="0.35">
      <c r="A107" s="57">
        <v>0</v>
      </c>
      <c r="B107" s="57">
        <v>0</v>
      </c>
      <c r="C107" s="57">
        <v>0</v>
      </c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</row>
    <row r="108" spans="1:15" x14ac:dyDescent="0.35">
      <c r="A108" s="57">
        <v>0</v>
      </c>
      <c r="B108" s="57">
        <v>0</v>
      </c>
      <c r="C108" s="57">
        <v>0</v>
      </c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</row>
    <row r="109" spans="1:15" x14ac:dyDescent="0.35">
      <c r="A109" s="57">
        <v>0</v>
      </c>
      <c r="B109" s="57">
        <v>0</v>
      </c>
      <c r="C109" s="57">
        <v>0</v>
      </c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</row>
    <row r="110" spans="1:15" x14ac:dyDescent="0.35">
      <c r="A110" s="57">
        <v>0</v>
      </c>
      <c r="B110" s="57">
        <v>0</v>
      </c>
      <c r="C110" s="57">
        <v>0</v>
      </c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</row>
    <row r="111" spans="1:15" x14ac:dyDescent="0.35">
      <c r="A111" s="57">
        <v>0</v>
      </c>
      <c r="B111" s="57">
        <v>0</v>
      </c>
      <c r="C111" s="57">
        <v>0</v>
      </c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</row>
    <row r="112" spans="1:15" x14ac:dyDescent="0.35">
      <c r="A112" s="57">
        <v>0</v>
      </c>
      <c r="B112" s="57">
        <v>0</v>
      </c>
      <c r="C112" s="57">
        <v>0</v>
      </c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</row>
    <row r="113" spans="1:15" x14ac:dyDescent="0.35">
      <c r="A113" s="57">
        <v>0</v>
      </c>
      <c r="B113" s="57">
        <v>0</v>
      </c>
      <c r="C113" s="57">
        <v>0</v>
      </c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</row>
    <row r="114" spans="1:15" x14ac:dyDescent="0.35">
      <c r="A114" s="57">
        <v>0</v>
      </c>
      <c r="B114" s="57">
        <v>0</v>
      </c>
      <c r="C114" s="57">
        <v>0</v>
      </c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</row>
    <row r="115" spans="1:15" x14ac:dyDescent="0.35">
      <c r="A115" s="57">
        <v>0</v>
      </c>
      <c r="B115" s="57">
        <v>0</v>
      </c>
      <c r="C115" s="57">
        <v>0</v>
      </c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</row>
    <row r="116" spans="1:15" x14ac:dyDescent="0.35">
      <c r="A116" s="57">
        <v>0</v>
      </c>
      <c r="B116" s="57">
        <v>0</v>
      </c>
      <c r="C116" s="57">
        <v>0</v>
      </c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</row>
    <row r="117" spans="1:15" x14ac:dyDescent="0.35">
      <c r="A117" s="57">
        <v>0</v>
      </c>
      <c r="B117" s="57">
        <v>0</v>
      </c>
      <c r="C117" s="57">
        <v>0</v>
      </c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</row>
    <row r="118" spans="1:15" x14ac:dyDescent="0.35">
      <c r="A118" s="57">
        <v>0</v>
      </c>
      <c r="B118" s="57">
        <v>0</v>
      </c>
      <c r="C118" s="57">
        <v>0</v>
      </c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</row>
    <row r="119" spans="1:15" x14ac:dyDescent="0.35">
      <c r="A119" s="57">
        <v>0</v>
      </c>
      <c r="B119" s="57">
        <v>0</v>
      </c>
      <c r="C119" s="57">
        <v>0</v>
      </c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</row>
    <row r="120" spans="1:15" x14ac:dyDescent="0.35">
      <c r="A120" s="57">
        <v>0</v>
      </c>
      <c r="B120" s="57">
        <v>0</v>
      </c>
      <c r="C120" s="57">
        <v>0</v>
      </c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</row>
    <row r="121" spans="1:15" x14ac:dyDescent="0.35">
      <c r="A121" s="57">
        <v>0</v>
      </c>
      <c r="B121" s="57">
        <v>0</v>
      </c>
      <c r="C121" s="57">
        <v>0</v>
      </c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</row>
    <row r="122" spans="1:15" x14ac:dyDescent="0.35">
      <c r="A122" s="57">
        <v>0</v>
      </c>
      <c r="B122" s="57">
        <v>0</v>
      </c>
      <c r="C122" s="57">
        <v>0</v>
      </c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</row>
    <row r="123" spans="1:15" x14ac:dyDescent="0.35">
      <c r="A123" s="57">
        <v>0</v>
      </c>
      <c r="B123" s="57">
        <v>0</v>
      </c>
      <c r="C123" s="57">
        <v>0</v>
      </c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</row>
    <row r="124" spans="1:15" x14ac:dyDescent="0.35">
      <c r="A124" s="57">
        <v>0</v>
      </c>
      <c r="B124" s="57">
        <v>0</v>
      </c>
      <c r="C124" s="57">
        <v>0</v>
      </c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</row>
    <row r="125" spans="1:15" x14ac:dyDescent="0.35">
      <c r="A125" s="57">
        <v>0</v>
      </c>
      <c r="B125" s="57">
        <v>0</v>
      </c>
      <c r="C125" s="57">
        <v>0</v>
      </c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</row>
    <row r="126" spans="1:15" x14ac:dyDescent="0.35">
      <c r="A126" s="57">
        <v>0</v>
      </c>
      <c r="B126" s="57">
        <v>0</v>
      </c>
      <c r="C126" s="57">
        <v>0</v>
      </c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</row>
    <row r="127" spans="1:15" x14ac:dyDescent="0.35">
      <c r="A127" s="57">
        <v>0</v>
      </c>
      <c r="B127" s="57">
        <v>0</v>
      </c>
      <c r="C127" s="57">
        <v>0</v>
      </c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</row>
    <row r="128" spans="1:15" x14ac:dyDescent="0.35">
      <c r="A128" s="57">
        <v>0</v>
      </c>
      <c r="B128" s="57">
        <v>0</v>
      </c>
      <c r="C128" s="57">
        <v>0</v>
      </c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</row>
    <row r="129" spans="1:15" x14ac:dyDescent="0.35">
      <c r="A129" s="57">
        <v>0</v>
      </c>
      <c r="B129" s="57">
        <v>0</v>
      </c>
      <c r="C129" s="57">
        <v>0</v>
      </c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</row>
    <row r="130" spans="1:15" x14ac:dyDescent="0.35">
      <c r="A130" s="57">
        <v>0</v>
      </c>
      <c r="B130" s="57">
        <v>0</v>
      </c>
      <c r="C130" s="57">
        <v>0</v>
      </c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</row>
    <row r="131" spans="1:15" x14ac:dyDescent="0.35">
      <c r="A131" s="57">
        <v>0</v>
      </c>
      <c r="B131" s="57">
        <v>0</v>
      </c>
      <c r="C131" s="57">
        <v>0</v>
      </c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</row>
    <row r="132" spans="1:15" x14ac:dyDescent="0.35">
      <c r="A132" s="57">
        <v>0</v>
      </c>
      <c r="B132" s="57">
        <v>0</v>
      </c>
      <c r="C132" s="57">
        <v>0</v>
      </c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</row>
    <row r="133" spans="1:15" x14ac:dyDescent="0.35">
      <c r="A133" s="57">
        <v>0</v>
      </c>
      <c r="B133" s="57">
        <v>0</v>
      </c>
      <c r="C133" s="57">
        <v>0</v>
      </c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</row>
    <row r="134" spans="1:15" x14ac:dyDescent="0.35">
      <c r="A134" s="57">
        <v>0</v>
      </c>
      <c r="B134" s="57">
        <v>0</v>
      </c>
      <c r="C134" s="57">
        <v>0</v>
      </c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</row>
    <row r="135" spans="1:15" x14ac:dyDescent="0.35">
      <c r="A135" s="57">
        <v>0</v>
      </c>
      <c r="B135" s="57">
        <v>0</v>
      </c>
      <c r="C135" s="57">
        <v>0</v>
      </c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</row>
    <row r="136" spans="1:15" x14ac:dyDescent="0.35">
      <c r="A136" s="57">
        <v>0</v>
      </c>
      <c r="B136" s="57">
        <v>0</v>
      </c>
      <c r="C136" s="57">
        <v>0</v>
      </c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</row>
    <row r="137" spans="1:15" x14ac:dyDescent="0.35">
      <c r="A137" s="57">
        <v>0</v>
      </c>
      <c r="B137" s="57">
        <v>0</v>
      </c>
      <c r="C137" s="57">
        <v>0</v>
      </c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</row>
    <row r="138" spans="1:15" x14ac:dyDescent="0.35">
      <c r="A138" s="57">
        <v>0</v>
      </c>
      <c r="B138" s="57">
        <v>0</v>
      </c>
      <c r="C138" s="57">
        <v>0</v>
      </c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</row>
    <row r="139" spans="1:15" x14ac:dyDescent="0.35">
      <c r="A139" s="57">
        <v>0</v>
      </c>
      <c r="B139" s="57">
        <v>0</v>
      </c>
      <c r="C139" s="57">
        <v>0</v>
      </c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</row>
    <row r="140" spans="1:15" x14ac:dyDescent="0.35">
      <c r="A140" s="57">
        <v>0</v>
      </c>
      <c r="B140" s="57">
        <v>0</v>
      </c>
      <c r="C140" s="57">
        <v>0</v>
      </c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</row>
    <row r="141" spans="1:15" x14ac:dyDescent="0.35">
      <c r="A141" s="57">
        <v>0</v>
      </c>
      <c r="B141" s="57">
        <v>0</v>
      </c>
      <c r="C141" s="57">
        <v>0</v>
      </c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</row>
    <row r="142" spans="1:15" x14ac:dyDescent="0.35">
      <c r="A142" s="57">
        <v>0</v>
      </c>
      <c r="B142" s="57">
        <v>0</v>
      </c>
      <c r="C142" s="57">
        <v>0</v>
      </c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</row>
    <row r="143" spans="1:15" x14ac:dyDescent="0.35">
      <c r="A143" s="57">
        <v>0</v>
      </c>
      <c r="B143" s="57">
        <v>0</v>
      </c>
      <c r="C143" s="57">
        <v>0</v>
      </c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</row>
    <row r="144" spans="1:15" x14ac:dyDescent="0.35">
      <c r="A144" s="57">
        <v>0</v>
      </c>
      <c r="B144" s="57">
        <v>0</v>
      </c>
      <c r="C144" s="57">
        <v>0</v>
      </c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</row>
    <row r="145" spans="1:15" x14ac:dyDescent="0.35">
      <c r="A145" s="57">
        <v>0</v>
      </c>
      <c r="B145" s="57">
        <v>0</v>
      </c>
      <c r="C145" s="57">
        <v>0</v>
      </c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</row>
    <row r="146" spans="1:15" x14ac:dyDescent="0.35">
      <c r="A146" s="57">
        <v>0</v>
      </c>
      <c r="B146" s="57">
        <v>0</v>
      </c>
      <c r="C146" s="57">
        <v>0</v>
      </c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</row>
    <row r="147" spans="1:15" x14ac:dyDescent="0.35">
      <c r="A147" s="57">
        <v>0</v>
      </c>
      <c r="B147" s="57">
        <v>0</v>
      </c>
      <c r="C147" s="57">
        <v>0</v>
      </c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</row>
    <row r="148" spans="1:15" x14ac:dyDescent="0.35">
      <c r="A148" s="57">
        <v>0</v>
      </c>
      <c r="B148" s="57">
        <v>0</v>
      </c>
      <c r="C148" s="57">
        <v>0</v>
      </c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</row>
    <row r="149" spans="1:15" x14ac:dyDescent="0.35">
      <c r="A149" s="57">
        <v>0</v>
      </c>
      <c r="B149" s="57">
        <v>0</v>
      </c>
      <c r="C149" s="57">
        <v>0</v>
      </c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</row>
    <row r="150" spans="1:15" x14ac:dyDescent="0.35">
      <c r="A150" s="57">
        <v>0</v>
      </c>
      <c r="B150" s="57">
        <v>0</v>
      </c>
      <c r="C150" s="57">
        <v>0</v>
      </c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</row>
    <row r="151" spans="1:15" x14ac:dyDescent="0.35">
      <c r="A151" s="57">
        <v>0</v>
      </c>
      <c r="B151" s="57">
        <v>0</v>
      </c>
      <c r="C151" s="57">
        <v>0</v>
      </c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</row>
    <row r="152" spans="1:15" x14ac:dyDescent="0.35">
      <c r="A152" s="57">
        <v>0</v>
      </c>
      <c r="B152" s="57">
        <v>0</v>
      </c>
      <c r="C152" s="57">
        <v>0</v>
      </c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</row>
    <row r="153" spans="1:15" x14ac:dyDescent="0.35">
      <c r="A153" s="57">
        <v>0</v>
      </c>
      <c r="B153" s="57">
        <v>0</v>
      </c>
      <c r="C153" s="57">
        <v>0</v>
      </c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</row>
    <row r="154" spans="1:15" x14ac:dyDescent="0.35">
      <c r="A154" s="57">
        <v>0</v>
      </c>
      <c r="B154" s="57">
        <v>0</v>
      </c>
      <c r="C154" s="57">
        <v>0</v>
      </c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</row>
    <row r="155" spans="1:15" x14ac:dyDescent="0.35">
      <c r="A155" s="57">
        <v>0</v>
      </c>
      <c r="B155" s="57">
        <v>0</v>
      </c>
      <c r="C155" s="57">
        <v>0</v>
      </c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</row>
    <row r="156" spans="1:15" x14ac:dyDescent="0.35">
      <c r="A156" s="57">
        <v>0</v>
      </c>
      <c r="B156" s="57">
        <v>0</v>
      </c>
      <c r="C156" s="57">
        <v>0</v>
      </c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</row>
    <row r="157" spans="1:15" x14ac:dyDescent="0.35">
      <c r="A157" s="57">
        <v>0</v>
      </c>
      <c r="B157" s="57">
        <v>0</v>
      </c>
      <c r="C157" s="57">
        <v>0</v>
      </c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</row>
    <row r="158" spans="1:15" x14ac:dyDescent="0.35">
      <c r="A158" s="57">
        <v>0</v>
      </c>
      <c r="B158" s="57">
        <v>0</v>
      </c>
      <c r="C158" s="57">
        <v>0</v>
      </c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8"/>
  <sheetViews>
    <sheetView workbookViewId="0">
      <selection activeCell="F35" sqref="F35"/>
    </sheetView>
  </sheetViews>
  <sheetFormatPr defaultColWidth="9.1796875" defaultRowHeight="14.5" x14ac:dyDescent="0.35"/>
  <cols>
    <col min="1" max="1" width="23.54296875" style="57" customWidth="1"/>
    <col min="2" max="2" width="41.453125" style="57" bestFit="1" customWidth="1"/>
    <col min="3" max="3" width="9.1796875" style="57"/>
    <col min="4" max="7" width="11.54296875" style="60" bestFit="1" customWidth="1"/>
    <col min="8" max="15" width="9.1796875" style="60"/>
    <col min="16" max="16384" width="9.1796875" style="57"/>
  </cols>
  <sheetData>
    <row r="1" spans="1:15" x14ac:dyDescent="0.35">
      <c r="A1" s="57" t="str">
        <f>'Distribution Dashboard'!A1</f>
        <v>NAIVAWASS DISTRIBUTION DASHBOARD - NON-REVENUE WATER &amp; ZONAL PERFORMANCE</v>
      </c>
      <c r="B1" s="57">
        <f>'Distribution Dashboard'!B1</f>
        <v>0</v>
      </c>
      <c r="C1" s="57">
        <f>'Distribution Dashboard'!D1</f>
        <v>0</v>
      </c>
    </row>
    <row r="2" spans="1:15" x14ac:dyDescent="0.35">
      <c r="A2" s="57">
        <f>'Distribution Dashboard'!A2</f>
        <v>0</v>
      </c>
      <c r="B2" s="57">
        <f>'Distribution Dashboard'!B2</f>
        <v>46054</v>
      </c>
      <c r="C2" s="57">
        <f>'Distribution Dashboard'!D2</f>
        <v>0</v>
      </c>
    </row>
    <row r="3" spans="1:15" x14ac:dyDescent="0.35">
      <c r="A3" s="57">
        <f>'Distribution Dashboard'!A3</f>
        <v>0</v>
      </c>
      <c r="B3" s="57">
        <f>'Distribution Dashboard'!B3</f>
        <v>0</v>
      </c>
      <c r="C3" s="57" t="str">
        <f>'Distribution Dashboard'!D3</f>
        <v>Monthly</v>
      </c>
    </row>
    <row r="4" spans="1:15" x14ac:dyDescent="0.35">
      <c r="A4" s="57">
        <f>'Distribution Dashboard'!A4</f>
        <v>0</v>
      </c>
      <c r="B4" s="57">
        <f>'Distribution Dashboard'!B4</f>
        <v>0</v>
      </c>
      <c r="C4" s="57" t="str">
        <f>'Distribution Dashboard'!C4</f>
        <v>Unit</v>
      </c>
      <c r="D4" s="60" t="s">
        <v>106</v>
      </c>
      <c r="E4" s="60" t="s">
        <v>107</v>
      </c>
      <c r="F4" s="60" t="s">
        <v>108</v>
      </c>
      <c r="G4" s="60" t="s">
        <v>109</v>
      </c>
      <c r="H4" s="60" t="s">
        <v>110</v>
      </c>
      <c r="I4" s="60" t="s">
        <v>111</v>
      </c>
      <c r="J4" s="60" t="s">
        <v>112</v>
      </c>
      <c r="K4" s="60" t="s">
        <v>113</v>
      </c>
      <c r="L4" s="60" t="s">
        <v>114</v>
      </c>
      <c r="M4" s="60" t="s">
        <v>115</v>
      </c>
      <c r="N4" s="60" t="s">
        <v>30</v>
      </c>
      <c r="O4" s="60" t="s">
        <v>116</v>
      </c>
    </row>
    <row r="5" spans="1:15" x14ac:dyDescent="0.35">
      <c r="A5" s="57">
        <f>'Distribution Dashboard'!A6</f>
        <v>0</v>
      </c>
      <c r="B5" s="57" t="str">
        <f>'Distribution Dashboard'!B6</f>
        <v>REGIONAL  NRW</v>
      </c>
      <c r="C5" s="57">
        <f>'Distribution Dashboard'!C6</f>
        <v>0</v>
      </c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</row>
    <row r="6" spans="1:15" x14ac:dyDescent="0.35">
      <c r="A6" s="57">
        <f>'Distribution Dashboard'!A7</f>
        <v>100</v>
      </c>
      <c r="B6" s="57" t="str">
        <f>'Distribution Dashboard'!B7</f>
        <v>WATER AVAILABLE FOR SALES- REGIONS</v>
      </c>
      <c r="C6" s="57" t="str">
        <f>'Distribution Dashboard'!C7</f>
        <v>m3</v>
      </c>
      <c r="D6" s="59">
        <v>154799</v>
      </c>
      <c r="E6" s="59">
        <v>156773</v>
      </c>
      <c r="F6" s="59">
        <v>158586</v>
      </c>
      <c r="G6" s="59">
        <v>169094</v>
      </c>
      <c r="H6" s="59">
        <v>178584</v>
      </c>
      <c r="I6" s="59">
        <v>186791</v>
      </c>
      <c r="J6" s="59">
        <v>189674</v>
      </c>
      <c r="K6" s="59">
        <v>191956</v>
      </c>
      <c r="L6" s="59">
        <v>194056</v>
      </c>
      <c r="M6" s="59">
        <v>195294</v>
      </c>
      <c r="N6" s="59">
        <v>196008</v>
      </c>
      <c r="O6" s="59">
        <v>196375</v>
      </c>
    </row>
    <row r="7" spans="1:15" x14ac:dyDescent="0.35">
      <c r="A7" s="57" t="str">
        <f>'Distribution Dashboard'!A8</f>
        <v>128a</v>
      </c>
      <c r="B7" s="57" t="str">
        <f>'Distribution Dashboard'!B8</f>
        <v>VOLUME WATER BILLED(CUSTOMERS-M3)</v>
      </c>
      <c r="C7" s="57" t="str">
        <f>'Distribution Dashboard'!C8</f>
        <v>m3</v>
      </c>
      <c r="D7" s="59">
        <v>105788</v>
      </c>
      <c r="E7" s="59">
        <v>108793</v>
      </c>
      <c r="F7" s="59">
        <v>111815</v>
      </c>
      <c r="G7" s="59">
        <v>115924</v>
      </c>
      <c r="H7" s="59">
        <v>120033</v>
      </c>
      <c r="I7" s="59">
        <v>124349</v>
      </c>
      <c r="J7" s="59">
        <v>128794</v>
      </c>
      <c r="K7" s="59">
        <v>132694</v>
      </c>
      <c r="L7" s="59">
        <v>136529</v>
      </c>
      <c r="M7" s="59">
        <v>139680</v>
      </c>
      <c r="N7" s="59">
        <v>142505</v>
      </c>
      <c r="O7" s="59">
        <v>145112</v>
      </c>
    </row>
    <row r="8" spans="1:15" x14ac:dyDescent="0.35">
      <c r="A8" s="57">
        <f>'Distribution Dashboard'!A9</f>
        <v>128</v>
      </c>
      <c r="B8" s="57" t="str">
        <f>'Distribution Dashboard'!B9</f>
        <v>GLOBAL NRW</v>
      </c>
      <c r="C8" s="57" t="str">
        <f>'Distribution Dashboard'!C9</f>
        <v>%</v>
      </c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</row>
    <row r="9" spans="1:15" x14ac:dyDescent="0.35">
      <c r="A9" s="57">
        <f>'Distribution Dashboard'!A10</f>
        <v>0</v>
      </c>
      <c r="B9" s="57" t="str">
        <f>'Distribution Dashboard'!B10</f>
        <v>Number of Active water Connections</v>
      </c>
      <c r="C9" s="57" t="str">
        <f>'Distribution Dashboard'!C10</f>
        <v>NO.</v>
      </c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</row>
    <row r="10" spans="1:15" x14ac:dyDescent="0.35">
      <c r="A10" s="57">
        <f>'Distribution Dashboard'!A11</f>
        <v>0</v>
      </c>
      <c r="B10" s="57" t="str">
        <f>'Distribution Dashboard'!B11</f>
        <v>Number of Active sewer Connections</v>
      </c>
      <c r="C10" s="57" t="str">
        <f>'Distribution Dashboard'!C11</f>
        <v>NO.</v>
      </c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</row>
    <row r="11" spans="1:15" x14ac:dyDescent="0.35">
      <c r="A11" s="57">
        <f>'Distribution Dashboard'!A12</f>
        <v>0</v>
      </c>
      <c r="B11" s="57" t="str">
        <f>'Distribution Dashboard'!B12</f>
        <v>Number of In-active Sewer Connections</v>
      </c>
      <c r="C11" s="57" t="str">
        <f>'Distribution Dashboard'!C12</f>
        <v>NO.</v>
      </c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</row>
    <row r="12" spans="1:15" x14ac:dyDescent="0.35">
      <c r="A12" s="57">
        <f>'Distribution Dashboard'!A13</f>
        <v>0</v>
      </c>
      <c r="B12" s="57" t="str">
        <f>'Distribution Dashboard'!B13</f>
        <v>Number of In-active Water Connections</v>
      </c>
      <c r="C12" s="57" t="str">
        <f>'Distribution Dashboard'!C13</f>
        <v>NO.</v>
      </c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</row>
    <row r="13" spans="1:15" x14ac:dyDescent="0.35">
      <c r="A13" s="57">
        <f>'Distribution Dashboard'!A14</f>
        <v>0</v>
      </c>
      <c r="B13" s="57" t="str">
        <f>'Distribution Dashboard'!B14</f>
        <v>Number of Connections</v>
      </c>
      <c r="C13" s="57" t="str">
        <f>'Distribution Dashboard'!C14</f>
        <v>NO.</v>
      </c>
      <c r="D13" s="65">
        <f>SUM(D9:D12)</f>
        <v>0</v>
      </c>
      <c r="E13" s="65">
        <f t="shared" ref="E13:O13" si="0">SUM(E9:E12)</f>
        <v>0</v>
      </c>
      <c r="F13" s="65">
        <f t="shared" si="0"/>
        <v>0</v>
      </c>
      <c r="G13" s="65">
        <f t="shared" si="0"/>
        <v>0</v>
      </c>
      <c r="H13" s="65">
        <f t="shared" si="0"/>
        <v>0</v>
      </c>
      <c r="I13" s="65">
        <f t="shared" si="0"/>
        <v>0</v>
      </c>
      <c r="J13" s="65">
        <f t="shared" si="0"/>
        <v>0</v>
      </c>
      <c r="K13" s="65">
        <f t="shared" si="0"/>
        <v>0</v>
      </c>
      <c r="L13" s="65">
        <f t="shared" si="0"/>
        <v>0</v>
      </c>
      <c r="M13" s="65">
        <f t="shared" si="0"/>
        <v>0</v>
      </c>
      <c r="N13" s="65">
        <f t="shared" si="0"/>
        <v>0</v>
      </c>
      <c r="O13" s="65">
        <f t="shared" si="0"/>
        <v>0</v>
      </c>
    </row>
    <row r="14" spans="1:15" x14ac:dyDescent="0.35">
      <c r="A14" s="57">
        <f>'Distribution Dashboard'!A15</f>
        <v>0</v>
      </c>
      <c r="B14" s="57" t="str">
        <f>'Distribution Dashboard'!B15</f>
        <v>Maintenance, repair and operational cost</v>
      </c>
      <c r="C14" s="57" t="str">
        <f>'Distribution Dashboard'!C15</f>
        <v>KES</v>
      </c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</row>
    <row r="15" spans="1:15" x14ac:dyDescent="0.35">
      <c r="A15" s="57" t="e">
        <f>'Distribution Dashboard'!#REF!</f>
        <v>#REF!</v>
      </c>
      <c r="B15" s="57" t="e">
        <f>'Distribution Dashboard'!#REF!</f>
        <v>#REF!</v>
      </c>
      <c r="C15" s="57" t="e">
        <f>'Distribution Dashboard'!#REF!</f>
        <v>#REF!</v>
      </c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</row>
    <row r="16" spans="1:15" x14ac:dyDescent="0.35">
      <c r="A16" s="57">
        <f>'Distribution Dashboard'!A16</f>
        <v>0</v>
      </c>
      <c r="B16" s="57" t="str">
        <f>'Distribution Dashboard'!B16</f>
        <v>CENTRAL REGION: CBD,CCCR,KABATI,SITE,KIHOTO,LAKEVIEW</v>
      </c>
      <c r="C16" s="57">
        <f>'Distribution Dashboard'!C16</f>
        <v>0</v>
      </c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</row>
    <row r="17" spans="1:15" x14ac:dyDescent="0.35">
      <c r="A17" s="57" t="str">
        <f>'Distribution Dashboard'!A17</f>
        <v>RA</v>
      </c>
      <c r="B17" s="57" t="str">
        <f>'Distribution Dashboard'!B17</f>
        <v>Volume Water Supplied</v>
      </c>
      <c r="C17" s="57" t="str">
        <f>'Distribution Dashboard'!C17</f>
        <v>m3</v>
      </c>
      <c r="D17" s="59">
        <v>73720</v>
      </c>
      <c r="E17" s="59">
        <v>74769</v>
      </c>
      <c r="F17" s="59">
        <v>75701</v>
      </c>
      <c r="G17" s="59">
        <v>77457</v>
      </c>
      <c r="H17" s="59">
        <v>78581</v>
      </c>
      <c r="I17" s="59">
        <v>79791</v>
      </c>
      <c r="J17" s="59">
        <v>80865</v>
      </c>
      <c r="K17" s="59">
        <v>81369</v>
      </c>
      <c r="L17" s="59">
        <v>81764</v>
      </c>
      <c r="M17" s="59">
        <v>81446</v>
      </c>
      <c r="N17" s="59">
        <v>81133</v>
      </c>
      <c r="O17" s="59">
        <v>80825</v>
      </c>
    </row>
    <row r="18" spans="1:15" x14ac:dyDescent="0.35">
      <c r="A18" s="57" t="str">
        <f>'Distribution Dashboard'!A18</f>
        <v>RA2</v>
      </c>
      <c r="B18" s="57" t="str">
        <f>'Distribution Dashboard'!B18</f>
        <v>Volume Water Sold</v>
      </c>
      <c r="C18" s="57" t="str">
        <f>'Distribution Dashboard'!C18</f>
        <v>m3</v>
      </c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</row>
    <row r="19" spans="1:15" x14ac:dyDescent="0.35">
      <c r="A19" s="57" t="str">
        <f>'Distribution Dashboard'!A19</f>
        <v>RA3</v>
      </c>
      <c r="B19" s="57" t="str">
        <f>'Distribution Dashboard'!B19</f>
        <v>NRW</v>
      </c>
      <c r="C19" s="57" t="str">
        <f>'Distribution Dashboard'!C19</f>
        <v>m3</v>
      </c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</row>
    <row r="20" spans="1:15" x14ac:dyDescent="0.35">
      <c r="A20" s="57" t="str">
        <f>'Distribution Dashboard'!A20</f>
        <v>RA4</v>
      </c>
      <c r="B20" s="57" t="str">
        <f>'Distribution Dashboard'!B20</f>
        <v>NRW</v>
      </c>
      <c r="C20" s="57" t="str">
        <f>'Distribution Dashboard'!C20</f>
        <v>%</v>
      </c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</row>
    <row r="21" spans="1:15" x14ac:dyDescent="0.35">
      <c r="A21" s="57">
        <f>'Distribution Dashboard'!A21</f>
        <v>0</v>
      </c>
      <c r="B21" s="57" t="str">
        <f>'Distribution Dashboard'!B21</f>
        <v>Amount Billed Water</v>
      </c>
      <c r="C21" s="57" t="str">
        <f>'Distribution Dashboard'!C21</f>
        <v>KES</v>
      </c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</row>
    <row r="22" spans="1:15" x14ac:dyDescent="0.35">
      <c r="A22" s="57">
        <f>'Distribution Dashboard'!A22</f>
        <v>0</v>
      </c>
      <c r="B22" s="57" t="str">
        <f>'Distribution Dashboard'!B22</f>
        <v>Amount Billed Sewer</v>
      </c>
      <c r="C22" s="57" t="str">
        <f>'Distribution Dashboard'!C22</f>
        <v>KES</v>
      </c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</row>
    <row r="23" spans="1:15" x14ac:dyDescent="0.35">
      <c r="A23" s="57">
        <f>'Distribution Dashboard'!A23</f>
        <v>0</v>
      </c>
      <c r="B23" s="57" t="str">
        <f>'Distribution Dashboard'!B23</f>
        <v>Number of Active water Connections</v>
      </c>
      <c r="C23" s="57" t="str">
        <f>'Distribution Dashboard'!C23</f>
        <v>KES</v>
      </c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</row>
    <row r="24" spans="1:15" x14ac:dyDescent="0.35">
      <c r="A24" s="57">
        <f>'Distribution Dashboard'!A24</f>
        <v>0</v>
      </c>
      <c r="B24" s="57" t="str">
        <f>'Distribution Dashboard'!B24</f>
        <v>Number of Active sewer Connections</v>
      </c>
      <c r="C24" s="57" t="str">
        <f>'Distribution Dashboard'!C24</f>
        <v>KES</v>
      </c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</row>
    <row r="25" spans="1:15" x14ac:dyDescent="0.35">
      <c r="A25" s="57">
        <f>'Distribution Dashboard'!A25</f>
        <v>0</v>
      </c>
      <c r="B25" s="57" t="str">
        <f>'Distribution Dashboard'!B25</f>
        <v>SOUTHERN REGION: MAI MAHIU,KAMERE,HELLSGATE</v>
      </c>
      <c r="C25" s="57">
        <f>'Distribution Dashboard'!C25</f>
        <v>0</v>
      </c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</row>
    <row r="26" spans="1:15" x14ac:dyDescent="0.35">
      <c r="A26" s="57" t="str">
        <f>'Distribution Dashboard'!A26</f>
        <v>RA6 (B)</v>
      </c>
      <c r="B26" s="57" t="str">
        <f>'Distribution Dashboard'!B26</f>
        <v>Volume Water Supplied</v>
      </c>
      <c r="C26" s="57" t="str">
        <f>'Distribution Dashboard'!C26</f>
        <v>m3</v>
      </c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</row>
    <row r="27" spans="1:15" x14ac:dyDescent="0.35">
      <c r="A27" s="57" t="str">
        <f>'Distribution Dashboard'!A27</f>
        <v>RB2</v>
      </c>
      <c r="B27" s="57" t="str">
        <f>'Distribution Dashboard'!B27</f>
        <v>Volume Water Sold</v>
      </c>
      <c r="C27" s="57" t="str">
        <f>'Distribution Dashboard'!C27</f>
        <v>m3</v>
      </c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</row>
    <row r="28" spans="1:15" x14ac:dyDescent="0.35">
      <c r="A28" s="57" t="str">
        <f>'Distribution Dashboard'!A28</f>
        <v>RB3 (2)</v>
      </c>
      <c r="B28" s="57" t="str">
        <f>'Distribution Dashboard'!B28</f>
        <v>NRW</v>
      </c>
      <c r="C28" s="57" t="str">
        <f>'Distribution Dashboard'!C28</f>
        <v>m3</v>
      </c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</row>
    <row r="29" spans="1:15" x14ac:dyDescent="0.35">
      <c r="A29" s="57" t="str">
        <f>'Distribution Dashboard'!A29</f>
        <v>RB4</v>
      </c>
      <c r="B29" s="57" t="str">
        <f>'Distribution Dashboard'!B29</f>
        <v>NRW</v>
      </c>
      <c r="C29" s="57" t="str">
        <f>'Distribution Dashboard'!C29</f>
        <v>%</v>
      </c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</row>
    <row r="30" spans="1:15" x14ac:dyDescent="0.35">
      <c r="A30" s="57" t="e">
        <f>'Distribution Dashboard'!#REF!</f>
        <v>#REF!</v>
      </c>
      <c r="B30" s="57" t="e">
        <f>'Distribution Dashboard'!#REF!</f>
        <v>#REF!</v>
      </c>
      <c r="C30" s="57" t="e">
        <f>'Distribution Dashboard'!#REF!</f>
        <v>#REF!</v>
      </c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</row>
    <row r="31" spans="1:15" x14ac:dyDescent="0.35">
      <c r="A31" s="57" t="e">
        <f>'Distribution Dashboard'!#REF!</f>
        <v>#REF!</v>
      </c>
      <c r="B31" s="57" t="e">
        <f>'Distribution Dashboard'!#REF!</f>
        <v>#REF!</v>
      </c>
      <c r="C31" s="57" t="e">
        <f>'Distribution Dashboard'!#REF!</f>
        <v>#REF!</v>
      </c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</row>
    <row r="32" spans="1:15" x14ac:dyDescent="0.35">
      <c r="A32" s="57" t="e">
        <f>'Distribution Dashboard'!#REF!</f>
        <v>#REF!</v>
      </c>
      <c r="B32" s="57" t="e">
        <f>'Distribution Dashboard'!#REF!</f>
        <v>#REF!</v>
      </c>
      <c r="C32" s="57" t="e">
        <f>'Distribution Dashboard'!#REF!</f>
        <v>#REF!</v>
      </c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</row>
    <row r="33" spans="1:16" x14ac:dyDescent="0.35">
      <c r="A33" s="57" t="e">
        <f>'Distribution Dashboard'!#REF!</f>
        <v>#REF!</v>
      </c>
      <c r="B33" s="57" t="e">
        <f>'Distribution Dashboard'!#REF!</f>
        <v>#REF!</v>
      </c>
      <c r="C33" s="57" t="e">
        <f>'Distribution Dashboard'!#REF!</f>
        <v>#REF!</v>
      </c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</row>
    <row r="34" spans="1:16" x14ac:dyDescent="0.35">
      <c r="A34" s="57">
        <f>'Distribution Dashboard'!A35</f>
        <v>0</v>
      </c>
      <c r="B34" s="57" t="str">
        <f>'Distribution Dashboard'!B35</f>
        <v>ZONE - CBD</v>
      </c>
      <c r="C34" s="57">
        <f>'Distribution Dashboard'!C35</f>
        <v>0</v>
      </c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</row>
    <row r="35" spans="1:16" x14ac:dyDescent="0.35">
      <c r="A35" s="57">
        <f>'Distribution Dashboard'!A36</f>
        <v>101</v>
      </c>
      <c r="B35" s="57" t="str">
        <f>'Distribution Dashboard'!B36</f>
        <v>Volume Water Supplied</v>
      </c>
      <c r="C35" s="57" t="str">
        <f>'Distribution Dashboard'!C36</f>
        <v>m3</v>
      </c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</row>
    <row r="36" spans="1:16" x14ac:dyDescent="0.35">
      <c r="A36" s="57">
        <f>'Distribution Dashboard'!A37</f>
        <v>108</v>
      </c>
      <c r="B36" s="57" t="str">
        <f>'Distribution Dashboard'!B37</f>
        <v>Volume Water Sold</v>
      </c>
      <c r="C36" s="57" t="str">
        <f>'Distribution Dashboard'!C37</f>
        <v>m3</v>
      </c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</row>
    <row r="37" spans="1:16" x14ac:dyDescent="0.35">
      <c r="A37" s="57">
        <f>'Distribution Dashboard'!A38</f>
        <v>122</v>
      </c>
      <c r="B37" s="57" t="str">
        <f>'Distribution Dashboard'!B38</f>
        <v>NRW</v>
      </c>
      <c r="C37" s="57" t="str">
        <f>'Distribution Dashboard'!C38</f>
        <v>%</v>
      </c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61"/>
    </row>
    <row r="38" spans="1:16" x14ac:dyDescent="0.35">
      <c r="A38" s="57">
        <f>'Distribution Dashboard'!A39</f>
        <v>0</v>
      </c>
      <c r="B38" s="57" t="str">
        <f>'Distribution Dashboard'!B39</f>
        <v>Amount Billed Water</v>
      </c>
      <c r="C38" s="57" t="str">
        <f>'Distribution Dashboard'!C39</f>
        <v>KES</v>
      </c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</row>
    <row r="39" spans="1:16" x14ac:dyDescent="0.35">
      <c r="A39" s="57">
        <f>'Distribution Dashboard'!A40</f>
        <v>0</v>
      </c>
      <c r="B39" s="57" t="str">
        <f>'Distribution Dashboard'!B40</f>
        <v>Amount Billed Sewer</v>
      </c>
      <c r="C39" s="57" t="str">
        <f>'Distribution Dashboard'!C40</f>
        <v>KES</v>
      </c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</row>
    <row r="40" spans="1:16" x14ac:dyDescent="0.35">
      <c r="A40" s="57">
        <f>'Distribution Dashboard'!A41</f>
        <v>0</v>
      </c>
      <c r="B40" s="57" t="str">
        <f>'Distribution Dashboard'!B41</f>
        <v>ZONE - CCCR</v>
      </c>
      <c r="C40" s="57">
        <f>'Distribution Dashboard'!C41</f>
        <v>0</v>
      </c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</row>
    <row r="41" spans="1:16" x14ac:dyDescent="0.35">
      <c r="A41" s="57">
        <f>'Distribution Dashboard'!A42</f>
        <v>102</v>
      </c>
      <c r="B41" s="57" t="str">
        <f>'Distribution Dashboard'!B42</f>
        <v>Volume Water Supplied</v>
      </c>
      <c r="C41" s="57" t="str">
        <f>'Distribution Dashboard'!C42</f>
        <v>m3</v>
      </c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</row>
    <row r="42" spans="1:16" x14ac:dyDescent="0.35">
      <c r="A42" s="57">
        <f>'Distribution Dashboard'!A43</f>
        <v>109</v>
      </c>
      <c r="B42" s="57" t="str">
        <f>'Distribution Dashboard'!B43</f>
        <v>Volume Water Sold</v>
      </c>
      <c r="C42" s="57" t="str">
        <f>'Distribution Dashboard'!C43</f>
        <v>m3</v>
      </c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</row>
    <row r="43" spans="1:16" x14ac:dyDescent="0.35">
      <c r="A43" s="57">
        <f>'Distribution Dashboard'!A44</f>
        <v>123</v>
      </c>
      <c r="B43" s="57" t="str">
        <f>'Distribution Dashboard'!B44</f>
        <v>NRW</v>
      </c>
      <c r="C43" s="57" t="str">
        <f>'Distribution Dashboard'!C44</f>
        <v>%</v>
      </c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</row>
    <row r="44" spans="1:16" x14ac:dyDescent="0.35">
      <c r="A44" s="57">
        <f>'Distribution Dashboard'!A45</f>
        <v>0</v>
      </c>
      <c r="B44" s="57" t="str">
        <f>'Distribution Dashboard'!B45</f>
        <v>Amount Billed Water</v>
      </c>
      <c r="C44" s="57" t="str">
        <f>'Distribution Dashboard'!C45</f>
        <v>KES</v>
      </c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</row>
    <row r="45" spans="1:16" x14ac:dyDescent="0.35">
      <c r="A45" s="57">
        <f>'Distribution Dashboard'!A46</f>
        <v>0</v>
      </c>
      <c r="B45" s="57" t="str">
        <f>'Distribution Dashboard'!B46</f>
        <v>Amount Billed Sewer</v>
      </c>
      <c r="C45" s="57" t="str">
        <f>'Distribution Dashboard'!C46</f>
        <v>KES</v>
      </c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</row>
    <row r="46" spans="1:16" x14ac:dyDescent="0.35">
      <c r="A46" s="57">
        <f>'Distribution Dashboard'!A47</f>
        <v>0</v>
      </c>
      <c r="B46" s="57" t="str">
        <f>'Distribution Dashboard'!B47</f>
        <v>ZONE - LAKEVIEW</v>
      </c>
      <c r="C46" s="57">
        <f>'Distribution Dashboard'!C47</f>
        <v>0</v>
      </c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</row>
    <row r="47" spans="1:16" x14ac:dyDescent="0.35">
      <c r="A47" s="57">
        <f>'Distribution Dashboard'!A48</f>
        <v>104</v>
      </c>
      <c r="B47" s="57" t="str">
        <f>'Distribution Dashboard'!B48</f>
        <v>Volume Water Supplied</v>
      </c>
      <c r="C47" s="57" t="str">
        <f>'Distribution Dashboard'!C48</f>
        <v>m3</v>
      </c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</row>
    <row r="48" spans="1:16" x14ac:dyDescent="0.35">
      <c r="A48" s="57">
        <f>'Distribution Dashboard'!A49</f>
        <v>111</v>
      </c>
      <c r="B48" s="57" t="str">
        <f>'Distribution Dashboard'!B49</f>
        <v>Volume Water Sold</v>
      </c>
      <c r="C48" s="57" t="str">
        <f>'Distribution Dashboard'!C49</f>
        <v>m3</v>
      </c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</row>
    <row r="49" spans="1:15" x14ac:dyDescent="0.35">
      <c r="A49" s="57">
        <f>'Distribution Dashboard'!A50</f>
        <v>125</v>
      </c>
      <c r="B49" s="57" t="str">
        <f>'Distribution Dashboard'!B50</f>
        <v>NRW</v>
      </c>
      <c r="C49" s="57" t="str">
        <f>'Distribution Dashboard'!C50</f>
        <v>%</v>
      </c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</row>
    <row r="50" spans="1:15" x14ac:dyDescent="0.35">
      <c r="A50" s="57">
        <f>'Distribution Dashboard'!A51</f>
        <v>0</v>
      </c>
      <c r="B50" s="57" t="str">
        <f>'Distribution Dashboard'!B51</f>
        <v>Amount Billed Water</v>
      </c>
      <c r="C50" s="57" t="str">
        <f>'Distribution Dashboard'!C51</f>
        <v>KES</v>
      </c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</row>
    <row r="51" spans="1:15" x14ac:dyDescent="0.35">
      <c r="A51" s="57">
        <f>'Distribution Dashboard'!A52</f>
        <v>0</v>
      </c>
      <c r="B51" s="57" t="str">
        <f>'Distribution Dashboard'!B52</f>
        <v>Amount Billed Sewer</v>
      </c>
      <c r="C51" s="57" t="str">
        <f>'Distribution Dashboard'!C52</f>
        <v>KES</v>
      </c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</row>
    <row r="52" spans="1:15" x14ac:dyDescent="0.35">
      <c r="A52" s="57">
        <f>'Distribution Dashboard'!A53</f>
        <v>0</v>
      </c>
      <c r="B52" s="57" t="str">
        <f>'Distribution Dashboard'!B53</f>
        <v>ZONE - KABATI</v>
      </c>
      <c r="C52" s="57">
        <f>'Distribution Dashboard'!C53</f>
        <v>0</v>
      </c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</row>
    <row r="53" spans="1:15" x14ac:dyDescent="0.35">
      <c r="A53" s="57">
        <f>'Distribution Dashboard'!A54</f>
        <v>103</v>
      </c>
      <c r="B53" s="57" t="str">
        <f>'Distribution Dashboard'!B54</f>
        <v>Volume Water Supplied</v>
      </c>
      <c r="C53" s="57" t="str">
        <f>'Distribution Dashboard'!C54</f>
        <v>m3</v>
      </c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</row>
    <row r="54" spans="1:15" x14ac:dyDescent="0.35">
      <c r="A54" s="57">
        <f>'Distribution Dashboard'!A55</f>
        <v>110</v>
      </c>
      <c r="B54" s="57" t="str">
        <f>'Distribution Dashboard'!B55</f>
        <v>Volume Water Sold</v>
      </c>
      <c r="C54" s="57" t="str">
        <f>'Distribution Dashboard'!C55</f>
        <v>m3</v>
      </c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</row>
    <row r="55" spans="1:15" x14ac:dyDescent="0.35">
      <c r="A55" s="57">
        <f>'Distribution Dashboard'!A56</f>
        <v>124</v>
      </c>
      <c r="B55" s="57" t="str">
        <f>'Distribution Dashboard'!B56</f>
        <v>NRW</v>
      </c>
      <c r="C55" s="57" t="str">
        <f>'Distribution Dashboard'!C56</f>
        <v>%</v>
      </c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</row>
    <row r="56" spans="1:15" x14ac:dyDescent="0.35">
      <c r="A56" s="57">
        <f>'Distribution Dashboard'!A57</f>
        <v>0</v>
      </c>
      <c r="B56" s="57" t="str">
        <f>'Distribution Dashboard'!B57</f>
        <v xml:space="preserve">Amount Billed </v>
      </c>
      <c r="C56" s="57" t="str">
        <f>'Distribution Dashboard'!C57</f>
        <v>KES</v>
      </c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</row>
    <row r="57" spans="1:15" x14ac:dyDescent="0.35">
      <c r="A57" s="57">
        <f>'Distribution Dashboard'!A58</f>
        <v>0</v>
      </c>
      <c r="B57" s="57" t="str">
        <f>'Distribution Dashboard'!B58</f>
        <v>Amount Billed Sewer</v>
      </c>
      <c r="C57" s="57" t="str">
        <f>'Distribution Dashboard'!C58</f>
        <v>KES</v>
      </c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</row>
    <row r="58" spans="1:15" x14ac:dyDescent="0.35">
      <c r="A58" s="57">
        <f>'Distribution Dashboard'!A59</f>
        <v>0</v>
      </c>
      <c r="B58" s="57" t="str">
        <f>'Distribution Dashboard'!B59</f>
        <v>ZONE - SITE AND SERVICES</v>
      </c>
      <c r="C58" s="57">
        <f>'Distribution Dashboard'!C59</f>
        <v>0</v>
      </c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</row>
    <row r="59" spans="1:15" x14ac:dyDescent="0.35">
      <c r="A59" s="57">
        <f>'Distribution Dashboard'!A60</f>
        <v>105</v>
      </c>
      <c r="B59" s="57" t="str">
        <f>'Distribution Dashboard'!B60</f>
        <v>Volume Water Supplied</v>
      </c>
      <c r="C59" s="57" t="str">
        <f>'Distribution Dashboard'!C60</f>
        <v>m3</v>
      </c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</row>
    <row r="60" spans="1:15" x14ac:dyDescent="0.35">
      <c r="A60" s="57">
        <f>'Distribution Dashboard'!A61</f>
        <v>112</v>
      </c>
      <c r="B60" s="57" t="str">
        <f>'Distribution Dashboard'!B61</f>
        <v>Volume Water Sold</v>
      </c>
      <c r="C60" s="57" t="str">
        <f>'Distribution Dashboard'!C61</f>
        <v>m3</v>
      </c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</row>
    <row r="61" spans="1:15" x14ac:dyDescent="0.35">
      <c r="A61" s="57">
        <f>'Distribution Dashboard'!A62</f>
        <v>126</v>
      </c>
      <c r="B61" s="57" t="str">
        <f>'Distribution Dashboard'!B62</f>
        <v>NRW</v>
      </c>
      <c r="C61" s="57" t="str">
        <f>'Distribution Dashboard'!C62</f>
        <v>%</v>
      </c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</row>
    <row r="62" spans="1:15" x14ac:dyDescent="0.35">
      <c r="A62" s="57">
        <f>'Distribution Dashboard'!A63</f>
        <v>0</v>
      </c>
      <c r="B62" s="57" t="str">
        <f>'Distribution Dashboard'!B63</f>
        <v>Amount Billed Water</v>
      </c>
      <c r="C62" s="57" t="str">
        <f>'Distribution Dashboard'!C63</f>
        <v>KES</v>
      </c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</row>
    <row r="63" spans="1:15" x14ac:dyDescent="0.35">
      <c r="A63" s="57">
        <f>'Distribution Dashboard'!A64</f>
        <v>0</v>
      </c>
      <c r="B63" s="57" t="str">
        <f>'Distribution Dashboard'!B64</f>
        <v>Amount Billed Sewer</v>
      </c>
      <c r="C63" s="57" t="str">
        <f>'Distribution Dashboard'!C64</f>
        <v>KES</v>
      </c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</row>
    <row r="64" spans="1:15" x14ac:dyDescent="0.35">
      <c r="A64" s="57">
        <f>'Distribution Dashboard'!A69</f>
        <v>0</v>
      </c>
      <c r="B64" s="57" t="str">
        <f>'Distribution Dashboard'!B69</f>
        <v>ZONE - KAMERE</v>
      </c>
      <c r="C64" s="57">
        <f>'Distribution Dashboard'!C69</f>
        <v>0</v>
      </c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</row>
    <row r="65" spans="1:15" x14ac:dyDescent="0.35">
      <c r="A65" s="57">
        <f>'Distribution Dashboard'!A70</f>
        <v>106</v>
      </c>
      <c r="B65" s="57" t="str">
        <f>'Distribution Dashboard'!B70</f>
        <v>Volume Water Supplied</v>
      </c>
      <c r="C65" s="57" t="str">
        <f>'Distribution Dashboard'!C70</f>
        <v>m3</v>
      </c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</row>
    <row r="66" spans="1:15" x14ac:dyDescent="0.35">
      <c r="A66" s="57">
        <f>'Distribution Dashboard'!A71</f>
        <v>113</v>
      </c>
      <c r="B66" s="57" t="str">
        <f>'Distribution Dashboard'!B71</f>
        <v>Volume Water Sold</v>
      </c>
      <c r="C66" s="57" t="str">
        <f>'Distribution Dashboard'!C71</f>
        <v>m3</v>
      </c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</row>
    <row r="67" spans="1:15" x14ac:dyDescent="0.35">
      <c r="A67" s="57">
        <f>'Distribution Dashboard'!A72</f>
        <v>127</v>
      </c>
      <c r="B67" s="57" t="str">
        <f>'Distribution Dashboard'!B72</f>
        <v>NRW</v>
      </c>
      <c r="C67" s="57" t="str">
        <f>'Distribution Dashboard'!C72</f>
        <v>%</v>
      </c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</row>
    <row r="68" spans="1:15" x14ac:dyDescent="0.35">
      <c r="A68" s="57">
        <f>'Distribution Dashboard'!A73</f>
        <v>0</v>
      </c>
      <c r="B68" s="57" t="str">
        <f>'Distribution Dashboard'!B73</f>
        <v>Amount Billed Water</v>
      </c>
      <c r="C68" s="57" t="str">
        <f>'Distribution Dashboard'!C73</f>
        <v>KES</v>
      </c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</row>
    <row r="69" spans="1:15" x14ac:dyDescent="0.35">
      <c r="A69" s="57">
        <f>'Distribution Dashboard'!A74</f>
        <v>0</v>
      </c>
      <c r="B69" s="57" t="str">
        <f>'Distribution Dashboard'!B74</f>
        <v>Amount Billed Sewer</v>
      </c>
      <c r="C69" s="57" t="str">
        <f>'Distribution Dashboard'!C74</f>
        <v>KES</v>
      </c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</row>
    <row r="70" spans="1:15" x14ac:dyDescent="0.35">
      <c r="A70" s="57">
        <f>'Distribution Dashboard'!A75</f>
        <v>0</v>
      </c>
      <c r="B70" s="57" t="str">
        <f>'Distribution Dashboard'!B75</f>
        <v>ZONE - HELLS GATE</v>
      </c>
      <c r="C70" s="57">
        <f>'Distribution Dashboard'!C75</f>
        <v>0</v>
      </c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</row>
    <row r="71" spans="1:15" x14ac:dyDescent="0.35">
      <c r="A71" s="57" t="str">
        <f>'Distribution Dashboard'!A76</f>
        <v>103 (3)</v>
      </c>
      <c r="B71" s="57" t="str">
        <f>'Distribution Dashboard'!B76</f>
        <v>Volume Water Supplied</v>
      </c>
      <c r="C71" s="57" t="str">
        <f>'Distribution Dashboard'!C76</f>
        <v>m3</v>
      </c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</row>
    <row r="72" spans="1:15" x14ac:dyDescent="0.35">
      <c r="A72" s="57" t="str">
        <f>'Distribution Dashboard'!A77</f>
        <v>110 (3)</v>
      </c>
      <c r="B72" s="57" t="str">
        <f>'Distribution Dashboard'!B77</f>
        <v>Volume Water Sold</v>
      </c>
      <c r="C72" s="57" t="str">
        <f>'Distribution Dashboard'!C77</f>
        <v>m3</v>
      </c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</row>
    <row r="73" spans="1:15" x14ac:dyDescent="0.35">
      <c r="A73" s="57" t="str">
        <f>'Distribution Dashboard'!A78</f>
        <v>124 (3)</v>
      </c>
      <c r="B73" s="57" t="str">
        <f>'Distribution Dashboard'!B78</f>
        <v>NRW</v>
      </c>
      <c r="C73" s="57" t="str">
        <f>'Distribution Dashboard'!C78</f>
        <v>%</v>
      </c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</row>
    <row r="74" spans="1:15" x14ac:dyDescent="0.35">
      <c r="A74" s="57">
        <f>'Distribution Dashboard'!A79</f>
        <v>0</v>
      </c>
      <c r="B74" s="57" t="str">
        <f>'Distribution Dashboard'!B79</f>
        <v>Amount Billed Water</v>
      </c>
      <c r="C74" s="57" t="str">
        <f>'Distribution Dashboard'!C79</f>
        <v>KES</v>
      </c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</row>
    <row r="75" spans="1:15" x14ac:dyDescent="0.35">
      <c r="A75" s="57">
        <f>'Distribution Dashboard'!A80</f>
        <v>0</v>
      </c>
      <c r="B75" s="57" t="str">
        <f>'Distribution Dashboard'!B80</f>
        <v>Amount Billed Sewer</v>
      </c>
      <c r="C75" s="57" t="str">
        <f>'Distribution Dashboard'!C80</f>
        <v>KES</v>
      </c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</row>
    <row r="76" spans="1:15" x14ac:dyDescent="0.35">
      <c r="A76" s="57">
        <f>'Distribution Dashboard'!A81</f>
        <v>0</v>
      </c>
      <c r="B76" s="57" t="str">
        <f>'Distribution Dashboard'!B81</f>
        <v>KIHOTO</v>
      </c>
      <c r="C76" s="57">
        <f>'Distribution Dashboard'!C81</f>
        <v>0</v>
      </c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</row>
    <row r="77" spans="1:15" x14ac:dyDescent="0.35">
      <c r="A77" s="57" t="str">
        <f>'Distribution Dashboard'!A82</f>
        <v>103 (2)</v>
      </c>
      <c r="B77" s="57" t="str">
        <f>'Distribution Dashboard'!B82</f>
        <v>Volume Water Supplied</v>
      </c>
      <c r="C77" s="57" t="str">
        <f>'Distribution Dashboard'!C82</f>
        <v>m3</v>
      </c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</row>
    <row r="78" spans="1:15" x14ac:dyDescent="0.35">
      <c r="A78" s="57" t="str">
        <f>'Distribution Dashboard'!A83</f>
        <v>110 (2)</v>
      </c>
      <c r="B78" s="57" t="str">
        <f>'Distribution Dashboard'!B83</f>
        <v>Volume Water Sold</v>
      </c>
      <c r="C78" s="57" t="str">
        <f>'Distribution Dashboard'!C83</f>
        <v>m3</v>
      </c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</row>
    <row r="79" spans="1:15" x14ac:dyDescent="0.35">
      <c r="A79" s="57" t="str">
        <f>'Distribution Dashboard'!A84</f>
        <v>124 (2)</v>
      </c>
      <c r="B79" s="57" t="str">
        <f>'Distribution Dashboard'!B84</f>
        <v>NRW</v>
      </c>
      <c r="C79" s="57" t="str">
        <f>'Distribution Dashboard'!C84</f>
        <v>%</v>
      </c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</row>
    <row r="80" spans="1:15" x14ac:dyDescent="0.35">
      <c r="A80" s="57">
        <f>'Distribution Dashboard'!A85</f>
        <v>0</v>
      </c>
      <c r="B80" s="57" t="str">
        <f>'Distribution Dashboard'!B85</f>
        <v>Amount Billed Water</v>
      </c>
      <c r="C80" s="57" t="str">
        <f>'Distribution Dashboard'!C85</f>
        <v>KES</v>
      </c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</row>
    <row r="81" spans="1:15" x14ac:dyDescent="0.35">
      <c r="A81" s="57">
        <f>'Distribution Dashboard'!A86</f>
        <v>0</v>
      </c>
      <c r="B81" s="57" t="str">
        <f>'Distribution Dashboard'!B86</f>
        <v>Amount Billed Sewer</v>
      </c>
      <c r="C81" s="57" t="str">
        <f>'Distribution Dashboard'!C86</f>
        <v>KES</v>
      </c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</row>
    <row r="82" spans="1:15" x14ac:dyDescent="0.35">
      <c r="A82" s="57">
        <f>'Distribution Dashboard'!A87</f>
        <v>0</v>
      </c>
      <c r="B82" s="57" t="str">
        <f>'Distribution Dashboard'!B87</f>
        <v>KAYOLE</v>
      </c>
      <c r="C82" s="57">
        <f>'Distribution Dashboard'!C87</f>
        <v>0</v>
      </c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</row>
    <row r="83" spans="1:15" x14ac:dyDescent="0.35">
      <c r="A83" s="57" t="str">
        <f>'Distribution Dashboard'!A88</f>
        <v>103 (4)</v>
      </c>
      <c r="B83" s="57" t="str">
        <f>'Distribution Dashboard'!B88</f>
        <v>Volume Water Supplied</v>
      </c>
      <c r="C83" s="57" t="str">
        <f>'Distribution Dashboard'!C88</f>
        <v>m3</v>
      </c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</row>
    <row r="84" spans="1:15" x14ac:dyDescent="0.35">
      <c r="A84" s="57" t="str">
        <f>'Distribution Dashboard'!A89</f>
        <v>110 (4)</v>
      </c>
      <c r="B84" s="57" t="str">
        <f>'Distribution Dashboard'!B89</f>
        <v>Volume Water Sold</v>
      </c>
      <c r="C84" s="57" t="str">
        <f>'Distribution Dashboard'!C89</f>
        <v>m3</v>
      </c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</row>
    <row r="85" spans="1:15" x14ac:dyDescent="0.35">
      <c r="A85" s="57" t="str">
        <f>'Distribution Dashboard'!A90</f>
        <v>124 (4)</v>
      </c>
      <c r="B85" s="57" t="str">
        <f>'Distribution Dashboard'!B90</f>
        <v>NRW</v>
      </c>
      <c r="C85" s="57" t="str">
        <f>'Distribution Dashboard'!C90</f>
        <v>%</v>
      </c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</row>
    <row r="86" spans="1:15" x14ac:dyDescent="0.35">
      <c r="A86" s="57">
        <f>'Distribution Dashboard'!A91</f>
        <v>0</v>
      </c>
      <c r="B86" s="57" t="str">
        <f>'Distribution Dashboard'!B91</f>
        <v>Amount Billed Water</v>
      </c>
      <c r="C86" s="57" t="str">
        <f>'Distribution Dashboard'!C91</f>
        <v>KES</v>
      </c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</row>
    <row r="87" spans="1:15" x14ac:dyDescent="0.35">
      <c r="A87" s="57">
        <f>'Distribution Dashboard'!A92</f>
        <v>0</v>
      </c>
      <c r="B87" s="57" t="str">
        <f>'Distribution Dashboard'!B92</f>
        <v>Amount Billed Sewer</v>
      </c>
      <c r="C87" s="57" t="str">
        <f>'Distribution Dashboard'!C92</f>
        <v>KES</v>
      </c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</row>
    <row r="88" spans="1:15" x14ac:dyDescent="0.35">
      <c r="A88" s="57">
        <f>'Distribution Dashboard'!A93</f>
        <v>0</v>
      </c>
      <c r="B88" s="57" t="str">
        <f>'Distribution Dashboard'!B93</f>
        <v>MAI-MAHIU</v>
      </c>
      <c r="C88" s="57">
        <f>'Distribution Dashboard'!C93</f>
        <v>0</v>
      </c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</row>
    <row r="89" spans="1:15" x14ac:dyDescent="0.35">
      <c r="A89" s="57" t="str">
        <f>'Distribution Dashboard'!A94</f>
        <v>103 (5)</v>
      </c>
      <c r="B89" s="57" t="str">
        <f>'Distribution Dashboard'!B94</f>
        <v>Volume Water Supplied</v>
      </c>
      <c r="C89" s="57" t="str">
        <f>'Distribution Dashboard'!C94</f>
        <v>m3</v>
      </c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</row>
    <row r="90" spans="1:15" x14ac:dyDescent="0.35">
      <c r="A90" s="57" t="str">
        <f>'Distribution Dashboard'!A95</f>
        <v>110 (5)</v>
      </c>
      <c r="B90" s="57" t="str">
        <f>'Distribution Dashboard'!B95</f>
        <v>Volume Water Sold</v>
      </c>
      <c r="C90" s="57" t="str">
        <f>'Distribution Dashboard'!C95</f>
        <v>m3</v>
      </c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</row>
    <row r="91" spans="1:15" x14ac:dyDescent="0.35">
      <c r="A91" s="57" t="str">
        <f>'Distribution Dashboard'!A96</f>
        <v>124 (5)</v>
      </c>
      <c r="B91" s="57" t="str">
        <f>'Distribution Dashboard'!B96</f>
        <v>NRW</v>
      </c>
      <c r="C91" s="57" t="str">
        <f>'Distribution Dashboard'!C96</f>
        <v>%</v>
      </c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</row>
    <row r="92" spans="1:15" x14ac:dyDescent="0.35">
      <c r="A92" s="57">
        <f>'Distribution Dashboard'!A97</f>
        <v>0</v>
      </c>
      <c r="B92" s="57" t="str">
        <f>'Distribution Dashboard'!B97</f>
        <v>Amount Billed Water</v>
      </c>
      <c r="C92" s="57" t="str">
        <f>'Distribution Dashboard'!C97</f>
        <v>KES</v>
      </c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</row>
    <row r="93" spans="1:15" x14ac:dyDescent="0.35">
      <c r="A93" s="57">
        <f>'Distribution Dashboard'!A98</f>
        <v>0</v>
      </c>
      <c r="B93" s="57" t="str">
        <f>'Distribution Dashboard'!B98</f>
        <v>Amount Billed Sewer</v>
      </c>
      <c r="C93" s="57" t="str">
        <f>'Distribution Dashboard'!C98</f>
        <v>KES</v>
      </c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</row>
    <row r="94" spans="1:15" hidden="1" x14ac:dyDescent="0.35">
      <c r="A94" s="57">
        <f>'Distribution Dashboard'!A99</f>
        <v>0</v>
      </c>
      <c r="B94" s="57" t="str">
        <f>'Distribution Dashboard'!B99</f>
        <v>KINUNGI</v>
      </c>
      <c r="C94" s="57">
        <f>'Distribution Dashboard'!C99</f>
        <v>0</v>
      </c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</row>
    <row r="95" spans="1:15" hidden="1" x14ac:dyDescent="0.35">
      <c r="A95" s="57" t="str">
        <f>'Distribution Dashboard'!A116</f>
        <v>103 (6)</v>
      </c>
      <c r="B95" s="57" t="e">
        <f>'Distribution Dashboard'!#REF!</f>
        <v>#REF!</v>
      </c>
      <c r="C95" s="57" t="e">
        <f>'Distribution Dashboard'!#REF!</f>
        <v>#REF!</v>
      </c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</row>
    <row r="96" spans="1:15" hidden="1" x14ac:dyDescent="0.35">
      <c r="A96" s="57" t="str">
        <f>'Distribution Dashboard'!A117</f>
        <v>110 (6)</v>
      </c>
      <c r="B96" s="57" t="e">
        <f>'Distribution Dashboard'!#REF!</f>
        <v>#REF!</v>
      </c>
      <c r="C96" s="57" t="e">
        <f>'Distribution Dashboard'!#REF!</f>
        <v>#REF!</v>
      </c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</row>
    <row r="97" spans="1:15" hidden="1" x14ac:dyDescent="0.35">
      <c r="A97" s="57" t="e">
        <f>'Distribution Dashboard'!#REF!</f>
        <v>#REF!</v>
      </c>
      <c r="B97" s="57" t="e">
        <f>'Distribution Dashboard'!#REF!</f>
        <v>#REF!</v>
      </c>
      <c r="C97" s="57" t="str">
        <f>'Distribution Dashboard'!C118</f>
        <v>%</v>
      </c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</row>
    <row r="98" spans="1:15" hidden="1" x14ac:dyDescent="0.35">
      <c r="A98" s="57">
        <f>'Distribution Dashboard'!A119</f>
        <v>0</v>
      </c>
      <c r="B98" s="57" t="str">
        <f>'Distribution Dashboard'!B116</f>
        <v>Volume Water Supplied</v>
      </c>
      <c r="C98" s="57">
        <f>'Distribution Dashboard'!C119</f>
        <v>0</v>
      </c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</row>
    <row r="99" spans="1:15" x14ac:dyDescent="0.35">
      <c r="A99" s="57">
        <f>'Distribution Dashboard'!A120</f>
        <v>0</v>
      </c>
      <c r="B99" s="57">
        <f>'Distribution Dashboard'!B120</f>
        <v>0</v>
      </c>
      <c r="C99" s="57">
        <f>'Distribution Dashboard'!C120</f>
        <v>0</v>
      </c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</row>
    <row r="100" spans="1:15" x14ac:dyDescent="0.35">
      <c r="A100" s="57">
        <f>'Distribution Dashboard'!A121</f>
        <v>0</v>
      </c>
      <c r="B100" s="57">
        <f>'Distribution Dashboard'!B121</f>
        <v>0</v>
      </c>
      <c r="C100" s="57">
        <f>'Distribution Dashboard'!C121</f>
        <v>0</v>
      </c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</row>
    <row r="101" spans="1:15" x14ac:dyDescent="0.35">
      <c r="A101" s="57">
        <f>'Distribution Dashboard'!A122</f>
        <v>0</v>
      </c>
      <c r="B101" s="57">
        <f>'Distribution Dashboard'!B122</f>
        <v>0</v>
      </c>
      <c r="C101" s="57">
        <f>'Distribution Dashboard'!C122</f>
        <v>0</v>
      </c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</row>
    <row r="102" spans="1:15" x14ac:dyDescent="0.35">
      <c r="A102" s="57">
        <f>'Distribution Dashboard'!A123</f>
        <v>0</v>
      </c>
      <c r="B102" s="57">
        <f>'Distribution Dashboard'!B123</f>
        <v>0</v>
      </c>
      <c r="C102" s="57">
        <f>'Distribution Dashboard'!C123</f>
        <v>0</v>
      </c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</row>
    <row r="103" spans="1:15" x14ac:dyDescent="0.35">
      <c r="A103" s="57">
        <f>'Distribution Dashboard'!A124</f>
        <v>0</v>
      </c>
      <c r="B103" s="57">
        <f>'Distribution Dashboard'!B124</f>
        <v>0</v>
      </c>
      <c r="C103" s="57">
        <f>'Distribution Dashboard'!C124</f>
        <v>0</v>
      </c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</row>
    <row r="104" spans="1:15" x14ac:dyDescent="0.35">
      <c r="A104" s="57">
        <f>'Distribution Dashboard'!A125</f>
        <v>0</v>
      </c>
      <c r="B104" s="57">
        <f>'Distribution Dashboard'!B125</f>
        <v>0</v>
      </c>
      <c r="C104" s="57">
        <f>'Distribution Dashboard'!C125</f>
        <v>0</v>
      </c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</row>
    <row r="105" spans="1:15" x14ac:dyDescent="0.35">
      <c r="A105" s="57">
        <f>'Distribution Dashboard'!A126</f>
        <v>0</v>
      </c>
      <c r="B105" s="57">
        <f>'Distribution Dashboard'!B126</f>
        <v>0</v>
      </c>
      <c r="C105" s="57">
        <f>'Distribution Dashboard'!C126</f>
        <v>0</v>
      </c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</row>
    <row r="106" spans="1:15" x14ac:dyDescent="0.35">
      <c r="A106" s="57">
        <f>'Distribution Dashboard'!A127</f>
        <v>0</v>
      </c>
      <c r="B106" s="57">
        <f>'Distribution Dashboard'!B127</f>
        <v>0</v>
      </c>
      <c r="C106" s="57">
        <f>'Distribution Dashboard'!C127</f>
        <v>0</v>
      </c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</row>
    <row r="107" spans="1:15" x14ac:dyDescent="0.35">
      <c r="A107" s="57">
        <f>'Distribution Dashboard'!A128</f>
        <v>0</v>
      </c>
      <c r="B107" s="57">
        <f>'Distribution Dashboard'!B128</f>
        <v>0</v>
      </c>
      <c r="C107" s="57">
        <f>'Distribution Dashboard'!C128</f>
        <v>0</v>
      </c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</row>
    <row r="108" spans="1:15" x14ac:dyDescent="0.35">
      <c r="A108" s="57">
        <f>'Distribution Dashboard'!A129</f>
        <v>0</v>
      </c>
      <c r="B108" s="57">
        <f>'Distribution Dashboard'!B129</f>
        <v>0</v>
      </c>
      <c r="C108" s="57">
        <f>'Distribution Dashboard'!C129</f>
        <v>0</v>
      </c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</row>
    <row r="109" spans="1:15" x14ac:dyDescent="0.35">
      <c r="A109" s="57">
        <f>'Distribution Dashboard'!A130</f>
        <v>0</v>
      </c>
      <c r="B109" s="57">
        <f>'Distribution Dashboard'!B130</f>
        <v>0</v>
      </c>
      <c r="C109" s="57">
        <f>'Distribution Dashboard'!C130</f>
        <v>0</v>
      </c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</row>
    <row r="110" spans="1:15" x14ac:dyDescent="0.35">
      <c r="A110" s="57">
        <f>'Distribution Dashboard'!A131</f>
        <v>0</v>
      </c>
      <c r="B110" s="57">
        <f>'Distribution Dashboard'!B131</f>
        <v>0</v>
      </c>
      <c r="C110" s="57">
        <f>'Distribution Dashboard'!C131</f>
        <v>0</v>
      </c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</row>
    <row r="111" spans="1:15" x14ac:dyDescent="0.35">
      <c r="A111" s="57">
        <f>'Distribution Dashboard'!A132</f>
        <v>0</v>
      </c>
      <c r="B111" s="57">
        <f>'Distribution Dashboard'!B132</f>
        <v>0</v>
      </c>
      <c r="C111" s="57">
        <f>'Distribution Dashboard'!C132</f>
        <v>0</v>
      </c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</row>
    <row r="112" spans="1:15" x14ac:dyDescent="0.35">
      <c r="A112" s="57">
        <f>'Distribution Dashboard'!A133</f>
        <v>0</v>
      </c>
      <c r="B112" s="57">
        <f>'Distribution Dashboard'!B133</f>
        <v>0</v>
      </c>
      <c r="C112" s="57">
        <f>'Distribution Dashboard'!C133</f>
        <v>0</v>
      </c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</row>
    <row r="113" spans="1:15" x14ac:dyDescent="0.35">
      <c r="A113" s="57">
        <f>'Distribution Dashboard'!A134</f>
        <v>0</v>
      </c>
      <c r="B113" s="57">
        <f>'Distribution Dashboard'!B134</f>
        <v>0</v>
      </c>
      <c r="C113" s="57">
        <f>'Distribution Dashboard'!C134</f>
        <v>0</v>
      </c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</row>
    <row r="114" spans="1:15" x14ac:dyDescent="0.35">
      <c r="A114" s="57">
        <f>'Distribution Dashboard'!A135</f>
        <v>0</v>
      </c>
      <c r="B114" s="57">
        <f>'Distribution Dashboard'!B135</f>
        <v>0</v>
      </c>
      <c r="C114" s="57">
        <f>'Distribution Dashboard'!C135</f>
        <v>0</v>
      </c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</row>
    <row r="115" spans="1:15" x14ac:dyDescent="0.35">
      <c r="A115" s="57">
        <f>'Distribution Dashboard'!A136</f>
        <v>0</v>
      </c>
      <c r="B115" s="57">
        <f>'Distribution Dashboard'!B136</f>
        <v>0</v>
      </c>
      <c r="C115" s="57">
        <f>'Distribution Dashboard'!C136</f>
        <v>0</v>
      </c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</row>
    <row r="116" spans="1:15" x14ac:dyDescent="0.35">
      <c r="A116" s="57">
        <f>'Distribution Dashboard'!A137</f>
        <v>0</v>
      </c>
      <c r="B116" s="57">
        <f>'Distribution Dashboard'!B137</f>
        <v>0</v>
      </c>
      <c r="C116" s="57">
        <f>'Distribution Dashboard'!C137</f>
        <v>0</v>
      </c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</row>
    <row r="117" spans="1:15" x14ac:dyDescent="0.35">
      <c r="A117" s="57">
        <f>'Distribution Dashboard'!A138</f>
        <v>0</v>
      </c>
      <c r="B117" s="57">
        <f>'Distribution Dashboard'!B138</f>
        <v>0</v>
      </c>
      <c r="C117" s="57">
        <f>'Distribution Dashboard'!C138</f>
        <v>0</v>
      </c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</row>
    <row r="118" spans="1:15" x14ac:dyDescent="0.35">
      <c r="A118" s="57">
        <f>'Distribution Dashboard'!A139</f>
        <v>0</v>
      </c>
      <c r="B118" s="57">
        <f>'Distribution Dashboard'!B139</f>
        <v>0</v>
      </c>
      <c r="C118" s="57">
        <f>'Distribution Dashboard'!C139</f>
        <v>0</v>
      </c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</row>
    <row r="119" spans="1:15" x14ac:dyDescent="0.35">
      <c r="A119" s="57">
        <f>'Distribution Dashboard'!A140</f>
        <v>0</v>
      </c>
      <c r="B119" s="57">
        <f>'Distribution Dashboard'!B140</f>
        <v>0</v>
      </c>
      <c r="C119" s="57">
        <f>'Distribution Dashboard'!C140</f>
        <v>0</v>
      </c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</row>
    <row r="120" spans="1:15" x14ac:dyDescent="0.35">
      <c r="A120" s="57">
        <f>'Distribution Dashboard'!A141</f>
        <v>0</v>
      </c>
      <c r="B120" s="57">
        <f>'Distribution Dashboard'!B141</f>
        <v>0</v>
      </c>
      <c r="C120" s="57">
        <f>'Distribution Dashboard'!C141</f>
        <v>0</v>
      </c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</row>
    <row r="121" spans="1:15" x14ac:dyDescent="0.35">
      <c r="A121" s="57">
        <f>'Distribution Dashboard'!A142</f>
        <v>0</v>
      </c>
      <c r="B121" s="57">
        <f>'Distribution Dashboard'!B142</f>
        <v>0</v>
      </c>
      <c r="C121" s="57">
        <f>'Distribution Dashboard'!C142</f>
        <v>0</v>
      </c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</row>
    <row r="122" spans="1:15" x14ac:dyDescent="0.35">
      <c r="A122" s="57">
        <f>'Distribution Dashboard'!A143</f>
        <v>0</v>
      </c>
      <c r="B122" s="57">
        <f>'Distribution Dashboard'!B143</f>
        <v>0</v>
      </c>
      <c r="C122" s="57">
        <f>'Distribution Dashboard'!C143</f>
        <v>0</v>
      </c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</row>
    <row r="123" spans="1:15" x14ac:dyDescent="0.35">
      <c r="A123" s="57">
        <f>'Distribution Dashboard'!A144</f>
        <v>0</v>
      </c>
      <c r="B123" s="57">
        <f>'Distribution Dashboard'!B144</f>
        <v>0</v>
      </c>
      <c r="C123" s="57">
        <f>'Distribution Dashboard'!C144</f>
        <v>0</v>
      </c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</row>
    <row r="124" spans="1:15" x14ac:dyDescent="0.35">
      <c r="A124" s="57">
        <f>'Distribution Dashboard'!A145</f>
        <v>0</v>
      </c>
      <c r="B124" s="57">
        <f>'Distribution Dashboard'!B145</f>
        <v>0</v>
      </c>
      <c r="C124" s="57">
        <f>'Distribution Dashboard'!C145</f>
        <v>0</v>
      </c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</row>
    <row r="125" spans="1:15" x14ac:dyDescent="0.35">
      <c r="A125" s="57">
        <f>'Distribution Dashboard'!A146</f>
        <v>0</v>
      </c>
      <c r="B125" s="57">
        <f>'Distribution Dashboard'!B146</f>
        <v>0</v>
      </c>
      <c r="C125" s="57">
        <f>'Distribution Dashboard'!C146</f>
        <v>0</v>
      </c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</row>
    <row r="126" spans="1:15" x14ac:dyDescent="0.35">
      <c r="A126" s="57">
        <f>'Distribution Dashboard'!A147</f>
        <v>0</v>
      </c>
      <c r="B126" s="57">
        <f>'Distribution Dashboard'!B147</f>
        <v>0</v>
      </c>
      <c r="C126" s="57">
        <f>'Distribution Dashboard'!C147</f>
        <v>0</v>
      </c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</row>
    <row r="127" spans="1:15" x14ac:dyDescent="0.35">
      <c r="A127" s="57">
        <f>'Distribution Dashboard'!A148</f>
        <v>0</v>
      </c>
      <c r="B127" s="57">
        <f>'Distribution Dashboard'!B148</f>
        <v>0</v>
      </c>
      <c r="C127" s="57">
        <f>'Distribution Dashboard'!C148</f>
        <v>0</v>
      </c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</row>
    <row r="128" spans="1:15" x14ac:dyDescent="0.35">
      <c r="A128" s="57">
        <f>'Distribution Dashboard'!A149</f>
        <v>0</v>
      </c>
      <c r="B128" s="57">
        <f>'Distribution Dashboard'!B149</f>
        <v>0</v>
      </c>
      <c r="C128" s="57">
        <f>'Distribution Dashboard'!C149</f>
        <v>0</v>
      </c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</row>
    <row r="129" spans="1:15" x14ac:dyDescent="0.35">
      <c r="A129" s="57">
        <f>'Distribution Dashboard'!A150</f>
        <v>0</v>
      </c>
      <c r="B129" s="57">
        <f>'Distribution Dashboard'!B150</f>
        <v>0</v>
      </c>
      <c r="C129" s="57">
        <f>'Distribution Dashboard'!C150</f>
        <v>0</v>
      </c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</row>
    <row r="130" spans="1:15" x14ac:dyDescent="0.35">
      <c r="A130" s="57">
        <f>'Distribution Dashboard'!A151</f>
        <v>0</v>
      </c>
      <c r="B130" s="57">
        <f>'Distribution Dashboard'!B151</f>
        <v>0</v>
      </c>
      <c r="C130" s="57">
        <f>'Distribution Dashboard'!C151</f>
        <v>0</v>
      </c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</row>
    <row r="131" spans="1:15" x14ac:dyDescent="0.35">
      <c r="A131" s="57">
        <f>'Distribution Dashboard'!A152</f>
        <v>0</v>
      </c>
      <c r="B131" s="57">
        <f>'Distribution Dashboard'!B152</f>
        <v>0</v>
      </c>
      <c r="C131" s="57">
        <f>'Distribution Dashboard'!C152</f>
        <v>0</v>
      </c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</row>
    <row r="132" spans="1:15" x14ac:dyDescent="0.35">
      <c r="A132" s="57">
        <f>'Distribution Dashboard'!A153</f>
        <v>0</v>
      </c>
      <c r="B132" s="57">
        <f>'Distribution Dashboard'!B153</f>
        <v>0</v>
      </c>
      <c r="C132" s="57">
        <f>'Distribution Dashboard'!C153</f>
        <v>0</v>
      </c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</row>
    <row r="133" spans="1:15" x14ac:dyDescent="0.35">
      <c r="A133" s="57">
        <f>'Distribution Dashboard'!A154</f>
        <v>0</v>
      </c>
      <c r="B133" s="57">
        <f>'Distribution Dashboard'!B154</f>
        <v>0</v>
      </c>
      <c r="C133" s="57">
        <f>'Distribution Dashboard'!C154</f>
        <v>0</v>
      </c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</row>
    <row r="134" spans="1:15" x14ac:dyDescent="0.35">
      <c r="A134" s="57">
        <f>'Distribution Dashboard'!A155</f>
        <v>0</v>
      </c>
      <c r="B134" s="57">
        <f>'Distribution Dashboard'!B155</f>
        <v>0</v>
      </c>
      <c r="C134" s="57">
        <f>'Distribution Dashboard'!C155</f>
        <v>0</v>
      </c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</row>
    <row r="135" spans="1:15" x14ac:dyDescent="0.35">
      <c r="A135" s="57">
        <f>'Distribution Dashboard'!A156</f>
        <v>0</v>
      </c>
      <c r="B135" s="57">
        <f>'Distribution Dashboard'!B156</f>
        <v>0</v>
      </c>
      <c r="C135" s="57">
        <f>'Distribution Dashboard'!C156</f>
        <v>0</v>
      </c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</row>
    <row r="136" spans="1:15" x14ac:dyDescent="0.35">
      <c r="A136" s="57">
        <f>'Distribution Dashboard'!A157</f>
        <v>0</v>
      </c>
      <c r="B136" s="57">
        <f>'Distribution Dashboard'!B157</f>
        <v>0</v>
      </c>
      <c r="C136" s="57">
        <f>'Distribution Dashboard'!C157</f>
        <v>0</v>
      </c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</row>
    <row r="137" spans="1:15" x14ac:dyDescent="0.35">
      <c r="A137" s="57">
        <f>'Distribution Dashboard'!A158</f>
        <v>0</v>
      </c>
      <c r="B137" s="57">
        <f>'Distribution Dashboard'!B158</f>
        <v>0</v>
      </c>
      <c r="C137" s="57">
        <f>'Distribution Dashboard'!C158</f>
        <v>0</v>
      </c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</row>
    <row r="138" spans="1:15" x14ac:dyDescent="0.35">
      <c r="A138" s="57">
        <f>'Distribution Dashboard'!A159</f>
        <v>0</v>
      </c>
      <c r="B138" s="57">
        <f>'Distribution Dashboard'!B159</f>
        <v>0</v>
      </c>
      <c r="C138" s="57">
        <f>'Distribution Dashboard'!C159</f>
        <v>0</v>
      </c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</row>
    <row r="139" spans="1:15" x14ac:dyDescent="0.35">
      <c r="A139" s="57">
        <f>'Distribution Dashboard'!A160</f>
        <v>0</v>
      </c>
      <c r="B139" s="57">
        <f>'Distribution Dashboard'!B160</f>
        <v>0</v>
      </c>
      <c r="C139" s="57">
        <f>'Distribution Dashboard'!C160</f>
        <v>0</v>
      </c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</row>
    <row r="140" spans="1:15" x14ac:dyDescent="0.35">
      <c r="A140" s="57">
        <f>'Distribution Dashboard'!A161</f>
        <v>0</v>
      </c>
      <c r="B140" s="57">
        <f>'Distribution Dashboard'!B161</f>
        <v>0</v>
      </c>
      <c r="C140" s="57">
        <f>'Distribution Dashboard'!C161</f>
        <v>0</v>
      </c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</row>
    <row r="141" spans="1:15" x14ac:dyDescent="0.35">
      <c r="A141" s="57">
        <f>'Distribution Dashboard'!A162</f>
        <v>0</v>
      </c>
      <c r="B141" s="57">
        <f>'Distribution Dashboard'!B162</f>
        <v>0</v>
      </c>
      <c r="C141" s="57">
        <f>'Distribution Dashboard'!C162</f>
        <v>0</v>
      </c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</row>
    <row r="142" spans="1:15" x14ac:dyDescent="0.35">
      <c r="A142" s="57">
        <f>'Distribution Dashboard'!A163</f>
        <v>0</v>
      </c>
      <c r="B142" s="57">
        <f>'Distribution Dashboard'!B163</f>
        <v>0</v>
      </c>
      <c r="C142" s="57">
        <f>'Distribution Dashboard'!C163</f>
        <v>0</v>
      </c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</row>
    <row r="143" spans="1:15" x14ac:dyDescent="0.35">
      <c r="A143" s="57">
        <f>'Distribution Dashboard'!A164</f>
        <v>0</v>
      </c>
      <c r="B143" s="57">
        <f>'Distribution Dashboard'!B164</f>
        <v>0</v>
      </c>
      <c r="C143" s="57">
        <f>'Distribution Dashboard'!C164</f>
        <v>0</v>
      </c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</row>
    <row r="144" spans="1:15" x14ac:dyDescent="0.35">
      <c r="A144" s="57">
        <f>'Distribution Dashboard'!A165</f>
        <v>0</v>
      </c>
      <c r="B144" s="57">
        <f>'Distribution Dashboard'!B165</f>
        <v>0</v>
      </c>
      <c r="C144" s="57">
        <f>'Distribution Dashboard'!C165</f>
        <v>0</v>
      </c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</row>
    <row r="145" spans="1:15" x14ac:dyDescent="0.35">
      <c r="A145" s="57">
        <f>'Distribution Dashboard'!A166</f>
        <v>0</v>
      </c>
      <c r="B145" s="57">
        <f>'Distribution Dashboard'!B166</f>
        <v>0</v>
      </c>
      <c r="C145" s="57">
        <f>'Distribution Dashboard'!C166</f>
        <v>0</v>
      </c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</row>
    <row r="146" spans="1:15" x14ac:dyDescent="0.35">
      <c r="A146" s="57">
        <f>'Distribution Dashboard'!A167</f>
        <v>0</v>
      </c>
      <c r="B146" s="57">
        <f>'Distribution Dashboard'!B167</f>
        <v>0</v>
      </c>
      <c r="C146" s="57">
        <f>'Distribution Dashboard'!C167</f>
        <v>0</v>
      </c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</row>
    <row r="147" spans="1:15" x14ac:dyDescent="0.35">
      <c r="A147" s="57">
        <f>'Distribution Dashboard'!A168</f>
        <v>0</v>
      </c>
      <c r="B147" s="57">
        <f>'Distribution Dashboard'!B168</f>
        <v>0</v>
      </c>
      <c r="C147" s="57">
        <f>'Distribution Dashboard'!C168</f>
        <v>0</v>
      </c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</row>
    <row r="148" spans="1:15" x14ac:dyDescent="0.35">
      <c r="A148" s="57">
        <f>'Distribution Dashboard'!A169</f>
        <v>0</v>
      </c>
      <c r="B148" s="57">
        <f>'Distribution Dashboard'!B169</f>
        <v>0</v>
      </c>
      <c r="C148" s="57">
        <f>'Distribution Dashboard'!C169</f>
        <v>0</v>
      </c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</row>
    <row r="149" spans="1:15" x14ac:dyDescent="0.35">
      <c r="A149" s="57">
        <f>'Distribution Dashboard'!A170</f>
        <v>0</v>
      </c>
      <c r="B149" s="57">
        <f>'Distribution Dashboard'!B170</f>
        <v>0</v>
      </c>
      <c r="C149" s="57">
        <f>'Distribution Dashboard'!C170</f>
        <v>0</v>
      </c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</row>
    <row r="150" spans="1:15" x14ac:dyDescent="0.35">
      <c r="A150" s="57">
        <f>'Distribution Dashboard'!A171</f>
        <v>0</v>
      </c>
      <c r="B150" s="57">
        <f>'Distribution Dashboard'!B171</f>
        <v>0</v>
      </c>
      <c r="C150" s="57">
        <f>'Distribution Dashboard'!C171</f>
        <v>0</v>
      </c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</row>
    <row r="151" spans="1:15" x14ac:dyDescent="0.35">
      <c r="A151" s="57">
        <f>'Distribution Dashboard'!A172</f>
        <v>0</v>
      </c>
      <c r="B151" s="57">
        <f>'Distribution Dashboard'!B172</f>
        <v>0</v>
      </c>
      <c r="C151" s="57">
        <f>'Distribution Dashboard'!C172</f>
        <v>0</v>
      </c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</row>
    <row r="152" spans="1:15" x14ac:dyDescent="0.35">
      <c r="A152" s="57">
        <f>'Distribution Dashboard'!A173</f>
        <v>0</v>
      </c>
      <c r="B152" s="57">
        <f>'Distribution Dashboard'!B173</f>
        <v>0</v>
      </c>
      <c r="C152" s="57">
        <f>'Distribution Dashboard'!C173</f>
        <v>0</v>
      </c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</row>
    <row r="153" spans="1:15" x14ac:dyDescent="0.35">
      <c r="A153" s="57">
        <f>'Distribution Dashboard'!A174</f>
        <v>0</v>
      </c>
      <c r="B153" s="57">
        <f>'Distribution Dashboard'!B174</f>
        <v>0</v>
      </c>
      <c r="C153" s="57">
        <f>'Distribution Dashboard'!C174</f>
        <v>0</v>
      </c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</row>
    <row r="154" spans="1:15" x14ac:dyDescent="0.35">
      <c r="A154" s="57">
        <f>'Distribution Dashboard'!A175</f>
        <v>0</v>
      </c>
      <c r="B154" s="57">
        <f>'Distribution Dashboard'!B175</f>
        <v>0</v>
      </c>
      <c r="C154" s="57">
        <f>'Distribution Dashboard'!C175</f>
        <v>0</v>
      </c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</row>
    <row r="155" spans="1:15" x14ac:dyDescent="0.35">
      <c r="A155" s="57">
        <f>'Distribution Dashboard'!A176</f>
        <v>0</v>
      </c>
      <c r="B155" s="57">
        <f>'Distribution Dashboard'!B176</f>
        <v>0</v>
      </c>
      <c r="C155" s="57">
        <f>'Distribution Dashboard'!C176</f>
        <v>0</v>
      </c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</row>
    <row r="156" spans="1:15" x14ac:dyDescent="0.35">
      <c r="A156" s="57">
        <f>'Distribution Dashboard'!A177</f>
        <v>0</v>
      </c>
      <c r="B156" s="57">
        <f>'Distribution Dashboard'!B177</f>
        <v>0</v>
      </c>
      <c r="C156" s="57">
        <f>'Distribution Dashboard'!C177</f>
        <v>0</v>
      </c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</row>
    <row r="157" spans="1:15" x14ac:dyDescent="0.35">
      <c r="A157" s="57">
        <f>'Distribution Dashboard'!A178</f>
        <v>0</v>
      </c>
      <c r="B157" s="57">
        <f>'Distribution Dashboard'!B178</f>
        <v>0</v>
      </c>
      <c r="C157" s="57">
        <f>'Distribution Dashboard'!C178</f>
        <v>0</v>
      </c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</row>
    <row r="158" spans="1:15" x14ac:dyDescent="0.35">
      <c r="A158" s="57">
        <f>'Distribution Dashboard'!A179</f>
        <v>0</v>
      </c>
      <c r="B158" s="57">
        <f>'Distribution Dashboard'!B179</f>
        <v>0</v>
      </c>
      <c r="C158" s="57">
        <f>'Distribution Dashboard'!C179</f>
        <v>0</v>
      </c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S30"/>
  <sheetViews>
    <sheetView topLeftCell="E1" workbookViewId="0">
      <selection activeCell="M35" sqref="M35"/>
    </sheetView>
  </sheetViews>
  <sheetFormatPr defaultColWidth="9.1796875" defaultRowHeight="14.5" x14ac:dyDescent="0.35"/>
  <cols>
    <col min="1" max="1" width="9.1796875" style="3"/>
    <col min="2" max="2" width="6.54296875" style="3" customWidth="1"/>
    <col min="3" max="3" width="14.54296875" style="3" customWidth="1"/>
    <col min="4" max="4" width="21.2695312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customHeight="1" x14ac:dyDescent="0.5">
      <c r="A1" s="4" t="s">
        <v>4</v>
      </c>
      <c r="B1" s="4" t="e">
        <f>'Distribution Dashboard'!#REF!</f>
        <v>#REF!</v>
      </c>
      <c r="C1" s="124" t="s">
        <v>206</v>
      </c>
      <c r="D1" s="124"/>
      <c r="E1" s="124"/>
      <c r="F1" s="124"/>
      <c r="G1" s="3" t="s">
        <v>10</v>
      </c>
      <c r="I1" s="12">
        <f>INDEX(E18:P18,Actual_month)</f>
        <v>46054</v>
      </c>
      <c r="L1" s="15" t="s">
        <v>21</v>
      </c>
      <c r="M1" s="56"/>
      <c r="R1" s="5"/>
    </row>
    <row r="2" spans="1:19" x14ac:dyDescent="0.35">
      <c r="A2" s="3" t="s">
        <v>14</v>
      </c>
      <c r="C2" s="3" t="str">
        <f>'Distribution Dashboard'!C36</f>
        <v>m3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25"/>
      <c r="K4" s="126"/>
      <c r="L4" s="126"/>
      <c r="M4" s="126"/>
      <c r="N4" s="126"/>
      <c r="O4" s="126"/>
      <c r="P4" s="126"/>
      <c r="Q4" s="127"/>
      <c r="R4" s="3" t="s">
        <v>25</v>
      </c>
      <c r="S4" s="43">
        <f>INDEX(E27:P27,Actual_month)</f>
        <v>1717654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28"/>
      <c r="K5" s="129"/>
      <c r="L5" s="129"/>
      <c r="M5" s="129"/>
      <c r="N5" s="129"/>
      <c r="O5" s="129"/>
      <c r="P5" s="129"/>
      <c r="Q5" s="130"/>
      <c r="R5" s="3" t="s">
        <v>26</v>
      </c>
      <c r="S5" s="43">
        <f>INDEX(E26:P26,Actual_month)</f>
        <v>1776711.446560892</v>
      </c>
    </row>
    <row r="6" spans="1:19" x14ac:dyDescent="0.35">
      <c r="J6" s="128"/>
      <c r="K6" s="129"/>
      <c r="L6" s="129"/>
      <c r="M6" s="129"/>
      <c r="N6" s="129"/>
      <c r="O6" s="129"/>
      <c r="P6" s="129"/>
      <c r="Q6" s="130"/>
      <c r="R6" s="6">
        <v>0.9</v>
      </c>
      <c r="S6" s="43">
        <f>+S5*R6</f>
        <v>1599040.3019048029</v>
      </c>
    </row>
    <row r="7" spans="1:19" x14ac:dyDescent="0.35">
      <c r="J7" s="128"/>
      <c r="K7" s="129"/>
      <c r="L7" s="129"/>
      <c r="M7" s="129"/>
      <c r="N7" s="129"/>
      <c r="O7" s="129"/>
      <c r="P7" s="129"/>
      <c r="Q7" s="130"/>
    </row>
    <row r="8" spans="1:19" ht="15" thickBot="1" x14ac:dyDescent="0.4">
      <c r="J8" s="131"/>
      <c r="K8" s="132"/>
      <c r="L8" s="132"/>
      <c r="M8" s="132"/>
      <c r="N8" s="132"/>
      <c r="O8" s="132"/>
      <c r="P8" s="132"/>
      <c r="Q8" s="133"/>
    </row>
    <row r="9" spans="1:19" ht="15" thickBot="1" x14ac:dyDescent="0.4">
      <c r="J9" s="3" t="s">
        <v>13</v>
      </c>
    </row>
    <row r="10" spans="1:19" x14ac:dyDescent="0.35">
      <c r="J10" s="125"/>
      <c r="K10" s="126"/>
      <c r="L10" s="126"/>
      <c r="M10" s="126"/>
      <c r="N10" s="126"/>
      <c r="O10" s="126"/>
      <c r="P10" s="126"/>
      <c r="Q10" s="127"/>
    </row>
    <row r="11" spans="1:19" x14ac:dyDescent="0.35">
      <c r="J11" s="128"/>
      <c r="K11" s="129"/>
      <c r="L11" s="129"/>
      <c r="M11" s="129"/>
      <c r="N11" s="129"/>
      <c r="O11" s="129"/>
      <c r="P11" s="129"/>
      <c r="Q11" s="130"/>
    </row>
    <row r="12" spans="1:19" x14ac:dyDescent="0.35">
      <c r="J12" s="128"/>
      <c r="K12" s="129"/>
      <c r="L12" s="129"/>
      <c r="M12" s="129"/>
      <c r="N12" s="129"/>
      <c r="O12" s="129"/>
      <c r="P12" s="129"/>
      <c r="Q12" s="130"/>
    </row>
    <row r="13" spans="1:19" x14ac:dyDescent="0.35">
      <c r="J13" s="128"/>
      <c r="K13" s="129"/>
      <c r="L13" s="129"/>
      <c r="M13" s="129"/>
      <c r="N13" s="129"/>
      <c r="O13" s="129"/>
      <c r="P13" s="129"/>
      <c r="Q13" s="130"/>
    </row>
    <row r="14" spans="1:19" x14ac:dyDescent="0.35">
      <c r="J14" s="128"/>
      <c r="K14" s="129"/>
      <c r="L14" s="129"/>
      <c r="M14" s="129"/>
      <c r="N14" s="129"/>
      <c r="O14" s="129"/>
      <c r="P14" s="129"/>
      <c r="Q14" s="130"/>
    </row>
    <row r="15" spans="1:19" ht="15" thickBot="1" x14ac:dyDescent="0.4">
      <c r="J15" s="131"/>
      <c r="K15" s="132"/>
      <c r="L15" s="132"/>
      <c r="M15" s="132"/>
      <c r="N15" s="132"/>
      <c r="O15" s="132"/>
      <c r="P15" s="132"/>
      <c r="Q15" s="133"/>
    </row>
    <row r="18" spans="3:17" x14ac:dyDescent="0.35">
      <c r="C18" s="7" t="s">
        <v>9</v>
      </c>
      <c r="E18" s="11">
        <v>45839</v>
      </c>
      <c r="F18" s="11">
        <v>45870</v>
      </c>
      <c r="G18" s="11">
        <v>45901</v>
      </c>
      <c r="H18" s="11">
        <v>45931</v>
      </c>
      <c r="I18" s="11">
        <v>45962</v>
      </c>
      <c r="J18" s="11">
        <v>45992</v>
      </c>
      <c r="K18" s="11">
        <v>46023</v>
      </c>
      <c r="L18" s="11">
        <v>46054</v>
      </c>
      <c r="M18" s="11">
        <v>46082</v>
      </c>
      <c r="N18" s="11">
        <v>46113</v>
      </c>
      <c r="O18" s="11">
        <v>46143</v>
      </c>
      <c r="P18" s="11">
        <v>46174</v>
      </c>
      <c r="Q18" s="8" t="s">
        <v>0</v>
      </c>
    </row>
    <row r="19" spans="3:17" x14ac:dyDescent="0.35">
      <c r="D19" s="3" t="s">
        <v>209</v>
      </c>
      <c r="E19" s="43">
        <f>Budget2526!D10</f>
        <v>214810.56914782134</v>
      </c>
      <c r="F19" s="43">
        <f>Budget2526!E10</f>
        <v>215882.83666165808</v>
      </c>
      <c r="G19" s="43">
        <f>Budget2526!F10</f>
        <v>217038.89692224737</v>
      </c>
      <c r="H19" s="43">
        <f>Budget2526!G10</f>
        <v>220378.22782870446</v>
      </c>
      <c r="I19" s="43">
        <f>Budget2526!H10</f>
        <v>223369.42690525271</v>
      </c>
      <c r="J19" s="43">
        <f>Budget2526!I10</f>
        <v>226152.02068992931</v>
      </c>
      <c r="K19" s="43">
        <f>Budget2526!J10</f>
        <v>228481.92458352185</v>
      </c>
      <c r="L19" s="43">
        <f>Budget2526!K10</f>
        <v>230597.54382175682</v>
      </c>
      <c r="M19" s="43">
        <f>Budget2526!L10</f>
        <v>232389.43623022985</v>
      </c>
      <c r="N19" s="43">
        <f>Budget2526!M10</f>
        <v>233508.46181669243</v>
      </c>
      <c r="O19" s="43">
        <f>Budget2526!N10</f>
        <v>234597.58058775531</v>
      </c>
      <c r="P19" s="43">
        <f>Budget2526!O10</f>
        <v>235619.07480443019</v>
      </c>
      <c r="Q19" s="5"/>
    </row>
    <row r="20" spans="3:17" x14ac:dyDescent="0.35">
      <c r="D20" s="3" t="s">
        <v>210</v>
      </c>
      <c r="E20" s="43">
        <f>Actuals2526!D10</f>
        <v>203624</v>
      </c>
      <c r="F20" s="43">
        <f>Actuals2526!E10</f>
        <v>229218</v>
      </c>
      <c r="G20" s="43">
        <f>Actuals2526!F10</f>
        <v>194924</v>
      </c>
      <c r="H20" s="43">
        <f>Actuals2526!G10</f>
        <v>247237</v>
      </c>
      <c r="I20" s="43">
        <f>Actuals2526!H10</f>
        <v>181647</v>
      </c>
      <c r="J20" s="43">
        <f>Actuals2526!I10</f>
        <v>180291</v>
      </c>
      <c r="K20" s="43">
        <f>Actuals2526!J10</f>
        <v>258170</v>
      </c>
      <c r="L20" s="43">
        <f>Actuals2526!K10</f>
        <v>222543</v>
      </c>
      <c r="M20" s="43">
        <f>Actuals2526!L10</f>
        <v>0</v>
      </c>
      <c r="N20" s="43">
        <f>Actuals2526!M10</f>
        <v>0</v>
      </c>
      <c r="O20" s="43">
        <f>Actuals2526!N10</f>
        <v>0</v>
      </c>
      <c r="P20" s="43">
        <f>Actuals2526!O10</f>
        <v>0</v>
      </c>
      <c r="Q20" s="5"/>
    </row>
    <row r="21" spans="3:17" x14ac:dyDescent="0.35">
      <c r="D21" s="3" t="s">
        <v>7</v>
      </c>
      <c r="E21" s="43">
        <f>IF(E20=0,0,E20-E19)</f>
        <v>-11186.569147821341</v>
      </c>
      <c r="F21" s="43">
        <f t="shared" ref="F21:P21" si="0">IF(F20=0,0,F20-F19)</f>
        <v>13335.163338341925</v>
      </c>
      <c r="G21" s="43">
        <f t="shared" si="0"/>
        <v>-22114.896922247368</v>
      </c>
      <c r="H21" s="43">
        <f t="shared" si="0"/>
        <v>26858.772171295539</v>
      </c>
      <c r="I21" s="43">
        <f t="shared" si="0"/>
        <v>-41722.426905252709</v>
      </c>
      <c r="J21" s="43">
        <f t="shared" si="0"/>
        <v>-45861.020689929312</v>
      </c>
      <c r="K21" s="43">
        <f t="shared" si="0"/>
        <v>29688.075416478154</v>
      </c>
      <c r="L21" s="43">
        <f t="shared" si="0"/>
        <v>-8054.5438217568153</v>
      </c>
      <c r="M21" s="43">
        <f t="shared" si="0"/>
        <v>0</v>
      </c>
      <c r="N21" s="43">
        <f t="shared" si="0"/>
        <v>0</v>
      </c>
      <c r="O21" s="43">
        <f t="shared" si="0"/>
        <v>0</v>
      </c>
      <c r="P21" s="43">
        <f t="shared" si="0"/>
        <v>0</v>
      </c>
      <c r="Q21" s="5"/>
    </row>
    <row r="22" spans="3:17" x14ac:dyDescent="0.35">
      <c r="D22" s="3" t="s">
        <v>8</v>
      </c>
      <c r="E22" s="9">
        <f>E20/E19</f>
        <v>0.94792356264312427</v>
      </c>
      <c r="F22" s="9">
        <f t="shared" ref="F22:P22" si="1">F20/F19</f>
        <v>1.0617703729696744</v>
      </c>
      <c r="G22" s="9">
        <f t="shared" si="1"/>
        <v>0.89810629690875243</v>
      </c>
      <c r="H22" s="9">
        <f t="shared" si="1"/>
        <v>1.1218757970600086</v>
      </c>
      <c r="I22" s="9">
        <f t="shared" si="1"/>
        <v>0.81321335026323793</v>
      </c>
      <c r="J22" s="9">
        <f t="shared" si="1"/>
        <v>0.79721153695633762</v>
      </c>
      <c r="K22" s="9">
        <f t="shared" si="1"/>
        <v>1.1299362103614705</v>
      </c>
      <c r="L22" s="9">
        <f t="shared" si="1"/>
        <v>0.96507099040056266</v>
      </c>
      <c r="M22" s="9">
        <f t="shared" si="1"/>
        <v>0</v>
      </c>
      <c r="N22" s="9">
        <f t="shared" si="1"/>
        <v>0</v>
      </c>
      <c r="O22" s="9">
        <f t="shared" si="1"/>
        <v>0</v>
      </c>
      <c r="P22" s="9">
        <f t="shared" si="1"/>
        <v>0</v>
      </c>
    </row>
    <row r="23" spans="3:17" x14ac:dyDescent="0.35">
      <c r="D23" s="3" t="s">
        <v>211</v>
      </c>
      <c r="E23" s="5">
        <f>Actuals2425!D10</f>
        <v>199192.12</v>
      </c>
      <c r="F23" s="5">
        <f>Actuals2425!E10</f>
        <v>229211</v>
      </c>
      <c r="G23" s="5">
        <f>Actuals2425!F10</f>
        <v>219157</v>
      </c>
      <c r="H23" s="5">
        <f>Actuals2425!G10</f>
        <v>226434</v>
      </c>
      <c r="I23" s="5">
        <f>Actuals2425!H10</f>
        <v>232327</v>
      </c>
      <c r="J23" s="5">
        <f>Actuals2425!I10</f>
        <v>162567</v>
      </c>
      <c r="K23" s="5">
        <f>Actuals2425!J10</f>
        <v>280545</v>
      </c>
      <c r="L23" s="5">
        <f>Actuals2425!K10</f>
        <v>236218</v>
      </c>
      <c r="M23" s="5">
        <f>Actuals2425!L10</f>
        <v>234258</v>
      </c>
      <c r="N23" s="5">
        <f>Actuals2425!M10</f>
        <v>176008</v>
      </c>
      <c r="O23" s="5">
        <f>Actuals2425!N10</f>
        <v>222024</v>
      </c>
      <c r="P23" s="5">
        <f>Actuals2425!O10</f>
        <v>228197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43">
        <f>SUM($E19:E19)</f>
        <v>214810.56914782134</v>
      </c>
      <c r="F26" s="43">
        <f>SUM($E19:F19)</f>
        <v>430693.40580947942</v>
      </c>
      <c r="G26" s="43">
        <f>SUM($E19:G19)</f>
        <v>647732.30273172678</v>
      </c>
      <c r="H26" s="43">
        <f>SUM($E19:H19)</f>
        <v>868110.5305604313</v>
      </c>
      <c r="I26" s="43">
        <f>SUM($E19:I19)</f>
        <v>1091479.957465684</v>
      </c>
      <c r="J26" s="43">
        <f>SUM($E19:J19)</f>
        <v>1317631.9781556134</v>
      </c>
      <c r="K26" s="43">
        <f>SUM($E19:K19)</f>
        <v>1546113.9027391353</v>
      </c>
      <c r="L26" s="43">
        <f>SUM($E19:L19)</f>
        <v>1776711.446560892</v>
      </c>
      <c r="M26" s="43">
        <f>SUM($E19:M19)</f>
        <v>2009100.882791122</v>
      </c>
      <c r="N26" s="43">
        <f>SUM($E19:N19)</f>
        <v>2242609.3446078142</v>
      </c>
      <c r="O26" s="43">
        <f>SUM($E19:O19)</f>
        <v>2477206.9251955696</v>
      </c>
      <c r="P26" s="43">
        <f>SUM($E19:P19)</f>
        <v>2712826</v>
      </c>
    </row>
    <row r="27" spans="3:17" x14ac:dyDescent="0.35">
      <c r="D27" s="3" t="str">
        <f t="shared" ref="D27:D30" si="3">D20</f>
        <v>Actual 2025/26</v>
      </c>
      <c r="E27" s="43">
        <f>SUM($E20:E20)</f>
        <v>203624</v>
      </c>
      <c r="F27" s="43">
        <f>SUM($E20:F20)</f>
        <v>432842</v>
      </c>
      <c r="G27" s="43">
        <f>SUM($E20:G20)</f>
        <v>627766</v>
      </c>
      <c r="H27" s="43">
        <f>SUM($E20:H20)</f>
        <v>875003</v>
      </c>
      <c r="I27" s="43">
        <f>SUM($E20:I20)</f>
        <v>1056650</v>
      </c>
      <c r="J27" s="43">
        <f>SUM($E20:J20)</f>
        <v>1236941</v>
      </c>
      <c r="K27" s="43">
        <f>SUM($E20:K20)</f>
        <v>1495111</v>
      </c>
      <c r="L27" s="43">
        <f>SUM($E20:L20)</f>
        <v>1717654</v>
      </c>
      <c r="M27" s="43">
        <f>SUM($E20:M20)</f>
        <v>1717654</v>
      </c>
      <c r="N27" s="43">
        <f>SUM($E20:N20)</f>
        <v>1717654</v>
      </c>
      <c r="O27" s="43">
        <f>SUM($E20:O20)</f>
        <v>1717654</v>
      </c>
      <c r="P27" s="43">
        <f>SUM($E20:P20)</f>
        <v>1717654</v>
      </c>
    </row>
    <row r="28" spans="3:17" x14ac:dyDescent="0.35">
      <c r="D28" s="3" t="str">
        <f t="shared" si="3"/>
        <v>Difference</v>
      </c>
      <c r="E28" s="43">
        <f>IF(E27=0,0,E27-E26)</f>
        <v>-11186.569147821341</v>
      </c>
      <c r="F28" s="43">
        <f t="shared" ref="F28:P28" si="4">IF(F27=0,0,F27-F26)</f>
        <v>2148.5941905205837</v>
      </c>
      <c r="G28" s="43">
        <f t="shared" si="4"/>
        <v>-19966.302731726784</v>
      </c>
      <c r="H28" s="43">
        <f t="shared" si="4"/>
        <v>6892.4694395686965</v>
      </c>
      <c r="I28" s="43">
        <f t="shared" si="4"/>
        <v>-34829.957465684041</v>
      </c>
      <c r="J28" s="43">
        <f t="shared" si="4"/>
        <v>-80690.978155613411</v>
      </c>
      <c r="K28" s="43">
        <f t="shared" si="4"/>
        <v>-51002.902739135316</v>
      </c>
      <c r="L28" s="43">
        <f t="shared" si="4"/>
        <v>-59057.446560892044</v>
      </c>
      <c r="M28" s="43">
        <f t="shared" si="4"/>
        <v>-291446.88279112196</v>
      </c>
      <c r="N28" s="43">
        <f t="shared" si="4"/>
        <v>-524955.34460781422</v>
      </c>
      <c r="O28" s="43">
        <f t="shared" si="4"/>
        <v>-759552.92519556964</v>
      </c>
      <c r="P28" s="43">
        <f t="shared" si="4"/>
        <v>-995172</v>
      </c>
    </row>
    <row r="29" spans="3:17" x14ac:dyDescent="0.35">
      <c r="D29" s="3" t="str">
        <f t="shared" si="3"/>
        <v>% realisation</v>
      </c>
      <c r="E29" s="9">
        <f t="shared" ref="E29:P29" si="5">E27/E26</f>
        <v>0.94792356264312427</v>
      </c>
      <c r="F29" s="9">
        <f t="shared" si="5"/>
        <v>1.0049886860619153</v>
      </c>
      <c r="G29" s="9">
        <f>G27/G26</f>
        <v>0.96917507024503569</v>
      </c>
      <c r="H29" s="9">
        <f t="shared" si="5"/>
        <v>1.0079396219685517</v>
      </c>
      <c r="I29" s="9">
        <f t="shared" si="5"/>
        <v>0.96808923771119348</v>
      </c>
      <c r="J29" s="9">
        <f t="shared" si="5"/>
        <v>0.93876061032720037</v>
      </c>
      <c r="K29" s="9">
        <f t="shared" si="5"/>
        <v>0.96701219577110242</v>
      </c>
      <c r="L29" s="9">
        <f t="shared" si="5"/>
        <v>0.96676024873076205</v>
      </c>
      <c r="M29" s="9">
        <f t="shared" si="5"/>
        <v>0.85493666082798569</v>
      </c>
      <c r="N29" s="9">
        <f t="shared" si="5"/>
        <v>0.76591761473302078</v>
      </c>
      <c r="O29" s="9">
        <f t="shared" si="5"/>
        <v>0.69338333529178042</v>
      </c>
      <c r="P29" s="9">
        <f t="shared" si="5"/>
        <v>0.63316040173604937</v>
      </c>
    </row>
    <row r="30" spans="3:17" x14ac:dyDescent="0.35">
      <c r="D30" s="3" t="str">
        <f t="shared" si="3"/>
        <v>Actual 2024/25</v>
      </c>
      <c r="E30" s="43">
        <f>SUM($E23:E23)</f>
        <v>199192.12</v>
      </c>
      <c r="F30" s="43">
        <f>SUM($E23:F23)</f>
        <v>428403.12</v>
      </c>
      <c r="G30" s="43">
        <f>SUM($E23:G23)</f>
        <v>647560.12</v>
      </c>
      <c r="H30" s="43">
        <f>SUM($E23:H23)</f>
        <v>873994.12</v>
      </c>
      <c r="I30" s="43">
        <f>SUM($E23:I23)</f>
        <v>1106321.1200000001</v>
      </c>
      <c r="J30" s="43">
        <f>SUM($E23:J23)</f>
        <v>1268888.1200000001</v>
      </c>
      <c r="K30" s="43">
        <f>SUM($E23:K23)</f>
        <v>1549433.12</v>
      </c>
      <c r="L30" s="43">
        <f>SUM($E23:L23)</f>
        <v>1785651.12</v>
      </c>
      <c r="M30" s="43">
        <f>SUM($E23:M23)</f>
        <v>2019909.12</v>
      </c>
      <c r="N30" s="43">
        <f>SUM($E23:N23)</f>
        <v>2195917.12</v>
      </c>
      <c r="O30" s="43">
        <f>SUM($E23:O23)</f>
        <v>2417941.12</v>
      </c>
      <c r="P30" s="43">
        <f>SUM($E23:P23)</f>
        <v>2646138.12</v>
      </c>
    </row>
  </sheetData>
  <sheetProtection algorithmName="SHA-512" hashValue="vqncELhUQDtEhO0YBuGhUskqTecGC7RnBJMxvIDCoUAIZmbRvgFRojh2j2J1v2EkK5ZP+DgKTntwjDWx4Xn8VQ==" saltValue="GTclpnFyznV8KveSlRJqWw==" spinCount="100000" sheet="1" objects="1" scenarios="1"/>
  <mergeCells count="3">
    <mergeCell ref="C1:F1"/>
    <mergeCell ref="J4:Q8"/>
    <mergeCell ref="J10:Q15"/>
  </mergeCells>
  <conditionalFormatting sqref="C3">
    <cfRule type="expression" dxfId="209" priority="2">
      <formula>S4&lt;S6</formula>
    </cfRule>
  </conditionalFormatting>
  <conditionalFormatting sqref="C4">
    <cfRule type="expression" dxfId="208" priority="1">
      <formula>AND(S4&gt;=S6,S4&lt;S5)</formula>
    </cfRule>
  </conditionalFormatting>
  <conditionalFormatting sqref="C5">
    <cfRule type="expression" dxfId="207" priority="3">
      <formula>S4&gt;=S5</formula>
    </cfRule>
  </conditionalFormatting>
  <hyperlinks>
    <hyperlink ref="L1" location="'Distribution Dashboard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82433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57150</xdr:rowOff>
                  </from>
                  <to>
                    <xdr:col>9</xdr:col>
                    <xdr:colOff>628650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S30"/>
  <sheetViews>
    <sheetView workbookViewId="0">
      <selection activeCell="E35" sqref="E35"/>
    </sheetView>
  </sheetViews>
  <sheetFormatPr defaultColWidth="9.1796875" defaultRowHeight="14.5" x14ac:dyDescent="0.35"/>
  <cols>
    <col min="1" max="1" width="9.1796875" style="3"/>
    <col min="2" max="2" width="6.54296875" style="3" customWidth="1"/>
    <col min="3" max="3" width="14.54296875" style="3" customWidth="1"/>
    <col min="4" max="4" width="21.2695312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customHeight="1" x14ac:dyDescent="0.5">
      <c r="A1" s="4" t="s">
        <v>4</v>
      </c>
      <c r="B1" s="4" t="e">
        <f>'Distribution Dashboard'!#REF!</f>
        <v>#REF!</v>
      </c>
      <c r="C1" s="124" t="s">
        <v>79</v>
      </c>
      <c r="D1" s="124"/>
      <c r="E1" s="124"/>
      <c r="F1" s="124"/>
      <c r="G1" s="3" t="s">
        <v>10</v>
      </c>
      <c r="I1" s="12">
        <f>INDEX(E18:P18,Actual_month)</f>
        <v>46054</v>
      </c>
      <c r="L1" s="15" t="s">
        <v>21</v>
      </c>
      <c r="M1" s="56"/>
      <c r="R1" s="5"/>
    </row>
    <row r="2" spans="1:19" x14ac:dyDescent="0.35">
      <c r="A2" s="3" t="s">
        <v>14</v>
      </c>
      <c r="C2" s="3" t="str">
        <f>'Distribution Dashboard'!C36</f>
        <v>m3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25"/>
      <c r="K4" s="126"/>
      <c r="L4" s="126"/>
      <c r="M4" s="126"/>
      <c r="N4" s="126"/>
      <c r="O4" s="126"/>
      <c r="P4" s="126"/>
      <c r="Q4" s="127"/>
      <c r="R4" s="3" t="s">
        <v>25</v>
      </c>
      <c r="S4" s="43">
        <f>INDEX(E27:P27,Actual_month)</f>
        <v>1717654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28"/>
      <c r="K5" s="129"/>
      <c r="L5" s="129"/>
      <c r="M5" s="129"/>
      <c r="N5" s="129"/>
      <c r="O5" s="129"/>
      <c r="P5" s="129"/>
      <c r="Q5" s="130"/>
      <c r="R5" s="3" t="s">
        <v>26</v>
      </c>
      <c r="S5" s="43">
        <f>INDEX(E26:P26,Actual_month)</f>
        <v>1776711.446560892</v>
      </c>
    </row>
    <row r="6" spans="1:19" x14ac:dyDescent="0.35">
      <c r="J6" s="128"/>
      <c r="K6" s="129"/>
      <c r="L6" s="129"/>
      <c r="M6" s="129"/>
      <c r="N6" s="129"/>
      <c r="O6" s="129"/>
      <c r="P6" s="129"/>
      <c r="Q6" s="130"/>
      <c r="R6" s="6">
        <v>0.9</v>
      </c>
      <c r="S6" s="43">
        <f>+S5*R6</f>
        <v>1599040.3019048029</v>
      </c>
    </row>
    <row r="7" spans="1:19" x14ac:dyDescent="0.35">
      <c r="J7" s="128"/>
      <c r="K7" s="129"/>
      <c r="L7" s="129"/>
      <c r="M7" s="129"/>
      <c r="N7" s="129"/>
      <c r="O7" s="129"/>
      <c r="P7" s="129"/>
      <c r="Q7" s="130"/>
    </row>
    <row r="8" spans="1:19" ht="15" thickBot="1" x14ac:dyDescent="0.4">
      <c r="J8" s="131"/>
      <c r="K8" s="132"/>
      <c r="L8" s="132"/>
      <c r="M8" s="132"/>
      <c r="N8" s="132"/>
      <c r="O8" s="132"/>
      <c r="P8" s="132"/>
      <c r="Q8" s="133"/>
    </row>
    <row r="9" spans="1:19" ht="15" thickBot="1" x14ac:dyDescent="0.4">
      <c r="J9" s="3" t="s">
        <v>13</v>
      </c>
    </row>
    <row r="10" spans="1:19" x14ac:dyDescent="0.35">
      <c r="J10" s="125"/>
      <c r="K10" s="126"/>
      <c r="L10" s="126"/>
      <c r="M10" s="126"/>
      <c r="N10" s="126"/>
      <c r="O10" s="126"/>
      <c r="P10" s="126"/>
      <c r="Q10" s="127"/>
    </row>
    <row r="11" spans="1:19" x14ac:dyDescent="0.35">
      <c r="J11" s="128"/>
      <c r="K11" s="129"/>
      <c r="L11" s="129"/>
      <c r="M11" s="129"/>
      <c r="N11" s="129"/>
      <c r="O11" s="129"/>
      <c r="P11" s="129"/>
      <c r="Q11" s="130"/>
    </row>
    <row r="12" spans="1:19" x14ac:dyDescent="0.35">
      <c r="J12" s="128"/>
      <c r="K12" s="129"/>
      <c r="L12" s="129"/>
      <c r="M12" s="129"/>
      <c r="N12" s="129"/>
      <c r="O12" s="129"/>
      <c r="P12" s="129"/>
      <c r="Q12" s="130"/>
    </row>
    <row r="13" spans="1:19" x14ac:dyDescent="0.35">
      <c r="J13" s="128"/>
      <c r="K13" s="129"/>
      <c r="L13" s="129"/>
      <c r="M13" s="129"/>
      <c r="N13" s="129"/>
      <c r="O13" s="129"/>
      <c r="P13" s="129"/>
      <c r="Q13" s="130"/>
    </row>
    <row r="14" spans="1:19" x14ac:dyDescent="0.35">
      <c r="J14" s="128"/>
      <c r="K14" s="129"/>
      <c r="L14" s="129"/>
      <c r="M14" s="129"/>
      <c r="N14" s="129"/>
      <c r="O14" s="129"/>
      <c r="P14" s="129"/>
      <c r="Q14" s="130"/>
    </row>
    <row r="15" spans="1:19" ht="15" thickBot="1" x14ac:dyDescent="0.4">
      <c r="J15" s="131"/>
      <c r="K15" s="132"/>
      <c r="L15" s="132"/>
      <c r="M15" s="132"/>
      <c r="N15" s="132"/>
      <c r="O15" s="132"/>
      <c r="P15" s="132"/>
      <c r="Q15" s="133"/>
    </row>
    <row r="18" spans="3:17" x14ac:dyDescent="0.35">
      <c r="C18" s="7" t="s">
        <v>9</v>
      </c>
      <c r="E18" s="11">
        <v>45839</v>
      </c>
      <c r="F18" s="11">
        <v>45870</v>
      </c>
      <c r="G18" s="11">
        <v>45901</v>
      </c>
      <c r="H18" s="11">
        <v>45931</v>
      </c>
      <c r="I18" s="11">
        <v>45962</v>
      </c>
      <c r="J18" s="11">
        <v>45992</v>
      </c>
      <c r="K18" s="11">
        <v>46023</v>
      </c>
      <c r="L18" s="11">
        <v>46054</v>
      </c>
      <c r="M18" s="11">
        <v>46082</v>
      </c>
      <c r="N18" s="11">
        <v>46113</v>
      </c>
      <c r="O18" s="11">
        <v>46143</v>
      </c>
      <c r="P18" s="11">
        <v>46174</v>
      </c>
      <c r="Q18" s="8" t="s">
        <v>0</v>
      </c>
    </row>
    <row r="19" spans="3:17" x14ac:dyDescent="0.35">
      <c r="D19" s="3" t="s">
        <v>209</v>
      </c>
      <c r="E19" s="43">
        <f>Budget2526!D6</f>
        <v>214810.56914782134</v>
      </c>
      <c r="F19" s="43">
        <f>Budget2526!E6</f>
        <v>215882.83666165808</v>
      </c>
      <c r="G19" s="43">
        <f>Budget2526!F6</f>
        <v>217038.89692224737</v>
      </c>
      <c r="H19" s="43">
        <f>Budget2526!G6</f>
        <v>220378.22782870446</v>
      </c>
      <c r="I19" s="43">
        <f>Budget2526!H6</f>
        <v>223369.42690525271</v>
      </c>
      <c r="J19" s="43">
        <f>Budget2526!I6</f>
        <v>226152.02068992931</v>
      </c>
      <c r="K19" s="43">
        <f>Budget2526!J6</f>
        <v>228481.92458352185</v>
      </c>
      <c r="L19" s="43">
        <f>Budget2526!K6</f>
        <v>230597.54382175682</v>
      </c>
      <c r="M19" s="43">
        <f>Budget2526!L6</f>
        <v>232389.43623022985</v>
      </c>
      <c r="N19" s="43">
        <f>Budget2526!M6</f>
        <v>233508.46181669243</v>
      </c>
      <c r="O19" s="43">
        <f>Budget2526!N6</f>
        <v>234597.58058775531</v>
      </c>
      <c r="P19" s="43">
        <f>Budget2526!O6</f>
        <v>235619.07480443019</v>
      </c>
      <c r="Q19" s="5"/>
    </row>
    <row r="20" spans="3:17" x14ac:dyDescent="0.35">
      <c r="D20" s="3" t="s">
        <v>210</v>
      </c>
      <c r="E20" s="43">
        <f>Actuals2526!D6</f>
        <v>203624</v>
      </c>
      <c r="F20" s="43">
        <f>Actuals2526!E6</f>
        <v>229218</v>
      </c>
      <c r="G20" s="43">
        <f>Actuals2526!F6</f>
        <v>194924</v>
      </c>
      <c r="H20" s="43">
        <f>Actuals2526!G6</f>
        <v>247237</v>
      </c>
      <c r="I20" s="43">
        <f>Actuals2526!H6</f>
        <v>181647</v>
      </c>
      <c r="J20" s="43">
        <f>Actuals2526!I6</f>
        <v>180291</v>
      </c>
      <c r="K20" s="43">
        <f>Actuals2526!J6</f>
        <v>258170</v>
      </c>
      <c r="L20" s="43">
        <f>Actuals2526!K6</f>
        <v>222543</v>
      </c>
      <c r="M20" s="43">
        <f>Actuals2526!L6</f>
        <v>0</v>
      </c>
      <c r="N20" s="43">
        <f>Actuals2526!M6</f>
        <v>0</v>
      </c>
      <c r="O20" s="43">
        <f>Actuals2526!N6</f>
        <v>0</v>
      </c>
      <c r="P20" s="43">
        <f>Actuals2526!O6</f>
        <v>0</v>
      </c>
      <c r="Q20" s="5"/>
    </row>
    <row r="21" spans="3:17" x14ac:dyDescent="0.35">
      <c r="D21" s="3" t="s">
        <v>7</v>
      </c>
      <c r="E21" s="43">
        <f>IF(E20=0,0,E20-E19)</f>
        <v>-11186.569147821341</v>
      </c>
      <c r="F21" s="43">
        <f t="shared" ref="F21:P21" si="0">IF(F20=0,0,F20-F19)</f>
        <v>13335.163338341925</v>
      </c>
      <c r="G21" s="43">
        <f t="shared" si="0"/>
        <v>-22114.896922247368</v>
      </c>
      <c r="H21" s="43">
        <f t="shared" si="0"/>
        <v>26858.772171295539</v>
      </c>
      <c r="I21" s="43">
        <f t="shared" si="0"/>
        <v>-41722.426905252709</v>
      </c>
      <c r="J21" s="43">
        <f t="shared" si="0"/>
        <v>-45861.020689929312</v>
      </c>
      <c r="K21" s="43">
        <f t="shared" si="0"/>
        <v>29688.075416478154</v>
      </c>
      <c r="L21" s="43">
        <f t="shared" si="0"/>
        <v>-8054.5438217568153</v>
      </c>
      <c r="M21" s="43">
        <f t="shared" si="0"/>
        <v>0</v>
      </c>
      <c r="N21" s="43">
        <f t="shared" si="0"/>
        <v>0</v>
      </c>
      <c r="O21" s="43">
        <f t="shared" si="0"/>
        <v>0</v>
      </c>
      <c r="P21" s="43">
        <f t="shared" si="0"/>
        <v>0</v>
      </c>
      <c r="Q21" s="5"/>
    </row>
    <row r="22" spans="3:17" x14ac:dyDescent="0.35">
      <c r="D22" s="3" t="s">
        <v>8</v>
      </c>
      <c r="E22" s="9">
        <f>E20/E19</f>
        <v>0.94792356264312427</v>
      </c>
      <c r="F22" s="9">
        <f t="shared" ref="F22:P22" si="1">F20/F19</f>
        <v>1.0617703729696744</v>
      </c>
      <c r="G22" s="9">
        <f t="shared" si="1"/>
        <v>0.89810629690875243</v>
      </c>
      <c r="H22" s="9">
        <f t="shared" si="1"/>
        <v>1.1218757970600086</v>
      </c>
      <c r="I22" s="9">
        <f t="shared" si="1"/>
        <v>0.81321335026323793</v>
      </c>
      <c r="J22" s="9">
        <f t="shared" si="1"/>
        <v>0.79721153695633762</v>
      </c>
      <c r="K22" s="9">
        <f t="shared" si="1"/>
        <v>1.1299362103614705</v>
      </c>
      <c r="L22" s="9">
        <f t="shared" si="1"/>
        <v>0.96507099040056266</v>
      </c>
      <c r="M22" s="9">
        <f t="shared" si="1"/>
        <v>0</v>
      </c>
      <c r="N22" s="9">
        <f t="shared" si="1"/>
        <v>0</v>
      </c>
      <c r="O22" s="9">
        <f t="shared" si="1"/>
        <v>0</v>
      </c>
      <c r="P22" s="9">
        <f t="shared" si="1"/>
        <v>0</v>
      </c>
    </row>
    <row r="23" spans="3:17" x14ac:dyDescent="0.35">
      <c r="D23" s="3" t="s">
        <v>211</v>
      </c>
      <c r="E23" s="5">
        <f>Actuals2425!D6</f>
        <v>199192.12</v>
      </c>
      <c r="F23" s="5">
        <f>Actuals2425!E6</f>
        <v>229211</v>
      </c>
      <c r="G23" s="5">
        <f>Actuals2425!F6</f>
        <v>219157</v>
      </c>
      <c r="H23" s="5">
        <f>Actuals2425!G6</f>
        <v>226434</v>
      </c>
      <c r="I23" s="5">
        <f>Actuals2425!H6</f>
        <v>232327</v>
      </c>
      <c r="J23" s="5">
        <f>Actuals2425!I6</f>
        <v>162567</v>
      </c>
      <c r="K23" s="5">
        <f>Actuals2425!J6</f>
        <v>280545</v>
      </c>
      <c r="L23" s="5">
        <f>Actuals2425!K6</f>
        <v>236218</v>
      </c>
      <c r="M23" s="5">
        <f>Actuals2425!L6</f>
        <v>234258</v>
      </c>
      <c r="N23" s="5">
        <f>Actuals2425!M6</f>
        <v>176008</v>
      </c>
      <c r="O23" s="5">
        <f>Actuals2425!N6</f>
        <v>222024</v>
      </c>
      <c r="P23" s="5">
        <f>Actuals2425!O6</f>
        <v>228197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43">
        <f>SUM($E19:E19)</f>
        <v>214810.56914782134</v>
      </c>
      <c r="F26" s="43">
        <f>SUM($E19:F19)</f>
        <v>430693.40580947942</v>
      </c>
      <c r="G26" s="43">
        <f>SUM($E19:G19)</f>
        <v>647732.30273172678</v>
      </c>
      <c r="H26" s="43">
        <f>SUM($E19:H19)</f>
        <v>868110.5305604313</v>
      </c>
      <c r="I26" s="43">
        <f>SUM($E19:I19)</f>
        <v>1091479.957465684</v>
      </c>
      <c r="J26" s="43">
        <f>SUM($E19:J19)</f>
        <v>1317631.9781556134</v>
      </c>
      <c r="K26" s="43">
        <f>SUM($E19:K19)</f>
        <v>1546113.9027391353</v>
      </c>
      <c r="L26" s="43">
        <f>SUM($E19:L19)</f>
        <v>1776711.446560892</v>
      </c>
      <c r="M26" s="43">
        <f>SUM($E19:M19)</f>
        <v>2009100.882791122</v>
      </c>
      <c r="N26" s="43">
        <f>SUM($E19:N19)</f>
        <v>2242609.3446078142</v>
      </c>
      <c r="O26" s="43">
        <f>SUM($E19:O19)</f>
        <v>2477206.9251955696</v>
      </c>
      <c r="P26" s="43">
        <f>SUM($E19:P19)</f>
        <v>2712826</v>
      </c>
    </row>
    <row r="27" spans="3:17" x14ac:dyDescent="0.35">
      <c r="D27" s="3" t="str">
        <f t="shared" ref="D27:D30" si="3">D20</f>
        <v>Actual 2025/26</v>
      </c>
      <c r="E27" s="43">
        <f>SUM($E20:E20)</f>
        <v>203624</v>
      </c>
      <c r="F27" s="43">
        <f>SUM($E20:F20)</f>
        <v>432842</v>
      </c>
      <c r="G27" s="43">
        <f>SUM($E20:G20)</f>
        <v>627766</v>
      </c>
      <c r="H27" s="43">
        <f>SUM($E20:H20)</f>
        <v>875003</v>
      </c>
      <c r="I27" s="43">
        <f>SUM($E20:I20)</f>
        <v>1056650</v>
      </c>
      <c r="J27" s="43">
        <f>SUM($E20:J20)</f>
        <v>1236941</v>
      </c>
      <c r="K27" s="43">
        <f>SUM($E20:K20)</f>
        <v>1495111</v>
      </c>
      <c r="L27" s="43">
        <f>SUM($E20:L20)</f>
        <v>1717654</v>
      </c>
      <c r="M27" s="43">
        <f>SUM($E20:M20)</f>
        <v>1717654</v>
      </c>
      <c r="N27" s="43">
        <f>SUM($E20:N20)</f>
        <v>1717654</v>
      </c>
      <c r="O27" s="43">
        <f>SUM($E20:O20)</f>
        <v>1717654</v>
      </c>
      <c r="P27" s="43">
        <f>SUM($E20:P20)</f>
        <v>1717654</v>
      </c>
    </row>
    <row r="28" spans="3:17" x14ac:dyDescent="0.35">
      <c r="D28" s="3" t="str">
        <f t="shared" si="3"/>
        <v>Difference</v>
      </c>
      <c r="E28" s="43">
        <f>IF(E27=0,0,E27-E26)</f>
        <v>-11186.569147821341</v>
      </c>
      <c r="F28" s="43">
        <f t="shared" ref="F28:P28" si="4">IF(F27=0,0,F27-F26)</f>
        <v>2148.5941905205837</v>
      </c>
      <c r="G28" s="43">
        <f t="shared" si="4"/>
        <v>-19966.302731726784</v>
      </c>
      <c r="H28" s="43">
        <f t="shared" si="4"/>
        <v>6892.4694395686965</v>
      </c>
      <c r="I28" s="43">
        <f t="shared" si="4"/>
        <v>-34829.957465684041</v>
      </c>
      <c r="J28" s="43">
        <f t="shared" si="4"/>
        <v>-80690.978155613411</v>
      </c>
      <c r="K28" s="43">
        <f t="shared" si="4"/>
        <v>-51002.902739135316</v>
      </c>
      <c r="L28" s="43">
        <f t="shared" si="4"/>
        <v>-59057.446560892044</v>
      </c>
      <c r="M28" s="43">
        <f t="shared" si="4"/>
        <v>-291446.88279112196</v>
      </c>
      <c r="N28" s="43">
        <f t="shared" si="4"/>
        <v>-524955.34460781422</v>
      </c>
      <c r="O28" s="43">
        <f t="shared" si="4"/>
        <v>-759552.92519556964</v>
      </c>
      <c r="P28" s="43">
        <f t="shared" si="4"/>
        <v>-995172</v>
      </c>
    </row>
    <row r="29" spans="3:17" x14ac:dyDescent="0.35">
      <c r="D29" s="3" t="str">
        <f t="shared" si="3"/>
        <v>% realisation</v>
      </c>
      <c r="E29" s="9">
        <f t="shared" ref="E29:P29" si="5">E27/E26</f>
        <v>0.94792356264312427</v>
      </c>
      <c r="F29" s="9">
        <f t="shared" si="5"/>
        <v>1.0049886860619153</v>
      </c>
      <c r="G29" s="9">
        <f>G27/G26</f>
        <v>0.96917507024503569</v>
      </c>
      <c r="H29" s="9">
        <f t="shared" si="5"/>
        <v>1.0079396219685517</v>
      </c>
      <c r="I29" s="9">
        <f t="shared" si="5"/>
        <v>0.96808923771119348</v>
      </c>
      <c r="J29" s="9">
        <f t="shared" si="5"/>
        <v>0.93876061032720037</v>
      </c>
      <c r="K29" s="9">
        <f t="shared" si="5"/>
        <v>0.96701219577110242</v>
      </c>
      <c r="L29" s="9">
        <f t="shared" si="5"/>
        <v>0.96676024873076205</v>
      </c>
      <c r="M29" s="9">
        <f t="shared" si="5"/>
        <v>0.85493666082798569</v>
      </c>
      <c r="N29" s="9">
        <f t="shared" si="5"/>
        <v>0.76591761473302078</v>
      </c>
      <c r="O29" s="9">
        <f t="shared" si="5"/>
        <v>0.69338333529178042</v>
      </c>
      <c r="P29" s="9">
        <f t="shared" si="5"/>
        <v>0.63316040173604937</v>
      </c>
    </row>
    <row r="30" spans="3:17" x14ac:dyDescent="0.35">
      <c r="D30" s="3" t="str">
        <f t="shared" si="3"/>
        <v>Actual 2024/25</v>
      </c>
      <c r="E30" s="43">
        <f>SUM($E23:E23)</f>
        <v>199192.12</v>
      </c>
      <c r="F30" s="43">
        <f>SUM($E23:F23)</f>
        <v>428403.12</v>
      </c>
      <c r="G30" s="43">
        <f>SUM($E23:G23)</f>
        <v>647560.12</v>
      </c>
      <c r="H30" s="43">
        <f>SUM($E23:H23)</f>
        <v>873994.12</v>
      </c>
      <c r="I30" s="43">
        <f>SUM($E23:I23)</f>
        <v>1106321.1200000001</v>
      </c>
      <c r="J30" s="43">
        <f>SUM($E23:J23)</f>
        <v>1268888.1200000001</v>
      </c>
      <c r="K30" s="43">
        <f>SUM($E23:K23)</f>
        <v>1549433.12</v>
      </c>
      <c r="L30" s="43">
        <f>SUM($E23:L23)</f>
        <v>1785651.12</v>
      </c>
      <c r="M30" s="43">
        <f>SUM($E23:M23)</f>
        <v>2019909.12</v>
      </c>
      <c r="N30" s="43">
        <f>SUM($E23:N23)</f>
        <v>2195917.12</v>
      </c>
      <c r="O30" s="43">
        <f>SUM($E23:O23)</f>
        <v>2417941.12</v>
      </c>
      <c r="P30" s="43">
        <f>SUM($E23:P23)</f>
        <v>2646138.12</v>
      </c>
    </row>
  </sheetData>
  <sheetProtection algorithmName="SHA-512" hashValue="KC2L3F1S6tLO8uML/6XAhQH1hakunYG7BXrOQaiDUEQBzrErzY/+vwi3MJ05SbJF4y4OIgs2CPB5XZNx18gOjw==" saltValue="RFGORjP996uVSVlTB5I54w==" spinCount="100000" sheet="1" objects="1" scenarios="1"/>
  <mergeCells count="3">
    <mergeCell ref="C1:F1"/>
    <mergeCell ref="J4:Q8"/>
    <mergeCell ref="J10:Q15"/>
  </mergeCells>
  <conditionalFormatting sqref="C3">
    <cfRule type="expression" dxfId="206" priority="2">
      <formula>S4&lt;S6</formula>
    </cfRule>
  </conditionalFormatting>
  <conditionalFormatting sqref="C4">
    <cfRule type="expression" dxfId="205" priority="1">
      <formula>AND(S4&gt;=S6,S4&lt;S5)</formula>
    </cfRule>
  </conditionalFormatting>
  <conditionalFormatting sqref="C5">
    <cfRule type="expression" dxfId="204" priority="3">
      <formula>S4&gt;=S5</formula>
    </cfRule>
  </conditionalFormatting>
  <hyperlinks>
    <hyperlink ref="L1" location="'Distribution Dashboard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13826" r:id="rId3" name="Spinner 2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57150</xdr:rowOff>
                  </from>
                  <to>
                    <xdr:col>9</xdr:col>
                    <xdr:colOff>628650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S30"/>
  <sheetViews>
    <sheetView zoomScale="90" zoomScaleNormal="90" zoomScalePageLayoutView="90" workbookViewId="0">
      <pane ySplit="2" topLeftCell="A3" activePane="bottomLeft" state="frozen"/>
      <selection activeCell="K20" sqref="K20"/>
      <selection pane="bottomLeft" activeCell="I37" sqref="I37"/>
    </sheetView>
  </sheetViews>
  <sheetFormatPr defaultColWidth="9.1796875" defaultRowHeight="14.5" x14ac:dyDescent="0.35"/>
  <cols>
    <col min="1" max="1" width="9.1796875" style="3"/>
    <col min="2" max="2" width="6.54296875" style="3" customWidth="1"/>
    <col min="3" max="3" width="14.54296875" style="3" customWidth="1"/>
    <col min="4" max="4" width="21.2695312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customHeight="1" x14ac:dyDescent="0.5">
      <c r="A1" s="4" t="s">
        <v>4</v>
      </c>
      <c r="B1" s="4">
        <v>100</v>
      </c>
      <c r="C1" s="124" t="s">
        <v>79</v>
      </c>
      <c r="D1" s="124"/>
      <c r="E1" s="124"/>
      <c r="F1" s="124"/>
      <c r="G1" s="3" t="s">
        <v>10</v>
      </c>
      <c r="I1" s="12">
        <f>INDEX(E18:P18,Actual_month)</f>
        <v>46054</v>
      </c>
      <c r="L1" s="15" t="s">
        <v>21</v>
      </c>
      <c r="M1" s="56"/>
      <c r="R1" s="5"/>
    </row>
    <row r="2" spans="1:19" x14ac:dyDescent="0.35">
      <c r="A2" s="3" t="s">
        <v>14</v>
      </c>
      <c r="C2" s="3" t="str">
        <f>'Distribution Dashboard'!C36</f>
        <v>m3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25"/>
      <c r="K4" s="126"/>
      <c r="L4" s="126"/>
      <c r="M4" s="126"/>
      <c r="N4" s="126"/>
      <c r="O4" s="126"/>
      <c r="P4" s="126"/>
      <c r="Q4" s="127"/>
      <c r="R4" s="3" t="s">
        <v>25</v>
      </c>
      <c r="S4" s="43">
        <f>INDEX(E27:P27,Actual_month)</f>
        <v>1717654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28"/>
      <c r="K5" s="129"/>
      <c r="L5" s="129"/>
      <c r="M5" s="129"/>
      <c r="N5" s="129"/>
      <c r="O5" s="129"/>
      <c r="P5" s="129"/>
      <c r="Q5" s="130"/>
      <c r="R5" s="3" t="s">
        <v>26</v>
      </c>
      <c r="S5" s="43">
        <f>INDEX(E26:P26,Actual_month)</f>
        <v>1776711.446560892</v>
      </c>
    </row>
    <row r="6" spans="1:19" x14ac:dyDescent="0.35">
      <c r="J6" s="128"/>
      <c r="K6" s="129"/>
      <c r="L6" s="129"/>
      <c r="M6" s="129"/>
      <c r="N6" s="129"/>
      <c r="O6" s="129"/>
      <c r="P6" s="129"/>
      <c r="Q6" s="130"/>
      <c r="R6" s="6">
        <v>0.9</v>
      </c>
      <c r="S6" s="43">
        <f>+S5*R6</f>
        <v>1599040.3019048029</v>
      </c>
    </row>
    <row r="7" spans="1:19" x14ac:dyDescent="0.35">
      <c r="J7" s="128"/>
      <c r="K7" s="129"/>
      <c r="L7" s="129"/>
      <c r="M7" s="129"/>
      <c r="N7" s="129"/>
      <c r="O7" s="129"/>
      <c r="P7" s="129"/>
      <c r="Q7" s="130"/>
    </row>
    <row r="8" spans="1:19" ht="15" thickBot="1" x14ac:dyDescent="0.4">
      <c r="J8" s="131"/>
      <c r="K8" s="132"/>
      <c r="L8" s="132"/>
      <c r="M8" s="132"/>
      <c r="N8" s="132"/>
      <c r="O8" s="132"/>
      <c r="P8" s="132"/>
      <c r="Q8" s="133"/>
    </row>
    <row r="9" spans="1:19" ht="15" thickBot="1" x14ac:dyDescent="0.4">
      <c r="J9" s="3" t="s">
        <v>13</v>
      </c>
    </row>
    <row r="10" spans="1:19" x14ac:dyDescent="0.35">
      <c r="J10" s="125"/>
      <c r="K10" s="126"/>
      <c r="L10" s="126"/>
      <c r="M10" s="126"/>
      <c r="N10" s="126"/>
      <c r="O10" s="126"/>
      <c r="P10" s="126"/>
      <c r="Q10" s="127"/>
    </row>
    <row r="11" spans="1:19" x14ac:dyDescent="0.35">
      <c r="J11" s="128"/>
      <c r="K11" s="129"/>
      <c r="L11" s="129"/>
      <c r="M11" s="129"/>
      <c r="N11" s="129"/>
      <c r="O11" s="129"/>
      <c r="P11" s="129"/>
      <c r="Q11" s="130"/>
    </row>
    <row r="12" spans="1:19" x14ac:dyDescent="0.35">
      <c r="J12" s="128"/>
      <c r="K12" s="129"/>
      <c r="L12" s="129"/>
      <c r="M12" s="129"/>
      <c r="N12" s="129"/>
      <c r="O12" s="129"/>
      <c r="P12" s="129"/>
      <c r="Q12" s="130"/>
    </row>
    <row r="13" spans="1:19" x14ac:dyDescent="0.35">
      <c r="J13" s="128"/>
      <c r="K13" s="129"/>
      <c r="L13" s="129"/>
      <c r="M13" s="129"/>
      <c r="N13" s="129"/>
      <c r="O13" s="129"/>
      <c r="P13" s="129"/>
      <c r="Q13" s="130"/>
    </row>
    <row r="14" spans="1:19" x14ac:dyDescent="0.35">
      <c r="J14" s="128"/>
      <c r="K14" s="129"/>
      <c r="L14" s="129"/>
      <c r="M14" s="129"/>
      <c r="N14" s="129"/>
      <c r="O14" s="129"/>
      <c r="P14" s="129"/>
      <c r="Q14" s="130"/>
    </row>
    <row r="15" spans="1:19" ht="15" thickBot="1" x14ac:dyDescent="0.4">
      <c r="J15" s="131"/>
      <c r="K15" s="132"/>
      <c r="L15" s="132"/>
      <c r="M15" s="132"/>
      <c r="N15" s="132"/>
      <c r="O15" s="132"/>
      <c r="P15" s="132"/>
      <c r="Q15" s="133"/>
    </row>
    <row r="18" spans="3:17" x14ac:dyDescent="0.35">
      <c r="C18" s="7" t="s">
        <v>9</v>
      </c>
      <c r="E18" s="11">
        <v>45839</v>
      </c>
      <c r="F18" s="11">
        <v>45870</v>
      </c>
      <c r="G18" s="11">
        <v>45901</v>
      </c>
      <c r="H18" s="11">
        <v>45931</v>
      </c>
      <c r="I18" s="11">
        <v>45962</v>
      </c>
      <c r="J18" s="11">
        <v>45992</v>
      </c>
      <c r="K18" s="11">
        <v>46023</v>
      </c>
      <c r="L18" s="11">
        <v>46054</v>
      </c>
      <c r="M18" s="11">
        <v>46082</v>
      </c>
      <c r="N18" s="11">
        <v>46113</v>
      </c>
      <c r="O18" s="11">
        <v>46143</v>
      </c>
      <c r="P18" s="11">
        <v>46174</v>
      </c>
      <c r="Q18" s="8" t="s">
        <v>0</v>
      </c>
    </row>
    <row r="19" spans="3:17" x14ac:dyDescent="0.35">
      <c r="D19" s="3" t="s">
        <v>209</v>
      </c>
      <c r="E19" s="43">
        <f>Budget2526!D15</f>
        <v>214810.56914782134</v>
      </c>
      <c r="F19" s="43">
        <f>Budget2526!E15</f>
        <v>215882.83666165808</v>
      </c>
      <c r="G19" s="43">
        <f>Budget2526!F15</f>
        <v>217038.89692224737</v>
      </c>
      <c r="H19" s="43">
        <f>Budget2526!G15</f>
        <v>220378.22782870446</v>
      </c>
      <c r="I19" s="43">
        <f>Budget2526!H15</f>
        <v>223369.42690525271</v>
      </c>
      <c r="J19" s="43">
        <f>Budget2526!I15</f>
        <v>226152.02068992931</v>
      </c>
      <c r="K19" s="43">
        <f>Budget2526!J15</f>
        <v>228481.92458352185</v>
      </c>
      <c r="L19" s="43">
        <f>Budget2526!K15</f>
        <v>230597.54382175682</v>
      </c>
      <c r="M19" s="43">
        <f>Budget2526!L15</f>
        <v>232389.43623022985</v>
      </c>
      <c r="N19" s="43">
        <f>Budget2526!M15</f>
        <v>233508.46181669243</v>
      </c>
      <c r="O19" s="43">
        <f>Budget2526!N15</f>
        <v>234597.58058775531</v>
      </c>
      <c r="P19" s="43">
        <f>Budget2526!O15</f>
        <v>235619.07480443019</v>
      </c>
      <c r="Q19" s="5"/>
    </row>
    <row r="20" spans="3:17" x14ac:dyDescent="0.35">
      <c r="D20" s="3" t="s">
        <v>210</v>
      </c>
      <c r="E20" s="43">
        <f>Actuals2526!D15</f>
        <v>203624</v>
      </c>
      <c r="F20" s="43">
        <f>Actuals2526!E15</f>
        <v>229218</v>
      </c>
      <c r="G20" s="43">
        <f>Actuals2526!F15</f>
        <v>194924</v>
      </c>
      <c r="H20" s="43">
        <f>Actuals2526!G15</f>
        <v>247237</v>
      </c>
      <c r="I20" s="43">
        <f>Actuals2526!H15</f>
        <v>181647</v>
      </c>
      <c r="J20" s="43">
        <f>Actuals2526!I15</f>
        <v>180291</v>
      </c>
      <c r="K20" s="43">
        <f>Actuals2526!J15</f>
        <v>258170</v>
      </c>
      <c r="L20" s="43">
        <f>Actuals2526!K15</f>
        <v>222543</v>
      </c>
      <c r="M20" s="43">
        <f>Actuals2526!L15</f>
        <v>0</v>
      </c>
      <c r="N20" s="43">
        <f>Actuals2526!M15</f>
        <v>0</v>
      </c>
      <c r="O20" s="43">
        <f>Actuals2526!N15</f>
        <v>0</v>
      </c>
      <c r="P20" s="43">
        <f>Actuals2526!O15</f>
        <v>0</v>
      </c>
      <c r="Q20" s="5"/>
    </row>
    <row r="21" spans="3:17" x14ac:dyDescent="0.35">
      <c r="D21" s="3" t="s">
        <v>7</v>
      </c>
      <c r="E21" s="43">
        <f>IF(E20=0,0,E20-E19)</f>
        <v>-11186.569147821341</v>
      </c>
      <c r="F21" s="43">
        <f t="shared" ref="F21:P21" si="0">IF(F20=0,0,F20-F19)</f>
        <v>13335.163338341925</v>
      </c>
      <c r="G21" s="43">
        <f t="shared" si="0"/>
        <v>-22114.896922247368</v>
      </c>
      <c r="H21" s="43">
        <f t="shared" si="0"/>
        <v>26858.772171295539</v>
      </c>
      <c r="I21" s="43">
        <f t="shared" si="0"/>
        <v>-41722.426905252709</v>
      </c>
      <c r="J21" s="43">
        <f t="shared" si="0"/>
        <v>-45861.020689929312</v>
      </c>
      <c r="K21" s="43">
        <f t="shared" si="0"/>
        <v>29688.075416478154</v>
      </c>
      <c r="L21" s="43">
        <f t="shared" si="0"/>
        <v>-8054.5438217568153</v>
      </c>
      <c r="M21" s="43">
        <f t="shared" si="0"/>
        <v>0</v>
      </c>
      <c r="N21" s="43">
        <f t="shared" si="0"/>
        <v>0</v>
      </c>
      <c r="O21" s="43">
        <f t="shared" si="0"/>
        <v>0</v>
      </c>
      <c r="P21" s="43">
        <f t="shared" si="0"/>
        <v>0</v>
      </c>
      <c r="Q21" s="5"/>
    </row>
    <row r="22" spans="3:17" x14ac:dyDescent="0.35">
      <c r="D22" s="3" t="s">
        <v>8</v>
      </c>
      <c r="E22" s="9">
        <f>E20/E19</f>
        <v>0.94792356264312427</v>
      </c>
      <c r="F22" s="9">
        <f t="shared" ref="F22:P22" si="1">F20/F19</f>
        <v>1.0617703729696744</v>
      </c>
      <c r="G22" s="9">
        <f t="shared" si="1"/>
        <v>0.89810629690875243</v>
      </c>
      <c r="H22" s="9">
        <f t="shared" si="1"/>
        <v>1.1218757970600086</v>
      </c>
      <c r="I22" s="9">
        <f t="shared" si="1"/>
        <v>0.81321335026323793</v>
      </c>
      <c r="J22" s="9">
        <f t="shared" si="1"/>
        <v>0.79721153695633762</v>
      </c>
      <c r="K22" s="9">
        <f t="shared" si="1"/>
        <v>1.1299362103614705</v>
      </c>
      <c r="L22" s="9">
        <f t="shared" si="1"/>
        <v>0.96507099040056266</v>
      </c>
      <c r="M22" s="9">
        <f t="shared" si="1"/>
        <v>0</v>
      </c>
      <c r="N22" s="9">
        <f t="shared" si="1"/>
        <v>0</v>
      </c>
      <c r="O22" s="9">
        <f t="shared" si="1"/>
        <v>0</v>
      </c>
      <c r="P22" s="9">
        <f t="shared" si="1"/>
        <v>0</v>
      </c>
    </row>
    <row r="23" spans="3:17" x14ac:dyDescent="0.35">
      <c r="D23" s="3" t="s">
        <v>211</v>
      </c>
      <c r="E23" s="5">
        <f>Actuals2425!D15</f>
        <v>179812</v>
      </c>
      <c r="F23" s="5">
        <f>Actuals2425!E15</f>
        <v>218591</v>
      </c>
      <c r="G23" s="5">
        <f>Actuals2425!F15</f>
        <v>206801</v>
      </c>
      <c r="H23" s="5">
        <f>Actuals2425!G15</f>
        <v>217593</v>
      </c>
      <c r="I23" s="5">
        <f>Actuals2425!H15</f>
        <v>230368</v>
      </c>
      <c r="J23" s="5">
        <f>Actuals2425!I15</f>
        <v>151401</v>
      </c>
      <c r="K23" s="5">
        <f>Actuals2425!J15</f>
        <v>267445</v>
      </c>
      <c r="L23" s="5">
        <f>Actuals2425!K15</f>
        <v>216809</v>
      </c>
      <c r="M23" s="5">
        <f>Actuals2425!L15</f>
        <v>230236</v>
      </c>
      <c r="N23" s="5">
        <f>Actuals2425!M15</f>
        <v>175341</v>
      </c>
      <c r="O23" s="5">
        <f>Actuals2425!N15</f>
        <v>207719</v>
      </c>
      <c r="P23" s="5">
        <f>Actuals2425!O15</f>
        <v>224235</v>
      </c>
      <c r="Q23" s="5">
        <f>Actuals2425!P15</f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43">
        <f>SUM($E19:E19)</f>
        <v>214810.56914782134</v>
      </c>
      <c r="F26" s="43">
        <f>SUM($E19:F19)</f>
        <v>430693.40580947942</v>
      </c>
      <c r="G26" s="43">
        <f>SUM($E19:G19)</f>
        <v>647732.30273172678</v>
      </c>
      <c r="H26" s="43">
        <f>SUM($E19:H19)</f>
        <v>868110.5305604313</v>
      </c>
      <c r="I26" s="43">
        <f>SUM($E19:I19)</f>
        <v>1091479.957465684</v>
      </c>
      <c r="J26" s="43">
        <f>SUM($E19:J19)</f>
        <v>1317631.9781556134</v>
      </c>
      <c r="K26" s="43">
        <f>SUM($E19:K19)</f>
        <v>1546113.9027391353</v>
      </c>
      <c r="L26" s="43">
        <f>SUM($E19:L19)</f>
        <v>1776711.446560892</v>
      </c>
      <c r="M26" s="43">
        <f>SUM($E19:M19)</f>
        <v>2009100.882791122</v>
      </c>
      <c r="N26" s="43">
        <f>SUM($E19:N19)</f>
        <v>2242609.3446078142</v>
      </c>
      <c r="O26" s="43">
        <f>SUM($E19:O19)</f>
        <v>2477206.9251955696</v>
      </c>
      <c r="P26" s="43">
        <f>SUM($E19:P19)</f>
        <v>2712826</v>
      </c>
    </row>
    <row r="27" spans="3:17" x14ac:dyDescent="0.35">
      <c r="D27" s="3" t="str">
        <f t="shared" ref="D27:D30" si="3">D20</f>
        <v>Actual 2025/26</v>
      </c>
      <c r="E27" s="43">
        <f>SUM($E20:E20)</f>
        <v>203624</v>
      </c>
      <c r="F27" s="43">
        <f>SUM($E20:F20)</f>
        <v>432842</v>
      </c>
      <c r="G27" s="43">
        <f>SUM($E20:G20)</f>
        <v>627766</v>
      </c>
      <c r="H27" s="43">
        <f>SUM($E20:H20)</f>
        <v>875003</v>
      </c>
      <c r="I27" s="43">
        <f>SUM($E20:I20)</f>
        <v>1056650</v>
      </c>
      <c r="J27" s="43">
        <f>SUM($E20:J20)</f>
        <v>1236941</v>
      </c>
      <c r="K27" s="43">
        <f>SUM($E20:K20)</f>
        <v>1495111</v>
      </c>
      <c r="L27" s="43">
        <f>SUM($E20:L20)</f>
        <v>1717654</v>
      </c>
      <c r="M27" s="43">
        <f>SUM($E20:M20)</f>
        <v>1717654</v>
      </c>
      <c r="N27" s="43">
        <f>SUM($E20:N20)</f>
        <v>1717654</v>
      </c>
      <c r="O27" s="43">
        <f>SUM($E20:O20)</f>
        <v>1717654</v>
      </c>
      <c r="P27" s="43">
        <f>SUM($E20:P20)</f>
        <v>1717654</v>
      </c>
    </row>
    <row r="28" spans="3:17" x14ac:dyDescent="0.35">
      <c r="D28" s="3" t="str">
        <f t="shared" si="3"/>
        <v>Difference</v>
      </c>
      <c r="E28" s="43">
        <f>IF(E27=0,0,E27-E26)</f>
        <v>-11186.569147821341</v>
      </c>
      <c r="F28" s="43">
        <f t="shared" ref="F28:P28" si="4">IF(F27=0,0,F27-F26)</f>
        <v>2148.5941905205837</v>
      </c>
      <c r="G28" s="43">
        <f t="shared" si="4"/>
        <v>-19966.302731726784</v>
      </c>
      <c r="H28" s="43">
        <f t="shared" si="4"/>
        <v>6892.4694395686965</v>
      </c>
      <c r="I28" s="43">
        <f t="shared" si="4"/>
        <v>-34829.957465684041</v>
      </c>
      <c r="J28" s="43">
        <f t="shared" si="4"/>
        <v>-80690.978155613411</v>
      </c>
      <c r="K28" s="43">
        <f t="shared" si="4"/>
        <v>-51002.902739135316</v>
      </c>
      <c r="L28" s="43">
        <f t="shared" si="4"/>
        <v>-59057.446560892044</v>
      </c>
      <c r="M28" s="43">
        <f t="shared" si="4"/>
        <v>-291446.88279112196</v>
      </c>
      <c r="N28" s="43">
        <f t="shared" si="4"/>
        <v>-524955.34460781422</v>
      </c>
      <c r="O28" s="43">
        <f t="shared" si="4"/>
        <v>-759552.92519556964</v>
      </c>
      <c r="P28" s="43">
        <f t="shared" si="4"/>
        <v>-995172</v>
      </c>
    </row>
    <row r="29" spans="3:17" x14ac:dyDescent="0.35">
      <c r="D29" s="3" t="str">
        <f t="shared" si="3"/>
        <v>% realisation</v>
      </c>
      <c r="E29" s="9">
        <f t="shared" ref="E29:P29" si="5">E27/E26</f>
        <v>0.94792356264312427</v>
      </c>
      <c r="F29" s="9">
        <f t="shared" si="5"/>
        <v>1.0049886860619153</v>
      </c>
      <c r="G29" s="9">
        <f>G27/G26</f>
        <v>0.96917507024503569</v>
      </c>
      <c r="H29" s="9">
        <f t="shared" si="5"/>
        <v>1.0079396219685517</v>
      </c>
      <c r="I29" s="9">
        <f t="shared" si="5"/>
        <v>0.96808923771119348</v>
      </c>
      <c r="J29" s="9">
        <f t="shared" si="5"/>
        <v>0.93876061032720037</v>
      </c>
      <c r="K29" s="9">
        <f t="shared" si="5"/>
        <v>0.96701219577110242</v>
      </c>
      <c r="L29" s="9">
        <f t="shared" si="5"/>
        <v>0.96676024873076205</v>
      </c>
      <c r="M29" s="9">
        <f t="shared" si="5"/>
        <v>0.85493666082798569</v>
      </c>
      <c r="N29" s="9">
        <f t="shared" si="5"/>
        <v>0.76591761473302078</v>
      </c>
      <c r="O29" s="9">
        <f t="shared" si="5"/>
        <v>0.69338333529178042</v>
      </c>
      <c r="P29" s="9">
        <f t="shared" si="5"/>
        <v>0.63316040173604937</v>
      </c>
    </row>
    <row r="30" spans="3:17" x14ac:dyDescent="0.35">
      <c r="D30" s="3" t="str">
        <f t="shared" si="3"/>
        <v>Actual 2024/25</v>
      </c>
      <c r="E30" s="43">
        <f>SUM($E23:E23)</f>
        <v>179812</v>
      </c>
      <c r="F30" s="43">
        <f>SUM($E23:F23)</f>
        <v>398403</v>
      </c>
      <c r="G30" s="43">
        <f>SUM($E23:G23)</f>
        <v>605204</v>
      </c>
      <c r="H30" s="43">
        <f>SUM($E23:H23)</f>
        <v>822797</v>
      </c>
      <c r="I30" s="43">
        <f>SUM($E23:I23)</f>
        <v>1053165</v>
      </c>
      <c r="J30" s="43">
        <f>SUM($E23:J23)</f>
        <v>1204566</v>
      </c>
      <c r="K30" s="43">
        <f>SUM($E23:K23)</f>
        <v>1472011</v>
      </c>
      <c r="L30" s="43">
        <f>SUM($E23:L23)</f>
        <v>1688820</v>
      </c>
      <c r="M30" s="43">
        <f>SUM($E23:M23)</f>
        <v>1919056</v>
      </c>
      <c r="N30" s="43">
        <f>SUM($E23:N23)</f>
        <v>2094397</v>
      </c>
      <c r="O30" s="43">
        <f>SUM($E23:O23)</f>
        <v>2302116</v>
      </c>
      <c r="P30" s="43">
        <f>SUM($E23:P23)</f>
        <v>2526351</v>
      </c>
    </row>
  </sheetData>
  <sheetProtection algorithmName="SHA-512" hashValue="r4Td9j5A5lk9DDw20ey8R9R4v/ZjJTz75npoAWhaX03uiILPMON58Nls1iHHk4fabB8/bzGGoMPTX82wdoEOZw==" saltValue="CgfFMr07ZPC1vmBxrk1iRw==" spinCount="100000" sheet="1" objects="1" scenarios="1"/>
  <mergeCells count="3">
    <mergeCell ref="C1:F1"/>
    <mergeCell ref="J4:Q8"/>
    <mergeCell ref="J10:Q15"/>
  </mergeCells>
  <conditionalFormatting sqref="C3">
    <cfRule type="expression" dxfId="203" priority="2">
      <formula>S4&lt;S6</formula>
    </cfRule>
  </conditionalFormatting>
  <conditionalFormatting sqref="C4">
    <cfRule type="expression" dxfId="202" priority="1">
      <formula>AND(S4&gt;=S6,S4&lt;S5)</formula>
    </cfRule>
  </conditionalFormatting>
  <conditionalFormatting sqref="C5">
    <cfRule type="expression" dxfId="201" priority="3">
      <formula>S4&gt;=S5</formula>
    </cfRule>
  </conditionalFormatting>
  <hyperlinks>
    <hyperlink ref="L1" location="'Distribution Dashboard'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37633" r:id="rId4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57150</xdr:rowOff>
                  </from>
                  <to>
                    <xdr:col>9</xdr:col>
                    <xdr:colOff>628650</xdr:colOff>
                    <xdr:row>1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S30"/>
  <sheetViews>
    <sheetView workbookViewId="0">
      <selection sqref="A1:XFD1048576"/>
    </sheetView>
  </sheetViews>
  <sheetFormatPr defaultColWidth="9.1796875" defaultRowHeight="14.5" x14ac:dyDescent="0.35"/>
  <cols>
    <col min="1" max="1" width="9.1796875" style="3"/>
    <col min="2" max="2" width="5.45312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 t="e">
        <f>'Distribution Dashboard'!#REF!</f>
        <v>#REF!</v>
      </c>
      <c r="C1" s="124" t="s">
        <v>207</v>
      </c>
      <c r="D1" s="124"/>
      <c r="E1" s="124"/>
      <c r="F1" s="124"/>
      <c r="G1" s="3" t="s">
        <v>10</v>
      </c>
      <c r="I1" s="12">
        <f>INDEX(E$18:P$18,Actual_month)</f>
        <v>46054</v>
      </c>
      <c r="L1" s="15" t="s">
        <v>21</v>
      </c>
      <c r="R1" s="5"/>
    </row>
    <row r="2" spans="1:19" x14ac:dyDescent="0.35">
      <c r="A2" s="3" t="s">
        <v>14</v>
      </c>
      <c r="C2" s="3" t="s">
        <v>15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 t="s">
        <v>97</v>
      </c>
      <c r="K4" s="135"/>
      <c r="L4" s="135"/>
      <c r="M4" s="135"/>
      <c r="N4" s="135"/>
      <c r="O4" s="135"/>
      <c r="P4" s="135"/>
      <c r="Q4" s="136"/>
      <c r="R4" s="3" t="s">
        <v>25</v>
      </c>
      <c r="S4" s="43">
        <f>INDEX(E27:P27,Actual_month)</f>
        <v>1717654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43">
        <f>INDEX(E26:P26,Actual_month)</f>
        <v>1776711.446560892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0.9</v>
      </c>
      <c r="S6" s="43">
        <f>+S5*R6</f>
        <v>1599040.3019048029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43">
        <f>Budget2526!D11</f>
        <v>214810.56914782134</v>
      </c>
      <c r="F19" s="43">
        <f>Budget2526!E11</f>
        <v>215882.83666165808</v>
      </c>
      <c r="G19" s="43">
        <f>Budget2526!F11</f>
        <v>217038.89692224737</v>
      </c>
      <c r="H19" s="43">
        <f>Budget2526!G11</f>
        <v>220378.22782870446</v>
      </c>
      <c r="I19" s="43">
        <f>Budget2526!H11</f>
        <v>223369.42690525271</v>
      </c>
      <c r="J19" s="43">
        <f>Budget2526!I11</f>
        <v>226152.02068992931</v>
      </c>
      <c r="K19" s="43">
        <f>Budget2526!J11</f>
        <v>228481.92458352185</v>
      </c>
      <c r="L19" s="43">
        <f>Budget2526!K11</f>
        <v>230597.54382175682</v>
      </c>
      <c r="M19" s="43">
        <f>Budget2526!L11</f>
        <v>232389.43623022985</v>
      </c>
      <c r="N19" s="43">
        <f>Budget2526!M11</f>
        <v>233508.46181669243</v>
      </c>
      <c r="O19" s="43">
        <f>Budget2526!N11</f>
        <v>234597.58058775531</v>
      </c>
      <c r="P19" s="43">
        <f>Budget2526!O11</f>
        <v>235619.07480443019</v>
      </c>
      <c r="Q19" s="5"/>
    </row>
    <row r="20" spans="3:17" x14ac:dyDescent="0.35">
      <c r="D20" s="3" t="str">
        <f>'KPI 100'!D20</f>
        <v>Actual 2025/26</v>
      </c>
      <c r="E20" s="43">
        <f>Actuals2526!D11</f>
        <v>203624</v>
      </c>
      <c r="F20" s="43">
        <f>Actuals2526!E11</f>
        <v>229218</v>
      </c>
      <c r="G20" s="43">
        <f>Actuals2526!F11</f>
        <v>194924</v>
      </c>
      <c r="H20" s="43">
        <f>Actuals2526!G11</f>
        <v>247237</v>
      </c>
      <c r="I20" s="43">
        <f>Actuals2526!H11</f>
        <v>181647</v>
      </c>
      <c r="J20" s="43">
        <f>Actuals2526!I11</f>
        <v>180291</v>
      </c>
      <c r="K20" s="43">
        <f>Actuals2526!J11</f>
        <v>258170</v>
      </c>
      <c r="L20" s="43">
        <f>Actuals2526!K11</f>
        <v>222543</v>
      </c>
      <c r="M20" s="43">
        <f>Actuals2526!L11</f>
        <v>0</v>
      </c>
      <c r="N20" s="43">
        <f>Actuals2526!M11</f>
        <v>0</v>
      </c>
      <c r="O20" s="43">
        <f>Actuals2526!N11</f>
        <v>0</v>
      </c>
      <c r="P20" s="43">
        <f>Actuals2526!O11</f>
        <v>0</v>
      </c>
      <c r="Q20" s="5"/>
    </row>
    <row r="21" spans="3:17" x14ac:dyDescent="0.35">
      <c r="D21" s="3" t="str">
        <f>'KPI 100'!D21</f>
        <v>Difference</v>
      </c>
      <c r="E21" s="43">
        <f>IF(E20=0,0,E20-E19)</f>
        <v>-11186.569147821341</v>
      </c>
      <c r="F21" s="43">
        <f t="shared" ref="F21:P21" si="0">IF(F20=0,0,F20-F19)</f>
        <v>13335.163338341925</v>
      </c>
      <c r="G21" s="43">
        <f t="shared" si="0"/>
        <v>-22114.896922247368</v>
      </c>
      <c r="H21" s="43">
        <f t="shared" si="0"/>
        <v>26858.772171295539</v>
      </c>
      <c r="I21" s="43">
        <f t="shared" si="0"/>
        <v>-41722.426905252709</v>
      </c>
      <c r="J21" s="43">
        <f t="shared" si="0"/>
        <v>-45861.020689929312</v>
      </c>
      <c r="K21" s="43">
        <f t="shared" si="0"/>
        <v>29688.075416478154</v>
      </c>
      <c r="L21" s="43">
        <f t="shared" si="0"/>
        <v>-8054.5438217568153</v>
      </c>
      <c r="M21" s="43">
        <f t="shared" si="0"/>
        <v>0</v>
      </c>
      <c r="N21" s="43">
        <f t="shared" si="0"/>
        <v>0</v>
      </c>
      <c r="O21" s="43">
        <f t="shared" si="0"/>
        <v>0</v>
      </c>
      <c r="P21" s="43">
        <f t="shared" si="0"/>
        <v>0</v>
      </c>
      <c r="Q21" s="5"/>
    </row>
    <row r="22" spans="3:17" x14ac:dyDescent="0.35">
      <c r="D22" s="3" t="str">
        <f>'KPI 100'!D22</f>
        <v>% realisation</v>
      </c>
      <c r="E22" s="9">
        <f>E20/E19</f>
        <v>0.94792356264312427</v>
      </c>
      <c r="F22" s="9">
        <f t="shared" ref="F22:P22" si="1">F20/F19</f>
        <v>1.0617703729696744</v>
      </c>
      <c r="G22" s="9">
        <f t="shared" si="1"/>
        <v>0.89810629690875243</v>
      </c>
      <c r="H22" s="9">
        <f t="shared" si="1"/>
        <v>1.1218757970600086</v>
      </c>
      <c r="I22" s="9">
        <f t="shared" si="1"/>
        <v>0.81321335026323793</v>
      </c>
      <c r="J22" s="9">
        <f t="shared" si="1"/>
        <v>0.79721153695633762</v>
      </c>
      <c r="K22" s="9">
        <f t="shared" si="1"/>
        <v>1.1299362103614705</v>
      </c>
      <c r="L22" s="9">
        <f t="shared" si="1"/>
        <v>0.96507099040056266</v>
      </c>
      <c r="M22" s="9">
        <f t="shared" si="1"/>
        <v>0</v>
      </c>
      <c r="N22" s="9">
        <f t="shared" si="1"/>
        <v>0</v>
      </c>
      <c r="O22" s="9">
        <f t="shared" si="1"/>
        <v>0</v>
      </c>
      <c r="P22" s="9">
        <f t="shared" si="1"/>
        <v>0</v>
      </c>
    </row>
    <row r="23" spans="3:17" x14ac:dyDescent="0.35">
      <c r="D23" s="3" t="str">
        <f>'KPI 100'!D23</f>
        <v>Actual 2024/25</v>
      </c>
      <c r="E23" s="43">
        <f>Actuals2425!D11</f>
        <v>179812</v>
      </c>
      <c r="F23" s="43">
        <f>Actuals2425!E11</f>
        <v>218591</v>
      </c>
      <c r="G23" s="43">
        <f>Actuals2425!F11</f>
        <v>206801</v>
      </c>
      <c r="H23" s="43">
        <f>Actuals2425!G11</f>
        <v>217593</v>
      </c>
      <c r="I23" s="43">
        <f>Actuals2425!H11</f>
        <v>230368</v>
      </c>
      <c r="J23" s="43">
        <f>Actuals2425!I11</f>
        <v>151401</v>
      </c>
      <c r="K23" s="43">
        <f>Actuals2425!J11</f>
        <v>267445</v>
      </c>
      <c r="L23" s="43">
        <f>Actuals2425!K11</f>
        <v>216809</v>
      </c>
      <c r="M23" s="43">
        <f>Actuals2425!L11</f>
        <v>230236</v>
      </c>
      <c r="N23" s="43">
        <f>Actuals2425!M11</f>
        <v>175341</v>
      </c>
      <c r="O23" s="43">
        <f>Actuals2425!N11</f>
        <v>207719</v>
      </c>
      <c r="P23" s="43">
        <f>Actuals2425!O11</f>
        <v>224235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43">
        <f>SUM($E19:E19)</f>
        <v>214810.56914782134</v>
      </c>
      <c r="F26" s="43">
        <f>SUM($E19:F19)</f>
        <v>430693.40580947942</v>
      </c>
      <c r="G26" s="43">
        <f>SUM($E19:G19)</f>
        <v>647732.30273172678</v>
      </c>
      <c r="H26" s="43">
        <f>SUM($E19:H19)</f>
        <v>868110.5305604313</v>
      </c>
      <c r="I26" s="43">
        <f>SUM($E19:I19)</f>
        <v>1091479.957465684</v>
      </c>
      <c r="J26" s="43">
        <f>SUM($E19:J19)</f>
        <v>1317631.9781556134</v>
      </c>
      <c r="K26" s="43">
        <f>SUM($E19:K19)</f>
        <v>1546113.9027391353</v>
      </c>
      <c r="L26" s="43">
        <f>SUM($E19:L19)</f>
        <v>1776711.446560892</v>
      </c>
      <c r="M26" s="43">
        <f>SUM($E19:M19)</f>
        <v>2009100.882791122</v>
      </c>
      <c r="N26" s="43">
        <f>SUM($E19:N19)</f>
        <v>2242609.3446078142</v>
      </c>
      <c r="O26" s="43">
        <f>SUM($E19:O19)</f>
        <v>2477206.9251955696</v>
      </c>
      <c r="P26" s="43">
        <f>SUM($E19:P19)</f>
        <v>2712826</v>
      </c>
    </row>
    <row r="27" spans="3:17" x14ac:dyDescent="0.35">
      <c r="D27" s="3" t="str">
        <f t="shared" ref="D27:D30" si="3">D20</f>
        <v>Actual 2025/26</v>
      </c>
      <c r="E27" s="43">
        <f>SUM($E20:E20)</f>
        <v>203624</v>
      </c>
      <c r="F27" s="43">
        <f>SUM($E20:F20)</f>
        <v>432842</v>
      </c>
      <c r="G27" s="43">
        <f>SUM($E20:G20)</f>
        <v>627766</v>
      </c>
      <c r="H27" s="43">
        <f>SUM($E20:H20)</f>
        <v>875003</v>
      </c>
      <c r="I27" s="43">
        <f>SUM($E20:I20)</f>
        <v>1056650</v>
      </c>
      <c r="J27" s="43">
        <f>SUM($E20:J20)</f>
        <v>1236941</v>
      </c>
      <c r="K27" s="43">
        <f>SUM($E20:K20)</f>
        <v>1495111</v>
      </c>
      <c r="L27" s="43">
        <f>SUM($E20:L20)</f>
        <v>1717654</v>
      </c>
      <c r="M27" s="43">
        <f>SUM($E20:M20)</f>
        <v>1717654</v>
      </c>
      <c r="N27" s="43">
        <f>SUM($E20:N20)</f>
        <v>1717654</v>
      </c>
      <c r="O27" s="43">
        <f>SUM($E20:O20)</f>
        <v>1717654</v>
      </c>
      <c r="P27" s="43">
        <f>SUM($E20:P20)</f>
        <v>1717654</v>
      </c>
    </row>
    <row r="28" spans="3:17" x14ac:dyDescent="0.35">
      <c r="D28" s="3" t="str">
        <f t="shared" si="3"/>
        <v>Difference</v>
      </c>
      <c r="E28" s="43">
        <f>IF(E27=0,0,E27-E26)</f>
        <v>-11186.569147821341</v>
      </c>
      <c r="F28" s="43">
        <f t="shared" ref="F28:P28" si="4">IF(F27=0,0,F27-F26)</f>
        <v>2148.5941905205837</v>
      </c>
      <c r="G28" s="43">
        <f t="shared" si="4"/>
        <v>-19966.302731726784</v>
      </c>
      <c r="H28" s="43">
        <f t="shared" si="4"/>
        <v>6892.4694395686965</v>
      </c>
      <c r="I28" s="43">
        <f t="shared" si="4"/>
        <v>-34829.957465684041</v>
      </c>
      <c r="J28" s="43">
        <f t="shared" si="4"/>
        <v>-80690.978155613411</v>
      </c>
      <c r="K28" s="43">
        <f t="shared" si="4"/>
        <v>-51002.902739135316</v>
      </c>
      <c r="L28" s="43">
        <f t="shared" si="4"/>
        <v>-59057.446560892044</v>
      </c>
      <c r="M28" s="43">
        <f t="shared" si="4"/>
        <v>-291446.88279112196</v>
      </c>
      <c r="N28" s="43">
        <f t="shared" si="4"/>
        <v>-524955.34460781422</v>
      </c>
      <c r="O28" s="43">
        <f t="shared" si="4"/>
        <v>-759552.92519556964</v>
      </c>
      <c r="P28" s="43">
        <f t="shared" si="4"/>
        <v>-995172</v>
      </c>
    </row>
    <row r="29" spans="3:17" x14ac:dyDescent="0.35">
      <c r="D29" s="3" t="str">
        <f t="shared" si="3"/>
        <v>% realisation</v>
      </c>
      <c r="E29" s="9">
        <f t="shared" ref="E29:P29" si="5">E27/E26</f>
        <v>0.94792356264312427</v>
      </c>
      <c r="F29" s="9">
        <f t="shared" si="5"/>
        <v>1.0049886860619153</v>
      </c>
      <c r="G29" s="9">
        <f t="shared" si="5"/>
        <v>0.96917507024503569</v>
      </c>
      <c r="H29" s="9">
        <f t="shared" si="5"/>
        <v>1.0079396219685517</v>
      </c>
      <c r="I29" s="9">
        <f t="shared" si="5"/>
        <v>0.96808923771119348</v>
      </c>
      <c r="J29" s="9">
        <f t="shared" si="5"/>
        <v>0.93876061032720037</v>
      </c>
      <c r="K29" s="9">
        <f t="shared" si="5"/>
        <v>0.96701219577110242</v>
      </c>
      <c r="L29" s="9">
        <f t="shared" si="5"/>
        <v>0.96676024873076205</v>
      </c>
      <c r="M29" s="9">
        <f t="shared" si="5"/>
        <v>0.85493666082798569</v>
      </c>
      <c r="N29" s="9">
        <f t="shared" si="5"/>
        <v>0.76591761473302078</v>
      </c>
      <c r="O29" s="9">
        <f t="shared" si="5"/>
        <v>0.69338333529178042</v>
      </c>
      <c r="P29" s="9">
        <f t="shared" si="5"/>
        <v>0.63316040173604937</v>
      </c>
    </row>
    <row r="30" spans="3:17" x14ac:dyDescent="0.35">
      <c r="D30" s="3" t="str">
        <f t="shared" si="3"/>
        <v>Actual 2024/25</v>
      </c>
      <c r="E30" s="43">
        <f>SUM($E23:E23)</f>
        <v>179812</v>
      </c>
      <c r="F30" s="43">
        <f>SUM($E23:F23)</f>
        <v>398403</v>
      </c>
      <c r="G30" s="43">
        <f>SUM($E23:G23)</f>
        <v>605204</v>
      </c>
      <c r="H30" s="43">
        <f>SUM($E23:H23)</f>
        <v>822797</v>
      </c>
      <c r="I30" s="43">
        <f>SUM($E23:I23)</f>
        <v>1053165</v>
      </c>
      <c r="J30" s="43">
        <f>SUM($E23:J23)</f>
        <v>1204566</v>
      </c>
      <c r="K30" s="43">
        <f>SUM($E23:K23)</f>
        <v>1472011</v>
      </c>
      <c r="L30" s="43">
        <f>SUM($E23:L23)</f>
        <v>1688820</v>
      </c>
      <c r="M30" s="43">
        <f>SUM($E23:M23)</f>
        <v>1919056</v>
      </c>
      <c r="N30" s="43">
        <f>SUM($E23:N23)</f>
        <v>2094397</v>
      </c>
      <c r="O30" s="43">
        <f>SUM($E23:O23)</f>
        <v>2302116</v>
      </c>
      <c r="P30" s="43">
        <f>SUM($E23:P23)</f>
        <v>2526351</v>
      </c>
    </row>
  </sheetData>
  <sheetProtection algorithmName="SHA-512" hashValue="dUpGEEZ481PuuwjK6zRou4rQpRezzmF28emISPcA9MWERUDPGSzxCBvqX2SsmDt3cLQPaUqO1785WhtLPCw4cg==" saltValue="PMHNm1410vT3bxcDcFMkDA==" spinCount="100000" sheet="1" objects="1" scenarios="1"/>
  <mergeCells count="3">
    <mergeCell ref="C1:F1"/>
    <mergeCell ref="J4:Q8"/>
    <mergeCell ref="J10:Q15"/>
  </mergeCells>
  <conditionalFormatting sqref="C3">
    <cfRule type="expression" dxfId="200" priority="2">
      <formula>S4&lt;S6</formula>
    </cfRule>
  </conditionalFormatting>
  <conditionalFormatting sqref="C4">
    <cfRule type="expression" dxfId="199" priority="1">
      <formula>AND(S4&gt;=S6,S4&lt;S5)</formula>
    </cfRule>
  </conditionalFormatting>
  <conditionalFormatting sqref="C5">
    <cfRule type="expression" dxfId="198" priority="3">
      <formula>S4&gt;=S5</formula>
    </cfRule>
  </conditionalFormatting>
  <hyperlinks>
    <hyperlink ref="L1" location="'Distribution Dashboard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85505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57150</xdr:rowOff>
                  </from>
                  <to>
                    <xdr:col>9</xdr:col>
                    <xdr:colOff>628650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S30"/>
  <sheetViews>
    <sheetView workbookViewId="0">
      <selection sqref="A1:XFD1048576"/>
    </sheetView>
  </sheetViews>
  <sheetFormatPr defaultColWidth="9.1796875" defaultRowHeight="14.5" x14ac:dyDescent="0.35"/>
  <cols>
    <col min="1" max="1" width="9.1796875" style="3"/>
    <col min="2" max="2" width="5.45312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 t="e">
        <f>'Distribution Dashboard'!#REF!</f>
        <v>#REF!</v>
      </c>
      <c r="C1" s="124" t="s">
        <v>89</v>
      </c>
      <c r="D1" s="124"/>
      <c r="E1" s="124"/>
      <c r="F1" s="124"/>
      <c r="G1" s="3" t="s">
        <v>10</v>
      </c>
      <c r="I1" s="12">
        <f>INDEX(E$18:P$18,Actual_month)</f>
        <v>46054</v>
      </c>
      <c r="L1" s="15" t="s">
        <v>21</v>
      </c>
      <c r="R1" s="5"/>
    </row>
    <row r="2" spans="1:19" x14ac:dyDescent="0.35">
      <c r="A2" s="3" t="s">
        <v>14</v>
      </c>
      <c r="C2" s="3" t="s">
        <v>15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/>
      <c r="K4" s="135"/>
      <c r="L4" s="135"/>
      <c r="M4" s="135"/>
      <c r="N4" s="135"/>
      <c r="O4" s="135"/>
      <c r="P4" s="135"/>
      <c r="Q4" s="136"/>
      <c r="R4" s="3" t="s">
        <v>25</v>
      </c>
      <c r="S4" s="43">
        <f>INDEX(E27:P27,Actual_month)</f>
        <v>1275843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43">
        <f>INDEX(E26:P26,Actual_month)</f>
        <v>1382493.6966631464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0.9</v>
      </c>
      <c r="S6" s="43">
        <f>+S5*R6</f>
        <v>1244244.3269968317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43">
        <f>Budget2526!D7</f>
        <v>162967.7442335966</v>
      </c>
      <c r="F19" s="43">
        <f>Budget2526!E7</f>
        <v>164996.22762758762</v>
      </c>
      <c r="G19" s="43">
        <f>Budget2526!F7</f>
        <v>167133.6122432423</v>
      </c>
      <c r="H19" s="43">
        <f>Budget2526!G7</f>
        <v>170794.2475474836</v>
      </c>
      <c r="I19" s="43">
        <f>Budget2526!H7</f>
        <v>174251.4018390667</v>
      </c>
      <c r="J19" s="43">
        <f>Budget2526!I7</f>
        <v>177638.11139871617</v>
      </c>
      <c r="K19" s="43">
        <f>Budget2526!J7</f>
        <v>180823.43914382733</v>
      </c>
      <c r="L19" s="43">
        <f>Budget2526!K7</f>
        <v>183888.91262962579</v>
      </c>
      <c r="M19" s="43">
        <f>Budget2526!L7</f>
        <v>186764.48642215956</v>
      </c>
      <c r="N19" s="43">
        <f>Budget2526!M7</f>
        <v>189206.27401245051</v>
      </c>
      <c r="O19" s="43">
        <f>Budget2526!N7</f>
        <v>191648.06160274139</v>
      </c>
      <c r="P19" s="43">
        <f>Budget2526!O7</f>
        <v>194059.95820076609</v>
      </c>
      <c r="Q19" s="5"/>
    </row>
    <row r="20" spans="3:17" x14ac:dyDescent="0.35">
      <c r="D20" s="3" t="str">
        <f>'KPI 100'!D20</f>
        <v>Actual 2025/26</v>
      </c>
      <c r="E20" s="43">
        <f>Actuals2526!D7</f>
        <v>146435</v>
      </c>
      <c r="F20" s="43">
        <f>Actuals2526!E7</f>
        <v>173295</v>
      </c>
      <c r="G20" s="43">
        <f>Actuals2526!F7</f>
        <v>145984</v>
      </c>
      <c r="H20" s="43">
        <f>Actuals2526!G7</f>
        <v>171125</v>
      </c>
      <c r="I20" s="43">
        <f>Actuals2526!H7</f>
        <v>135132</v>
      </c>
      <c r="J20" s="43">
        <f>Actuals2526!I7</f>
        <v>131036</v>
      </c>
      <c r="K20" s="43">
        <f>Actuals2526!J7</f>
        <v>200570</v>
      </c>
      <c r="L20" s="43">
        <f>Actuals2526!K7</f>
        <v>172266</v>
      </c>
      <c r="M20" s="43">
        <f>Actuals2526!L7</f>
        <v>0</v>
      </c>
      <c r="N20" s="43">
        <f>Actuals2526!M7</f>
        <v>0</v>
      </c>
      <c r="O20" s="43">
        <f>Actuals2526!N7</f>
        <v>0</v>
      </c>
      <c r="P20" s="43">
        <f>Actuals2526!O7</f>
        <v>0</v>
      </c>
      <c r="Q20" s="5"/>
    </row>
    <row r="21" spans="3:17" x14ac:dyDescent="0.35">
      <c r="D21" s="3" t="str">
        <f>'KPI 100'!D21</f>
        <v>Difference</v>
      </c>
      <c r="E21" s="43">
        <f>IF(E20=0,0,E20-E19)</f>
        <v>-16532.744233596604</v>
      </c>
      <c r="F21" s="43">
        <f t="shared" ref="F21:P21" si="0">IF(F20=0,0,F20-F19)</f>
        <v>8298.7723724123789</v>
      </c>
      <c r="G21" s="43">
        <f t="shared" si="0"/>
        <v>-21149.6122432423</v>
      </c>
      <c r="H21" s="43">
        <f t="shared" si="0"/>
        <v>330.75245251640445</v>
      </c>
      <c r="I21" s="43">
        <f t="shared" si="0"/>
        <v>-39119.401839066704</v>
      </c>
      <c r="J21" s="43">
        <f t="shared" si="0"/>
        <v>-46602.111398716166</v>
      </c>
      <c r="K21" s="43">
        <f t="shared" si="0"/>
        <v>19746.560856172669</v>
      </c>
      <c r="L21" s="43">
        <f t="shared" si="0"/>
        <v>-11622.912629625789</v>
      </c>
      <c r="M21" s="43">
        <f t="shared" si="0"/>
        <v>0</v>
      </c>
      <c r="N21" s="43">
        <f t="shared" si="0"/>
        <v>0</v>
      </c>
      <c r="O21" s="43">
        <f t="shared" si="0"/>
        <v>0</v>
      </c>
      <c r="P21" s="43">
        <f t="shared" si="0"/>
        <v>0</v>
      </c>
      <c r="Q21" s="5"/>
    </row>
    <row r="22" spans="3:17" x14ac:dyDescent="0.35">
      <c r="D22" s="3" t="str">
        <f>'KPI 100'!D22</f>
        <v>% realisation</v>
      </c>
      <c r="E22" s="9">
        <f>E20/E19</f>
        <v>0.89855204591959803</v>
      </c>
      <c r="F22" s="9">
        <f t="shared" ref="F22:P22" si="1">F20/F19</f>
        <v>1.0502967400633154</v>
      </c>
      <c r="G22" s="9">
        <f t="shared" si="1"/>
        <v>0.87345685909988202</v>
      </c>
      <c r="H22" s="9">
        <f t="shared" si="1"/>
        <v>1.0019365549909662</v>
      </c>
      <c r="I22" s="9">
        <f t="shared" si="1"/>
        <v>0.77550021735150121</v>
      </c>
      <c r="J22" s="9">
        <f t="shared" si="1"/>
        <v>0.73765702060344596</v>
      </c>
      <c r="K22" s="9">
        <f t="shared" si="1"/>
        <v>1.1092035465627119</v>
      </c>
      <c r="L22" s="9">
        <f t="shared" si="1"/>
        <v>0.9367938367603722</v>
      </c>
      <c r="M22" s="9">
        <f t="shared" si="1"/>
        <v>0</v>
      </c>
      <c r="N22" s="9">
        <f t="shared" si="1"/>
        <v>0</v>
      </c>
      <c r="O22" s="9">
        <f t="shared" si="1"/>
        <v>0</v>
      </c>
      <c r="P22" s="9">
        <f t="shared" si="1"/>
        <v>0</v>
      </c>
    </row>
    <row r="23" spans="3:17" x14ac:dyDescent="0.35">
      <c r="D23" s="3" t="str">
        <f>'KPI 100'!D23</f>
        <v>Actual 2024/25</v>
      </c>
      <c r="E23" s="43">
        <f>Actuals2425!D7</f>
        <v>141416</v>
      </c>
      <c r="F23" s="43">
        <f>Actuals2425!E7</f>
        <v>168508</v>
      </c>
      <c r="G23" s="43">
        <f>Actuals2425!F7</f>
        <v>163668</v>
      </c>
      <c r="H23" s="43">
        <f>Actuals2425!G7</f>
        <v>160893</v>
      </c>
      <c r="I23" s="43">
        <f>Actuals2425!H7</f>
        <v>179892</v>
      </c>
      <c r="J23" s="43">
        <f>Actuals2425!I7</f>
        <v>116560</v>
      </c>
      <c r="K23" s="43">
        <f>Actuals2425!J7</f>
        <v>184451</v>
      </c>
      <c r="L23" s="43">
        <f>Actuals2425!K7</f>
        <v>165475</v>
      </c>
      <c r="M23" s="43">
        <f>Actuals2425!L7</f>
        <v>175998</v>
      </c>
      <c r="N23" s="43">
        <f>Actuals2425!M7</f>
        <v>135488</v>
      </c>
      <c r="O23" s="43">
        <f>Actuals2425!N7</f>
        <v>153695</v>
      </c>
      <c r="P23" s="43">
        <f>Actuals2425!O7</f>
        <v>164911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43">
        <f>SUM($E19:E19)</f>
        <v>162967.7442335966</v>
      </c>
      <c r="F26" s="43">
        <f>SUM($E19:F19)</f>
        <v>327963.97186118423</v>
      </c>
      <c r="G26" s="43">
        <f>SUM($E19:G19)</f>
        <v>495097.58410442655</v>
      </c>
      <c r="H26" s="43">
        <f>SUM($E19:H19)</f>
        <v>665891.83165191021</v>
      </c>
      <c r="I26" s="43">
        <f>SUM($E19:I19)</f>
        <v>840143.23349097697</v>
      </c>
      <c r="J26" s="43">
        <f>SUM($E19:J19)</f>
        <v>1017781.3448896932</v>
      </c>
      <c r="K26" s="43">
        <f>SUM($E19:K19)</f>
        <v>1198604.7840335206</v>
      </c>
      <c r="L26" s="43">
        <f>SUM($E19:L19)</f>
        <v>1382493.6966631464</v>
      </c>
      <c r="M26" s="43">
        <f>SUM($E19:M19)</f>
        <v>1569258.1830853058</v>
      </c>
      <c r="N26" s="43">
        <f>SUM($E19:N19)</f>
        <v>1758464.4570977564</v>
      </c>
      <c r="O26" s="43">
        <f>SUM($E19:O19)</f>
        <v>1950112.5187004979</v>
      </c>
      <c r="P26" s="43">
        <f>SUM($E19:P19)</f>
        <v>2144172.4769012639</v>
      </c>
    </row>
    <row r="27" spans="3:17" x14ac:dyDescent="0.35">
      <c r="D27" s="3" t="str">
        <f t="shared" ref="D27:D30" si="3">D20</f>
        <v>Actual 2025/26</v>
      </c>
      <c r="E27" s="43">
        <f>SUM($E20:E20)</f>
        <v>146435</v>
      </c>
      <c r="F27" s="43">
        <f>SUM($E20:F20)</f>
        <v>319730</v>
      </c>
      <c r="G27" s="43">
        <f>SUM($E20:G20)</f>
        <v>465714</v>
      </c>
      <c r="H27" s="43">
        <f>SUM($E20:H20)</f>
        <v>636839</v>
      </c>
      <c r="I27" s="43">
        <f>SUM($E20:I20)</f>
        <v>771971</v>
      </c>
      <c r="J27" s="43">
        <f>SUM($E20:J20)</f>
        <v>903007</v>
      </c>
      <c r="K27" s="43">
        <f>SUM($E20:K20)</f>
        <v>1103577</v>
      </c>
      <c r="L27" s="43">
        <f>SUM($E20:L20)</f>
        <v>1275843</v>
      </c>
      <c r="M27" s="43">
        <f>SUM($E20:M20)</f>
        <v>1275843</v>
      </c>
      <c r="N27" s="43">
        <f>SUM($E20:N20)</f>
        <v>1275843</v>
      </c>
      <c r="O27" s="43">
        <f>SUM($E20:O20)</f>
        <v>1275843</v>
      </c>
      <c r="P27" s="43">
        <f>SUM($E20:P20)</f>
        <v>1275843</v>
      </c>
    </row>
    <row r="28" spans="3:17" x14ac:dyDescent="0.35">
      <c r="D28" s="3" t="str">
        <f t="shared" si="3"/>
        <v>Difference</v>
      </c>
      <c r="E28" s="43">
        <f>IF(E27=0,0,E27-E26)</f>
        <v>-16532.744233596604</v>
      </c>
      <c r="F28" s="43">
        <f t="shared" ref="F28:P28" si="4">IF(F27=0,0,F27-F26)</f>
        <v>-8233.9718611842254</v>
      </c>
      <c r="G28" s="43">
        <f t="shared" si="4"/>
        <v>-29383.584104426554</v>
      </c>
      <c r="H28" s="43">
        <f t="shared" si="4"/>
        <v>-29052.831651910208</v>
      </c>
      <c r="I28" s="43">
        <f t="shared" si="4"/>
        <v>-68172.233490976971</v>
      </c>
      <c r="J28" s="43">
        <f t="shared" si="4"/>
        <v>-114774.3448896932</v>
      </c>
      <c r="K28" s="43">
        <f t="shared" si="4"/>
        <v>-95027.784033520613</v>
      </c>
      <c r="L28" s="43">
        <f t="shared" si="4"/>
        <v>-106650.69666314637</v>
      </c>
      <c r="M28" s="43">
        <f t="shared" si="4"/>
        <v>-293415.18308530585</v>
      </c>
      <c r="N28" s="43">
        <f t="shared" si="4"/>
        <v>-482621.45709775644</v>
      </c>
      <c r="O28" s="43">
        <f t="shared" si="4"/>
        <v>-674269.51870049792</v>
      </c>
      <c r="P28" s="43">
        <f t="shared" si="4"/>
        <v>-868329.47690126393</v>
      </c>
    </row>
    <row r="29" spans="3:17" x14ac:dyDescent="0.35">
      <c r="D29" s="3" t="str">
        <f t="shared" si="3"/>
        <v>% realisation</v>
      </c>
      <c r="E29" s="9">
        <f t="shared" ref="E29:P29" si="5">E27/E26</f>
        <v>0.89855204591959803</v>
      </c>
      <c r="F29" s="9">
        <f t="shared" si="5"/>
        <v>0.97489366952578138</v>
      </c>
      <c r="G29" s="9">
        <f t="shared" si="5"/>
        <v>0.94065092408483875</v>
      </c>
      <c r="H29" s="9">
        <f t="shared" si="5"/>
        <v>0.95637004349514632</v>
      </c>
      <c r="I29" s="9">
        <f t="shared" si="5"/>
        <v>0.91885641546179386</v>
      </c>
      <c r="J29" s="9">
        <f t="shared" si="5"/>
        <v>0.88723084239460848</v>
      </c>
      <c r="K29" s="9">
        <f t="shared" si="5"/>
        <v>0.92071800037896145</v>
      </c>
      <c r="L29" s="9">
        <f t="shared" si="5"/>
        <v>0.92285628721449964</v>
      </c>
      <c r="M29" s="9">
        <f t="shared" si="5"/>
        <v>0.8130230026849854</v>
      </c>
      <c r="N29" s="9">
        <f t="shared" si="5"/>
        <v>0.72554380888977699</v>
      </c>
      <c r="O29" s="9">
        <f t="shared" si="5"/>
        <v>0.65424071060791256</v>
      </c>
      <c r="P29" s="9">
        <f t="shared" si="5"/>
        <v>0.59502815829621847</v>
      </c>
    </row>
    <row r="30" spans="3:17" x14ac:dyDescent="0.35">
      <c r="D30" s="3" t="str">
        <f t="shared" si="3"/>
        <v>Actual 2024/25</v>
      </c>
      <c r="E30" s="43">
        <f>SUM($E23:E23)</f>
        <v>141416</v>
      </c>
      <c r="F30" s="43">
        <f>SUM($E23:F23)</f>
        <v>309924</v>
      </c>
      <c r="G30" s="43">
        <f>SUM($E23:G23)</f>
        <v>473592</v>
      </c>
      <c r="H30" s="43">
        <f>SUM($E23:H23)</f>
        <v>634485</v>
      </c>
      <c r="I30" s="43">
        <f>SUM($E23:I23)</f>
        <v>814377</v>
      </c>
      <c r="J30" s="43">
        <f>SUM($E23:J23)</f>
        <v>930937</v>
      </c>
      <c r="K30" s="43">
        <f>SUM($E23:K23)</f>
        <v>1115388</v>
      </c>
      <c r="L30" s="43">
        <f>SUM($E23:L23)</f>
        <v>1280863</v>
      </c>
      <c r="M30" s="43">
        <f>SUM($E23:M23)</f>
        <v>1456861</v>
      </c>
      <c r="N30" s="43">
        <f>SUM($E23:N23)</f>
        <v>1592349</v>
      </c>
      <c r="O30" s="43">
        <f>SUM($E23:O23)</f>
        <v>1746044</v>
      </c>
      <c r="P30" s="43">
        <f>SUM($E23:P23)</f>
        <v>1910955</v>
      </c>
    </row>
  </sheetData>
  <sheetProtection algorithmName="SHA-512" hashValue="S3EG/XC6MAIm2idx8iHOccJxsuVELy5YpEirIYibVbLink6OYJxVk/x6iidos+usNQSOjP18hWeD474uLJW95A==" saltValue="axiCvxyl3Pbyhkgu9xEBCA==" spinCount="100000" sheet="1" objects="1" scenarios="1"/>
  <mergeCells count="3">
    <mergeCell ref="C1:F1"/>
    <mergeCell ref="J4:Q8"/>
    <mergeCell ref="J10:Q15"/>
  </mergeCells>
  <conditionalFormatting sqref="C3">
    <cfRule type="expression" dxfId="197" priority="2">
      <formula>S4&lt;S6</formula>
    </cfRule>
  </conditionalFormatting>
  <conditionalFormatting sqref="C4">
    <cfRule type="expression" dxfId="196" priority="1">
      <formula>AND(S4&gt;=S6,S4&lt;S5)</formula>
    </cfRule>
  </conditionalFormatting>
  <conditionalFormatting sqref="C5">
    <cfRule type="expression" dxfId="195" priority="3">
      <formula>S4&gt;=S5</formula>
    </cfRule>
  </conditionalFormatting>
  <hyperlinks>
    <hyperlink ref="L1" location="'Distribution Dashboard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14850" r:id="rId3" name="Spinner 2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57150</xdr:rowOff>
                  </from>
                  <to>
                    <xdr:col>9</xdr:col>
                    <xdr:colOff>628650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S30"/>
  <sheetViews>
    <sheetView zoomScale="90" zoomScaleNormal="90" zoomScalePageLayoutView="90" workbookViewId="0">
      <pane ySplit="2" topLeftCell="A3" activePane="bottomLeft" state="frozen"/>
      <selection activeCell="K20" sqref="K20"/>
      <selection pane="bottomLeft" sqref="A1:XFD1048576"/>
    </sheetView>
  </sheetViews>
  <sheetFormatPr defaultColWidth="9.1796875" defaultRowHeight="14.5" x14ac:dyDescent="0.35"/>
  <cols>
    <col min="1" max="1" width="9.1796875" style="3"/>
    <col min="2" max="2" width="5.45312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 t="s">
        <v>88</v>
      </c>
      <c r="C1" s="124" t="s">
        <v>89</v>
      </c>
      <c r="D1" s="124"/>
      <c r="E1" s="124"/>
      <c r="F1" s="124"/>
      <c r="G1" s="3" t="s">
        <v>10</v>
      </c>
      <c r="I1" s="12">
        <f>INDEX(E$18:P$18,Actual_month)</f>
        <v>46054</v>
      </c>
      <c r="L1" s="15" t="s">
        <v>21</v>
      </c>
      <c r="R1" s="5"/>
    </row>
    <row r="2" spans="1:19" x14ac:dyDescent="0.35">
      <c r="A2" s="3" t="s">
        <v>14</v>
      </c>
      <c r="C2" s="3" t="s">
        <v>15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 t="s">
        <v>97</v>
      </c>
      <c r="K4" s="135"/>
      <c r="L4" s="135"/>
      <c r="M4" s="135"/>
      <c r="N4" s="135"/>
      <c r="O4" s="135"/>
      <c r="P4" s="135"/>
      <c r="Q4" s="136"/>
      <c r="R4" s="3" t="s">
        <v>25</v>
      </c>
      <c r="S4" s="43">
        <f>INDEX(E27:P27,Actual_month)</f>
        <v>1275843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43">
        <f>INDEX(E26:P26,Actual_month)</f>
        <v>1382493.6966631464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0.9</v>
      </c>
      <c r="S6" s="43">
        <f>+S5*R6</f>
        <v>1244244.3269968317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43">
        <f>Budget2526!D16</f>
        <v>162967.7442335966</v>
      </c>
      <c r="F19" s="43">
        <f>Budget2526!E16</f>
        <v>164996.22762758762</v>
      </c>
      <c r="G19" s="43">
        <f>Budget2526!F16</f>
        <v>167133.6122432423</v>
      </c>
      <c r="H19" s="43">
        <f>Budget2526!G16</f>
        <v>170794.2475474836</v>
      </c>
      <c r="I19" s="43">
        <f>Budget2526!H16</f>
        <v>174251.4018390667</v>
      </c>
      <c r="J19" s="43">
        <f>Budget2526!I16</f>
        <v>177638.11139871617</v>
      </c>
      <c r="K19" s="43">
        <f>Budget2526!J16</f>
        <v>180823.43914382733</v>
      </c>
      <c r="L19" s="43">
        <f>Budget2526!K16</f>
        <v>183888.91262962579</v>
      </c>
      <c r="M19" s="43">
        <f>Budget2526!L16</f>
        <v>186764.48642215956</v>
      </c>
      <c r="N19" s="43">
        <f>Budget2526!M16</f>
        <v>189206.27401245051</v>
      </c>
      <c r="O19" s="43">
        <f>Budget2526!N16</f>
        <v>191648.06160274139</v>
      </c>
      <c r="P19" s="43">
        <f>Budget2526!O16</f>
        <v>194059.95820076609</v>
      </c>
      <c r="Q19" s="5"/>
    </row>
    <row r="20" spans="3:17" x14ac:dyDescent="0.35">
      <c r="D20" s="3" t="str">
        <f>'KPI 100'!D20</f>
        <v>Actual 2025/26</v>
      </c>
      <c r="E20" s="43">
        <f>Actuals2526!D16</f>
        <v>146435</v>
      </c>
      <c r="F20" s="43">
        <f>Actuals2526!E16</f>
        <v>173295</v>
      </c>
      <c r="G20" s="43">
        <f>Actuals2526!F16</f>
        <v>145984</v>
      </c>
      <c r="H20" s="43">
        <f>Actuals2526!G16</f>
        <v>171125</v>
      </c>
      <c r="I20" s="43">
        <f>Actuals2526!H16</f>
        <v>135132</v>
      </c>
      <c r="J20" s="43">
        <f>Actuals2526!I16</f>
        <v>131036</v>
      </c>
      <c r="K20" s="43">
        <f>Actuals2526!J16</f>
        <v>200570</v>
      </c>
      <c r="L20" s="43">
        <f>Actuals2526!K16</f>
        <v>172266</v>
      </c>
      <c r="M20" s="43">
        <f>Actuals2526!L16</f>
        <v>0</v>
      </c>
      <c r="N20" s="43">
        <f>Actuals2526!M16</f>
        <v>0</v>
      </c>
      <c r="O20" s="43">
        <f>Actuals2526!N16</f>
        <v>0</v>
      </c>
      <c r="P20" s="43">
        <f>Actuals2526!O16</f>
        <v>0</v>
      </c>
      <c r="Q20" s="5"/>
    </row>
    <row r="21" spans="3:17" x14ac:dyDescent="0.35">
      <c r="D21" s="3" t="str">
        <f>'KPI 100'!D21</f>
        <v>Difference</v>
      </c>
      <c r="E21" s="43">
        <f>IF(E20=0,0,E20-E19)</f>
        <v>-16532.744233596604</v>
      </c>
      <c r="F21" s="43">
        <f t="shared" ref="F21:P21" si="0">IF(F20=0,0,F20-F19)</f>
        <v>8298.7723724123789</v>
      </c>
      <c r="G21" s="43">
        <f t="shared" si="0"/>
        <v>-21149.6122432423</v>
      </c>
      <c r="H21" s="43">
        <f t="shared" si="0"/>
        <v>330.75245251640445</v>
      </c>
      <c r="I21" s="43">
        <f t="shared" si="0"/>
        <v>-39119.401839066704</v>
      </c>
      <c r="J21" s="43">
        <f t="shared" si="0"/>
        <v>-46602.111398716166</v>
      </c>
      <c r="K21" s="43">
        <f t="shared" si="0"/>
        <v>19746.560856172669</v>
      </c>
      <c r="L21" s="43">
        <f t="shared" si="0"/>
        <v>-11622.912629625789</v>
      </c>
      <c r="M21" s="43">
        <f t="shared" si="0"/>
        <v>0</v>
      </c>
      <c r="N21" s="43">
        <f t="shared" si="0"/>
        <v>0</v>
      </c>
      <c r="O21" s="43">
        <f t="shared" si="0"/>
        <v>0</v>
      </c>
      <c r="P21" s="43">
        <f t="shared" si="0"/>
        <v>0</v>
      </c>
      <c r="Q21" s="5"/>
    </row>
    <row r="22" spans="3:17" x14ac:dyDescent="0.35">
      <c r="D22" s="3" t="str">
        <f>'KPI 100'!D22</f>
        <v>% realisation</v>
      </c>
      <c r="E22" s="9">
        <f>E20/E19</f>
        <v>0.89855204591959803</v>
      </c>
      <c r="F22" s="9">
        <f t="shared" ref="F22:P22" si="1">F20/F19</f>
        <v>1.0502967400633154</v>
      </c>
      <c r="G22" s="9">
        <f t="shared" si="1"/>
        <v>0.87345685909988202</v>
      </c>
      <c r="H22" s="9">
        <f t="shared" si="1"/>
        <v>1.0019365549909662</v>
      </c>
      <c r="I22" s="9">
        <f t="shared" si="1"/>
        <v>0.77550021735150121</v>
      </c>
      <c r="J22" s="9">
        <f t="shared" si="1"/>
        <v>0.73765702060344596</v>
      </c>
      <c r="K22" s="9">
        <f t="shared" si="1"/>
        <v>1.1092035465627119</v>
      </c>
      <c r="L22" s="9">
        <f t="shared" si="1"/>
        <v>0.9367938367603722</v>
      </c>
      <c r="M22" s="9">
        <f t="shared" si="1"/>
        <v>0</v>
      </c>
      <c r="N22" s="9">
        <f t="shared" si="1"/>
        <v>0</v>
      </c>
      <c r="O22" s="9">
        <f t="shared" si="1"/>
        <v>0</v>
      </c>
      <c r="P22" s="9">
        <f t="shared" si="1"/>
        <v>0</v>
      </c>
    </row>
    <row r="23" spans="3:17" x14ac:dyDescent="0.35">
      <c r="D23" s="3" t="str">
        <f>'KPI 100'!D23</f>
        <v>Actual 2024/25</v>
      </c>
      <c r="E23" s="43">
        <f>Actuals2425!D16</f>
        <v>141416</v>
      </c>
      <c r="F23" s="43">
        <f>Actuals2425!E16</f>
        <v>168508</v>
      </c>
      <c r="G23" s="43">
        <f>Actuals2425!F16</f>
        <v>163668</v>
      </c>
      <c r="H23" s="43">
        <f>Actuals2425!G16</f>
        <v>160893</v>
      </c>
      <c r="I23" s="43">
        <f>Actuals2425!H16</f>
        <v>179892</v>
      </c>
      <c r="J23" s="43">
        <f>Actuals2425!I16</f>
        <v>116560</v>
      </c>
      <c r="K23" s="43">
        <f>Actuals2425!J16</f>
        <v>184451</v>
      </c>
      <c r="L23" s="43">
        <f>Actuals2425!K16</f>
        <v>165475</v>
      </c>
      <c r="M23" s="43">
        <f>Actuals2425!L16</f>
        <v>175998</v>
      </c>
      <c r="N23" s="43">
        <f>Actuals2425!M16</f>
        <v>135488</v>
      </c>
      <c r="O23" s="43">
        <f>Actuals2425!N16</f>
        <v>153695</v>
      </c>
      <c r="P23" s="43">
        <f>Actuals2425!O16</f>
        <v>164911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43">
        <f>SUM($E19:E19)</f>
        <v>162967.7442335966</v>
      </c>
      <c r="F26" s="43">
        <f>SUM($E19:F19)</f>
        <v>327963.97186118423</v>
      </c>
      <c r="G26" s="43">
        <f>SUM($E19:G19)</f>
        <v>495097.58410442655</v>
      </c>
      <c r="H26" s="43">
        <f>SUM($E19:H19)</f>
        <v>665891.83165191021</v>
      </c>
      <c r="I26" s="43">
        <f>SUM($E19:I19)</f>
        <v>840143.23349097697</v>
      </c>
      <c r="J26" s="43">
        <f>SUM($E19:J19)</f>
        <v>1017781.3448896932</v>
      </c>
      <c r="K26" s="43">
        <f>SUM($E19:K19)</f>
        <v>1198604.7840335206</v>
      </c>
      <c r="L26" s="43">
        <f>SUM($E19:L19)</f>
        <v>1382493.6966631464</v>
      </c>
      <c r="M26" s="43">
        <f>SUM($E19:M19)</f>
        <v>1569258.1830853058</v>
      </c>
      <c r="N26" s="43">
        <f>SUM($E19:N19)</f>
        <v>1758464.4570977564</v>
      </c>
      <c r="O26" s="43">
        <f>SUM($E19:O19)</f>
        <v>1950112.5187004979</v>
      </c>
      <c r="P26" s="43">
        <f>SUM($E19:P19)</f>
        <v>2144172.4769012639</v>
      </c>
    </row>
    <row r="27" spans="3:17" x14ac:dyDescent="0.35">
      <c r="D27" s="3" t="str">
        <f t="shared" ref="D27:D30" si="3">D20</f>
        <v>Actual 2025/26</v>
      </c>
      <c r="E27" s="43">
        <f>SUM($E20:E20)</f>
        <v>146435</v>
      </c>
      <c r="F27" s="43">
        <f>SUM($E20:F20)</f>
        <v>319730</v>
      </c>
      <c r="G27" s="43">
        <f>SUM($E20:G20)</f>
        <v>465714</v>
      </c>
      <c r="H27" s="43">
        <f>SUM($E20:H20)</f>
        <v>636839</v>
      </c>
      <c r="I27" s="43">
        <f>SUM($E20:I20)</f>
        <v>771971</v>
      </c>
      <c r="J27" s="43">
        <f>SUM($E20:J20)</f>
        <v>903007</v>
      </c>
      <c r="K27" s="43">
        <f>SUM($E20:K20)</f>
        <v>1103577</v>
      </c>
      <c r="L27" s="43">
        <f>SUM($E20:L20)</f>
        <v>1275843</v>
      </c>
      <c r="M27" s="43">
        <f>SUM($E20:M20)</f>
        <v>1275843</v>
      </c>
      <c r="N27" s="43">
        <f>SUM($E20:N20)</f>
        <v>1275843</v>
      </c>
      <c r="O27" s="43">
        <f>SUM($E20:O20)</f>
        <v>1275843</v>
      </c>
      <c r="P27" s="43">
        <f>SUM($E20:P20)</f>
        <v>1275843</v>
      </c>
    </row>
    <row r="28" spans="3:17" x14ac:dyDescent="0.35">
      <c r="D28" s="3" t="str">
        <f t="shared" si="3"/>
        <v>Difference</v>
      </c>
      <c r="E28" s="43">
        <f>IF(E27=0,0,E27-E26)</f>
        <v>-16532.744233596604</v>
      </c>
      <c r="F28" s="43">
        <f t="shared" ref="F28:P28" si="4">IF(F27=0,0,F27-F26)</f>
        <v>-8233.9718611842254</v>
      </c>
      <c r="G28" s="43">
        <f t="shared" si="4"/>
        <v>-29383.584104426554</v>
      </c>
      <c r="H28" s="43">
        <f t="shared" si="4"/>
        <v>-29052.831651910208</v>
      </c>
      <c r="I28" s="43">
        <f t="shared" si="4"/>
        <v>-68172.233490976971</v>
      </c>
      <c r="J28" s="43">
        <f t="shared" si="4"/>
        <v>-114774.3448896932</v>
      </c>
      <c r="K28" s="43">
        <f t="shared" si="4"/>
        <v>-95027.784033520613</v>
      </c>
      <c r="L28" s="43">
        <f t="shared" si="4"/>
        <v>-106650.69666314637</v>
      </c>
      <c r="M28" s="43">
        <f t="shared" si="4"/>
        <v>-293415.18308530585</v>
      </c>
      <c r="N28" s="43">
        <f t="shared" si="4"/>
        <v>-482621.45709775644</v>
      </c>
      <c r="O28" s="43">
        <f t="shared" si="4"/>
        <v>-674269.51870049792</v>
      </c>
      <c r="P28" s="43">
        <f t="shared" si="4"/>
        <v>-868329.47690126393</v>
      </c>
    </row>
    <row r="29" spans="3:17" x14ac:dyDescent="0.35">
      <c r="D29" s="3" t="str">
        <f t="shared" si="3"/>
        <v>% realisation</v>
      </c>
      <c r="E29" s="9">
        <f t="shared" ref="E29:P29" si="5">E27/E26</f>
        <v>0.89855204591959803</v>
      </c>
      <c r="F29" s="9">
        <f t="shared" si="5"/>
        <v>0.97489366952578138</v>
      </c>
      <c r="G29" s="9">
        <f t="shared" si="5"/>
        <v>0.94065092408483875</v>
      </c>
      <c r="H29" s="9">
        <f t="shared" si="5"/>
        <v>0.95637004349514632</v>
      </c>
      <c r="I29" s="9">
        <f t="shared" si="5"/>
        <v>0.91885641546179386</v>
      </c>
      <c r="J29" s="9">
        <f t="shared" si="5"/>
        <v>0.88723084239460848</v>
      </c>
      <c r="K29" s="9">
        <f t="shared" si="5"/>
        <v>0.92071800037896145</v>
      </c>
      <c r="L29" s="9">
        <f t="shared" si="5"/>
        <v>0.92285628721449964</v>
      </c>
      <c r="M29" s="9">
        <f t="shared" si="5"/>
        <v>0.8130230026849854</v>
      </c>
      <c r="N29" s="9">
        <f t="shared" si="5"/>
        <v>0.72554380888977699</v>
      </c>
      <c r="O29" s="9">
        <f t="shared" si="5"/>
        <v>0.65424071060791256</v>
      </c>
      <c r="P29" s="9">
        <f t="shared" si="5"/>
        <v>0.59502815829621847</v>
      </c>
    </row>
    <row r="30" spans="3:17" x14ac:dyDescent="0.35">
      <c r="D30" s="3" t="str">
        <f t="shared" si="3"/>
        <v>Actual 2024/25</v>
      </c>
      <c r="E30" s="43">
        <f>SUM($E23:E23)</f>
        <v>141416</v>
      </c>
      <c r="F30" s="43">
        <f>SUM($E23:F23)</f>
        <v>309924</v>
      </c>
      <c r="G30" s="43">
        <f>SUM($E23:G23)</f>
        <v>473592</v>
      </c>
      <c r="H30" s="43">
        <f>SUM($E23:H23)</f>
        <v>634485</v>
      </c>
      <c r="I30" s="43">
        <f>SUM($E23:I23)</f>
        <v>814377</v>
      </c>
      <c r="J30" s="43">
        <f>SUM($E23:J23)</f>
        <v>930937</v>
      </c>
      <c r="K30" s="43">
        <f>SUM($E23:K23)</f>
        <v>1115388</v>
      </c>
      <c r="L30" s="43">
        <f>SUM($E23:L23)</f>
        <v>1280863</v>
      </c>
      <c r="M30" s="43">
        <f>SUM($E23:M23)</f>
        <v>1456861</v>
      </c>
      <c r="N30" s="43">
        <f>SUM($E23:N23)</f>
        <v>1592349</v>
      </c>
      <c r="O30" s="43">
        <f>SUM($E23:O23)</f>
        <v>1746044</v>
      </c>
      <c r="P30" s="43">
        <f>SUM($E23:P23)</f>
        <v>1910955</v>
      </c>
    </row>
  </sheetData>
  <sheetProtection algorithmName="SHA-512" hashValue="Qrw0Ifsq8JYZJdfbjehFi4cmHzoYD8XpwQMp0GzSQVK4YJ1BU54iTKhWj7Q0x1IRwZnZXIVTYOGCmF5hai+Lmg==" saltValue="Po5VPSZeKAiIXuEVLnaENw==" spinCount="100000" sheet="1" objects="1" scenarios="1"/>
  <mergeCells count="3">
    <mergeCell ref="C1:F1"/>
    <mergeCell ref="J4:Q8"/>
    <mergeCell ref="J10:Q15"/>
  </mergeCells>
  <conditionalFormatting sqref="C3">
    <cfRule type="expression" dxfId="194" priority="2">
      <formula>S4&lt;S6</formula>
    </cfRule>
  </conditionalFormatting>
  <conditionalFormatting sqref="C4">
    <cfRule type="expression" dxfId="193" priority="1">
      <formula>AND(S4&gt;=S6,S4&lt;S5)</formula>
    </cfRule>
  </conditionalFormatting>
  <conditionalFormatting sqref="C5">
    <cfRule type="expression" dxfId="192" priority="3">
      <formula>S4&gt;=S5</formula>
    </cfRule>
  </conditionalFormatting>
  <hyperlinks>
    <hyperlink ref="L1" location="'Distribution Dashboard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07265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57150</xdr:rowOff>
                  </from>
                  <to>
                    <xdr:col>9</xdr:col>
                    <xdr:colOff>628650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S31"/>
  <sheetViews>
    <sheetView topLeftCell="E1" workbookViewId="0">
      <selection activeCell="E1" sqref="A1:XFD1048576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 t="e">
        <f>'Distribution Dashboard'!#REF!</f>
        <v>#REF!</v>
      </c>
      <c r="C1" s="124" t="s">
        <v>208</v>
      </c>
      <c r="D1" s="124"/>
      <c r="E1" s="124"/>
      <c r="F1" s="124"/>
      <c r="G1" s="3" t="s">
        <v>10</v>
      </c>
      <c r="I1" s="12">
        <f>INDEX(E$18:P$18,Actual_month)</f>
        <v>46054</v>
      </c>
      <c r="L1" s="15" t="s">
        <v>21</v>
      </c>
      <c r="R1" s="5"/>
    </row>
    <row r="2" spans="1:19" x14ac:dyDescent="0.35">
      <c r="A2" s="3" t="s">
        <v>14</v>
      </c>
      <c r="C2" s="3" t="s">
        <v>1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 t="s">
        <v>98</v>
      </c>
      <c r="K4" s="135"/>
      <c r="L4" s="135"/>
      <c r="M4" s="135"/>
      <c r="N4" s="135"/>
      <c r="O4" s="135"/>
      <c r="P4" s="135"/>
      <c r="Q4" s="136"/>
      <c r="R4" s="3" t="s">
        <v>25</v>
      </c>
      <c r="S4" s="9">
        <f>INDEX(E27:P27,Actual_month)</f>
        <v>0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9">
        <f>INDEX(E26:P26,Actual_month)</f>
        <v>0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1.1000000000000001</v>
      </c>
      <c r="S6" s="9">
        <f>+S5*R6</f>
        <v>0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9">
        <f>Budget2526!D12</f>
        <v>0</v>
      </c>
      <c r="F19" s="9">
        <f>Budget2526!E12</f>
        <v>0</v>
      </c>
      <c r="G19" s="9">
        <f>Budget2526!F12</f>
        <v>0</v>
      </c>
      <c r="H19" s="9">
        <f>Budget2526!G12</f>
        <v>0</v>
      </c>
      <c r="I19" s="9">
        <f>Budget2526!H12</f>
        <v>0</v>
      </c>
      <c r="J19" s="9">
        <f>Budget2526!I12</f>
        <v>0</v>
      </c>
      <c r="K19" s="9">
        <f>Budget2526!J12</f>
        <v>0</v>
      </c>
      <c r="L19" s="9">
        <f>Budget2526!K12</f>
        <v>0</v>
      </c>
      <c r="M19" s="9">
        <f>Budget2526!L12</f>
        <v>0</v>
      </c>
      <c r="N19" s="9">
        <f>Budget2526!M12</f>
        <v>0</v>
      </c>
      <c r="O19" s="9">
        <f>Budget2526!N12</f>
        <v>0</v>
      </c>
      <c r="P19" s="9">
        <f>Budget2526!O12</f>
        <v>0</v>
      </c>
      <c r="Q19" s="5"/>
    </row>
    <row r="20" spans="3:17" x14ac:dyDescent="0.35">
      <c r="D20" s="3" t="str">
        <f>'KPI 100'!D20</f>
        <v>Actual 2025/26</v>
      </c>
      <c r="E20" s="9">
        <f>Actuals2526!D12</f>
        <v>0</v>
      </c>
      <c r="F20" s="9">
        <f>Actuals2526!E12</f>
        <v>0</v>
      </c>
      <c r="G20" s="9">
        <f>Actuals2526!F12</f>
        <v>0</v>
      </c>
      <c r="H20" s="9">
        <f>Actuals2526!G12</f>
        <v>0</v>
      </c>
      <c r="I20" s="9">
        <f>Actuals2526!H12</f>
        <v>0</v>
      </c>
      <c r="J20" s="9">
        <f>Actuals2526!I12</f>
        <v>0</v>
      </c>
      <c r="K20" s="9">
        <f>Actuals2526!J12</f>
        <v>0</v>
      </c>
      <c r="L20" s="9">
        <f>Actuals2526!K12</f>
        <v>0</v>
      </c>
      <c r="M20" s="9" t="e">
        <f>Actuals2526!L12</f>
        <v>#DIV/0!</v>
      </c>
      <c r="N20" s="9" t="e">
        <f>Actuals2526!M12</f>
        <v>#DIV/0!</v>
      </c>
      <c r="O20" s="9" t="e">
        <f>Actuals2526!N12</f>
        <v>#DIV/0!</v>
      </c>
      <c r="P20" s="9" t="e">
        <f>Actuals2526!O12</f>
        <v>#DIV/0!</v>
      </c>
      <c r="Q20" s="5"/>
    </row>
    <row r="21" spans="3:17" x14ac:dyDescent="0.35">
      <c r="D21" s="3" t="str">
        <f>'KPI 100'!D21</f>
        <v>Difference</v>
      </c>
      <c r="E21" s="9">
        <f t="shared" ref="E21:P21" si="0">IF(E20=0,0,E20-E19)</f>
        <v>0</v>
      </c>
      <c r="F21" s="9">
        <f t="shared" si="0"/>
        <v>0</v>
      </c>
      <c r="G21" s="9">
        <f t="shared" si="0"/>
        <v>0</v>
      </c>
      <c r="H21" s="9">
        <f t="shared" si="0"/>
        <v>0</v>
      </c>
      <c r="I21" s="9">
        <f t="shared" si="0"/>
        <v>0</v>
      </c>
      <c r="J21" s="9">
        <f t="shared" si="0"/>
        <v>0</v>
      </c>
      <c r="K21" s="9">
        <f t="shared" si="0"/>
        <v>0</v>
      </c>
      <c r="L21" s="9">
        <f t="shared" si="0"/>
        <v>0</v>
      </c>
      <c r="M21" s="9" t="e">
        <f t="shared" si="0"/>
        <v>#DIV/0!</v>
      </c>
      <c r="N21" s="9" t="e">
        <f t="shared" si="0"/>
        <v>#DIV/0!</v>
      </c>
      <c r="O21" s="9" t="e">
        <f t="shared" si="0"/>
        <v>#DIV/0!</v>
      </c>
      <c r="P21" s="9" t="e">
        <f t="shared" si="0"/>
        <v>#DIV/0!</v>
      </c>
      <c r="Q21" s="5"/>
    </row>
    <row r="22" spans="3:17" x14ac:dyDescent="0.35">
      <c r="D22" s="3" t="str">
        <f>'KPI 100'!D22</f>
        <v>% realisation</v>
      </c>
      <c r="E22" s="9" t="e">
        <f t="shared" ref="E22:P22" si="1">E20/E19</f>
        <v>#DIV/0!</v>
      </c>
      <c r="F22" s="9" t="e">
        <f t="shared" si="1"/>
        <v>#DIV/0!</v>
      </c>
      <c r="G22" s="9" t="e">
        <f t="shared" si="1"/>
        <v>#DIV/0!</v>
      </c>
      <c r="H22" s="9" t="e">
        <f t="shared" si="1"/>
        <v>#DIV/0!</v>
      </c>
      <c r="I22" s="9" t="e">
        <f t="shared" si="1"/>
        <v>#DIV/0!</v>
      </c>
      <c r="J22" s="9" t="e">
        <f t="shared" si="1"/>
        <v>#DIV/0!</v>
      </c>
      <c r="K22" s="9" t="e">
        <f t="shared" si="1"/>
        <v>#DIV/0!</v>
      </c>
      <c r="L22" s="9" t="e">
        <f t="shared" si="1"/>
        <v>#DIV/0!</v>
      </c>
      <c r="M22" s="9" t="e">
        <f t="shared" si="1"/>
        <v>#DIV/0!</v>
      </c>
      <c r="N22" s="9" t="e">
        <f t="shared" si="1"/>
        <v>#DIV/0!</v>
      </c>
      <c r="O22" s="9" t="e">
        <f t="shared" si="1"/>
        <v>#DIV/0!</v>
      </c>
      <c r="P22" s="9" t="e">
        <f t="shared" si="1"/>
        <v>#DIV/0!</v>
      </c>
    </row>
    <row r="23" spans="3:17" x14ac:dyDescent="0.35">
      <c r="D23" s="3" t="str">
        <f>'KPI 100'!D23</f>
        <v>Actual 2024/25</v>
      </c>
      <c r="E23" s="9">
        <f>Actuals2425!D12</f>
        <v>9.729360779934465E-2</v>
      </c>
      <c r="F23" s="9">
        <f>Actuals2425!E12</f>
        <v>4.6332854880437674E-2</v>
      </c>
      <c r="G23" s="9">
        <f>Actuals2425!F12</f>
        <v>5.6379673019798592E-2</v>
      </c>
      <c r="H23" s="9">
        <f>Actuals2425!G12</f>
        <v>3.9044489785102943E-2</v>
      </c>
      <c r="I23" s="9">
        <f>Actuals2425!H12</f>
        <v>8.4320806449530196E-3</v>
      </c>
      <c r="J23" s="9">
        <f>Actuals2425!I12</f>
        <v>6.868552658288582E-2</v>
      </c>
      <c r="K23" s="9">
        <f>Actuals2425!J12</f>
        <v>4.6694826141973657E-2</v>
      </c>
      <c r="L23" s="9">
        <f>Actuals2425!K12</f>
        <v>8.216562666689245E-2</v>
      </c>
      <c r="M23" s="9">
        <f>Actuals2425!L12</f>
        <v>1.7169104150125077E-2</v>
      </c>
      <c r="N23" s="9">
        <f>Actuals2425!M12</f>
        <v>3.7896004727057861E-3</v>
      </c>
      <c r="O23" s="9">
        <f>Actuals2425!N12</f>
        <v>6.4429971534608874E-2</v>
      </c>
      <c r="P23" s="9">
        <f>Actuals2425!O12</f>
        <v>1.7362191439852407E-2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46">
        <f>E19</f>
        <v>0</v>
      </c>
      <c r="F26" s="46">
        <f>AVERAGE($E$19:F19)</f>
        <v>0</v>
      </c>
      <c r="G26" s="46">
        <f>AVERAGE($E$19:G19)</f>
        <v>0</v>
      </c>
      <c r="H26" s="46">
        <f>AVERAGE($E$19:H19)</f>
        <v>0</v>
      </c>
      <c r="I26" s="46">
        <f>AVERAGE($E$19:I19)</f>
        <v>0</v>
      </c>
      <c r="J26" s="46">
        <f>AVERAGE($E$19:J19)</f>
        <v>0</v>
      </c>
      <c r="K26" s="46">
        <f>AVERAGE($E$19:K19)</f>
        <v>0</v>
      </c>
      <c r="L26" s="46">
        <f>AVERAGE($E$19:L19)</f>
        <v>0</v>
      </c>
      <c r="M26" s="46">
        <f>AVERAGE($E$19:M19)</f>
        <v>0</v>
      </c>
      <c r="N26" s="46">
        <f>AVERAGE($E$19:N19)</f>
        <v>0</v>
      </c>
      <c r="O26" s="46">
        <f>AVERAGE($E$19:O19)</f>
        <v>0</v>
      </c>
      <c r="P26" s="46">
        <f>AVERAGE($E$19:P19)</f>
        <v>0</v>
      </c>
    </row>
    <row r="27" spans="3:17" x14ac:dyDescent="0.35">
      <c r="D27" s="3" t="str">
        <f t="shared" ref="D27:D30" si="3">D20</f>
        <v>Actual 2025/26</v>
      </c>
      <c r="E27" s="46">
        <f>E20</f>
        <v>0</v>
      </c>
      <c r="F27" s="46">
        <f>AVERAGE($E$20:F20)</f>
        <v>0</v>
      </c>
      <c r="G27" s="46">
        <f>AVERAGE($E$20:G20)</f>
        <v>0</v>
      </c>
      <c r="H27" s="46">
        <f>AVERAGE($E$20:H20)</f>
        <v>0</v>
      </c>
      <c r="I27" s="46">
        <f>AVERAGE($E$20:I20)</f>
        <v>0</v>
      </c>
      <c r="J27" s="46">
        <f>AVERAGE($E$20:J20)</f>
        <v>0</v>
      </c>
      <c r="K27" s="46">
        <f>AVERAGE($E$20:K20)</f>
        <v>0</v>
      </c>
      <c r="L27" s="46">
        <f>AVERAGE($E$20:L20)</f>
        <v>0</v>
      </c>
      <c r="M27" s="46" t="e">
        <f>AVERAGE($E$20:M20)</f>
        <v>#DIV/0!</v>
      </c>
      <c r="N27" s="46" t="e">
        <f>AVERAGE($E$20:N20)</f>
        <v>#DIV/0!</v>
      </c>
      <c r="O27" s="46" t="e">
        <f>AVERAGE($E$20:O20)</f>
        <v>#DIV/0!</v>
      </c>
      <c r="P27" s="46" t="e">
        <f>AVERAGE($E$20:P20)</f>
        <v>#DIV/0!</v>
      </c>
    </row>
    <row r="28" spans="3:17" x14ac:dyDescent="0.35">
      <c r="D28" s="3" t="str">
        <f t="shared" si="3"/>
        <v>Difference</v>
      </c>
      <c r="E28" s="9">
        <f>IF(E20=0,0,E20-E19)</f>
        <v>0</v>
      </c>
      <c r="F28" s="9">
        <f t="shared" ref="F28:P28" si="4">IF(F27=0,0,F27-F26)</f>
        <v>0</v>
      </c>
      <c r="G28" s="9">
        <f t="shared" si="4"/>
        <v>0</v>
      </c>
      <c r="H28" s="9">
        <f t="shared" si="4"/>
        <v>0</v>
      </c>
      <c r="I28" s="9">
        <f t="shared" si="4"/>
        <v>0</v>
      </c>
      <c r="J28" s="9">
        <f t="shared" si="4"/>
        <v>0</v>
      </c>
      <c r="K28" s="9">
        <f t="shared" si="4"/>
        <v>0</v>
      </c>
      <c r="L28" s="9">
        <f t="shared" si="4"/>
        <v>0</v>
      </c>
      <c r="M28" s="9" t="e">
        <f t="shared" si="4"/>
        <v>#DIV/0!</v>
      </c>
      <c r="N28" s="9" t="e">
        <f t="shared" si="4"/>
        <v>#DIV/0!</v>
      </c>
      <c r="O28" s="9" t="e">
        <f t="shared" si="4"/>
        <v>#DIV/0!</v>
      </c>
      <c r="P28" s="9" t="e">
        <f t="shared" si="4"/>
        <v>#DIV/0!</v>
      </c>
    </row>
    <row r="29" spans="3:17" x14ac:dyDescent="0.35">
      <c r="D29" s="3" t="str">
        <f t="shared" si="3"/>
        <v>% realisation</v>
      </c>
      <c r="E29" s="9" t="e">
        <f>E20/E19</f>
        <v>#DIV/0!</v>
      </c>
      <c r="F29" s="9" t="e">
        <f t="shared" ref="F29:P29" si="5">F27/F26</f>
        <v>#DIV/0!</v>
      </c>
      <c r="G29" s="9" t="e">
        <f t="shared" si="5"/>
        <v>#DIV/0!</v>
      </c>
      <c r="H29" s="9" t="e">
        <f t="shared" si="5"/>
        <v>#DIV/0!</v>
      </c>
      <c r="I29" s="9" t="e">
        <f t="shared" si="5"/>
        <v>#DIV/0!</v>
      </c>
      <c r="J29" s="9" t="e">
        <f t="shared" si="5"/>
        <v>#DIV/0!</v>
      </c>
      <c r="K29" s="9" t="e">
        <f t="shared" si="5"/>
        <v>#DIV/0!</v>
      </c>
      <c r="L29" s="9" t="e">
        <f t="shared" si="5"/>
        <v>#DIV/0!</v>
      </c>
      <c r="M29" s="9" t="e">
        <f t="shared" si="5"/>
        <v>#DIV/0!</v>
      </c>
      <c r="N29" s="9" t="e">
        <f t="shared" si="5"/>
        <v>#DIV/0!</v>
      </c>
      <c r="O29" s="9" t="e">
        <f t="shared" si="5"/>
        <v>#DIV/0!</v>
      </c>
      <c r="P29" s="9" t="e">
        <f t="shared" si="5"/>
        <v>#DIV/0!</v>
      </c>
    </row>
    <row r="30" spans="3:17" x14ac:dyDescent="0.35">
      <c r="D30" s="3" t="str">
        <f t="shared" si="3"/>
        <v>Actual 2024/25</v>
      </c>
      <c r="E30" s="46">
        <f>('KPI 100'!E30-'KPI 128a'!E30)/'KPI 100'!E30</f>
        <v>0.21353413565279292</v>
      </c>
      <c r="F30" s="46">
        <f>('KPI 100'!F30-'KPI 128a'!F30)/'KPI 100'!F30</f>
        <v>0.22208417105292882</v>
      </c>
      <c r="G30" s="46">
        <f>('KPI 100'!G30-'KPI 128a'!G30)/'KPI 100'!G30</f>
        <v>0.21746716809538602</v>
      </c>
      <c r="H30" s="46">
        <f>('KPI 100'!H30-'KPI 128a'!H30)/'KPI 100'!H30</f>
        <v>0.22886811692312928</v>
      </c>
      <c r="I30" s="46">
        <f>('KPI 100'!I30-'KPI 128a'!I30)/'KPI 100'!I30</f>
        <v>0.22673370269615872</v>
      </c>
      <c r="J30" s="46">
        <f>('KPI 100'!J30-'KPI 128a'!J30)/'KPI 100'!J30</f>
        <v>0.22715982353810418</v>
      </c>
      <c r="K30" s="46">
        <f>('KPI 100'!K30-'KPI 128a'!K30)/'KPI 100'!K30</f>
        <v>0.24226924934664212</v>
      </c>
      <c r="L30" s="46">
        <f>('KPI 100'!L30-'KPI 128a'!L30)/'KPI 100'!L30</f>
        <v>0.24156334008360866</v>
      </c>
      <c r="M30" s="46">
        <f>('KPI 100'!M30-'KPI 128a'!M30)/'KPI 100'!M30</f>
        <v>0.24084497794749085</v>
      </c>
      <c r="N30" s="46">
        <f>('KPI 100'!N30-'KPI 128a'!N30)/'KPI 100'!N30</f>
        <v>0.23971004542118807</v>
      </c>
      <c r="O30" s="46">
        <f>('KPI 100'!O30-'KPI 128a'!O30)/'KPI 100'!O30</f>
        <v>0.241548210429014</v>
      </c>
      <c r="P30" s="46">
        <f>('KPI 100'!P30-'KPI 128a'!P30)/'KPI 100'!P30</f>
        <v>0.24359085495245911</v>
      </c>
    </row>
    <row r="31" spans="3:17" x14ac:dyDescent="0.35"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</row>
  </sheetData>
  <sheetProtection algorithmName="SHA-512" hashValue="wUwKi1lYBNJn/eijRv+fX4ZKt6f2XwmxqzfOZWpORCPW7J+VCsi9ybAy0m38p1iMs4JUx7cB5W3j1bnoJ1oj3Q==" saltValue="+2PgX36YENQ7apOMvML94g==" spinCount="100000" sheet="1" objects="1" scenarios="1"/>
  <mergeCells count="3">
    <mergeCell ref="C1:F1"/>
    <mergeCell ref="J4:Q8"/>
    <mergeCell ref="J10:Q15"/>
  </mergeCells>
  <conditionalFormatting sqref="C3">
    <cfRule type="expression" dxfId="191" priority="2">
      <formula>S4&gt;S6</formula>
    </cfRule>
  </conditionalFormatting>
  <conditionalFormatting sqref="C4">
    <cfRule type="expression" dxfId="190" priority="1">
      <formula>AND(S4&gt;S5,S4&lt;=S6)</formula>
    </cfRule>
  </conditionalFormatting>
  <conditionalFormatting sqref="C5">
    <cfRule type="expression" dxfId="189" priority="3">
      <formula>S4&lt;=S5</formula>
    </cfRule>
  </conditionalFormatting>
  <hyperlinks>
    <hyperlink ref="L1" location="'Distribution Dashboard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90625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57150</xdr:rowOff>
                  </from>
                  <to>
                    <xdr:col>9</xdr:col>
                    <xdr:colOff>628650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S31"/>
  <sheetViews>
    <sheetView workbookViewId="0">
      <selection sqref="A1:XFD1048576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 t="e">
        <f>'Distribution Dashboard'!#REF!</f>
        <v>#REF!</v>
      </c>
      <c r="C1" s="124" t="s">
        <v>48</v>
      </c>
      <c r="D1" s="124"/>
      <c r="E1" s="124"/>
      <c r="F1" s="124"/>
      <c r="G1" s="3" t="s">
        <v>10</v>
      </c>
      <c r="I1" s="12">
        <f>INDEX(E$18:P$18,Actual_month)</f>
        <v>46054</v>
      </c>
      <c r="L1" s="15" t="s">
        <v>21</v>
      </c>
      <c r="R1" s="5"/>
    </row>
    <row r="2" spans="1:19" x14ac:dyDescent="0.35">
      <c r="A2" s="3" t="s">
        <v>14</v>
      </c>
      <c r="C2" s="3" t="s">
        <v>1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/>
      <c r="K4" s="135"/>
      <c r="L4" s="135"/>
      <c r="M4" s="135"/>
      <c r="N4" s="135"/>
      <c r="O4" s="135"/>
      <c r="P4" s="135"/>
      <c r="Q4" s="136"/>
      <c r="R4" s="3" t="s">
        <v>25</v>
      </c>
      <c r="S4" s="9">
        <f>INDEX(E27:P27,Actual_month)</f>
        <v>0.25775643177100965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9">
        <f>INDEX(E26:P26,Actual_month)</f>
        <v>0.22219316099117103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1.1000000000000001</v>
      </c>
      <c r="S6" s="9">
        <f>+S5*R6</f>
        <v>0.24441247709028815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9">
        <f>Budget2526!D8</f>
        <v>0.24134205835351252</v>
      </c>
      <c r="F19" s="9">
        <f>Budget2526!E8</f>
        <v>0.23571400960337752</v>
      </c>
      <c r="G19" s="9">
        <f>Budget2526!F8</f>
        <v>0.22993705454042773</v>
      </c>
      <c r="H19" s="9">
        <f>Budget2526!G8</f>
        <v>0.2249949133802886</v>
      </c>
      <c r="I19" s="9">
        <f>Budget2526!H8</f>
        <v>0.21989591747943441</v>
      </c>
      <c r="J19" s="9">
        <f>Budget2526!I8</f>
        <v>0.21451901753170363</v>
      </c>
      <c r="K19" s="9">
        <f>Budget2526!J8</f>
        <v>0.20858755250143604</v>
      </c>
      <c r="L19" s="9">
        <f>Budget2526!K8</f>
        <v>0.20255476453918794</v>
      </c>
      <c r="M19" s="9">
        <f>Budget2526!L8</f>
        <v>0.19632970649693959</v>
      </c>
      <c r="N19" s="9">
        <f>Budget2526!M8</f>
        <v>0.18972412159958379</v>
      </c>
      <c r="O19" s="9">
        <f>Budget2526!N8</f>
        <v>0.18307741655906762</v>
      </c>
      <c r="P19" s="9">
        <f>Budget2526!O8</f>
        <v>0.17638264914739699</v>
      </c>
      <c r="Q19" s="5"/>
    </row>
    <row r="20" spans="3:17" x14ac:dyDescent="0.35">
      <c r="D20" s="3" t="str">
        <f>'KPI 100'!D20</f>
        <v>Actual 2025/26</v>
      </c>
      <c r="E20" s="9">
        <f>Actuals2526!D8</f>
        <v>0.28085589125054022</v>
      </c>
      <c r="F20" s="9">
        <f>Actuals2526!E8</f>
        <v>0.24397298641467949</v>
      </c>
      <c r="G20" s="9">
        <f>Actuals2526!F8</f>
        <v>0.25107221275984487</v>
      </c>
      <c r="H20" s="9">
        <f>Actuals2526!G8</f>
        <v>0.30785036220306833</v>
      </c>
      <c r="I20" s="9">
        <f>Actuals2526!H8</f>
        <v>0.25607359328808071</v>
      </c>
      <c r="J20" s="9">
        <f>Actuals2526!I8</f>
        <v>0.27319722004980834</v>
      </c>
      <c r="K20" s="9">
        <f>Actuals2526!J8</f>
        <v>0.22310880427625207</v>
      </c>
      <c r="L20" s="9">
        <f>Actuals2526!K8</f>
        <v>0.2259203839258031</v>
      </c>
      <c r="M20" s="9" t="e">
        <f>Actuals2526!L8</f>
        <v>#DIV/0!</v>
      </c>
      <c r="N20" s="9" t="e">
        <f>Actuals2526!M8</f>
        <v>#DIV/0!</v>
      </c>
      <c r="O20" s="9" t="e">
        <f>Actuals2526!N8</f>
        <v>#DIV/0!</v>
      </c>
      <c r="P20" s="9" t="e">
        <f>Actuals2526!O8</f>
        <v>#DIV/0!</v>
      </c>
      <c r="Q20" s="5"/>
    </row>
    <row r="21" spans="3:17" x14ac:dyDescent="0.35">
      <c r="D21" s="3" t="str">
        <f>'KPI 100'!D21</f>
        <v>Difference</v>
      </c>
      <c r="E21" s="9">
        <f t="shared" ref="E21:P21" si="0">IF(E20=0,0,E20-E19)</f>
        <v>3.9513832897027701E-2</v>
      </c>
      <c r="F21" s="9">
        <f t="shared" si="0"/>
        <v>8.2589768113019713E-3</v>
      </c>
      <c r="G21" s="9">
        <f t="shared" si="0"/>
        <v>2.1135158219417138E-2</v>
      </c>
      <c r="H21" s="9">
        <f t="shared" si="0"/>
        <v>8.2855448822779731E-2</v>
      </c>
      <c r="I21" s="9">
        <f t="shared" si="0"/>
        <v>3.6177675808646309E-2</v>
      </c>
      <c r="J21" s="9">
        <f t="shared" si="0"/>
        <v>5.8678202518104711E-2</v>
      </c>
      <c r="K21" s="9">
        <f t="shared" si="0"/>
        <v>1.452125177481603E-2</v>
      </c>
      <c r="L21" s="9">
        <f t="shared" si="0"/>
        <v>2.3365619386615161E-2</v>
      </c>
      <c r="M21" s="9" t="e">
        <f t="shared" si="0"/>
        <v>#DIV/0!</v>
      </c>
      <c r="N21" s="9" t="e">
        <f t="shared" si="0"/>
        <v>#DIV/0!</v>
      </c>
      <c r="O21" s="9" t="e">
        <f t="shared" si="0"/>
        <v>#DIV/0!</v>
      </c>
      <c r="P21" s="9" t="e">
        <f t="shared" si="0"/>
        <v>#DIV/0!</v>
      </c>
      <c r="Q21" s="5"/>
    </row>
    <row r="22" spans="3:17" x14ac:dyDescent="0.35">
      <c r="D22" s="3" t="str">
        <f>'KPI 100'!D22</f>
        <v>% realisation</v>
      </c>
      <c r="E22" s="9">
        <f t="shared" ref="E22:P22" si="1">E20/E19</f>
        <v>1.1637254325524509</v>
      </c>
      <c r="F22" s="9">
        <f t="shared" si="1"/>
        <v>1.0350381244848317</v>
      </c>
      <c r="G22" s="9">
        <f t="shared" si="1"/>
        <v>1.091917147767504</v>
      </c>
      <c r="H22" s="9">
        <f t="shared" si="1"/>
        <v>1.3682547644209921</v>
      </c>
      <c r="I22" s="9">
        <f t="shared" si="1"/>
        <v>1.1645218166091229</v>
      </c>
      <c r="J22" s="9">
        <f t="shared" si="1"/>
        <v>1.2735338022393874</v>
      </c>
      <c r="K22" s="9">
        <f t="shared" si="1"/>
        <v>1.0696170581641782</v>
      </c>
      <c r="L22" s="9">
        <f t="shared" si="1"/>
        <v>1.1153545780064564</v>
      </c>
      <c r="M22" s="9" t="e">
        <f t="shared" si="1"/>
        <v>#DIV/0!</v>
      </c>
      <c r="N22" s="9" t="e">
        <f t="shared" si="1"/>
        <v>#DIV/0!</v>
      </c>
      <c r="O22" s="9" t="e">
        <f t="shared" si="1"/>
        <v>#DIV/0!</v>
      </c>
      <c r="P22" s="9" t="e">
        <f t="shared" si="1"/>
        <v>#DIV/0!</v>
      </c>
    </row>
    <row r="23" spans="3:17" x14ac:dyDescent="0.35">
      <c r="D23" s="3" t="str">
        <f>'KPI 100'!D23</f>
        <v>Actual 2024/25</v>
      </c>
      <c r="E23" s="9">
        <f>Actuals2425!D8</f>
        <v>0.29005223700616267</v>
      </c>
      <c r="F23" s="9">
        <f>Actuals2425!E8</f>
        <v>0.26483458472760907</v>
      </c>
      <c r="G23" s="9">
        <f>Actuals2425!F8</f>
        <v>0.25319291649365522</v>
      </c>
      <c r="H23" s="9">
        <f>Actuals2425!G8</f>
        <v>0.28944858104348287</v>
      </c>
      <c r="I23" s="9">
        <f>Actuals2425!H8</f>
        <v>0.22569481807968941</v>
      </c>
      <c r="J23" s="9">
        <f>Actuals2425!I8</f>
        <v>0.28300331555604769</v>
      </c>
      <c r="K23" s="9">
        <f>Actuals2425!J8</f>
        <v>0.34252615444937534</v>
      </c>
      <c r="L23" s="9">
        <f>Actuals2425!K8</f>
        <v>0.29948183457653521</v>
      </c>
      <c r="M23" s="9">
        <f>Actuals2425!L8</f>
        <v>0.24870015111543683</v>
      </c>
      <c r="N23" s="9">
        <f>Actuals2425!M8</f>
        <v>0.23021680832689423</v>
      </c>
      <c r="O23" s="9">
        <f>Actuals2425!N8</f>
        <v>0.3077550174755882</v>
      </c>
      <c r="P23" s="9">
        <f>Actuals2425!O8</f>
        <v>0.27733055211067631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46">
        <f>E19</f>
        <v>0.24134205835351252</v>
      </c>
      <c r="F26" s="46">
        <f>AVERAGE($E$19:F19)</f>
        <v>0.23852803397844502</v>
      </c>
      <c r="G26" s="46">
        <f>AVERAGE($E$19:G19)</f>
        <v>0.2356643741657726</v>
      </c>
      <c r="H26" s="46">
        <f>AVERAGE($E$19:H19)</f>
        <v>0.23299700896940162</v>
      </c>
      <c r="I26" s="46">
        <f>AVERAGE($E$19:I19)</f>
        <v>0.23037679067140818</v>
      </c>
      <c r="J26" s="46">
        <f>AVERAGE($E$19:J19)</f>
        <v>0.2277338284814574</v>
      </c>
      <c r="K26" s="46">
        <f>AVERAGE($E$19:K19)</f>
        <v>0.22499864619859719</v>
      </c>
      <c r="L26" s="46">
        <f>AVERAGE($E$19:L19)</f>
        <v>0.22219316099117103</v>
      </c>
      <c r="M26" s="46">
        <f>AVERAGE($E$19:M19)</f>
        <v>0.21931944382514532</v>
      </c>
      <c r="N26" s="46">
        <f>AVERAGE($E$19:N19)</f>
        <v>0.21635991160258916</v>
      </c>
      <c r="O26" s="46">
        <f>AVERAGE($E$19:O19)</f>
        <v>0.21333423023499629</v>
      </c>
      <c r="P26" s="46">
        <f>AVERAGE($E$19:P19)</f>
        <v>0.21025493181102969</v>
      </c>
    </row>
    <row r="27" spans="3:17" x14ac:dyDescent="0.35">
      <c r="D27" s="3" t="str">
        <f t="shared" ref="D27:D30" si="3">D20</f>
        <v>Actual 2025/26</v>
      </c>
      <c r="E27" s="46">
        <f>E20</f>
        <v>0.28085589125054022</v>
      </c>
      <c r="F27" s="46">
        <f>AVERAGE($E$20:F20)</f>
        <v>0.26241443883260984</v>
      </c>
      <c r="G27" s="46">
        <f>AVERAGE($E$20:G20)</f>
        <v>0.25863369680835485</v>
      </c>
      <c r="H27" s="46">
        <f>AVERAGE($E$20:H20)</f>
        <v>0.27093786315703322</v>
      </c>
      <c r="I27" s="46">
        <f>AVERAGE($E$20:I20)</f>
        <v>0.26796500918324273</v>
      </c>
      <c r="J27" s="46">
        <f>AVERAGE($E$20:J20)</f>
        <v>0.2688370443276703</v>
      </c>
      <c r="K27" s="46">
        <f>AVERAGE($E$20:K20)</f>
        <v>0.26230443860603914</v>
      </c>
      <c r="L27" s="46">
        <f>AVERAGE($E$20:L20)</f>
        <v>0.25775643177100965</v>
      </c>
      <c r="M27" s="46" t="e">
        <f>AVERAGE($E$20:M20)</f>
        <v>#DIV/0!</v>
      </c>
      <c r="N27" s="46" t="e">
        <f>AVERAGE($E$20:N20)</f>
        <v>#DIV/0!</v>
      </c>
      <c r="O27" s="46" t="e">
        <f>AVERAGE($E$20:O20)</f>
        <v>#DIV/0!</v>
      </c>
      <c r="P27" s="46" t="e">
        <f>AVERAGE($E$20:P20)</f>
        <v>#DIV/0!</v>
      </c>
    </row>
    <row r="28" spans="3:17" x14ac:dyDescent="0.35">
      <c r="D28" s="3" t="str">
        <f t="shared" si="3"/>
        <v>Difference</v>
      </c>
      <c r="E28" s="9">
        <f>IF(E20=0,0,E20-E19)</f>
        <v>3.9513832897027701E-2</v>
      </c>
      <c r="F28" s="9">
        <f t="shared" ref="F28:P28" si="4">IF(F27=0,0,F27-F26)</f>
        <v>2.3886404854164822E-2</v>
      </c>
      <c r="G28" s="9">
        <f t="shared" si="4"/>
        <v>2.2969322642582252E-2</v>
      </c>
      <c r="H28" s="9">
        <f t="shared" si="4"/>
        <v>3.7940854187631601E-2</v>
      </c>
      <c r="I28" s="9">
        <f t="shared" si="4"/>
        <v>3.7588218511834554E-2</v>
      </c>
      <c r="J28" s="9">
        <f t="shared" si="4"/>
        <v>4.1103215846212904E-2</v>
      </c>
      <c r="K28" s="9">
        <f t="shared" si="4"/>
        <v>3.7305792407441946E-2</v>
      </c>
      <c r="L28" s="9">
        <f t="shared" si="4"/>
        <v>3.5563270779838618E-2</v>
      </c>
      <c r="M28" s="9" t="e">
        <f t="shared" si="4"/>
        <v>#DIV/0!</v>
      </c>
      <c r="N28" s="9" t="e">
        <f t="shared" si="4"/>
        <v>#DIV/0!</v>
      </c>
      <c r="O28" s="9" t="e">
        <f t="shared" si="4"/>
        <v>#DIV/0!</v>
      </c>
      <c r="P28" s="9" t="e">
        <f t="shared" si="4"/>
        <v>#DIV/0!</v>
      </c>
    </row>
    <row r="29" spans="3:17" x14ac:dyDescent="0.35">
      <c r="D29" s="3" t="str">
        <f t="shared" si="3"/>
        <v>% realisation</v>
      </c>
      <c r="E29" s="9">
        <f>E20/E19</f>
        <v>1.1637254325524509</v>
      </c>
      <c r="F29" s="9">
        <f t="shared" ref="F29:P29" si="5">F27/F26</f>
        <v>1.1001408700510371</v>
      </c>
      <c r="G29" s="9">
        <f t="shared" si="5"/>
        <v>1.09746624929581</v>
      </c>
      <c r="H29" s="9">
        <f t="shared" si="5"/>
        <v>1.162838374430009</v>
      </c>
      <c r="I29" s="9">
        <f t="shared" si="5"/>
        <v>1.1631597453992122</v>
      </c>
      <c r="J29" s="9">
        <f t="shared" si="5"/>
        <v>1.1804879675553324</v>
      </c>
      <c r="K29" s="9">
        <f t="shared" si="5"/>
        <v>1.1658045194392577</v>
      </c>
      <c r="L29" s="9">
        <f t="shared" si="5"/>
        <v>1.1600556498732728</v>
      </c>
      <c r="M29" s="9" t="e">
        <f t="shared" si="5"/>
        <v>#DIV/0!</v>
      </c>
      <c r="N29" s="9" t="e">
        <f t="shared" si="5"/>
        <v>#DIV/0!</v>
      </c>
      <c r="O29" s="9" t="e">
        <f t="shared" si="5"/>
        <v>#DIV/0!</v>
      </c>
      <c r="P29" s="9" t="e">
        <f t="shared" si="5"/>
        <v>#DIV/0!</v>
      </c>
    </row>
    <row r="30" spans="3:17" x14ac:dyDescent="0.35">
      <c r="D30" s="3" t="str">
        <f t="shared" si="3"/>
        <v>Actual 2024/25</v>
      </c>
      <c r="E30" s="46">
        <f>('KPI 100'!E30-'KPI 128a'!E30)/'KPI 100'!E30</f>
        <v>0.21353413565279292</v>
      </c>
      <c r="F30" s="46">
        <f>('KPI 100'!F30-'KPI 128a'!F30)/'KPI 100'!F30</f>
        <v>0.22208417105292882</v>
      </c>
      <c r="G30" s="46">
        <f>('KPI 100'!G30-'KPI 128a'!G30)/'KPI 100'!G30</f>
        <v>0.21746716809538602</v>
      </c>
      <c r="H30" s="46">
        <f>('KPI 100'!H30-'KPI 128a'!H30)/'KPI 100'!H30</f>
        <v>0.22886811692312928</v>
      </c>
      <c r="I30" s="46">
        <f>('KPI 100'!I30-'KPI 128a'!I30)/'KPI 100'!I30</f>
        <v>0.22673370269615872</v>
      </c>
      <c r="J30" s="46">
        <f>('KPI 100'!J30-'KPI 128a'!J30)/'KPI 100'!J30</f>
        <v>0.22715982353810418</v>
      </c>
      <c r="K30" s="46">
        <f>('KPI 100'!K30-'KPI 128a'!K30)/'KPI 100'!K30</f>
        <v>0.24226924934664212</v>
      </c>
      <c r="L30" s="46">
        <f>('KPI 100'!L30-'KPI 128a'!L30)/'KPI 100'!L30</f>
        <v>0.24156334008360866</v>
      </c>
      <c r="M30" s="46">
        <f>('KPI 100'!M30-'KPI 128a'!M30)/'KPI 100'!M30</f>
        <v>0.24084497794749085</v>
      </c>
      <c r="N30" s="46">
        <f>('KPI 100'!N30-'KPI 128a'!N30)/'KPI 100'!N30</f>
        <v>0.23971004542118807</v>
      </c>
      <c r="O30" s="46">
        <f>('KPI 100'!O30-'KPI 128a'!O30)/'KPI 100'!O30</f>
        <v>0.241548210429014</v>
      </c>
      <c r="P30" s="46">
        <f>('KPI 100'!P30-'KPI 128a'!P30)/'KPI 100'!P30</f>
        <v>0.24359085495245911</v>
      </c>
    </row>
    <row r="31" spans="3:17" x14ac:dyDescent="0.35"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</row>
  </sheetData>
  <sheetProtection algorithmName="SHA-512" hashValue="Vld279w9BwdrmRBYO8zklacB4aTGnzPO/6DSLRTi9DEMecgTsyTmr1UmbK39o7IJSRVI3Hotx43T5GzhWv2zqg==" saltValue="3aXCPR5qGb9mY1hRnEFNpA==" spinCount="100000" sheet="1" objects="1" scenarios="1"/>
  <mergeCells count="3">
    <mergeCell ref="C1:F1"/>
    <mergeCell ref="J4:Q8"/>
    <mergeCell ref="J10:Q15"/>
  </mergeCells>
  <conditionalFormatting sqref="C3">
    <cfRule type="expression" dxfId="188" priority="2">
      <formula>S4&gt;S6</formula>
    </cfRule>
  </conditionalFormatting>
  <conditionalFormatting sqref="C4">
    <cfRule type="expression" dxfId="187" priority="1">
      <formula>AND(S4&gt;S5,S4&lt;=S6)</formula>
    </cfRule>
  </conditionalFormatting>
  <conditionalFormatting sqref="C5">
    <cfRule type="expression" dxfId="186" priority="3">
      <formula>S4&lt;=S5</formula>
    </cfRule>
  </conditionalFormatting>
  <hyperlinks>
    <hyperlink ref="L1" location="'Distribution Dashboard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15874" r:id="rId3" name="Spinner 2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57150</xdr:rowOff>
                  </from>
                  <to>
                    <xdr:col>9</xdr:col>
                    <xdr:colOff>628650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S31"/>
  <sheetViews>
    <sheetView zoomScale="90" zoomScaleNormal="90" zoomScalePageLayoutView="90" workbookViewId="0">
      <pane ySplit="2" topLeftCell="A8" activePane="bottomLeft" state="frozen"/>
      <selection activeCell="D26" sqref="D26:D30"/>
      <selection pane="bottomLeft" sqref="A1:XFD1048576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>
        <v>128</v>
      </c>
      <c r="C1" s="124" t="s">
        <v>203</v>
      </c>
      <c r="D1" s="124"/>
      <c r="E1" s="124"/>
      <c r="F1" s="124"/>
      <c r="G1" s="3" t="s">
        <v>10</v>
      </c>
      <c r="I1" s="12">
        <f>INDEX(E$18:P$18,Actual_month)</f>
        <v>46054</v>
      </c>
      <c r="L1" s="15" t="s">
        <v>21</v>
      </c>
      <c r="R1" s="5"/>
    </row>
    <row r="2" spans="1:19" x14ac:dyDescent="0.35">
      <c r="A2" s="3" t="s">
        <v>14</v>
      </c>
      <c r="C2" s="3" t="s">
        <v>1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 t="s">
        <v>98</v>
      </c>
      <c r="K4" s="135"/>
      <c r="L4" s="135"/>
      <c r="M4" s="135"/>
      <c r="N4" s="135"/>
      <c r="O4" s="135"/>
      <c r="P4" s="135"/>
      <c r="Q4" s="136"/>
      <c r="R4" s="3" t="s">
        <v>25</v>
      </c>
      <c r="S4" s="9">
        <f>INDEX(E27:P27,Actual_month)</f>
        <v>0.25721769343534845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9">
        <f>INDEX(E26:P26,Actual_month)</f>
        <v>0.22188057079320161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1.1000000000000001</v>
      </c>
      <c r="S6" s="9">
        <f>+S5*R6</f>
        <v>0.24406862787252179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9">
        <f>Budget2526!D17</f>
        <v>0.24134205835351252</v>
      </c>
      <c r="F19" s="9">
        <f>Budget2526!E17</f>
        <v>0.23571400960337752</v>
      </c>
      <c r="G19" s="9">
        <f>Budget2526!F17</f>
        <v>0.22993705454042773</v>
      </c>
      <c r="H19" s="9">
        <f>Budget2526!G17</f>
        <v>0.2249949133802886</v>
      </c>
      <c r="I19" s="9">
        <f>Budget2526!H17</f>
        <v>0.21989591747943441</v>
      </c>
      <c r="J19" s="9">
        <f>Budget2526!I17</f>
        <v>0.21451901753170363</v>
      </c>
      <c r="K19" s="9">
        <f>Budget2526!J17</f>
        <v>0.20858755250143604</v>
      </c>
      <c r="L19" s="9">
        <f>Budget2526!K17</f>
        <v>0.20255476453918794</v>
      </c>
      <c r="M19" s="9">
        <f>Budget2526!L17</f>
        <v>0.19632970649693959</v>
      </c>
      <c r="N19" s="9">
        <f>Budget2526!M17</f>
        <v>0.18972412159958379</v>
      </c>
      <c r="O19" s="9">
        <f>Budget2526!N17</f>
        <v>0.18307741655906762</v>
      </c>
      <c r="P19" s="9">
        <f>Budget2526!O17</f>
        <v>0.17638264914739699</v>
      </c>
      <c r="Q19" s="5"/>
    </row>
    <row r="20" spans="3:17" x14ac:dyDescent="0.35">
      <c r="D20" s="3" t="str">
        <f>'KPI 100'!D20</f>
        <v>Actual 2025/26</v>
      </c>
      <c r="E20" s="9">
        <f>Actuals2526!D17</f>
        <v>0.28085589125054022</v>
      </c>
      <c r="F20" s="9">
        <f>Actuals2526!E17</f>
        <v>0.24397298641467949</v>
      </c>
      <c r="G20" s="9">
        <f>Actuals2526!F17</f>
        <v>0.25107221275984487</v>
      </c>
      <c r="H20" s="9">
        <f>Actuals2526!G17</f>
        <v>0.30785036220306833</v>
      </c>
      <c r="I20" s="9">
        <f>Actuals2526!H17</f>
        <v>0.25607359328808071</v>
      </c>
      <c r="J20" s="9">
        <f>Actuals2526!I17</f>
        <v>0.27319722004980834</v>
      </c>
      <c r="K20" s="9">
        <f>Actuals2526!J17</f>
        <v>0.22310880427625207</v>
      </c>
      <c r="L20" s="9">
        <f>Actuals2526!K17</f>
        <v>0.2259203839258031</v>
      </c>
      <c r="M20" s="9" t="e">
        <f>Actuals2526!L17</f>
        <v>#DIV/0!</v>
      </c>
      <c r="N20" s="9" t="e">
        <f>Actuals2526!M17</f>
        <v>#DIV/0!</v>
      </c>
      <c r="O20" s="9" t="e">
        <f>Actuals2526!N17</f>
        <v>#DIV/0!</v>
      </c>
      <c r="P20" s="9" t="e">
        <f>Actuals2526!O17</f>
        <v>#DIV/0!</v>
      </c>
      <c r="Q20" s="5"/>
    </row>
    <row r="21" spans="3:17" x14ac:dyDescent="0.35">
      <c r="D21" s="3" t="str">
        <f>'KPI 100'!D21</f>
        <v>Difference</v>
      </c>
      <c r="E21" s="9">
        <f t="shared" ref="E21" si="0">IF(E20=0,0,E20-E19)</f>
        <v>3.9513832897027701E-2</v>
      </c>
      <c r="F21" s="9">
        <f t="shared" ref="F21:P21" si="1">IF(F20=0,0,F20-F19)</f>
        <v>8.2589768113019713E-3</v>
      </c>
      <c r="G21" s="9">
        <f t="shared" si="1"/>
        <v>2.1135158219417138E-2</v>
      </c>
      <c r="H21" s="9">
        <f t="shared" si="1"/>
        <v>8.2855448822779731E-2</v>
      </c>
      <c r="I21" s="9">
        <f t="shared" si="1"/>
        <v>3.6177675808646309E-2</v>
      </c>
      <c r="J21" s="9">
        <f t="shared" si="1"/>
        <v>5.8678202518104711E-2</v>
      </c>
      <c r="K21" s="9">
        <f t="shared" si="1"/>
        <v>1.452125177481603E-2</v>
      </c>
      <c r="L21" s="9">
        <f t="shared" si="1"/>
        <v>2.3365619386615161E-2</v>
      </c>
      <c r="M21" s="9" t="e">
        <f t="shared" si="1"/>
        <v>#DIV/0!</v>
      </c>
      <c r="N21" s="9" t="e">
        <f t="shared" si="1"/>
        <v>#DIV/0!</v>
      </c>
      <c r="O21" s="9" t="e">
        <f t="shared" si="1"/>
        <v>#DIV/0!</v>
      </c>
      <c r="P21" s="9" t="e">
        <f t="shared" si="1"/>
        <v>#DIV/0!</v>
      </c>
      <c r="Q21" s="5"/>
    </row>
    <row r="22" spans="3:17" x14ac:dyDescent="0.35">
      <c r="D22" s="3" t="str">
        <f>'KPI 100'!D22</f>
        <v>% realisation</v>
      </c>
      <c r="E22" s="9">
        <f t="shared" ref="E22" si="2">E20/E19</f>
        <v>1.1637254325524509</v>
      </c>
      <c r="F22" s="9">
        <f t="shared" ref="F22:P22" si="3">F20/F19</f>
        <v>1.0350381244848317</v>
      </c>
      <c r="G22" s="9">
        <f t="shared" si="3"/>
        <v>1.091917147767504</v>
      </c>
      <c r="H22" s="9">
        <f t="shared" si="3"/>
        <v>1.3682547644209921</v>
      </c>
      <c r="I22" s="9">
        <f t="shared" si="3"/>
        <v>1.1645218166091229</v>
      </c>
      <c r="J22" s="9">
        <f t="shared" si="3"/>
        <v>1.2735338022393874</v>
      </c>
      <c r="K22" s="9">
        <f t="shared" si="3"/>
        <v>1.0696170581641782</v>
      </c>
      <c r="L22" s="9">
        <f t="shared" si="3"/>
        <v>1.1153545780064564</v>
      </c>
      <c r="M22" s="9" t="e">
        <f t="shared" si="3"/>
        <v>#DIV/0!</v>
      </c>
      <c r="N22" s="9" t="e">
        <f t="shared" si="3"/>
        <v>#DIV/0!</v>
      </c>
      <c r="O22" s="9" t="e">
        <f t="shared" si="3"/>
        <v>#DIV/0!</v>
      </c>
      <c r="P22" s="9" t="e">
        <f t="shared" si="3"/>
        <v>#DIV/0!</v>
      </c>
    </row>
    <row r="23" spans="3:17" x14ac:dyDescent="0.35">
      <c r="D23" s="3" t="str">
        <f>'KPI 100'!D23</f>
        <v>Actual 2024/25</v>
      </c>
      <c r="E23" s="9">
        <f>Actuals2425!D17</f>
        <v>0.21353413565279292</v>
      </c>
      <c r="F23" s="9">
        <f>Actuals2425!E17</f>
        <v>0.22911739275633489</v>
      </c>
      <c r="G23" s="9">
        <f>Actuals2425!F17</f>
        <v>0.20857249239607159</v>
      </c>
      <c r="H23" s="9">
        <f>Actuals2425!G17</f>
        <v>0.26057823551309095</v>
      </c>
      <c r="I23" s="9">
        <f>Actuals2425!H17</f>
        <v>0.21911029309626337</v>
      </c>
      <c r="J23" s="9">
        <f>Actuals2425!I17</f>
        <v>0.23012397540306867</v>
      </c>
      <c r="K23" s="9">
        <f>Actuals2425!J17</f>
        <v>0.31032174839686666</v>
      </c>
      <c r="L23" s="9">
        <f>Actuals2425!K17</f>
        <v>0.2367706137660337</v>
      </c>
      <c r="M23" s="9">
        <f>Actuals2425!L17</f>
        <v>0.23557567018190032</v>
      </c>
      <c r="N23" s="9">
        <f>Actuals2425!M17</f>
        <v>0.2272885406151442</v>
      </c>
      <c r="O23" s="9">
        <f>Actuals2425!N17</f>
        <v>0.26008213018549098</v>
      </c>
      <c r="P23" s="9">
        <f>Actuals2425!O17</f>
        <v>0.26456173211140099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4">F18</f>
        <v>45870</v>
      </c>
      <c r="G25" s="11">
        <f t="shared" si="4"/>
        <v>45901</v>
      </c>
      <c r="H25" s="11">
        <f t="shared" si="4"/>
        <v>45931</v>
      </c>
      <c r="I25" s="11">
        <f t="shared" si="4"/>
        <v>45962</v>
      </c>
      <c r="J25" s="11">
        <f t="shared" si="4"/>
        <v>45992</v>
      </c>
      <c r="K25" s="11">
        <f t="shared" si="4"/>
        <v>46023</v>
      </c>
      <c r="L25" s="11">
        <f t="shared" si="4"/>
        <v>46054</v>
      </c>
      <c r="M25" s="11">
        <f t="shared" si="4"/>
        <v>46082</v>
      </c>
      <c r="N25" s="11">
        <f t="shared" si="4"/>
        <v>46113</v>
      </c>
      <c r="O25" s="11">
        <f t="shared" si="4"/>
        <v>46143</v>
      </c>
      <c r="P25" s="11">
        <f t="shared" si="4"/>
        <v>46174</v>
      </c>
    </row>
    <row r="26" spans="3:17" x14ac:dyDescent="0.35">
      <c r="D26" s="3" t="str">
        <f>D19</f>
        <v>Budget 2025/26</v>
      </c>
      <c r="E26" s="46">
        <f>('KPI 100'!E26-'KPI 128a'!E26)/'KPI 100'!E26</f>
        <v>0.24134205835351252</v>
      </c>
      <c r="F26" s="46">
        <f>('KPI 100'!F26-'KPI 128a'!F26)/'KPI 100'!F26</f>
        <v>0.23852102809704581</v>
      </c>
      <c r="G26" s="46">
        <f>('KPI 100'!G26-'KPI 128a'!G26)/'KPI 100'!G26</f>
        <v>0.23564475321607883</v>
      </c>
      <c r="H26" s="46">
        <f>('KPI 100'!H26-'KPI 128a'!H26)/'KPI 100'!H26</f>
        <v>0.23294118869629835</v>
      </c>
      <c r="I26" s="46">
        <f>('KPI 100'!I26-'KPI 128a'!I26)/'KPI 100'!I26</f>
        <v>0.23027149720484819</v>
      </c>
      <c r="J26" s="46">
        <f>('KPI 100'!J26-'KPI 128a'!J26)/'KPI 100'!J26</f>
        <v>0.22756781729420628</v>
      </c>
      <c r="K26" s="46">
        <f>('KPI 100'!K26-'KPI 128a'!K26)/'KPI 100'!K26</f>
        <v>0.22476294798847521</v>
      </c>
      <c r="L26" s="46">
        <f>('KPI 100'!L26-'KPI 128a'!L26)/'KPI 100'!L26</f>
        <v>0.22188057079320161</v>
      </c>
      <c r="M26" s="46">
        <f>('KPI 100'!M26-'KPI 128a'!M26)/'KPI 100'!M26</f>
        <v>0.21892514381595876</v>
      </c>
      <c r="N26" s="46">
        <f>('KPI 100'!N26-'KPI 128a'!N26)/'KPI 100'!N26</f>
        <v>0.21588462951612494</v>
      </c>
      <c r="O26" s="46">
        <f>('KPI 100'!O26-'KPI 128a'!O26)/'KPI 100'!O26</f>
        <v>0.21277770586462366</v>
      </c>
      <c r="P26" s="46">
        <f>('KPI 100'!P26-'KPI 128a'!P26)/'KPI 100'!P26</f>
        <v>0.20961665919551645</v>
      </c>
    </row>
    <row r="27" spans="3:17" x14ac:dyDescent="0.35">
      <c r="D27" s="3" t="str">
        <f t="shared" ref="D27:D30" si="5">D20</f>
        <v>Actual 2025/26</v>
      </c>
      <c r="E27" s="46">
        <f>('KPI 100'!E27-'KPI 128a'!E27)/'KPI 100'!E27</f>
        <v>0.28085589125054022</v>
      </c>
      <c r="F27" s="46">
        <f>('KPI 100'!F27-'KPI 128a'!F27)/'KPI 100'!F27</f>
        <v>0.26132399351264435</v>
      </c>
      <c r="G27" s="46">
        <f>('KPI 100'!G27-'KPI 128a'!G27)/'KPI 100'!G27</f>
        <v>0.25814077219855808</v>
      </c>
      <c r="H27" s="46">
        <f>('KPI 100'!H27-'KPI 128a'!H27)/'KPI 100'!H27</f>
        <v>0.27218649536058731</v>
      </c>
      <c r="I27" s="46">
        <f>('KPI 100'!I27-'KPI 128a'!I27)/'KPI 100'!I27</f>
        <v>0.26941655231155065</v>
      </c>
      <c r="J27" s="46">
        <f>('KPI 100'!J27-'KPI 128a'!J27)/'KPI 100'!J27</f>
        <v>0.26996760556889943</v>
      </c>
      <c r="K27" s="46">
        <f>('KPI 100'!K27-'KPI 128a'!K27)/'KPI 100'!K27</f>
        <v>0.26187620852231036</v>
      </c>
      <c r="L27" s="46">
        <f>('KPI 100'!L27-'KPI 128a'!L27)/'KPI 100'!L27</f>
        <v>0.25721769343534845</v>
      </c>
      <c r="M27" s="46">
        <f>('KPI 100'!M27-'KPI 128a'!M27)/'KPI 100'!M27</f>
        <v>0.25721769343534845</v>
      </c>
      <c r="N27" s="46">
        <f>('KPI 100'!N27-'KPI 128a'!N27)/'KPI 100'!N27</f>
        <v>0.25721769343534845</v>
      </c>
      <c r="O27" s="46">
        <f>('KPI 100'!O27-'KPI 128a'!O27)/'KPI 100'!O27</f>
        <v>0.25721769343534845</v>
      </c>
      <c r="P27" s="46">
        <f>('KPI 100'!P27-'KPI 128a'!P27)/'KPI 100'!P27</f>
        <v>0.25721769343534845</v>
      </c>
    </row>
    <row r="28" spans="3:17" x14ac:dyDescent="0.35">
      <c r="D28" s="3" t="str">
        <f t="shared" si="5"/>
        <v>Difference</v>
      </c>
      <c r="E28" s="9">
        <f>IF(E20=0,0,E20-E19)</f>
        <v>3.9513832897027701E-2</v>
      </c>
      <c r="F28" s="9">
        <f t="shared" ref="F28:P28" si="6">IF(F27=0,0,F27-F26)</f>
        <v>2.2802965415598536E-2</v>
      </c>
      <c r="G28" s="9">
        <f t="shared" si="6"/>
        <v>2.2496018982479243E-2</v>
      </c>
      <c r="H28" s="9">
        <f t="shared" si="6"/>
        <v>3.9245306664288965E-2</v>
      </c>
      <c r="I28" s="9">
        <f t="shared" si="6"/>
        <v>3.9145055106702464E-2</v>
      </c>
      <c r="J28" s="9">
        <f t="shared" si="6"/>
        <v>4.2399788274693151E-2</v>
      </c>
      <c r="K28" s="9">
        <f t="shared" si="6"/>
        <v>3.7113260533835152E-2</v>
      </c>
      <c r="L28" s="9">
        <f t="shared" si="6"/>
        <v>3.5337122642146834E-2</v>
      </c>
      <c r="M28" s="9">
        <f t="shared" si="6"/>
        <v>3.8292549619389687E-2</v>
      </c>
      <c r="N28" s="9">
        <f t="shared" si="6"/>
        <v>4.1333063919223506E-2</v>
      </c>
      <c r="O28" s="9">
        <f t="shared" si="6"/>
        <v>4.4439987570724787E-2</v>
      </c>
      <c r="P28" s="9">
        <f t="shared" si="6"/>
        <v>4.7601034239832002E-2</v>
      </c>
    </row>
    <row r="29" spans="3:17" x14ac:dyDescent="0.35">
      <c r="D29" s="3" t="str">
        <f t="shared" si="5"/>
        <v>% realisation</v>
      </c>
      <c r="E29" s="9">
        <f>E20/E19</f>
        <v>1.1637254325524509</v>
      </c>
      <c r="F29" s="9">
        <f t="shared" ref="F29:P29" si="7">F27/F26</f>
        <v>1.0956014888813945</v>
      </c>
      <c r="G29" s="9">
        <f t="shared" si="7"/>
        <v>1.0954658174029068</v>
      </c>
      <c r="H29" s="9">
        <f t="shared" si="7"/>
        <v>1.1684773177467374</v>
      </c>
      <c r="I29" s="9">
        <f t="shared" si="7"/>
        <v>1.1699952255570703</v>
      </c>
      <c r="J29" s="9">
        <f t="shared" si="7"/>
        <v>1.186317154942333</v>
      </c>
      <c r="K29" s="9">
        <f t="shared" si="7"/>
        <v>1.1651217910513354</v>
      </c>
      <c r="L29" s="9">
        <f t="shared" si="7"/>
        <v>1.1592619061498717</v>
      </c>
      <c r="M29" s="9">
        <f t="shared" si="7"/>
        <v>1.1749116111193725</v>
      </c>
      <c r="N29" s="9">
        <f t="shared" si="7"/>
        <v>1.1914590400060707</v>
      </c>
      <c r="O29" s="9">
        <f t="shared" si="7"/>
        <v>1.2088564090403295</v>
      </c>
      <c r="P29" s="9">
        <f t="shared" si="7"/>
        <v>1.2270861219834295</v>
      </c>
    </row>
    <row r="30" spans="3:17" x14ac:dyDescent="0.35">
      <c r="D30" s="3" t="str">
        <f t="shared" si="5"/>
        <v>Actual 2024/25</v>
      </c>
      <c r="E30" s="46">
        <f>('KPI 100'!E30-'KPI 128a'!E30)/'KPI 100'!E30</f>
        <v>0.21353413565279292</v>
      </c>
      <c r="F30" s="46">
        <f>('KPI 100'!F30-'KPI 128a'!F30)/'KPI 100'!F30</f>
        <v>0.22208417105292882</v>
      </c>
      <c r="G30" s="46">
        <f>('KPI 100'!G30-'KPI 128a'!G30)/'KPI 100'!G30</f>
        <v>0.21746716809538602</v>
      </c>
      <c r="H30" s="46">
        <f>('KPI 100'!H30-'KPI 128a'!H30)/'KPI 100'!H30</f>
        <v>0.22886811692312928</v>
      </c>
      <c r="I30" s="46">
        <f>('KPI 100'!I30-'KPI 128a'!I30)/'KPI 100'!I30</f>
        <v>0.22673370269615872</v>
      </c>
      <c r="J30" s="46">
        <f>('KPI 100'!J30-'KPI 128a'!J30)/'KPI 100'!J30</f>
        <v>0.22715982353810418</v>
      </c>
      <c r="K30" s="46">
        <f>('KPI 100'!K30-'KPI 128a'!K30)/'KPI 100'!K30</f>
        <v>0.24226924934664212</v>
      </c>
      <c r="L30" s="46">
        <f>('KPI 100'!L30-'KPI 128a'!L30)/'KPI 100'!L30</f>
        <v>0.24156334008360866</v>
      </c>
      <c r="M30" s="46">
        <f>('KPI 100'!M30-'KPI 128a'!M30)/'KPI 100'!M30</f>
        <v>0.24084497794749085</v>
      </c>
      <c r="N30" s="46">
        <f>('KPI 100'!N30-'KPI 128a'!N30)/'KPI 100'!N30</f>
        <v>0.23971004542118807</v>
      </c>
      <c r="O30" s="46">
        <f>('KPI 100'!O30-'KPI 128a'!O30)/'KPI 100'!O30</f>
        <v>0.241548210429014</v>
      </c>
      <c r="P30" s="46">
        <f>('KPI 100'!P30-'KPI 128a'!P30)/'KPI 100'!P30</f>
        <v>0.24359085495245911</v>
      </c>
    </row>
    <row r="31" spans="3:17" x14ac:dyDescent="0.35"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</row>
  </sheetData>
  <sheetProtection algorithmName="SHA-512" hashValue="+PnbaRw3xE/kTvHrzoUNRACkgcMRUoF2iIWKNiKnurBmhvSUPQd2cQ8FZZc8ngTTonctP/rIj6fu8XydPpKCbg==" saltValue="69QIUhoi3k7uocL79ofjQA==" spinCount="100000" sheet="1" objects="1" scenarios="1"/>
  <mergeCells count="3">
    <mergeCell ref="C1:F1"/>
    <mergeCell ref="J4:Q8"/>
    <mergeCell ref="J10:Q15"/>
  </mergeCells>
  <conditionalFormatting sqref="C3">
    <cfRule type="expression" dxfId="185" priority="2">
      <formula>S4&gt;S6</formula>
    </cfRule>
  </conditionalFormatting>
  <conditionalFormatting sqref="C4">
    <cfRule type="expression" dxfId="184" priority="1">
      <formula>AND(S4&gt;S5,S4&lt;=S6)</formula>
    </cfRule>
  </conditionalFormatting>
  <conditionalFormatting sqref="C5">
    <cfRule type="expression" dxfId="183" priority="3">
      <formula>S4&lt;=S5</formula>
    </cfRule>
  </conditionalFormatting>
  <hyperlinks>
    <hyperlink ref="L1" location="'Distribution Dashboard'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23265" r:id="rId4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57150</xdr:rowOff>
                  </from>
                  <to>
                    <xdr:col>9</xdr:col>
                    <xdr:colOff>628650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S30"/>
  <sheetViews>
    <sheetView topLeftCell="E1" zoomScale="90" zoomScaleNormal="90" zoomScalePageLayoutView="90" workbookViewId="0">
      <pane ySplit="2" topLeftCell="A9" activePane="bottomLeft" state="frozen"/>
      <selection activeCell="D26" sqref="D26:D30"/>
      <selection pane="bottomLeft" activeCell="E1" sqref="A1:XFD1048576"/>
    </sheetView>
  </sheetViews>
  <sheetFormatPr defaultColWidth="9.1796875" defaultRowHeight="14.5" x14ac:dyDescent="0.35"/>
  <cols>
    <col min="1" max="1" width="9.1796875" style="3"/>
    <col min="2" max="2" width="6.54296875" style="3" customWidth="1"/>
    <col min="3" max="3" width="14.54296875" style="3" customWidth="1"/>
    <col min="4" max="4" width="21.2695312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customHeight="1" x14ac:dyDescent="0.5">
      <c r="A1" s="4" t="s">
        <v>4</v>
      </c>
      <c r="B1" s="4" t="s">
        <v>101</v>
      </c>
      <c r="C1" s="124" t="s">
        <v>169</v>
      </c>
      <c r="D1" s="124"/>
      <c r="E1" s="124"/>
      <c r="F1" s="124"/>
      <c r="G1" s="3" t="s">
        <v>10</v>
      </c>
      <c r="I1" s="12">
        <f>INDEX(E18:P18,Actual_month)</f>
        <v>46054</v>
      </c>
      <c r="L1" s="15" t="s">
        <v>21</v>
      </c>
      <c r="R1" s="5"/>
    </row>
    <row r="2" spans="1:19" x14ac:dyDescent="0.35">
      <c r="A2" s="3" t="s">
        <v>14</v>
      </c>
      <c r="C2" s="3" t="str">
        <f>'Distribution Dashboard'!C36</f>
        <v>m3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25"/>
      <c r="K4" s="126"/>
      <c r="L4" s="126"/>
      <c r="M4" s="126"/>
      <c r="N4" s="126"/>
      <c r="O4" s="126"/>
      <c r="P4" s="126"/>
      <c r="Q4" s="127"/>
      <c r="R4" s="3" t="s">
        <v>25</v>
      </c>
      <c r="S4" s="43">
        <f>INDEX(E27:P27,Actual_month)</f>
        <v>820288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28"/>
      <c r="K5" s="129"/>
      <c r="L5" s="129"/>
      <c r="M5" s="129"/>
      <c r="N5" s="129"/>
      <c r="O5" s="129"/>
      <c r="P5" s="129"/>
      <c r="Q5" s="130"/>
      <c r="R5" s="3" t="s">
        <v>26</v>
      </c>
      <c r="S5" s="43">
        <f>INDEX(E26:P26,Actual_month)</f>
        <v>836353.87176464451</v>
      </c>
    </row>
    <row r="6" spans="1:19" x14ac:dyDescent="0.35">
      <c r="J6" s="128"/>
      <c r="K6" s="129"/>
      <c r="L6" s="129"/>
      <c r="M6" s="129"/>
      <c r="N6" s="129"/>
      <c r="O6" s="129"/>
      <c r="P6" s="129"/>
      <c r="Q6" s="130"/>
      <c r="R6" s="6">
        <v>0.9</v>
      </c>
      <c r="S6" s="43">
        <f>+S5*R6</f>
        <v>752718.48458818009</v>
      </c>
    </row>
    <row r="7" spans="1:19" x14ac:dyDescent="0.35">
      <c r="J7" s="128"/>
      <c r="K7" s="129"/>
      <c r="L7" s="129"/>
      <c r="M7" s="129"/>
      <c r="N7" s="129"/>
      <c r="O7" s="129"/>
      <c r="P7" s="129"/>
      <c r="Q7" s="130"/>
    </row>
    <row r="8" spans="1:19" ht="15" thickBot="1" x14ac:dyDescent="0.4">
      <c r="J8" s="131"/>
      <c r="K8" s="132"/>
      <c r="L8" s="132"/>
      <c r="M8" s="132"/>
      <c r="N8" s="132"/>
      <c r="O8" s="132"/>
      <c r="P8" s="132"/>
      <c r="Q8" s="133"/>
    </row>
    <row r="9" spans="1:19" ht="15" thickBot="1" x14ac:dyDescent="0.4">
      <c r="J9" s="3" t="s">
        <v>13</v>
      </c>
    </row>
    <row r="10" spans="1:19" x14ac:dyDescent="0.35">
      <c r="J10" s="125"/>
      <c r="K10" s="126"/>
      <c r="L10" s="126"/>
      <c r="M10" s="126"/>
      <c r="N10" s="126"/>
      <c r="O10" s="126"/>
      <c r="P10" s="126"/>
      <c r="Q10" s="127"/>
    </row>
    <row r="11" spans="1:19" x14ac:dyDescent="0.35">
      <c r="J11" s="128"/>
      <c r="K11" s="129"/>
      <c r="L11" s="129"/>
      <c r="M11" s="129"/>
      <c r="N11" s="129"/>
      <c r="O11" s="129"/>
      <c r="P11" s="129"/>
      <c r="Q11" s="130"/>
    </row>
    <row r="12" spans="1:19" x14ac:dyDescent="0.35">
      <c r="J12" s="128"/>
      <c r="K12" s="129"/>
      <c r="L12" s="129"/>
      <c r="M12" s="129"/>
      <c r="N12" s="129"/>
      <c r="O12" s="129"/>
      <c r="P12" s="129"/>
      <c r="Q12" s="130"/>
    </row>
    <row r="13" spans="1:19" x14ac:dyDescent="0.35">
      <c r="J13" s="128"/>
      <c r="K13" s="129"/>
      <c r="L13" s="129"/>
      <c r="M13" s="129"/>
      <c r="N13" s="129"/>
      <c r="O13" s="129"/>
      <c r="P13" s="129"/>
      <c r="Q13" s="130"/>
    </row>
    <row r="14" spans="1:19" x14ac:dyDescent="0.35">
      <c r="J14" s="128"/>
      <c r="K14" s="129"/>
      <c r="L14" s="129"/>
      <c r="M14" s="129"/>
      <c r="N14" s="129"/>
      <c r="O14" s="129"/>
      <c r="P14" s="129"/>
      <c r="Q14" s="130"/>
    </row>
    <row r="15" spans="1:19" ht="15" thickBot="1" x14ac:dyDescent="0.4">
      <c r="J15" s="131"/>
      <c r="K15" s="132"/>
      <c r="L15" s="132"/>
      <c r="M15" s="132"/>
      <c r="N15" s="132"/>
      <c r="O15" s="132"/>
      <c r="P15" s="132"/>
      <c r="Q15" s="133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43">
        <f>Budget2526!D26</f>
        <v>105295.52330913652</v>
      </c>
      <c r="F19" s="43">
        <f>Budget2526!E26</f>
        <v>105074.89002119715</v>
      </c>
      <c r="G19" s="43">
        <f>Budget2526!F26</f>
        <v>104857.32806093279</v>
      </c>
      <c r="H19" s="43">
        <f>Budget2526!G26</f>
        <v>104642.77044606405</v>
      </c>
      <c r="I19" s="43">
        <f>Budget2526!H26</f>
        <v>104431.15222982681</v>
      </c>
      <c r="J19" s="43">
        <f>Budget2526!I26</f>
        <v>104222.41042037289</v>
      </c>
      <c r="K19" s="43">
        <f>Budget2526!J26</f>
        <v>104016.48390414237</v>
      </c>
      <c r="L19" s="43">
        <f>Budget2526!K26</f>
        <v>103813.31337297201</v>
      </c>
      <c r="M19" s="43">
        <f>Budget2526!L26</f>
        <v>103612.84125472172</v>
      </c>
      <c r="N19" s="43">
        <f>Budget2526!M26</f>
        <v>103415.0116472142</v>
      </c>
      <c r="O19" s="43">
        <f>Budget2526!N26</f>
        <v>103219.77025529805</v>
      </c>
      <c r="P19" s="43">
        <f>Budget2526!O26</f>
        <v>103027.06433085726</v>
      </c>
      <c r="Q19" s="5"/>
    </row>
    <row r="20" spans="3:17" x14ac:dyDescent="0.35">
      <c r="D20" s="3" t="str">
        <f>'KPI 100'!D20</f>
        <v>Actual 2025/26</v>
      </c>
      <c r="E20" s="43">
        <f>Actuals2526!D26</f>
        <v>99588</v>
      </c>
      <c r="F20" s="43">
        <f>Actuals2526!E26</f>
        <v>104217</v>
      </c>
      <c r="G20" s="43">
        <f>Actuals2526!F26</f>
        <v>100946</v>
      </c>
      <c r="H20" s="43">
        <f>Actuals2526!G26</f>
        <v>110522</v>
      </c>
      <c r="I20" s="43">
        <f>Actuals2526!H26</f>
        <v>92662</v>
      </c>
      <c r="J20" s="43">
        <f>Actuals2526!I26</f>
        <v>84151</v>
      </c>
      <c r="K20" s="43">
        <f>Actuals2526!J26</f>
        <v>126366</v>
      </c>
      <c r="L20" s="43">
        <f>Actuals2526!K26</f>
        <v>101836</v>
      </c>
      <c r="M20" s="43">
        <f>Actuals2526!L26</f>
        <v>0</v>
      </c>
      <c r="N20" s="43">
        <f>Actuals2526!M26</f>
        <v>0</v>
      </c>
      <c r="O20" s="43">
        <f>Actuals2526!N26</f>
        <v>0</v>
      </c>
      <c r="P20" s="43">
        <f>Actuals2526!O26</f>
        <v>0</v>
      </c>
      <c r="Q20" s="43">
        <f>Actuals2526!P26</f>
        <v>0</v>
      </c>
    </row>
    <row r="21" spans="3:17" x14ac:dyDescent="0.35">
      <c r="D21" s="3" t="str">
        <f>'KPI 100'!D21</f>
        <v>Difference</v>
      </c>
      <c r="E21" s="43">
        <f>IF(E20=0,0,E20-E19)</f>
        <v>-5707.5233091365226</v>
      </c>
      <c r="F21" s="43">
        <f t="shared" ref="F21:P21" si="0">IF(F20=0,0,F20-F19)</f>
        <v>-857.8900211971486</v>
      </c>
      <c r="G21" s="43">
        <f t="shared" si="0"/>
        <v>-3911.3280609327921</v>
      </c>
      <c r="H21" s="43">
        <f t="shared" si="0"/>
        <v>5879.2295539359475</v>
      </c>
      <c r="I21" s="43">
        <f t="shared" si="0"/>
        <v>-11769.15222982681</v>
      </c>
      <c r="J21" s="43">
        <f t="shared" si="0"/>
        <v>-20071.410420372893</v>
      </c>
      <c r="K21" s="43">
        <f t="shared" si="0"/>
        <v>22349.516095857631</v>
      </c>
      <c r="L21" s="43">
        <f t="shared" si="0"/>
        <v>-1977.3133729720139</v>
      </c>
      <c r="M21" s="43">
        <f t="shared" si="0"/>
        <v>0</v>
      </c>
      <c r="N21" s="43">
        <f t="shared" si="0"/>
        <v>0</v>
      </c>
      <c r="O21" s="43">
        <f t="shared" si="0"/>
        <v>0</v>
      </c>
      <c r="P21" s="43">
        <f t="shared" si="0"/>
        <v>0</v>
      </c>
      <c r="Q21" s="5"/>
    </row>
    <row r="22" spans="3:17" x14ac:dyDescent="0.35">
      <c r="D22" s="3" t="str">
        <f>'KPI 100'!D22</f>
        <v>% realisation</v>
      </c>
      <c r="E22" s="9">
        <f>E20/E19</f>
        <v>0.94579519499247999</v>
      </c>
      <c r="F22" s="9">
        <f t="shared" ref="F22:P22" si="1">F20/F19</f>
        <v>0.99183544212109964</v>
      </c>
      <c r="G22" s="9">
        <f t="shared" si="1"/>
        <v>0.96269857211448384</v>
      </c>
      <c r="H22" s="9">
        <f t="shared" si="1"/>
        <v>1.0561838102037471</v>
      </c>
      <c r="I22" s="9">
        <f t="shared" si="1"/>
        <v>0.88730228501237007</v>
      </c>
      <c r="J22" s="9">
        <f t="shared" si="1"/>
        <v>0.8074175185603899</v>
      </c>
      <c r="K22" s="9">
        <f t="shared" si="1"/>
        <v>1.2148651373031807</v>
      </c>
      <c r="L22" s="9">
        <f t="shared" si="1"/>
        <v>0.98095318116022279</v>
      </c>
      <c r="M22" s="9">
        <f t="shared" si="1"/>
        <v>0</v>
      </c>
      <c r="N22" s="9">
        <f t="shared" si="1"/>
        <v>0</v>
      </c>
      <c r="O22" s="9">
        <f t="shared" si="1"/>
        <v>0</v>
      </c>
      <c r="P22" s="9">
        <f t="shared" si="1"/>
        <v>0</v>
      </c>
    </row>
    <row r="23" spans="3:17" x14ac:dyDescent="0.35">
      <c r="D23" s="3" t="str">
        <f>'KPI 100'!D23</f>
        <v>Actual 2024/25</v>
      </c>
      <c r="E23" s="5">
        <f>Actuals2425!D26</f>
        <v>92367</v>
      </c>
      <c r="F23" s="5">
        <f>Actuals2425!E26</f>
        <v>114426</v>
      </c>
      <c r="G23" s="5">
        <f>Actuals2425!F26</f>
        <v>101553</v>
      </c>
      <c r="H23" s="5">
        <f>Actuals2425!G26</f>
        <v>107597</v>
      </c>
      <c r="I23" s="5">
        <f>Actuals2425!H26</f>
        <v>106133</v>
      </c>
      <c r="J23" s="5">
        <f>Actuals2425!I26</f>
        <v>74176</v>
      </c>
      <c r="K23" s="5">
        <f>Actuals2425!J26</f>
        <v>141121</v>
      </c>
      <c r="L23" s="5">
        <f>Actuals2425!K26</f>
        <v>105690</v>
      </c>
      <c r="M23" s="5">
        <f>Actuals2425!L26</f>
        <v>115420</v>
      </c>
      <c r="N23" s="5">
        <f>Actuals2425!M26</f>
        <v>87092</v>
      </c>
      <c r="O23" s="5">
        <f>Actuals2425!N26</f>
        <v>99548</v>
      </c>
      <c r="P23" s="5">
        <f>Actuals2425!O26</f>
        <v>108927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43">
        <f>SUM($E19:E19)</f>
        <v>105295.52330913652</v>
      </c>
      <c r="F26" s="43">
        <f>SUM($E19:F19)</f>
        <v>210370.41333033366</v>
      </c>
      <c r="G26" s="43">
        <f>SUM($E19:G19)</f>
        <v>315227.74139126646</v>
      </c>
      <c r="H26" s="43">
        <f>SUM($E19:H19)</f>
        <v>419870.51183733053</v>
      </c>
      <c r="I26" s="43">
        <f>SUM($E19:I19)</f>
        <v>524301.66406715731</v>
      </c>
      <c r="J26" s="43">
        <f>SUM($E19:J19)</f>
        <v>628524.07448753016</v>
      </c>
      <c r="K26" s="43">
        <f>SUM($E19:K19)</f>
        <v>732540.55839167256</v>
      </c>
      <c r="L26" s="43">
        <f>SUM($E19:L19)</f>
        <v>836353.87176464451</v>
      </c>
      <c r="M26" s="43">
        <f>SUM($E19:M19)</f>
        <v>939966.71301936626</v>
      </c>
      <c r="N26" s="43">
        <f>SUM($E19:N19)</f>
        <v>1043381.7246665804</v>
      </c>
      <c r="O26" s="43">
        <f>SUM($E19:O19)</f>
        <v>1146601.4949218784</v>
      </c>
      <c r="P26" s="43">
        <f>SUM($E19:P19)</f>
        <v>1249628.5592527357</v>
      </c>
    </row>
    <row r="27" spans="3:17" x14ac:dyDescent="0.35">
      <c r="D27" s="3" t="str">
        <f t="shared" ref="D27:D30" si="3">D20</f>
        <v>Actual 2025/26</v>
      </c>
      <c r="E27" s="43">
        <f>SUM($E20:E20)</f>
        <v>99588</v>
      </c>
      <c r="F27" s="43">
        <f>SUM($E20:F20)</f>
        <v>203805</v>
      </c>
      <c r="G27" s="43">
        <f>SUM($E20:G20)</f>
        <v>304751</v>
      </c>
      <c r="H27" s="43">
        <f>SUM($E20:H20)</f>
        <v>415273</v>
      </c>
      <c r="I27" s="43">
        <f>SUM($E20:I20)</f>
        <v>507935</v>
      </c>
      <c r="J27" s="43">
        <f>SUM($E20:J20)</f>
        <v>592086</v>
      </c>
      <c r="K27" s="43">
        <f>SUM($E20:K20)</f>
        <v>718452</v>
      </c>
      <c r="L27" s="43">
        <f>SUM($E20:L20)</f>
        <v>820288</v>
      </c>
      <c r="M27" s="43">
        <f>SUM($E20:M20)</f>
        <v>820288</v>
      </c>
      <c r="N27" s="43">
        <f>SUM($E20:N20)</f>
        <v>820288</v>
      </c>
      <c r="O27" s="43">
        <f>SUM($E20:O20)</f>
        <v>820288</v>
      </c>
      <c r="P27" s="43">
        <f>SUM($E20:P20)</f>
        <v>820288</v>
      </c>
    </row>
    <row r="28" spans="3:17" x14ac:dyDescent="0.35">
      <c r="D28" s="3" t="str">
        <f t="shared" si="3"/>
        <v>Difference</v>
      </c>
      <c r="E28" s="43">
        <f>IF(E27=0,0,E27-E26)</f>
        <v>-5707.5233091365226</v>
      </c>
      <c r="F28" s="43">
        <f t="shared" ref="F28:P28" si="4">IF(F27=0,0,F27-F26)</f>
        <v>-6565.4133303336566</v>
      </c>
      <c r="G28" s="43">
        <f t="shared" si="4"/>
        <v>-10476.741391266463</v>
      </c>
      <c r="H28" s="43">
        <f t="shared" si="4"/>
        <v>-4597.5118373305304</v>
      </c>
      <c r="I28" s="43">
        <f t="shared" si="4"/>
        <v>-16366.664067157311</v>
      </c>
      <c r="J28" s="43">
        <f t="shared" si="4"/>
        <v>-36438.074487530161</v>
      </c>
      <c r="K28" s="43">
        <f t="shared" si="4"/>
        <v>-14088.558391672559</v>
      </c>
      <c r="L28" s="43">
        <f t="shared" si="4"/>
        <v>-16065.871764644515</v>
      </c>
      <c r="M28" s="43">
        <f t="shared" si="4"/>
        <v>-119678.71301936626</v>
      </c>
      <c r="N28" s="43">
        <f t="shared" si="4"/>
        <v>-223093.72466658044</v>
      </c>
      <c r="O28" s="43">
        <f t="shared" si="4"/>
        <v>-326313.49492187845</v>
      </c>
      <c r="P28" s="43">
        <f t="shared" si="4"/>
        <v>-429340.55925273569</v>
      </c>
    </row>
    <row r="29" spans="3:17" x14ac:dyDescent="0.35">
      <c r="D29" s="3" t="str">
        <f t="shared" si="3"/>
        <v>% realisation</v>
      </c>
      <c r="E29" s="9">
        <f t="shared" ref="E29:P29" si="5">E27/E26</f>
        <v>0.94579519499247999</v>
      </c>
      <c r="F29" s="9">
        <f t="shared" si="5"/>
        <v>0.9687911754015317</v>
      </c>
      <c r="G29" s="9">
        <f t="shared" si="5"/>
        <v>0.96676453238212134</v>
      </c>
      <c r="H29" s="9">
        <f t="shared" si="5"/>
        <v>0.98905016735466356</v>
      </c>
      <c r="I29" s="9">
        <f t="shared" si="5"/>
        <v>0.96878387922670994</v>
      </c>
      <c r="J29" s="9">
        <f t="shared" si="5"/>
        <v>0.94202596850846154</v>
      </c>
      <c r="K29" s="9">
        <f t="shared" si="5"/>
        <v>0.9807675380833456</v>
      </c>
      <c r="L29" s="9">
        <f t="shared" si="5"/>
        <v>0.98079058122760077</v>
      </c>
      <c r="M29" s="9">
        <f t="shared" si="5"/>
        <v>0.87267771149583195</v>
      </c>
      <c r="N29" s="9">
        <f t="shared" si="5"/>
        <v>0.78618206607186691</v>
      </c>
      <c r="O29" s="9">
        <f t="shared" si="5"/>
        <v>0.715408102669436</v>
      </c>
      <c r="P29" s="9">
        <f t="shared" si="5"/>
        <v>0.65642545853027179</v>
      </c>
    </row>
    <row r="30" spans="3:17" x14ac:dyDescent="0.35">
      <c r="D30" s="3" t="str">
        <f t="shared" si="3"/>
        <v>Actual 2024/25</v>
      </c>
      <c r="E30" s="43">
        <f>SUM($E23:E23)</f>
        <v>92367</v>
      </c>
      <c r="F30" s="43">
        <f>SUM($E23:F23)</f>
        <v>206793</v>
      </c>
      <c r="G30" s="43">
        <f>SUM($E23:G23)</f>
        <v>308346</v>
      </c>
      <c r="H30" s="43">
        <f>SUM($E23:H23)</f>
        <v>415943</v>
      </c>
      <c r="I30" s="43">
        <f>SUM($E23:I23)</f>
        <v>522076</v>
      </c>
      <c r="J30" s="43">
        <f>SUM($E23:J23)</f>
        <v>596252</v>
      </c>
      <c r="K30" s="43">
        <f>SUM($E23:K23)</f>
        <v>737373</v>
      </c>
      <c r="L30" s="43">
        <f>SUM($E23:L23)</f>
        <v>843063</v>
      </c>
      <c r="M30" s="43">
        <f>SUM($E23:M23)</f>
        <v>958483</v>
      </c>
      <c r="N30" s="43">
        <f>SUM($E23:N23)</f>
        <v>1045575</v>
      </c>
      <c r="O30" s="43">
        <f>SUM($E23:O23)</f>
        <v>1145123</v>
      </c>
      <c r="P30" s="43">
        <f>SUM($E23:P23)</f>
        <v>1254050</v>
      </c>
    </row>
  </sheetData>
  <sheetProtection algorithmName="SHA-512" hashValue="eXcsmQMDdubx+l0303A5HnJzmSokCLThLOd2HvspZX7uLUeSCXGfTFVaKHVTM3eQyDlEeDwmPT1md0MWFt7kJg==" saltValue="vUF35zdN+BQgrzbABREyFA==" spinCount="100000" sheet="1" objects="1" scenarios="1"/>
  <mergeCells count="3">
    <mergeCell ref="C1:F1"/>
    <mergeCell ref="J4:Q8"/>
    <mergeCell ref="J10:Q15"/>
  </mergeCells>
  <conditionalFormatting sqref="C3">
    <cfRule type="expression" dxfId="182" priority="2">
      <formula>S4&lt;S6</formula>
    </cfRule>
  </conditionalFormatting>
  <conditionalFormatting sqref="C4">
    <cfRule type="expression" dxfId="181" priority="1">
      <formula>AND(S4&gt;=S6,S4&lt;S5)</formula>
    </cfRule>
  </conditionalFormatting>
  <conditionalFormatting sqref="C5">
    <cfRule type="expression" dxfId="180" priority="3">
      <formula>S4&gt;=S5</formula>
    </cfRule>
  </conditionalFormatting>
  <hyperlinks>
    <hyperlink ref="L1" location="'Distribution Dashboard'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78945" r:id="rId4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57150</xdr:rowOff>
                  </from>
                  <to>
                    <xdr:col>9</xdr:col>
                    <xdr:colOff>628650</xdr:colOff>
                    <xdr:row>1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S30"/>
  <sheetViews>
    <sheetView zoomScale="90" zoomScaleNormal="90" zoomScalePageLayoutView="90" workbookViewId="0">
      <pane ySplit="2" topLeftCell="A3" activePane="bottomLeft" state="frozen"/>
      <selection activeCell="D26" sqref="D26:D30"/>
      <selection pane="bottomLeft" sqref="A1:XFD1048576"/>
    </sheetView>
  </sheetViews>
  <sheetFormatPr defaultColWidth="9.1796875" defaultRowHeight="14.5" x14ac:dyDescent="0.35"/>
  <cols>
    <col min="1" max="1" width="9.1796875" style="3"/>
    <col min="2" max="2" width="5.45312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 t="s">
        <v>102</v>
      </c>
      <c r="C1" s="124" t="s">
        <v>176</v>
      </c>
      <c r="D1" s="124"/>
      <c r="E1" s="124"/>
      <c r="F1" s="124"/>
      <c r="G1" s="3" t="s">
        <v>10</v>
      </c>
      <c r="I1" s="12">
        <f>INDEX(E$18:P$18,Actual_month)</f>
        <v>46054</v>
      </c>
      <c r="L1" s="15" t="s">
        <v>21</v>
      </c>
      <c r="R1" s="5"/>
    </row>
    <row r="2" spans="1:19" x14ac:dyDescent="0.35">
      <c r="A2" s="3" t="s">
        <v>14</v>
      </c>
      <c r="C2" s="3" t="s">
        <v>15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/>
      <c r="K4" s="135"/>
      <c r="L4" s="135"/>
      <c r="M4" s="135"/>
      <c r="N4" s="135"/>
      <c r="O4" s="135"/>
      <c r="P4" s="135"/>
      <c r="Q4" s="136"/>
      <c r="R4" s="3" t="s">
        <v>25</v>
      </c>
      <c r="S4" s="43">
        <f>INDEX(E27:P27,Actual_month)</f>
        <v>647518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43">
        <f>INDEX(E26:P26,Actual_month)</f>
        <v>689333.08080845501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0.9</v>
      </c>
      <c r="S6" s="43">
        <f>+S5*R6</f>
        <v>620399.7727276095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43">
        <f>Budget2526!D27</f>
        <v>84480.117330274166</v>
      </c>
      <c r="F19" s="43">
        <f>Budget2526!E27</f>
        <v>84961.979550497796</v>
      </c>
      <c r="G19" s="43">
        <f>Budget2526!F27</f>
        <v>85443.841770721439</v>
      </c>
      <c r="H19" s="43">
        <f>Budget2526!G27</f>
        <v>85925.703990945054</v>
      </c>
      <c r="I19" s="43">
        <f>Budget2526!H27</f>
        <v>86407.566211168698</v>
      </c>
      <c r="J19" s="43">
        <f>Budget2526!I27</f>
        <v>86889.428431392327</v>
      </c>
      <c r="K19" s="43">
        <f>Budget2526!J27</f>
        <v>87371.290651615971</v>
      </c>
      <c r="L19" s="43">
        <f>Budget2526!K27</f>
        <v>87853.152871839586</v>
      </c>
      <c r="M19" s="43">
        <f>Budget2526!L27</f>
        <v>88335.0150920632</v>
      </c>
      <c r="N19" s="43">
        <f>Budget2526!M27</f>
        <v>88816.877312286844</v>
      </c>
      <c r="O19" s="43">
        <f>Budget2526!N27</f>
        <v>89298.739532510474</v>
      </c>
      <c r="P19" s="43">
        <f>Budget2526!O27</f>
        <v>89780.601752734117</v>
      </c>
      <c r="Q19" s="5"/>
    </row>
    <row r="20" spans="3:17" x14ac:dyDescent="0.35">
      <c r="D20" s="3" t="str">
        <f>'KPI 100'!D20</f>
        <v>Actual 2025/26</v>
      </c>
      <c r="E20" s="43">
        <f>Actuals2526!D27</f>
        <v>72362</v>
      </c>
      <c r="F20" s="43">
        <f>Actuals2526!E27</f>
        <v>84589</v>
      </c>
      <c r="G20" s="43">
        <f>Actuals2526!F27</f>
        <v>79590</v>
      </c>
      <c r="H20" s="43">
        <f>Actuals2526!G27</f>
        <v>86302</v>
      </c>
      <c r="I20" s="43">
        <f>Actuals2526!H27</f>
        <v>71945</v>
      </c>
      <c r="J20" s="43">
        <f>Actuals2526!I27</f>
        <v>63233</v>
      </c>
      <c r="K20" s="43">
        <f>Actuals2526!J27</f>
        <v>105898</v>
      </c>
      <c r="L20" s="43">
        <f>Actuals2526!K27</f>
        <v>83599</v>
      </c>
      <c r="M20" s="43">
        <f>Actuals2526!L27</f>
        <v>0</v>
      </c>
      <c r="N20" s="43">
        <f>Actuals2526!M27</f>
        <v>0</v>
      </c>
      <c r="O20" s="43">
        <f>Actuals2526!N27</f>
        <v>0</v>
      </c>
      <c r="P20" s="43">
        <f>Actuals2526!O27</f>
        <v>0</v>
      </c>
      <c r="Q20" s="5"/>
    </row>
    <row r="21" spans="3:17" x14ac:dyDescent="0.35">
      <c r="D21" s="3" t="str">
        <f>'KPI 100'!D21</f>
        <v>Difference</v>
      </c>
      <c r="E21" s="43">
        <f>IF(E20=0,0,E20-E19)</f>
        <v>-12118.117330274166</v>
      </c>
      <c r="F21" s="43">
        <f t="shared" ref="F21:P21" si="0">IF(F20=0,0,F20-F19)</f>
        <v>-372.97955049779557</v>
      </c>
      <c r="G21" s="43">
        <f t="shared" si="0"/>
        <v>-5853.8417707214394</v>
      </c>
      <c r="H21" s="43">
        <f t="shared" si="0"/>
        <v>376.2960090549459</v>
      </c>
      <c r="I21" s="43">
        <f t="shared" si="0"/>
        <v>-14462.566211168698</v>
      </c>
      <c r="J21" s="43">
        <f t="shared" si="0"/>
        <v>-23656.428431392327</v>
      </c>
      <c r="K21" s="43">
        <f t="shared" si="0"/>
        <v>18526.709348384029</v>
      </c>
      <c r="L21" s="43">
        <f t="shared" si="0"/>
        <v>-4254.1528718395857</v>
      </c>
      <c r="M21" s="43">
        <f t="shared" si="0"/>
        <v>0</v>
      </c>
      <c r="N21" s="43">
        <f t="shared" si="0"/>
        <v>0</v>
      </c>
      <c r="O21" s="43">
        <f t="shared" si="0"/>
        <v>0</v>
      </c>
      <c r="P21" s="43">
        <f t="shared" si="0"/>
        <v>0</v>
      </c>
      <c r="Q21" s="5"/>
    </row>
    <row r="22" spans="3:17" x14ac:dyDescent="0.35">
      <c r="D22" s="3" t="str">
        <f>'KPI 100'!D22</f>
        <v>% realisation</v>
      </c>
      <c r="E22" s="9">
        <f>E20/E19</f>
        <v>0.85655657552062214</v>
      </c>
      <c r="F22" s="9">
        <f t="shared" ref="F22:P22" si="1">F20/F19</f>
        <v>0.99561004166250489</v>
      </c>
      <c r="G22" s="9">
        <f t="shared" si="1"/>
        <v>0.93148901489671376</v>
      </c>
      <c r="H22" s="9">
        <f t="shared" si="1"/>
        <v>1.0043793183131162</v>
      </c>
      <c r="I22" s="9">
        <f t="shared" si="1"/>
        <v>0.83262384481673635</v>
      </c>
      <c r="J22" s="9">
        <f t="shared" si="1"/>
        <v>0.72774100533908581</v>
      </c>
      <c r="K22" s="9">
        <f t="shared" si="1"/>
        <v>1.2120457327597161</v>
      </c>
      <c r="L22" s="9">
        <f t="shared" si="1"/>
        <v>0.9515765486749741</v>
      </c>
      <c r="M22" s="9">
        <f t="shared" si="1"/>
        <v>0</v>
      </c>
      <c r="N22" s="9">
        <f t="shared" si="1"/>
        <v>0</v>
      </c>
      <c r="O22" s="9">
        <f t="shared" si="1"/>
        <v>0</v>
      </c>
      <c r="P22" s="9">
        <f t="shared" si="1"/>
        <v>0</v>
      </c>
    </row>
    <row r="23" spans="3:17" x14ac:dyDescent="0.35">
      <c r="D23" s="3" t="str">
        <f>'KPI 100'!D23</f>
        <v>Actual 2024/25</v>
      </c>
      <c r="E23" s="5">
        <f>Actuals2425!D27</f>
        <v>73301</v>
      </c>
      <c r="F23" s="5">
        <f>Actuals2425!E27</f>
        <v>93670</v>
      </c>
      <c r="G23" s="5">
        <f>Actuals2425!F27</f>
        <v>81216</v>
      </c>
      <c r="H23" s="5">
        <f>Actuals2425!G27</f>
        <v>82720</v>
      </c>
      <c r="I23" s="5">
        <f>Actuals2425!H27</f>
        <v>87303</v>
      </c>
      <c r="J23" s="5">
        <f>Actuals2425!I27</f>
        <v>59040</v>
      </c>
      <c r="K23" s="5">
        <f>Actuals2425!J27</f>
        <v>102175</v>
      </c>
      <c r="L23" s="5">
        <f>Actuals2425!K27</f>
        <v>87481</v>
      </c>
      <c r="M23" s="5">
        <f>Actuals2425!L27</f>
        <v>93536</v>
      </c>
      <c r="N23" s="5">
        <f>Actuals2425!M27</f>
        <v>71595</v>
      </c>
      <c r="O23" s="5">
        <f>Actuals2425!N27</f>
        <v>83167</v>
      </c>
      <c r="P23" s="5">
        <f>Actuals2425!O27</f>
        <v>86204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43">
        <f>SUM($E19:E19)</f>
        <v>84480.117330274166</v>
      </c>
      <c r="F26" s="43">
        <f>SUM($E19:F19)</f>
        <v>169442.09688077198</v>
      </c>
      <c r="G26" s="43">
        <f>SUM($E19:G19)</f>
        <v>254885.9386514934</v>
      </c>
      <c r="H26" s="43">
        <f>SUM($E19:H19)</f>
        <v>340811.64264243847</v>
      </c>
      <c r="I26" s="43">
        <f>SUM($E19:I19)</f>
        <v>427219.20885360718</v>
      </c>
      <c r="J26" s="43">
        <f>SUM($E19:J19)</f>
        <v>514108.63728499948</v>
      </c>
      <c r="K26" s="43">
        <f>SUM($E19:K19)</f>
        <v>601479.92793661542</v>
      </c>
      <c r="L26" s="43">
        <f>SUM($E19:L19)</f>
        <v>689333.08080845501</v>
      </c>
      <c r="M26" s="43">
        <f>SUM($E19:M19)</f>
        <v>777668.09590051824</v>
      </c>
      <c r="N26" s="43">
        <f>SUM($E19:N19)</f>
        <v>866484.97321280511</v>
      </c>
      <c r="O26" s="43">
        <f>SUM($E19:O19)</f>
        <v>955783.71274531563</v>
      </c>
      <c r="P26" s="43">
        <f>SUM($E19:P19)</f>
        <v>1045564.3144980498</v>
      </c>
    </row>
    <row r="27" spans="3:17" x14ac:dyDescent="0.35">
      <c r="D27" s="3" t="str">
        <f t="shared" ref="D27:D30" si="3">D20</f>
        <v>Actual 2025/26</v>
      </c>
      <c r="E27" s="43">
        <f>SUM($E20:E20)</f>
        <v>72362</v>
      </c>
      <c r="F27" s="43">
        <f>SUM($E20:F20)</f>
        <v>156951</v>
      </c>
      <c r="G27" s="43">
        <f>SUM($E20:G20)</f>
        <v>236541</v>
      </c>
      <c r="H27" s="43">
        <f>SUM($E20:H20)</f>
        <v>322843</v>
      </c>
      <c r="I27" s="43">
        <f>SUM($E20:I20)</f>
        <v>394788</v>
      </c>
      <c r="J27" s="43">
        <f>SUM($E20:J20)</f>
        <v>458021</v>
      </c>
      <c r="K27" s="43">
        <f>SUM($E20:K20)</f>
        <v>563919</v>
      </c>
      <c r="L27" s="43">
        <f>SUM($E20:L20)</f>
        <v>647518</v>
      </c>
      <c r="M27" s="43">
        <f>SUM($E20:M20)</f>
        <v>647518</v>
      </c>
      <c r="N27" s="43">
        <f>SUM($E20:N20)</f>
        <v>647518</v>
      </c>
      <c r="O27" s="43">
        <f>SUM($E20:O20)</f>
        <v>647518</v>
      </c>
      <c r="P27" s="43">
        <f>SUM($E20:P20)</f>
        <v>647518</v>
      </c>
    </row>
    <row r="28" spans="3:17" x14ac:dyDescent="0.35">
      <c r="D28" s="3" t="str">
        <f t="shared" si="3"/>
        <v>Difference</v>
      </c>
      <c r="E28" s="43">
        <f>IF(E27=0,0,E27-E26)</f>
        <v>-12118.117330274166</v>
      </c>
      <c r="F28" s="43">
        <f t="shared" ref="F28:P28" si="4">IF(F27=0,0,F27-F26)</f>
        <v>-12491.096880771976</v>
      </c>
      <c r="G28" s="43">
        <f t="shared" si="4"/>
        <v>-18344.938651493401</v>
      </c>
      <c r="H28" s="43">
        <f t="shared" si="4"/>
        <v>-17968.64264243847</v>
      </c>
      <c r="I28" s="43">
        <f t="shared" si="4"/>
        <v>-32431.208853607182</v>
      </c>
      <c r="J28" s="43">
        <f t="shared" si="4"/>
        <v>-56087.63728499948</v>
      </c>
      <c r="K28" s="43">
        <f t="shared" si="4"/>
        <v>-37560.927936615422</v>
      </c>
      <c r="L28" s="43">
        <f t="shared" si="4"/>
        <v>-41815.080808455008</v>
      </c>
      <c r="M28" s="43">
        <f t="shared" si="4"/>
        <v>-130150.09590051824</v>
      </c>
      <c r="N28" s="43">
        <f t="shared" si="4"/>
        <v>-218966.97321280511</v>
      </c>
      <c r="O28" s="43">
        <f t="shared" si="4"/>
        <v>-308265.71274531563</v>
      </c>
      <c r="P28" s="43">
        <f t="shared" si="4"/>
        <v>-398046.31449804979</v>
      </c>
    </row>
    <row r="29" spans="3:17" x14ac:dyDescent="0.35">
      <c r="D29" s="3" t="str">
        <f t="shared" si="3"/>
        <v>% realisation</v>
      </c>
      <c r="E29" s="9">
        <f t="shared" ref="E29:P29" si="5">E27/E26</f>
        <v>0.85655657552062214</v>
      </c>
      <c r="F29" s="9">
        <f t="shared" si="5"/>
        <v>0.92628102985787919</v>
      </c>
      <c r="G29" s="9">
        <f t="shared" si="5"/>
        <v>0.92802687057375688</v>
      </c>
      <c r="H29" s="9">
        <f t="shared" si="5"/>
        <v>0.94727691077945297</v>
      </c>
      <c r="I29" s="9">
        <f t="shared" si="5"/>
        <v>0.92408766230190698</v>
      </c>
      <c r="J29" s="9">
        <f t="shared" si="5"/>
        <v>0.89090314144263849</v>
      </c>
      <c r="K29" s="9">
        <f t="shared" si="5"/>
        <v>0.93755248314691286</v>
      </c>
      <c r="L29" s="9">
        <f t="shared" si="5"/>
        <v>0.93933980252418181</v>
      </c>
      <c r="M29" s="9">
        <f t="shared" si="5"/>
        <v>0.83264056145982435</v>
      </c>
      <c r="N29" s="9">
        <f t="shared" si="5"/>
        <v>0.74729282101580341</v>
      </c>
      <c r="O29" s="9">
        <f t="shared" si="5"/>
        <v>0.6774733565401756</v>
      </c>
      <c r="P29" s="9">
        <f t="shared" si="5"/>
        <v>0.61930001915841759</v>
      </c>
    </row>
    <row r="30" spans="3:17" x14ac:dyDescent="0.35">
      <c r="D30" s="3" t="str">
        <f t="shared" si="3"/>
        <v>Actual 2024/25</v>
      </c>
      <c r="E30" s="43">
        <f>SUM($E23:E23)</f>
        <v>73301</v>
      </c>
      <c r="F30" s="43">
        <f>SUM($E23:F23)</f>
        <v>166971</v>
      </c>
      <c r="G30" s="43">
        <f>SUM($E23:G23)</f>
        <v>248187</v>
      </c>
      <c r="H30" s="43">
        <f>SUM($E23:H23)</f>
        <v>330907</v>
      </c>
      <c r="I30" s="43">
        <f>SUM($E23:I23)</f>
        <v>418210</v>
      </c>
      <c r="J30" s="43">
        <f>SUM($E23:J23)</f>
        <v>477250</v>
      </c>
      <c r="K30" s="43">
        <f>SUM($E23:K23)</f>
        <v>579425</v>
      </c>
      <c r="L30" s="43">
        <f>SUM($E23:L23)</f>
        <v>666906</v>
      </c>
      <c r="M30" s="43">
        <f>SUM($E23:M23)</f>
        <v>760442</v>
      </c>
      <c r="N30" s="43">
        <f>SUM($E23:N23)</f>
        <v>832037</v>
      </c>
      <c r="O30" s="43">
        <f>SUM($E23:O23)</f>
        <v>915204</v>
      </c>
      <c r="P30" s="43">
        <f>SUM($E23:P23)</f>
        <v>1001408</v>
      </c>
    </row>
  </sheetData>
  <sheetProtection algorithmName="SHA-512" hashValue="EABt9HH/YhSzSTWKkoLJecbySEu16fxtYmJwwfT0cLRz96ooWDWXMJeqY22/DJR2B+NyIXHfBKuA4hGw0A/wWw==" saltValue="UtDbEOtTg5gZwx/N+cdvYw==" spinCount="100000" sheet="1" objects="1" scenarios="1"/>
  <mergeCells count="3">
    <mergeCell ref="C1:F1"/>
    <mergeCell ref="J4:Q8"/>
    <mergeCell ref="J10:Q15"/>
  </mergeCells>
  <conditionalFormatting sqref="C3">
    <cfRule type="expression" dxfId="179" priority="2">
      <formula>S4&lt;S6</formula>
    </cfRule>
  </conditionalFormatting>
  <conditionalFormatting sqref="C4">
    <cfRule type="expression" dxfId="178" priority="1">
      <formula>AND(S4&gt;=S6,S4&lt;S5)</formula>
    </cfRule>
  </conditionalFormatting>
  <conditionalFormatting sqref="C5">
    <cfRule type="expression" dxfId="177" priority="3">
      <formula>S4&gt;=S5</formula>
    </cfRule>
  </conditionalFormatting>
  <hyperlinks>
    <hyperlink ref="L1" location="'Distribution Dashboard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79969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57150</xdr:rowOff>
                  </from>
                  <to>
                    <xdr:col>9</xdr:col>
                    <xdr:colOff>628650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S30"/>
  <sheetViews>
    <sheetView zoomScale="90" zoomScaleNormal="90" zoomScalePageLayoutView="90" workbookViewId="0">
      <pane ySplit="2" topLeftCell="A3" activePane="bottomLeft" state="frozen"/>
      <selection activeCell="D26" sqref="D26:D30"/>
      <selection pane="bottomLeft" activeCell="U12" sqref="U12"/>
    </sheetView>
  </sheetViews>
  <sheetFormatPr defaultColWidth="9.1796875" defaultRowHeight="14.5" x14ac:dyDescent="0.35"/>
  <cols>
    <col min="1" max="1" width="9.1796875" style="3"/>
    <col min="2" max="2" width="5.45312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 t="s">
        <v>103</v>
      </c>
      <c r="C1" s="124" t="s">
        <v>177</v>
      </c>
      <c r="D1" s="124"/>
      <c r="E1" s="124"/>
      <c r="F1" s="124"/>
      <c r="G1" s="3" t="s">
        <v>10</v>
      </c>
      <c r="I1" s="12" t="e">
        <f>INDEX(#REF!,Actual_month)</f>
        <v>#REF!</v>
      </c>
      <c r="L1" s="15" t="s">
        <v>21</v>
      </c>
      <c r="R1" s="5"/>
    </row>
    <row r="2" spans="1:19" x14ac:dyDescent="0.35">
      <c r="A2" s="3" t="s">
        <v>14</v>
      </c>
      <c r="C2" s="3" t="s">
        <v>15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/>
      <c r="K4" s="135"/>
      <c r="L4" s="135"/>
      <c r="M4" s="135"/>
      <c r="N4" s="135"/>
      <c r="O4" s="135"/>
      <c r="P4" s="135"/>
      <c r="Q4" s="136"/>
      <c r="R4" s="3" t="s">
        <v>25</v>
      </c>
      <c r="S4" s="43">
        <f>INDEX(E27:P27,Actual_month)</f>
        <v>172770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43">
        <f>INDEX(E26:P26,Actual_month)</f>
        <v>147020.79095618956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0.9</v>
      </c>
      <c r="S6" s="43">
        <f>+S5*R6</f>
        <v>132318.71186057062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43">
        <f>Budget2526!D28</f>
        <v>20815.405978862356</v>
      </c>
      <c r="F19" s="43">
        <f>Budget2526!E28</f>
        <v>20112.910470699353</v>
      </c>
      <c r="G19" s="43">
        <f>Budget2526!F28</f>
        <v>19413.486290211353</v>
      </c>
      <c r="H19" s="43">
        <f>Budget2526!G28</f>
        <v>18717.066455118998</v>
      </c>
      <c r="I19" s="43">
        <f>Budget2526!H28</f>
        <v>18023.586018658112</v>
      </c>
      <c r="J19" s="43">
        <f>Budget2526!I28</f>
        <v>17332.981988980566</v>
      </c>
      <c r="K19" s="43">
        <f>Budget2526!J28</f>
        <v>16645.193252526398</v>
      </c>
      <c r="L19" s="43">
        <f>Budget2526!K28</f>
        <v>15960.160501132428</v>
      </c>
      <c r="M19" s="43">
        <f>Budget2526!L28</f>
        <v>15277.826162658515</v>
      </c>
      <c r="N19" s="43">
        <f>Budget2526!M28</f>
        <v>14598.134334927352</v>
      </c>
      <c r="O19" s="43">
        <f>Budget2526!N28</f>
        <v>13921.030722787575</v>
      </c>
      <c r="P19" s="43">
        <f>Budget2526!O28</f>
        <v>13246.462578123144</v>
      </c>
      <c r="Q19" s="5"/>
    </row>
    <row r="20" spans="3:17" x14ac:dyDescent="0.35">
      <c r="D20" s="3" t="str">
        <f>'KPI 100'!D20</f>
        <v>Actual 2025/26</v>
      </c>
      <c r="E20" s="43">
        <f>Actuals2526!D28</f>
        <v>27226</v>
      </c>
      <c r="F20" s="43">
        <f>Actuals2526!E28</f>
        <v>19628</v>
      </c>
      <c r="G20" s="43">
        <f>Actuals2526!F28</f>
        <v>21356</v>
      </c>
      <c r="H20" s="43">
        <f>Actuals2526!G28</f>
        <v>24220</v>
      </c>
      <c r="I20" s="43">
        <f>Actuals2526!H28</f>
        <v>20717</v>
      </c>
      <c r="J20" s="43">
        <f>Actuals2526!I28</f>
        <v>20918</v>
      </c>
      <c r="K20" s="43">
        <f>Actuals2526!J28</f>
        <v>20468</v>
      </c>
      <c r="L20" s="43">
        <f>Actuals2526!K28</f>
        <v>18237</v>
      </c>
      <c r="M20" s="43">
        <f>Actuals2526!L28</f>
        <v>0</v>
      </c>
      <c r="N20" s="43">
        <f>Actuals2526!M28</f>
        <v>0</v>
      </c>
      <c r="O20" s="43">
        <f>Actuals2526!N28</f>
        <v>0</v>
      </c>
      <c r="P20" s="43">
        <f>Actuals2526!O28</f>
        <v>0</v>
      </c>
      <c r="Q20" s="5"/>
    </row>
    <row r="21" spans="3:17" x14ac:dyDescent="0.35">
      <c r="D21" s="3" t="str">
        <f>'KPI 100'!D21</f>
        <v>Difference</v>
      </c>
      <c r="E21" s="43">
        <f>IF(E20=0,0,E20-E19)</f>
        <v>6410.5940211376437</v>
      </c>
      <c r="F21" s="43">
        <f t="shared" ref="F21:P21" si="0">IF(F20=0,0,F20-F19)</f>
        <v>-484.91047069935303</v>
      </c>
      <c r="G21" s="43">
        <f t="shared" si="0"/>
        <v>1942.5137097886472</v>
      </c>
      <c r="H21" s="43">
        <f t="shared" si="0"/>
        <v>5502.9335448810016</v>
      </c>
      <c r="I21" s="43">
        <f t="shared" si="0"/>
        <v>2693.4139813418878</v>
      </c>
      <c r="J21" s="43">
        <f t="shared" si="0"/>
        <v>3585.0180110194342</v>
      </c>
      <c r="K21" s="43">
        <f t="shared" si="0"/>
        <v>3822.8067474736017</v>
      </c>
      <c r="L21" s="43">
        <f t="shared" si="0"/>
        <v>2276.8394988675718</v>
      </c>
      <c r="M21" s="43">
        <f t="shared" si="0"/>
        <v>0</v>
      </c>
      <c r="N21" s="43">
        <f t="shared" si="0"/>
        <v>0</v>
      </c>
      <c r="O21" s="43">
        <f t="shared" si="0"/>
        <v>0</v>
      </c>
      <c r="P21" s="43">
        <f t="shared" si="0"/>
        <v>0</v>
      </c>
      <c r="Q21" s="5"/>
    </row>
    <row r="22" spans="3:17" x14ac:dyDescent="0.35">
      <c r="D22" s="3" t="str">
        <f>'KPI 100'!D22</f>
        <v>% realisation</v>
      </c>
      <c r="E22" s="9">
        <f>E20/E19</f>
        <v>1.3079735282438152</v>
      </c>
      <c r="F22" s="9">
        <f t="shared" ref="F22:P22" si="1">F20/F19</f>
        <v>0.9758905867250901</v>
      </c>
      <c r="G22" s="9">
        <f t="shared" si="1"/>
        <v>1.1000600139897645</v>
      </c>
      <c r="H22" s="9">
        <f t="shared" si="1"/>
        <v>1.2940061979304447</v>
      </c>
      <c r="I22" s="9">
        <f t="shared" si="1"/>
        <v>1.1494382959392015</v>
      </c>
      <c r="J22" s="9">
        <f t="shared" si="1"/>
        <v>1.2068321546343617</v>
      </c>
      <c r="K22" s="9">
        <f t="shared" si="1"/>
        <v>1.22966430545307</v>
      </c>
      <c r="L22" s="9">
        <f t="shared" si="1"/>
        <v>1.1426576818388525</v>
      </c>
      <c r="M22" s="9">
        <f t="shared" si="1"/>
        <v>0</v>
      </c>
      <c r="N22" s="9">
        <f t="shared" si="1"/>
        <v>0</v>
      </c>
      <c r="O22" s="9">
        <f t="shared" si="1"/>
        <v>0</v>
      </c>
      <c r="P22" s="9">
        <f t="shared" si="1"/>
        <v>0</v>
      </c>
    </row>
    <row r="23" spans="3:17" x14ac:dyDescent="0.35">
      <c r="D23" s="3" t="str">
        <f>'KPI 100'!D23</f>
        <v>Actual 2024/25</v>
      </c>
      <c r="E23" s="43">
        <f>Actuals2425!D28</f>
        <v>19066</v>
      </c>
      <c r="F23" s="43">
        <f>Actuals2425!E28</f>
        <v>20756</v>
      </c>
      <c r="G23" s="43">
        <f>Actuals2425!F28</f>
        <v>20337</v>
      </c>
      <c r="H23" s="43">
        <f>Actuals2425!G28</f>
        <v>24877</v>
      </c>
      <c r="I23" s="43">
        <f>Actuals2425!H28</f>
        <v>18830</v>
      </c>
      <c r="J23" s="43">
        <f>Actuals2425!I28</f>
        <v>15136</v>
      </c>
      <c r="K23" s="43">
        <f>Actuals2425!J28</f>
        <v>38946</v>
      </c>
      <c r="L23" s="43">
        <f>Actuals2425!K28</f>
        <v>18209</v>
      </c>
      <c r="M23" s="43">
        <f>Actuals2425!L28</f>
        <v>21884</v>
      </c>
      <c r="N23" s="43">
        <f>Actuals2425!M28</f>
        <v>15497</v>
      </c>
      <c r="O23" s="43">
        <f>Actuals2425!N28</f>
        <v>16381</v>
      </c>
      <c r="P23" s="43">
        <f>Actuals2425!O28</f>
        <v>22723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43">
        <f>SUM($E19:E19)</f>
        <v>20815.405978862356</v>
      </c>
      <c r="F26" s="43">
        <f>SUM($E19:F19)</f>
        <v>40928.316449561709</v>
      </c>
      <c r="G26" s="43">
        <f>SUM($E19:G19)</f>
        <v>60341.802739773062</v>
      </c>
      <c r="H26" s="43">
        <f>SUM($E19:H19)</f>
        <v>79058.86919489206</v>
      </c>
      <c r="I26" s="43">
        <f>SUM($E19:I19)</f>
        <v>97082.455213550173</v>
      </c>
      <c r="J26" s="43">
        <f>SUM($E19:J19)</f>
        <v>114415.43720253074</v>
      </c>
      <c r="K26" s="43">
        <f>SUM($E19:K19)</f>
        <v>131060.63045505714</v>
      </c>
      <c r="L26" s="43">
        <f>SUM($E19:L19)</f>
        <v>147020.79095618956</v>
      </c>
      <c r="M26" s="43">
        <f>SUM($E19:M19)</f>
        <v>162298.61711884808</v>
      </c>
      <c r="N26" s="43">
        <f>SUM($E19:N19)</f>
        <v>176896.75145377545</v>
      </c>
      <c r="O26" s="43">
        <f>SUM($E19:O19)</f>
        <v>190817.78217656302</v>
      </c>
      <c r="P26" s="43">
        <f>SUM($E19:P19)</f>
        <v>204064.24475468617</v>
      </c>
    </row>
    <row r="27" spans="3:17" x14ac:dyDescent="0.35">
      <c r="D27" s="3" t="str">
        <f t="shared" ref="D27:D30" si="3">D20</f>
        <v>Actual 2025/26</v>
      </c>
      <c r="E27" s="43">
        <f>SUM($E20:E20)</f>
        <v>27226</v>
      </c>
      <c r="F27" s="43">
        <f>SUM($E20:F20)</f>
        <v>46854</v>
      </c>
      <c r="G27" s="43">
        <f>SUM($E20:G20)</f>
        <v>68210</v>
      </c>
      <c r="H27" s="43">
        <f>SUM($E20:H20)</f>
        <v>92430</v>
      </c>
      <c r="I27" s="43">
        <f>SUM($E20:I20)</f>
        <v>113147</v>
      </c>
      <c r="J27" s="43">
        <f>SUM($E20:J20)</f>
        <v>134065</v>
      </c>
      <c r="K27" s="43">
        <f>SUM($E20:K20)</f>
        <v>154533</v>
      </c>
      <c r="L27" s="43">
        <f>SUM($E20:L20)</f>
        <v>172770</v>
      </c>
      <c r="M27" s="43">
        <f>SUM($E20:M20)</f>
        <v>172770</v>
      </c>
      <c r="N27" s="43">
        <f>SUM($E20:N20)</f>
        <v>172770</v>
      </c>
      <c r="O27" s="43">
        <f>SUM($E20:O20)</f>
        <v>172770</v>
      </c>
      <c r="P27" s="43">
        <f>SUM($E20:P20)</f>
        <v>172770</v>
      </c>
    </row>
    <row r="28" spans="3:17" x14ac:dyDescent="0.35">
      <c r="D28" s="3" t="str">
        <f t="shared" si="3"/>
        <v>Difference</v>
      </c>
      <c r="E28" s="43">
        <f>IF(E27=0,0,E27-E26)</f>
        <v>6410.5940211376437</v>
      </c>
      <c r="F28" s="43">
        <f t="shared" ref="F28:P28" si="4">IF(F27=0,0,F27-F26)</f>
        <v>5925.6835504382907</v>
      </c>
      <c r="G28" s="43">
        <f t="shared" si="4"/>
        <v>7868.1972602269379</v>
      </c>
      <c r="H28" s="43">
        <f t="shared" si="4"/>
        <v>13371.13080510794</v>
      </c>
      <c r="I28" s="43">
        <f t="shared" si="4"/>
        <v>16064.544786449827</v>
      </c>
      <c r="J28" s="43">
        <f t="shared" si="4"/>
        <v>19649.562797469262</v>
      </c>
      <c r="K28" s="43">
        <f t="shared" si="4"/>
        <v>23472.369544942863</v>
      </c>
      <c r="L28" s="43">
        <f t="shared" si="4"/>
        <v>25749.209043810435</v>
      </c>
      <c r="M28" s="43">
        <f t="shared" si="4"/>
        <v>10471.38288115192</v>
      </c>
      <c r="N28" s="43">
        <f t="shared" si="4"/>
        <v>-4126.7514537754469</v>
      </c>
      <c r="O28" s="43">
        <f t="shared" si="4"/>
        <v>-18047.782176563021</v>
      </c>
      <c r="P28" s="43">
        <f t="shared" si="4"/>
        <v>-31294.244754686166</v>
      </c>
    </row>
    <row r="29" spans="3:17" x14ac:dyDescent="0.35">
      <c r="D29" s="3" t="str">
        <f t="shared" si="3"/>
        <v>% realisation</v>
      </c>
      <c r="E29" s="9">
        <f t="shared" ref="E29:P29" si="5">E27/E26</f>
        <v>1.3079735282438152</v>
      </c>
      <c r="F29" s="9">
        <f t="shared" si="5"/>
        <v>1.144782000934264</v>
      </c>
      <c r="G29" s="9">
        <f t="shared" si="5"/>
        <v>1.1303938050071012</v>
      </c>
      <c r="H29" s="9">
        <f t="shared" si="5"/>
        <v>1.1691287889806024</v>
      </c>
      <c r="I29" s="9">
        <f t="shared" si="5"/>
        <v>1.1654732026617272</v>
      </c>
      <c r="J29" s="9">
        <f t="shared" si="5"/>
        <v>1.1717387380401028</v>
      </c>
      <c r="K29" s="9">
        <f t="shared" si="5"/>
        <v>1.1790955030770429</v>
      </c>
      <c r="L29" s="9">
        <f t="shared" si="5"/>
        <v>1.1751399164454461</v>
      </c>
      <c r="M29" s="9">
        <f t="shared" si="5"/>
        <v>1.0645192366209992</v>
      </c>
      <c r="N29" s="9">
        <f t="shared" si="5"/>
        <v>0.97667141188370665</v>
      </c>
      <c r="O29" s="9">
        <f t="shared" si="5"/>
        <v>0.90541876144507605</v>
      </c>
      <c r="P29" s="9">
        <f t="shared" si="5"/>
        <v>0.84664513475985836</v>
      </c>
    </row>
    <row r="30" spans="3:17" x14ac:dyDescent="0.35">
      <c r="D30" s="3" t="str">
        <f t="shared" si="3"/>
        <v>Actual 2024/25</v>
      </c>
      <c r="E30" s="43">
        <f>SUM($E23:E23)</f>
        <v>19066</v>
      </c>
      <c r="F30" s="43">
        <f>SUM($E23:F23)</f>
        <v>39822</v>
      </c>
      <c r="G30" s="43">
        <f>SUM($E23:G23)</f>
        <v>60159</v>
      </c>
      <c r="H30" s="43">
        <f>SUM($E23:H23)</f>
        <v>85036</v>
      </c>
      <c r="I30" s="43">
        <f>SUM($E23:I23)</f>
        <v>103866</v>
      </c>
      <c r="J30" s="43">
        <f>SUM($E23:J23)</f>
        <v>119002</v>
      </c>
      <c r="K30" s="43">
        <f>SUM($E23:K23)</f>
        <v>157948</v>
      </c>
      <c r="L30" s="43">
        <f>SUM($E23:L23)</f>
        <v>176157</v>
      </c>
      <c r="M30" s="43">
        <f>SUM($E23:M23)</f>
        <v>198041</v>
      </c>
      <c r="N30" s="43">
        <f>SUM($E23:N23)</f>
        <v>213538</v>
      </c>
      <c r="O30" s="43">
        <f>SUM($E23:O23)</f>
        <v>229919</v>
      </c>
      <c r="P30" s="43">
        <f>SUM($E23:P23)</f>
        <v>252642</v>
      </c>
    </row>
  </sheetData>
  <sheetProtection algorithmName="SHA-512" hashValue="70DyFzMlTfLydl2YG3IWTvJ2PfPlglnT8FfZkbKPPtiO8co3lkSbx7ptZ6RY+e45jS4UABCgoIYFyaUkmI+8cQ==" saltValue="Kn92NycrKh7Gnyk/NQ2vaQ==" spinCount="100000" sheet="1" objects="1" scenarios="1"/>
  <mergeCells count="3">
    <mergeCell ref="C1:F1"/>
    <mergeCell ref="J4:Q8"/>
    <mergeCell ref="J10:Q15"/>
  </mergeCells>
  <conditionalFormatting sqref="C3">
    <cfRule type="expression" dxfId="176" priority="2">
      <formula>S4&lt;S6</formula>
    </cfRule>
  </conditionalFormatting>
  <conditionalFormatting sqref="C4">
    <cfRule type="expression" dxfId="175" priority="1">
      <formula>AND(S4&gt;=S6,S4&lt;S5)</formula>
    </cfRule>
  </conditionalFormatting>
  <conditionalFormatting sqref="C5">
    <cfRule type="expression" dxfId="174" priority="3">
      <formula>S4&gt;=S5</formula>
    </cfRule>
  </conditionalFormatting>
  <hyperlinks>
    <hyperlink ref="L1" location="'Distribution Dashboard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80993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57150</xdr:rowOff>
                  </from>
                  <to>
                    <xdr:col>9</xdr:col>
                    <xdr:colOff>628650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S30"/>
  <sheetViews>
    <sheetView zoomScale="90" zoomScaleNormal="90" zoomScalePageLayoutView="90" workbookViewId="0">
      <pane ySplit="2" topLeftCell="A3" activePane="bottomLeft" state="frozen"/>
      <selection activeCell="D26" sqref="D26:D30"/>
      <selection pane="bottomLeft" sqref="A1:XFD1048576"/>
    </sheetView>
  </sheetViews>
  <sheetFormatPr defaultColWidth="9.1796875" defaultRowHeight="14.5" x14ac:dyDescent="0.35"/>
  <cols>
    <col min="1" max="1" width="9.1796875" style="3"/>
    <col min="2" max="2" width="5.45312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 t="s">
        <v>103</v>
      </c>
      <c r="C1" s="124" t="s">
        <v>178</v>
      </c>
      <c r="D1" s="124"/>
      <c r="E1" s="124"/>
      <c r="F1" s="124"/>
      <c r="G1" s="3" t="s">
        <v>10</v>
      </c>
      <c r="I1" s="12" t="e">
        <f>INDEX(#REF!,Actual_month)</f>
        <v>#REF!</v>
      </c>
      <c r="L1" s="15" t="s">
        <v>21</v>
      </c>
      <c r="R1" s="5"/>
    </row>
    <row r="2" spans="1:19" x14ac:dyDescent="0.35">
      <c r="A2" s="3" t="s">
        <v>14</v>
      </c>
      <c r="C2" s="3" t="s">
        <v>1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/>
      <c r="K4" s="135"/>
      <c r="L4" s="135"/>
      <c r="M4" s="135"/>
      <c r="N4" s="135"/>
      <c r="O4" s="135"/>
      <c r="P4" s="135"/>
      <c r="Q4" s="136"/>
      <c r="R4" s="3" t="s">
        <v>25</v>
      </c>
      <c r="S4" s="43">
        <f>INDEX(E27:P27,Actual_month)</f>
        <v>0.2106211476944683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43">
        <f>INDEX(E26:P26,Actual_month)</f>
        <v>0.1757877806507748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0.9</v>
      </c>
      <c r="S6" s="43">
        <f>+S5*R6</f>
        <v>0.15820900258569731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9">
        <f>Budget2526!D29</f>
        <v>0.19768557413168009</v>
      </c>
      <c r="F19" s="9">
        <f>Budget2526!E29</f>
        <v>0.1914150037810356</v>
      </c>
      <c r="G19" s="9">
        <f>Budget2526!F29</f>
        <v>0.18514191281824519</v>
      </c>
      <c r="H19" s="9">
        <f>Budget2526!G29</f>
        <v>0.17886631226728006</v>
      </c>
      <c r="I19" s="9">
        <f>Budget2526!H29</f>
        <v>0.17258821370650698</v>
      </c>
      <c r="J19" s="9">
        <f>Budget2526!I29</f>
        <v>0.16630762922359352</v>
      </c>
      <c r="K19" s="9">
        <f>Budget2526!J29</f>
        <v>0.16002457137337939</v>
      </c>
      <c r="L19" s="9">
        <f>Budget2526!K29</f>
        <v>0.15373905313851283</v>
      </c>
      <c r="M19" s="9">
        <f>Budget2526!L29</f>
        <v>0.14745108789266304</v>
      </c>
      <c r="N19" s="9">
        <f>Budget2526!M29</f>
        <v>0.14116068936613224</v>
      </c>
      <c r="O19" s="9">
        <f>Budget2526!N29</f>
        <v>0.13486787161370414</v>
      </c>
      <c r="P19" s="9">
        <f>Budget2526!O29</f>
        <v>0.12857264898458087</v>
      </c>
      <c r="Q19" s="5"/>
    </row>
    <row r="20" spans="3:17" x14ac:dyDescent="0.35">
      <c r="D20" s="3" t="str">
        <f>'KPI 100'!D20</f>
        <v>Actual 2025/26</v>
      </c>
      <c r="E20" s="9">
        <f>Actuals2526!D29</f>
        <v>0.27338635176928949</v>
      </c>
      <c r="F20" s="9">
        <f>Actuals2526!E29</f>
        <v>0.18833779517737029</v>
      </c>
      <c r="G20" s="9">
        <f>Actuals2526!F29</f>
        <v>0.21155865512254077</v>
      </c>
      <c r="H20" s="9">
        <f>Actuals2526!G29</f>
        <v>0.21914189030238324</v>
      </c>
      <c r="I20" s="9">
        <f>Actuals2526!H29</f>
        <v>0.22357600742483436</v>
      </c>
      <c r="J20" s="9">
        <f>Actuals2526!I29</f>
        <v>0.24857696284060796</v>
      </c>
      <c r="K20" s="9">
        <f>Actuals2526!J29</f>
        <v>0.16197394868872955</v>
      </c>
      <c r="L20" s="9">
        <f>Actuals2526!K29</f>
        <v>0.17908205349778075</v>
      </c>
      <c r="M20" s="9" t="e">
        <f>Actuals2526!L29</f>
        <v>#DIV/0!</v>
      </c>
      <c r="N20" s="9" t="e">
        <f>Actuals2526!M29</f>
        <v>#DIV/0!</v>
      </c>
      <c r="O20" s="9" t="e">
        <f>Actuals2526!N29</f>
        <v>#DIV/0!</v>
      </c>
      <c r="P20" s="9" t="e">
        <f>Actuals2526!O29</f>
        <v>#DIV/0!</v>
      </c>
      <c r="Q20" s="5"/>
    </row>
    <row r="21" spans="3:17" x14ac:dyDescent="0.35">
      <c r="D21" s="3" t="str">
        <f>'KPI 100'!D21</f>
        <v>Difference</v>
      </c>
      <c r="E21" s="43">
        <f>IF(E20=0,0,E20-E19)</f>
        <v>7.5700777637609407E-2</v>
      </c>
      <c r="F21" s="43">
        <f t="shared" ref="F21:P21" si="0">IF(F20=0,0,F20-F19)</f>
        <v>-3.0772086036653101E-3</v>
      </c>
      <c r="G21" s="43">
        <f t="shared" si="0"/>
        <v>2.6416742304295582E-2</v>
      </c>
      <c r="H21" s="43">
        <f t="shared" si="0"/>
        <v>4.0275578035103177E-2</v>
      </c>
      <c r="I21" s="43">
        <f t="shared" si="0"/>
        <v>5.0987793718327373E-2</v>
      </c>
      <c r="J21" s="43">
        <f t="shared" si="0"/>
        <v>8.226933361701444E-2</v>
      </c>
      <c r="K21" s="43">
        <f t="shared" si="0"/>
        <v>1.9493773153501648E-3</v>
      </c>
      <c r="L21" s="43">
        <f t="shared" si="0"/>
        <v>2.5343000359267925E-2</v>
      </c>
      <c r="M21" s="43" t="e">
        <f t="shared" si="0"/>
        <v>#DIV/0!</v>
      </c>
      <c r="N21" s="43" t="e">
        <f t="shared" si="0"/>
        <v>#DIV/0!</v>
      </c>
      <c r="O21" s="43" t="e">
        <f t="shared" si="0"/>
        <v>#DIV/0!</v>
      </c>
      <c r="P21" s="43" t="e">
        <f t="shared" si="0"/>
        <v>#DIV/0!</v>
      </c>
      <c r="Q21" s="5"/>
    </row>
    <row r="22" spans="3:17" x14ac:dyDescent="0.35">
      <c r="D22" s="3" t="str">
        <f>'KPI 100'!D22</f>
        <v>% realisation</v>
      </c>
      <c r="E22" s="9">
        <f>E20/E19</f>
        <v>1.3829352645994515</v>
      </c>
      <c r="F22" s="9">
        <f t="shared" ref="F22:P22" si="1">F20/F19</f>
        <v>0.98392389027567873</v>
      </c>
      <c r="G22" s="9">
        <f t="shared" si="1"/>
        <v>1.1426837494664379</v>
      </c>
      <c r="H22" s="9">
        <f t="shared" si="1"/>
        <v>1.2251714004978163</v>
      </c>
      <c r="I22" s="9">
        <f t="shared" si="1"/>
        <v>1.2954303345710161</v>
      </c>
      <c r="J22" s="9">
        <f t="shared" si="1"/>
        <v>1.4946816571259447</v>
      </c>
      <c r="K22" s="9">
        <f t="shared" si="1"/>
        <v>1.0121817374583166</v>
      </c>
      <c r="L22" s="9">
        <f t="shared" si="1"/>
        <v>1.1648442594246686</v>
      </c>
      <c r="M22" s="9" t="e">
        <f t="shared" si="1"/>
        <v>#DIV/0!</v>
      </c>
      <c r="N22" s="9" t="e">
        <f t="shared" si="1"/>
        <v>#DIV/0!</v>
      </c>
      <c r="O22" s="9" t="e">
        <f t="shared" si="1"/>
        <v>#DIV/0!</v>
      </c>
      <c r="P22" s="9" t="e">
        <f t="shared" si="1"/>
        <v>#DIV/0!</v>
      </c>
    </row>
    <row r="23" spans="3:17" x14ac:dyDescent="0.35">
      <c r="D23" s="3" t="str">
        <f>'KPI 100'!D23</f>
        <v>Actual 2024/25</v>
      </c>
      <c r="E23" s="9">
        <f>Actuals2425!D29</f>
        <v>0.20641571123886238</v>
      </c>
      <c r="F23" s="9">
        <f>Actuals2425!E29</f>
        <v>0.18139234090154335</v>
      </c>
      <c r="G23" s="9">
        <f>Actuals2425!F29</f>
        <v>0.20025996277805677</v>
      </c>
      <c r="H23" s="9">
        <f>Actuals2425!G29</f>
        <v>0.23120533100365251</v>
      </c>
      <c r="I23" s="9">
        <f>Actuals2425!H29</f>
        <v>0.17741889892870266</v>
      </c>
      <c r="J23" s="9">
        <f>Actuals2425!I29</f>
        <v>0.20405522001725626</v>
      </c>
      <c r="K23" s="9">
        <f>Actuals2425!J29</f>
        <v>0.27597593554467442</v>
      </c>
      <c r="L23" s="9">
        <f>Actuals2425!K29</f>
        <v>0.17228687671492099</v>
      </c>
      <c r="M23" s="9">
        <f>Actuals2425!L29</f>
        <v>0.18960318835557097</v>
      </c>
      <c r="N23" s="9">
        <f>Actuals2425!M29</f>
        <v>0.1779382721719561</v>
      </c>
      <c r="O23" s="9">
        <f>Actuals2425!N29</f>
        <v>0.16455378309961025</v>
      </c>
      <c r="P23" s="9">
        <f>Actuals2425!O29</f>
        <v>0.20860759958504319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9">
        <f>'KPI RA3'!E26/'KPI RA'!E26</f>
        <v>0.19768557413168009</v>
      </c>
      <c r="F26" s="9">
        <f>'KPI RA3'!F26/'KPI RA'!F26</f>
        <v>0.19455357719573482</v>
      </c>
      <c r="G26" s="9">
        <f>'KPI RA3'!G26/'KPI RA'!G26</f>
        <v>0.19142288198828195</v>
      </c>
      <c r="H26" s="9">
        <f>'KPI RA3'!H26/'KPI RA'!H26</f>
        <v>0.18829345468662409</v>
      </c>
      <c r="I26" s="9">
        <f>'KPI RA3'!I26/'KPI RA'!I26</f>
        <v>0.18516526241868836</v>
      </c>
      <c r="J26" s="9">
        <f>'KPI RA3'!J26/'KPI RA'!J26</f>
        <v>0.18203827322894492</v>
      </c>
      <c r="K26" s="9">
        <f>'KPI RA3'!K26/'KPI RA'!K26</f>
        <v>0.17891245604585629</v>
      </c>
      <c r="L26" s="9">
        <f>'KPI RA3'!L26/'KPI RA'!L26</f>
        <v>0.1757877806507748</v>
      </c>
      <c r="M26" s="9">
        <f>'KPI RA3'!M26/'KPI RA'!M26</f>
        <v>0.17266421764820966</v>
      </c>
      <c r="N26" s="9">
        <f>'KPI RA3'!N26/'KPI RA'!N26</f>
        <v>0.16954173843739115</v>
      </c>
      <c r="O26" s="9">
        <f>'KPI RA3'!O26/'KPI RA'!O26</f>
        <v>0.16642031518506264</v>
      </c>
      <c r="P26" s="9">
        <f>'KPI RA3'!P26/'KPI RA'!P26</f>
        <v>0.16329992079943689</v>
      </c>
    </row>
    <row r="27" spans="3:17" x14ac:dyDescent="0.35">
      <c r="D27" s="3" t="str">
        <f t="shared" ref="D27:D30" si="3">D20</f>
        <v>Actual 2025/26</v>
      </c>
      <c r="E27" s="9">
        <f>'KPI RA3'!E27/'KPI RA'!E27</f>
        <v>0.27338635176928949</v>
      </c>
      <c r="F27" s="9">
        <f>'KPI RA3'!F27/'KPI RA'!F27</f>
        <v>0.22989622433208215</v>
      </c>
      <c r="G27" s="9">
        <f>'KPI RA3'!G27/'KPI RA'!G27</f>
        <v>0.22382207113348274</v>
      </c>
      <c r="H27" s="9">
        <f>'KPI RA3'!H27/'KPI RA'!H27</f>
        <v>0.22257647378953122</v>
      </c>
      <c r="I27" s="9">
        <f>'KPI RA3'!I27/'KPI RA'!I27</f>
        <v>0.22275881756523966</v>
      </c>
      <c r="J27" s="9">
        <f>'KPI RA3'!J27/'KPI RA'!J27</f>
        <v>0.22642825535479644</v>
      </c>
      <c r="K27" s="9">
        <f>'KPI RA3'!K27/'KPI RA'!K27</f>
        <v>0.21509161363598403</v>
      </c>
      <c r="L27" s="9">
        <f>'KPI RA3'!L27/'KPI RA'!L27</f>
        <v>0.2106211476944683</v>
      </c>
      <c r="M27" s="9">
        <f>'KPI RA3'!M27/'KPI RA'!M27</f>
        <v>0.2106211476944683</v>
      </c>
      <c r="N27" s="9">
        <f>'KPI RA3'!N27/'KPI RA'!N27</f>
        <v>0.2106211476944683</v>
      </c>
      <c r="O27" s="9">
        <f>'KPI RA3'!O27/'KPI RA'!O27</f>
        <v>0.2106211476944683</v>
      </c>
      <c r="P27" s="9">
        <f>'KPI RA3'!P27/'KPI RA'!P27</f>
        <v>0.2106211476944683</v>
      </c>
    </row>
    <row r="28" spans="3:17" x14ac:dyDescent="0.35">
      <c r="D28" s="3" t="str">
        <f t="shared" si="3"/>
        <v>Difference</v>
      </c>
      <c r="E28" s="43">
        <f>IF(E27=0,0,E27-E26)</f>
        <v>7.5700777637609407E-2</v>
      </c>
      <c r="F28" s="43">
        <f t="shared" ref="F28:P28" si="4">IF(F27=0,0,F27-F26)</f>
        <v>3.5342647136347327E-2</v>
      </c>
      <c r="G28" s="43">
        <f t="shared" si="4"/>
        <v>3.2399189145200791E-2</v>
      </c>
      <c r="H28" s="43">
        <f t="shared" si="4"/>
        <v>3.4283019102907125E-2</v>
      </c>
      <c r="I28" s="43">
        <f t="shared" si="4"/>
        <v>3.75935551465513E-2</v>
      </c>
      <c r="J28" s="43">
        <f t="shared" si="4"/>
        <v>4.4389982125851518E-2</v>
      </c>
      <c r="K28" s="43">
        <f t="shared" si="4"/>
        <v>3.6179157590127742E-2</v>
      </c>
      <c r="L28" s="43">
        <f t="shared" si="4"/>
        <v>3.4833367043693497E-2</v>
      </c>
      <c r="M28" s="43">
        <f t="shared" si="4"/>
        <v>3.7956930046258636E-2</v>
      </c>
      <c r="N28" s="43">
        <f t="shared" si="4"/>
        <v>4.1079409257077149E-2</v>
      </c>
      <c r="O28" s="43">
        <f t="shared" si="4"/>
        <v>4.4200832509405652E-2</v>
      </c>
      <c r="P28" s="43">
        <f t="shared" si="4"/>
        <v>4.7321226895031404E-2</v>
      </c>
    </row>
    <row r="29" spans="3:17" x14ac:dyDescent="0.35">
      <c r="D29" s="3" t="str">
        <f t="shared" si="3"/>
        <v>% realisation</v>
      </c>
      <c r="E29" s="9">
        <f t="shared" ref="E29:P29" si="5">E27/E26</f>
        <v>1.3829352645994515</v>
      </c>
      <c r="F29" s="9">
        <f t="shared" si="5"/>
        <v>1.18166022771604</v>
      </c>
      <c r="G29" s="9">
        <f t="shared" si="5"/>
        <v>1.1692545259410738</v>
      </c>
      <c r="H29" s="9">
        <f t="shared" si="5"/>
        <v>1.1820722826503141</v>
      </c>
      <c r="I29" s="9">
        <f t="shared" si="5"/>
        <v>1.2030270400370575</v>
      </c>
      <c r="J29" s="9">
        <f t="shared" si="5"/>
        <v>1.2438497209321655</v>
      </c>
      <c r="K29" s="9">
        <f t="shared" si="5"/>
        <v>1.2022170976226205</v>
      </c>
      <c r="L29" s="9">
        <f t="shared" si="5"/>
        <v>1.1981557928243858</v>
      </c>
      <c r="M29" s="9">
        <f t="shared" si="5"/>
        <v>1.2198308981632373</v>
      </c>
      <c r="N29" s="9">
        <f t="shared" si="5"/>
        <v>1.2422967325668131</v>
      </c>
      <c r="O29" s="9">
        <f t="shared" si="5"/>
        <v>1.2655975771963506</v>
      </c>
      <c r="P29" s="9">
        <f t="shared" si="5"/>
        <v>1.2897810768270415</v>
      </c>
    </row>
    <row r="30" spans="3:17" x14ac:dyDescent="0.35">
      <c r="D30" s="3" t="str">
        <f t="shared" si="3"/>
        <v>Actual 2024/25</v>
      </c>
      <c r="E30" s="9">
        <f>'KPI RA3'!$E$26/'KPI RA'!E30</f>
        <v>0.22535544056711115</v>
      </c>
      <c r="F30" s="9">
        <f>'KPI RA3'!$E$26/'KPI RA'!F30</f>
        <v>0.10065817498107942</v>
      </c>
      <c r="G30" s="9">
        <f>'KPI RA3'!$E$26/'KPI RA'!G30</f>
        <v>6.7506651550084507E-2</v>
      </c>
      <c r="H30" s="9">
        <f>'KPI RA3'!$E$26/'KPI RA'!H30</f>
        <v>5.0043890578426266E-2</v>
      </c>
      <c r="I30" s="9">
        <f>'KPI RA3'!$E$26/'KPI RA'!I30</f>
        <v>3.9870451771125956E-2</v>
      </c>
      <c r="J30" s="9">
        <f>'KPI RA3'!$E$26/'KPI RA'!J30</f>
        <v>3.4910417036525421E-2</v>
      </c>
      <c r="K30" s="9">
        <f>'KPI RA3'!$E$26/'KPI RA'!K30</f>
        <v>2.8229140447049671E-2</v>
      </c>
      <c r="L30" s="9">
        <f>'KPI RA3'!$E$26/'KPI RA'!L30</f>
        <v>2.4690214110763199E-2</v>
      </c>
      <c r="M30" s="9">
        <f>'KPI RA3'!$E$26/'KPI RA'!M30</f>
        <v>2.1717031996250698E-2</v>
      </c>
      <c r="N30" s="9">
        <f>'KPI RA3'!$E$26/'KPI RA'!N30</f>
        <v>1.9908094568885405E-2</v>
      </c>
      <c r="O30" s="9">
        <f>'KPI RA3'!$E$26/'KPI RA'!O30</f>
        <v>1.8177441182180742E-2</v>
      </c>
      <c r="P30" s="9">
        <f>'KPI RA3'!$E$26/'KPI RA'!P30</f>
        <v>1.6598545495683868E-2</v>
      </c>
    </row>
  </sheetData>
  <sheetProtection algorithmName="SHA-512" hashValue="VssCKDXcXbdNPGPuWZAefVfOzxoflc08AEdW4p2CfMiELSFahGLtvkpPCyUI0HqvQErLJZZZfph6tiQCqfSZ/w==" saltValue="uIYLRp+e0banDTsuK96d2g==" spinCount="100000" sheet="1" objects="1" scenarios="1"/>
  <mergeCells count="3">
    <mergeCell ref="C1:F1"/>
    <mergeCell ref="J4:Q8"/>
    <mergeCell ref="J10:Q15"/>
  </mergeCells>
  <conditionalFormatting sqref="C3">
    <cfRule type="expression" dxfId="173" priority="2">
      <formula>S4&lt;S6</formula>
    </cfRule>
  </conditionalFormatting>
  <conditionalFormatting sqref="C4">
    <cfRule type="expression" dxfId="172" priority="1">
      <formula>AND(S4&gt;=S6,S4&lt;S5)</formula>
    </cfRule>
  </conditionalFormatting>
  <conditionalFormatting sqref="C5">
    <cfRule type="expression" dxfId="171" priority="3">
      <formula>S4&gt;=S5</formula>
    </cfRule>
  </conditionalFormatting>
  <hyperlinks>
    <hyperlink ref="L1" location="'Distribution Dashboard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82017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57150</xdr:rowOff>
                  </from>
                  <to>
                    <xdr:col>9</xdr:col>
                    <xdr:colOff>628650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S30"/>
  <sheetViews>
    <sheetView topLeftCell="D1" zoomScale="90" zoomScaleNormal="90" zoomScalePageLayoutView="90" workbookViewId="0">
      <pane ySplit="2" topLeftCell="A6" activePane="bottomLeft" state="frozen"/>
      <selection activeCell="D26" sqref="D26:D30"/>
      <selection pane="bottomLeft" activeCell="D1" sqref="A1:XFD1048576"/>
    </sheetView>
  </sheetViews>
  <sheetFormatPr defaultColWidth="9.1796875" defaultRowHeight="14.5" x14ac:dyDescent="0.35"/>
  <cols>
    <col min="1" max="1" width="9.1796875" style="3"/>
    <col min="2" max="2" width="6.54296875" style="3" customWidth="1"/>
    <col min="3" max="3" width="14.54296875" style="3" customWidth="1"/>
    <col min="4" max="4" width="21.2695312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customHeight="1" x14ac:dyDescent="0.5">
      <c r="A1" s="4" t="s">
        <v>4</v>
      </c>
      <c r="B1" s="4" t="s">
        <v>101</v>
      </c>
      <c r="C1" s="124" t="s">
        <v>170</v>
      </c>
      <c r="D1" s="124"/>
      <c r="E1" s="124"/>
      <c r="F1" s="124"/>
      <c r="G1" s="3" t="s">
        <v>10</v>
      </c>
      <c r="I1" s="12">
        <f>INDEX(E18:P18,Actual_month)</f>
        <v>46054</v>
      </c>
      <c r="L1" s="15" t="s">
        <v>21</v>
      </c>
      <c r="R1" s="5"/>
    </row>
    <row r="2" spans="1:19" x14ac:dyDescent="0.35">
      <c r="A2" s="3" t="s">
        <v>14</v>
      </c>
      <c r="C2" s="3" t="str">
        <f>'Distribution Dashboard'!C36</f>
        <v>m3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25"/>
      <c r="K4" s="126"/>
      <c r="L4" s="126"/>
      <c r="M4" s="126"/>
      <c r="N4" s="126"/>
      <c r="O4" s="126"/>
      <c r="P4" s="126"/>
      <c r="Q4" s="127"/>
      <c r="R4" s="3" t="s">
        <v>25</v>
      </c>
      <c r="S4" s="43">
        <f>INDEX(E27:P27,Actual_month)</f>
        <v>576686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28"/>
      <c r="K5" s="129"/>
      <c r="L5" s="129"/>
      <c r="M5" s="129"/>
      <c r="N5" s="129"/>
      <c r="O5" s="129"/>
      <c r="P5" s="129"/>
      <c r="Q5" s="130"/>
      <c r="R5" s="3" t="s">
        <v>26</v>
      </c>
      <c r="S5" s="43">
        <f>INDEX(E26:P26,Actual_month)</f>
        <v>649012.4083186998</v>
      </c>
    </row>
    <row r="6" spans="1:19" x14ac:dyDescent="0.35">
      <c r="J6" s="128"/>
      <c r="K6" s="129"/>
      <c r="L6" s="129"/>
      <c r="M6" s="129"/>
      <c r="N6" s="129"/>
      <c r="O6" s="129"/>
      <c r="P6" s="129"/>
      <c r="Q6" s="130"/>
      <c r="R6" s="6">
        <v>0.9</v>
      </c>
      <c r="S6" s="43">
        <f>+S5*R6</f>
        <v>584111.1674868298</v>
      </c>
    </row>
    <row r="7" spans="1:19" x14ac:dyDescent="0.35">
      <c r="J7" s="128"/>
      <c r="K7" s="129"/>
      <c r="L7" s="129"/>
      <c r="M7" s="129"/>
      <c r="N7" s="129"/>
      <c r="O7" s="129"/>
      <c r="P7" s="129"/>
      <c r="Q7" s="130"/>
    </row>
    <row r="8" spans="1:19" ht="15" thickBot="1" x14ac:dyDescent="0.4">
      <c r="J8" s="131"/>
      <c r="K8" s="132"/>
      <c r="L8" s="132"/>
      <c r="M8" s="132"/>
      <c r="N8" s="132"/>
      <c r="O8" s="132"/>
      <c r="P8" s="132"/>
      <c r="Q8" s="133"/>
    </row>
    <row r="9" spans="1:19" ht="15" thickBot="1" x14ac:dyDescent="0.4">
      <c r="J9" s="3" t="s">
        <v>13</v>
      </c>
    </row>
    <row r="10" spans="1:19" x14ac:dyDescent="0.35">
      <c r="J10" s="125"/>
      <c r="K10" s="126"/>
      <c r="L10" s="126"/>
      <c r="M10" s="126"/>
      <c r="N10" s="126"/>
      <c r="O10" s="126"/>
      <c r="P10" s="126"/>
      <c r="Q10" s="127"/>
    </row>
    <row r="11" spans="1:19" x14ac:dyDescent="0.35">
      <c r="J11" s="128"/>
      <c r="K11" s="129"/>
      <c r="L11" s="129"/>
      <c r="M11" s="129"/>
      <c r="N11" s="129"/>
      <c r="O11" s="129"/>
      <c r="P11" s="129"/>
      <c r="Q11" s="130"/>
    </row>
    <row r="12" spans="1:19" x14ac:dyDescent="0.35">
      <c r="J12" s="128"/>
      <c r="K12" s="129"/>
      <c r="L12" s="129"/>
      <c r="M12" s="129"/>
      <c r="N12" s="129"/>
      <c r="O12" s="129"/>
      <c r="P12" s="129"/>
      <c r="Q12" s="130"/>
    </row>
    <row r="13" spans="1:19" x14ac:dyDescent="0.35">
      <c r="J13" s="128"/>
      <c r="K13" s="129"/>
      <c r="L13" s="129"/>
      <c r="M13" s="129"/>
      <c r="N13" s="129"/>
      <c r="O13" s="129"/>
      <c r="P13" s="129"/>
      <c r="Q13" s="130"/>
    </row>
    <row r="14" spans="1:19" x14ac:dyDescent="0.35">
      <c r="J14" s="128"/>
      <c r="K14" s="129"/>
      <c r="L14" s="129"/>
      <c r="M14" s="129"/>
      <c r="N14" s="129"/>
      <c r="O14" s="129"/>
      <c r="P14" s="129"/>
      <c r="Q14" s="130"/>
    </row>
    <row r="15" spans="1:19" ht="15" thickBot="1" x14ac:dyDescent="0.4">
      <c r="J15" s="131"/>
      <c r="K15" s="132"/>
      <c r="L15" s="132"/>
      <c r="M15" s="132"/>
      <c r="N15" s="132"/>
      <c r="O15" s="132"/>
      <c r="P15" s="132"/>
      <c r="Q15" s="133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43">
        <f>Budget2526!D35</f>
        <v>74168.144793943808</v>
      </c>
      <c r="F19" s="43">
        <f>Budget2526!E35</f>
        <v>75099.246104343008</v>
      </c>
      <c r="G19" s="43">
        <f>Budget2526!F35</f>
        <v>76156.750133326132</v>
      </c>
      <c r="H19" s="43">
        <f>Budget2526!G35</f>
        <v>79439.401575553784</v>
      </c>
      <c r="I19" s="43">
        <f>Budget2526!H35</f>
        <v>82374.058044540492</v>
      </c>
      <c r="J19" s="43">
        <f>Budget2526!I35</f>
        <v>85141.04302651473</v>
      </c>
      <c r="K19" s="43">
        <f>Budget2526!J35</f>
        <v>87280.370296261768</v>
      </c>
      <c r="L19" s="43">
        <f>Budget2526!K35</f>
        <v>89353.394344216111</v>
      </c>
      <c r="M19" s="43">
        <f>Budget2526!L35</f>
        <v>91102.623571086457</v>
      </c>
      <c r="N19" s="43">
        <f>Budget2526!M35</f>
        <v>92231.503158797525</v>
      </c>
      <c r="O19" s="43">
        <f>Budget2526!N35</f>
        <v>93329.914180694497</v>
      </c>
      <c r="P19" s="43">
        <f>Budget2526!O35</f>
        <v>94360.158941057263</v>
      </c>
      <c r="Q19" s="5"/>
    </row>
    <row r="20" spans="3:17" x14ac:dyDescent="0.35">
      <c r="D20" s="3" t="str">
        <f>'KPI 100'!D20</f>
        <v>Actual 2025/26</v>
      </c>
      <c r="E20" s="43">
        <f>Actuals2526!D35</f>
        <v>62827</v>
      </c>
      <c r="F20" s="43">
        <f>Actuals2526!E35</f>
        <v>85011</v>
      </c>
      <c r="G20" s="43">
        <f>Actuals2526!F35</f>
        <v>57253</v>
      </c>
      <c r="H20" s="43">
        <f>Actuals2526!G35</f>
        <v>87909</v>
      </c>
      <c r="I20" s="43">
        <f>Actuals2526!H35</f>
        <v>55459</v>
      </c>
      <c r="J20" s="43">
        <f>Actuals2526!I35</f>
        <v>61011</v>
      </c>
      <c r="K20" s="43">
        <f>Actuals2526!J35</f>
        <v>89581</v>
      </c>
      <c r="L20" s="43">
        <f>Actuals2526!K35</f>
        <v>77635</v>
      </c>
      <c r="M20" s="43">
        <f>Actuals2526!L35</f>
        <v>0</v>
      </c>
      <c r="N20" s="43">
        <f>Actuals2526!M35</f>
        <v>0</v>
      </c>
      <c r="O20" s="43">
        <f>Actuals2526!N35</f>
        <v>0</v>
      </c>
      <c r="P20" s="43">
        <f>Actuals2526!O35</f>
        <v>0</v>
      </c>
      <c r="Q20" s="5"/>
    </row>
    <row r="21" spans="3:17" x14ac:dyDescent="0.35">
      <c r="D21" s="3" t="str">
        <f>'KPI 100'!D21</f>
        <v>Difference</v>
      </c>
      <c r="E21" s="43">
        <f>IF(E20=0,0,E20-E19)</f>
        <v>-11341.144793943808</v>
      </c>
      <c r="F21" s="43">
        <f t="shared" ref="F21:P21" si="0">IF(F20=0,0,F20-F19)</f>
        <v>9911.7538956569915</v>
      </c>
      <c r="G21" s="43">
        <f t="shared" si="0"/>
        <v>-18903.750133326132</v>
      </c>
      <c r="H21" s="43">
        <f t="shared" si="0"/>
        <v>8469.5984244462161</v>
      </c>
      <c r="I21" s="43">
        <f t="shared" si="0"/>
        <v>-26915.058044540492</v>
      </c>
      <c r="J21" s="43">
        <f t="shared" si="0"/>
        <v>-24130.04302651473</v>
      </c>
      <c r="K21" s="43">
        <f t="shared" si="0"/>
        <v>2300.6297037382319</v>
      </c>
      <c r="L21" s="43">
        <f t="shared" si="0"/>
        <v>-11718.394344216111</v>
      </c>
      <c r="M21" s="43">
        <f t="shared" si="0"/>
        <v>0</v>
      </c>
      <c r="N21" s="43">
        <f t="shared" si="0"/>
        <v>0</v>
      </c>
      <c r="O21" s="43">
        <f t="shared" si="0"/>
        <v>0</v>
      </c>
      <c r="P21" s="43">
        <f t="shared" si="0"/>
        <v>0</v>
      </c>
      <c r="Q21" s="5"/>
    </row>
    <row r="22" spans="3:17" x14ac:dyDescent="0.35">
      <c r="D22" s="3" t="str">
        <f>'KPI 100'!D22</f>
        <v>% realisation</v>
      </c>
      <c r="E22" s="9">
        <f>E20/E19</f>
        <v>0.84708873566337517</v>
      </c>
      <c r="F22" s="9">
        <f t="shared" ref="F22:P22" si="1">F20/F19</f>
        <v>1.1319820691926199</v>
      </c>
      <c r="G22" s="9">
        <f t="shared" si="1"/>
        <v>0.7517784030932031</v>
      </c>
      <c r="H22" s="9">
        <f t="shared" si="1"/>
        <v>1.1066170975166636</v>
      </c>
      <c r="I22" s="9">
        <f t="shared" si="1"/>
        <v>0.67325807804700788</v>
      </c>
      <c r="J22" s="9">
        <f t="shared" si="1"/>
        <v>0.71658741578958429</v>
      </c>
      <c r="K22" s="9">
        <f t="shared" si="1"/>
        <v>1.0263590735915653</v>
      </c>
      <c r="L22" s="9">
        <f t="shared" si="1"/>
        <v>0.86885339465590605</v>
      </c>
      <c r="M22" s="9">
        <f t="shared" si="1"/>
        <v>0</v>
      </c>
      <c r="N22" s="9">
        <f t="shared" si="1"/>
        <v>0</v>
      </c>
      <c r="O22" s="9">
        <f t="shared" si="1"/>
        <v>0</v>
      </c>
      <c r="P22" s="9">
        <f t="shared" si="1"/>
        <v>0</v>
      </c>
    </row>
    <row r="23" spans="3:17" x14ac:dyDescent="0.35">
      <c r="D23" s="3" t="str">
        <f>'KPI 100'!D23</f>
        <v>Actual 2024/25</v>
      </c>
      <c r="E23" s="5">
        <f>Actuals2425!D35</f>
        <v>54389</v>
      </c>
      <c r="F23" s="5">
        <f>Actuals2425!E35</f>
        <v>64256</v>
      </c>
      <c r="G23" s="5">
        <f>Actuals2425!F35</f>
        <v>69964</v>
      </c>
      <c r="H23" s="5">
        <f>Actuals2425!G35</f>
        <v>71873</v>
      </c>
      <c r="I23" s="5">
        <f>Actuals2425!H35</f>
        <v>85219</v>
      </c>
      <c r="J23" s="5">
        <f>Actuals2425!I35</f>
        <v>47666</v>
      </c>
      <c r="K23" s="5">
        <f>Actuals2425!J35</f>
        <v>86546</v>
      </c>
      <c r="L23" s="5">
        <f>Actuals2425!K35</f>
        <v>74230</v>
      </c>
      <c r="M23" s="5">
        <f>Actuals2425!L35</f>
        <v>70750</v>
      </c>
      <c r="N23" s="5">
        <f>Actuals2425!M35</f>
        <v>55754</v>
      </c>
      <c r="O23" s="5">
        <f>Actuals2425!N35</f>
        <v>64762</v>
      </c>
      <c r="P23" s="5">
        <f>Actuals2425!O35</f>
        <v>68068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43">
        <f>SUM($E19:E19)</f>
        <v>74168.144793943808</v>
      </c>
      <c r="F26" s="43">
        <f>SUM($E19:F19)</f>
        <v>149267.39089828683</v>
      </c>
      <c r="G26" s="43">
        <f>SUM($E19:G19)</f>
        <v>225424.14103161296</v>
      </c>
      <c r="H26" s="43">
        <f>SUM($E19:H19)</f>
        <v>304863.54260716675</v>
      </c>
      <c r="I26" s="43">
        <f>SUM($E19:I19)</f>
        <v>387237.60065170727</v>
      </c>
      <c r="J26" s="43">
        <f>SUM($E19:J19)</f>
        <v>472378.64367822197</v>
      </c>
      <c r="K26" s="43">
        <f>SUM($E19:K19)</f>
        <v>559659.01397448371</v>
      </c>
      <c r="L26" s="43">
        <f>SUM($E19:L19)</f>
        <v>649012.4083186998</v>
      </c>
      <c r="M26" s="43">
        <f>SUM($E19:M19)</f>
        <v>740115.03188978625</v>
      </c>
      <c r="N26" s="43">
        <f>SUM($E19:N19)</f>
        <v>832346.53504858376</v>
      </c>
      <c r="O26" s="43">
        <f>SUM($E19:O19)</f>
        <v>925676.44922927825</v>
      </c>
      <c r="P26" s="43">
        <f>SUM($E19:P19)</f>
        <v>1020036.6081703355</v>
      </c>
    </row>
    <row r="27" spans="3:17" x14ac:dyDescent="0.35">
      <c r="D27" s="3" t="str">
        <f t="shared" ref="D27:D30" si="3">D20</f>
        <v>Actual 2025/26</v>
      </c>
      <c r="E27" s="43">
        <f>SUM($E20:E20)</f>
        <v>62827</v>
      </c>
      <c r="F27" s="43">
        <f>SUM($E20:F20)</f>
        <v>147838</v>
      </c>
      <c r="G27" s="43">
        <f>SUM($E20:G20)</f>
        <v>205091</v>
      </c>
      <c r="H27" s="43">
        <f>SUM($E20:H20)</f>
        <v>293000</v>
      </c>
      <c r="I27" s="43">
        <f>SUM($E20:I20)</f>
        <v>348459</v>
      </c>
      <c r="J27" s="43">
        <f>SUM($E20:J20)</f>
        <v>409470</v>
      </c>
      <c r="K27" s="43">
        <f>SUM($E20:K20)</f>
        <v>499051</v>
      </c>
      <c r="L27" s="43">
        <f>SUM($E20:L20)</f>
        <v>576686</v>
      </c>
      <c r="M27" s="43">
        <f>SUM($E20:M20)</f>
        <v>576686</v>
      </c>
      <c r="N27" s="43">
        <f>SUM($E20:N20)</f>
        <v>576686</v>
      </c>
      <c r="O27" s="43">
        <f>SUM($E20:O20)</f>
        <v>576686</v>
      </c>
      <c r="P27" s="43">
        <f>SUM($E20:P20)</f>
        <v>576686</v>
      </c>
    </row>
    <row r="28" spans="3:17" x14ac:dyDescent="0.35">
      <c r="D28" s="3" t="str">
        <f t="shared" si="3"/>
        <v>Difference</v>
      </c>
      <c r="E28" s="43">
        <f>IF(E27=0,0,E27-E26)</f>
        <v>-11341.144793943808</v>
      </c>
      <c r="F28" s="43">
        <f t="shared" ref="F28:P28" si="4">IF(F27=0,0,F27-F26)</f>
        <v>-1429.3908982868306</v>
      </c>
      <c r="G28" s="43">
        <f t="shared" si="4"/>
        <v>-20333.141031612962</v>
      </c>
      <c r="H28" s="43">
        <f t="shared" si="4"/>
        <v>-11863.542607166746</v>
      </c>
      <c r="I28" s="43">
        <f t="shared" si="4"/>
        <v>-38778.600651707267</v>
      </c>
      <c r="J28" s="43">
        <f t="shared" si="4"/>
        <v>-62908.643678221968</v>
      </c>
      <c r="K28" s="43">
        <f t="shared" si="4"/>
        <v>-60608.013974483707</v>
      </c>
      <c r="L28" s="43">
        <f t="shared" si="4"/>
        <v>-72326.408318699803</v>
      </c>
      <c r="M28" s="43">
        <f t="shared" si="4"/>
        <v>-163429.03188978625</v>
      </c>
      <c r="N28" s="43">
        <f t="shared" si="4"/>
        <v>-255660.53504858376</v>
      </c>
      <c r="O28" s="43">
        <f t="shared" si="4"/>
        <v>-348990.44922927825</v>
      </c>
      <c r="P28" s="43">
        <f t="shared" si="4"/>
        <v>-443350.60817033553</v>
      </c>
    </row>
    <row r="29" spans="3:17" x14ac:dyDescent="0.35">
      <c r="D29" s="3" t="str">
        <f t="shared" si="3"/>
        <v>% realisation</v>
      </c>
      <c r="E29" s="9">
        <f t="shared" ref="E29:P29" si="5">E27/E26</f>
        <v>0.84708873566337517</v>
      </c>
      <c r="F29" s="9">
        <f t="shared" si="5"/>
        <v>0.99042395737150091</v>
      </c>
      <c r="G29" s="9">
        <f t="shared" si="5"/>
        <v>0.90980051675671469</v>
      </c>
      <c r="H29" s="9">
        <f t="shared" si="5"/>
        <v>0.96108572869779463</v>
      </c>
      <c r="I29" s="9">
        <f t="shared" si="5"/>
        <v>0.89985838000637275</v>
      </c>
      <c r="J29" s="9">
        <f t="shared" si="5"/>
        <v>0.86682580908320128</v>
      </c>
      <c r="K29" s="9">
        <f t="shared" si="5"/>
        <v>0.89170546268151951</v>
      </c>
      <c r="L29" s="9">
        <f t="shared" si="5"/>
        <v>0.88855928270144313</v>
      </c>
      <c r="M29" s="9">
        <f t="shared" si="5"/>
        <v>0.77918428237771131</v>
      </c>
      <c r="N29" s="9">
        <f t="shared" si="5"/>
        <v>0.69284363629427381</v>
      </c>
      <c r="O29" s="9">
        <f t="shared" si="5"/>
        <v>0.62298873486535278</v>
      </c>
      <c r="P29" s="9">
        <f t="shared" si="5"/>
        <v>0.56535814046362087</v>
      </c>
    </row>
    <row r="30" spans="3:17" x14ac:dyDescent="0.35">
      <c r="D30" s="3" t="str">
        <f t="shared" si="3"/>
        <v>Actual 2024/25</v>
      </c>
      <c r="E30" s="43">
        <f>SUM($E23:E23)</f>
        <v>54389</v>
      </c>
      <c r="F30" s="43">
        <f>SUM($E23:F23)</f>
        <v>118645</v>
      </c>
      <c r="G30" s="43">
        <f>SUM($E23:G23)</f>
        <v>188609</v>
      </c>
      <c r="H30" s="43">
        <f>SUM($E23:H23)</f>
        <v>260482</v>
      </c>
      <c r="I30" s="43">
        <f>SUM($E23:I23)</f>
        <v>345701</v>
      </c>
      <c r="J30" s="43">
        <f>SUM($E23:J23)</f>
        <v>393367</v>
      </c>
      <c r="K30" s="43">
        <f>SUM($E23:K23)</f>
        <v>479913</v>
      </c>
      <c r="L30" s="43">
        <f>SUM($E23:L23)</f>
        <v>554143</v>
      </c>
      <c r="M30" s="43">
        <f>SUM($E23:M23)</f>
        <v>624893</v>
      </c>
      <c r="N30" s="43">
        <f>SUM($E23:N23)</f>
        <v>680647</v>
      </c>
      <c r="O30" s="43">
        <f>SUM($E23:O23)</f>
        <v>745409</v>
      </c>
      <c r="P30" s="43">
        <f>SUM($E23:P23)</f>
        <v>813477</v>
      </c>
    </row>
  </sheetData>
  <sheetProtection algorithmName="SHA-512" hashValue="wLhhPg1Yk5jDU5M99DGr8Oa7LlONXQKLdtpPSC7uNNxeXJVgkyj7cQsu9nENrWD3O73vRNUlinxWeN2fopYQ8w==" saltValue="IUb7kTPK5JsbEKLKMV64og==" spinCount="100000" sheet="1" objects="1" scenarios="1"/>
  <mergeCells count="3">
    <mergeCell ref="C1:F1"/>
    <mergeCell ref="J4:Q8"/>
    <mergeCell ref="J10:Q15"/>
  </mergeCells>
  <conditionalFormatting sqref="C3">
    <cfRule type="expression" dxfId="170" priority="2">
      <formula>S4&lt;S6</formula>
    </cfRule>
  </conditionalFormatting>
  <conditionalFormatting sqref="C4">
    <cfRule type="expression" dxfId="169" priority="1">
      <formula>AND(S4&gt;=S6,S4&lt;S5)</formula>
    </cfRule>
  </conditionalFormatting>
  <conditionalFormatting sqref="C5">
    <cfRule type="expression" dxfId="168" priority="3">
      <formula>S4&gt;=S5</formula>
    </cfRule>
  </conditionalFormatting>
  <hyperlinks>
    <hyperlink ref="L1" location="'Distribution Dashboard'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34593" r:id="rId4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57150</xdr:rowOff>
                  </from>
                  <to>
                    <xdr:col>9</xdr:col>
                    <xdr:colOff>628650</xdr:colOff>
                    <xdr:row>1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S30"/>
  <sheetViews>
    <sheetView zoomScale="90" zoomScaleNormal="90" zoomScalePageLayoutView="90" workbookViewId="0">
      <pane ySplit="2" topLeftCell="A11" activePane="bottomLeft" state="frozen"/>
      <selection activeCell="D26" sqref="D26:D30"/>
      <selection pane="bottomLeft" sqref="A1:XFD1048576"/>
    </sheetView>
  </sheetViews>
  <sheetFormatPr defaultColWidth="9.1796875" defaultRowHeight="14.5" x14ac:dyDescent="0.35"/>
  <cols>
    <col min="1" max="1" width="9.1796875" style="3"/>
    <col min="2" max="2" width="5.45312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 t="s">
        <v>102</v>
      </c>
      <c r="C1" s="124" t="s">
        <v>117</v>
      </c>
      <c r="D1" s="124"/>
      <c r="E1" s="124"/>
      <c r="F1" s="124"/>
      <c r="G1" s="3" t="s">
        <v>10</v>
      </c>
      <c r="I1" s="12" t="e">
        <f>INDEX(#REF!,Actual_month)</f>
        <v>#REF!</v>
      </c>
      <c r="L1" s="15" t="s">
        <v>21</v>
      </c>
      <c r="R1" s="5"/>
    </row>
    <row r="2" spans="1:19" x14ac:dyDescent="0.35">
      <c r="A2" s="3" t="s">
        <v>14</v>
      </c>
      <c r="C2" s="3" t="s">
        <v>15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/>
      <c r="K4" s="135"/>
      <c r="L4" s="135"/>
      <c r="M4" s="135"/>
      <c r="N4" s="135"/>
      <c r="O4" s="135"/>
      <c r="P4" s="135"/>
      <c r="Q4" s="136"/>
      <c r="R4" s="3" t="s">
        <v>25</v>
      </c>
      <c r="S4" s="43">
        <f>INDEX(E27:P27,Actual_month)</f>
        <v>176353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43">
        <f>INDEX(E26:P26,Actual_month)</f>
        <v>241151.52050054018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0.9</v>
      </c>
      <c r="S6" s="43">
        <f>+S5*R6</f>
        <v>217036.36845048616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43">
        <f>Budget2526!D41</f>
        <v>28805.518725913207</v>
      </c>
      <c r="F19" s="43">
        <f>Budget2526!E41</f>
        <v>29221.45184642047</v>
      </c>
      <c r="G19" s="43">
        <f>Budget2526!F41</f>
        <v>29607.384966927733</v>
      </c>
      <c r="H19" s="43">
        <f>Budget2526!G41</f>
        <v>29963.318087435</v>
      </c>
      <c r="I19" s="43">
        <f>Budget2526!H41</f>
        <v>30319.251207942259</v>
      </c>
      <c r="J19" s="43">
        <f>Budget2526!I41</f>
        <v>30645.184328449523</v>
      </c>
      <c r="K19" s="43">
        <f>Budget2526!J41</f>
        <v>31118.149975071403</v>
      </c>
      <c r="L19" s="43">
        <f>Budget2526!K41</f>
        <v>31471.261362380574</v>
      </c>
      <c r="M19" s="43">
        <f>Budget2526!L41</f>
        <v>31824.372749689741</v>
      </c>
      <c r="N19" s="43">
        <f>Budget2526!M41</f>
        <v>32132.557007342555</v>
      </c>
      <c r="O19" s="43">
        <f>Budget2526!N41</f>
        <v>32440.741264995373</v>
      </c>
      <c r="P19" s="43">
        <f>Budget2526!O41</f>
        <v>32748.925522648187</v>
      </c>
      <c r="Q19" s="5"/>
    </row>
    <row r="20" spans="3:17" x14ac:dyDescent="0.35">
      <c r="D20" s="3" t="str">
        <f>'KPI 100'!D20</f>
        <v>Actual 2025/26</v>
      </c>
      <c r="E20" s="43">
        <f>Actual2223!D32</f>
        <v>23761</v>
      </c>
      <c r="F20" s="43">
        <f>Actual2223!E32</f>
        <v>27125</v>
      </c>
      <c r="G20" s="43">
        <f>Actual2223!F32</f>
        <v>16098</v>
      </c>
      <c r="H20" s="43">
        <f>Actual2223!G32</f>
        <v>19707</v>
      </c>
      <c r="I20" s="43">
        <f>Actual2223!H32</f>
        <v>21640</v>
      </c>
      <c r="J20" s="43">
        <f>Actual2223!I32</f>
        <v>20144</v>
      </c>
      <c r="K20" s="43">
        <f>Actual2223!J32</f>
        <v>22923</v>
      </c>
      <c r="L20" s="43">
        <f>Actual2223!K32</f>
        <v>24955</v>
      </c>
      <c r="M20" s="43">
        <f>Actual2223!L32</f>
        <v>28920</v>
      </c>
      <c r="N20" s="43">
        <f>Actual2223!M32</f>
        <v>24631</v>
      </c>
      <c r="O20" s="43">
        <f>Actual2223!N32</f>
        <v>22558</v>
      </c>
      <c r="P20" s="43">
        <f>Actual2223!O32</f>
        <v>22371</v>
      </c>
      <c r="Q20" s="5"/>
    </row>
    <row r="21" spans="3:17" x14ac:dyDescent="0.35">
      <c r="D21" s="3" t="str">
        <f>'KPI 100'!D21</f>
        <v>Difference</v>
      </c>
      <c r="E21" s="43">
        <f>IF(E20=0,0,E20-E19)</f>
        <v>-5044.5187259132072</v>
      </c>
      <c r="F21" s="43">
        <f t="shared" ref="F21:P21" si="0">IF(F20=0,0,F20-F19)</f>
        <v>-2096.4518464204702</v>
      </c>
      <c r="G21" s="43">
        <f t="shared" si="0"/>
        <v>-13509.384966927733</v>
      </c>
      <c r="H21" s="43">
        <f t="shared" si="0"/>
        <v>-10256.318087435</v>
      </c>
      <c r="I21" s="43">
        <f t="shared" si="0"/>
        <v>-8679.2512079422595</v>
      </c>
      <c r="J21" s="43">
        <f t="shared" si="0"/>
        <v>-10501.184328449523</v>
      </c>
      <c r="K21" s="43">
        <f t="shared" si="0"/>
        <v>-8195.1499750714029</v>
      </c>
      <c r="L21" s="43">
        <f t="shared" si="0"/>
        <v>-6516.2613623805737</v>
      </c>
      <c r="M21" s="43">
        <f t="shared" si="0"/>
        <v>-2904.3727496897409</v>
      </c>
      <c r="N21" s="43">
        <f t="shared" si="0"/>
        <v>-7501.5570073425552</v>
      </c>
      <c r="O21" s="43">
        <f t="shared" si="0"/>
        <v>-9882.7412649953731</v>
      </c>
      <c r="P21" s="43">
        <f t="shared" si="0"/>
        <v>-10377.925522648187</v>
      </c>
      <c r="Q21" s="5"/>
    </row>
    <row r="22" spans="3:17" x14ac:dyDescent="0.35">
      <c r="D22" s="3" t="str">
        <f>'KPI 100'!D22</f>
        <v>% realisation</v>
      </c>
      <c r="E22" s="9">
        <f>E20/E19</f>
        <v>0.82487665735471727</v>
      </c>
      <c r="F22" s="9">
        <f t="shared" ref="F22:P22" si="1">F20/F19</f>
        <v>0.92825641048094332</v>
      </c>
      <c r="G22" s="9">
        <f t="shared" si="1"/>
        <v>0.54371569856581092</v>
      </c>
      <c r="H22" s="9">
        <f t="shared" si="1"/>
        <v>0.65770419492572996</v>
      </c>
      <c r="I22" s="9">
        <f t="shared" si="1"/>
        <v>0.71373794331475138</v>
      </c>
      <c r="J22" s="9">
        <f t="shared" si="1"/>
        <v>0.65733003215449004</v>
      </c>
      <c r="K22" s="9">
        <f t="shared" si="1"/>
        <v>0.73664404915984727</v>
      </c>
      <c r="L22" s="9">
        <f t="shared" si="1"/>
        <v>0.79294565644039172</v>
      </c>
      <c r="M22" s="9">
        <f t="shared" si="1"/>
        <v>0.90873747072617306</v>
      </c>
      <c r="N22" s="9">
        <f t="shared" si="1"/>
        <v>0.76654341558848282</v>
      </c>
      <c r="O22" s="9">
        <f t="shared" si="1"/>
        <v>0.69536018969889646</v>
      </c>
      <c r="P22" s="9">
        <f t="shared" si="1"/>
        <v>0.68310638114001265</v>
      </c>
    </row>
    <row r="23" spans="3:17" x14ac:dyDescent="0.35">
      <c r="D23" s="3" t="str">
        <f>'KPI 100'!D23</f>
        <v>Actual 2024/25</v>
      </c>
      <c r="E23" s="5">
        <f>Actual2122!D27</f>
        <v>60526</v>
      </c>
      <c r="F23" s="5">
        <f>Actual2122!E27</f>
        <v>64803</v>
      </c>
      <c r="G23" s="5">
        <f>Actual2122!F27</f>
        <v>62145</v>
      </c>
      <c r="H23" s="5">
        <f>Actual2122!G27</f>
        <v>66353</v>
      </c>
      <c r="I23" s="5">
        <f>Actual2122!H27</f>
        <v>61996</v>
      </c>
      <c r="J23" s="5">
        <f>Actual2122!I27</f>
        <v>60749</v>
      </c>
      <c r="K23" s="5">
        <f>Actual2122!J27</f>
        <v>72641</v>
      </c>
      <c r="L23" s="5">
        <f>Actual2122!K27</f>
        <v>66979</v>
      </c>
      <c r="M23" s="5">
        <f>Actual2122!L27</f>
        <v>61365</v>
      </c>
      <c r="N23" s="5">
        <f>Actual2122!M27</f>
        <v>80572</v>
      </c>
      <c r="O23" s="5">
        <f>Actual2122!N27</f>
        <v>60436</v>
      </c>
      <c r="P23" s="5">
        <f>Actual2122!O27</f>
        <v>62305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43">
        <f>SUM($E19:E19)</f>
        <v>28805.518725913207</v>
      </c>
      <c r="F26" s="43">
        <f>SUM($E19:F19)</f>
        <v>58026.970572333681</v>
      </c>
      <c r="G26" s="43">
        <f>SUM($E19:G19)</f>
        <v>87634.355539261422</v>
      </c>
      <c r="H26" s="43">
        <f>SUM($E19:H19)</f>
        <v>117597.67362669643</v>
      </c>
      <c r="I26" s="43">
        <f>SUM($E19:I19)</f>
        <v>147916.92483463869</v>
      </c>
      <c r="J26" s="43">
        <f>SUM($E19:J19)</f>
        <v>178562.1091630882</v>
      </c>
      <c r="K26" s="43">
        <f>SUM($E19:K19)</f>
        <v>209680.2591381596</v>
      </c>
      <c r="L26" s="43">
        <f>SUM($E19:L19)</f>
        <v>241151.52050054018</v>
      </c>
      <c r="M26" s="43">
        <f>SUM($E19:M19)</f>
        <v>272975.89325022994</v>
      </c>
      <c r="N26" s="43">
        <f>SUM($E19:N19)</f>
        <v>305108.45025757252</v>
      </c>
      <c r="O26" s="43">
        <f>SUM($E19:O19)</f>
        <v>337549.19152256788</v>
      </c>
      <c r="P26" s="43">
        <f>SUM($E19:P19)</f>
        <v>370298.11704521609</v>
      </c>
    </row>
    <row r="27" spans="3:17" x14ac:dyDescent="0.35">
      <c r="D27" s="3" t="str">
        <f t="shared" ref="D27:D30" si="3">D20</f>
        <v>Actual 2025/26</v>
      </c>
      <c r="E27" s="43">
        <f>SUM($E20:E20)</f>
        <v>23761</v>
      </c>
      <c r="F27" s="43">
        <f>SUM($E20:F20)</f>
        <v>50886</v>
      </c>
      <c r="G27" s="43">
        <f>SUM($E20:G20)</f>
        <v>66984</v>
      </c>
      <c r="H27" s="43">
        <f>SUM($E20:H20)</f>
        <v>86691</v>
      </c>
      <c r="I27" s="43">
        <f>SUM($E20:I20)</f>
        <v>108331</v>
      </c>
      <c r="J27" s="43">
        <f>SUM($E20:J20)</f>
        <v>128475</v>
      </c>
      <c r="K27" s="43">
        <f>SUM($E20:K20)</f>
        <v>151398</v>
      </c>
      <c r="L27" s="43">
        <f>SUM($E20:L20)</f>
        <v>176353</v>
      </c>
      <c r="M27" s="43">
        <f>SUM($E20:M20)</f>
        <v>205273</v>
      </c>
      <c r="N27" s="43">
        <f>SUM($E20:N20)</f>
        <v>229904</v>
      </c>
      <c r="O27" s="43">
        <f>SUM($E20:O20)</f>
        <v>252462</v>
      </c>
      <c r="P27" s="43">
        <f>SUM($E20:P20)</f>
        <v>274833</v>
      </c>
    </row>
    <row r="28" spans="3:17" x14ac:dyDescent="0.35">
      <c r="D28" s="3" t="str">
        <f t="shared" si="3"/>
        <v>Difference</v>
      </c>
      <c r="E28" s="43">
        <f>IF(E27=0,0,E27-E26)</f>
        <v>-5044.5187259132072</v>
      </c>
      <c r="F28" s="43">
        <f t="shared" ref="F28:P28" si="4">IF(F27=0,0,F27-F26)</f>
        <v>-7140.970572333681</v>
      </c>
      <c r="G28" s="43">
        <f t="shared" si="4"/>
        <v>-20650.355539261422</v>
      </c>
      <c r="H28" s="43">
        <f t="shared" si="4"/>
        <v>-30906.673626696429</v>
      </c>
      <c r="I28" s="43">
        <f t="shared" si="4"/>
        <v>-39585.924834638688</v>
      </c>
      <c r="J28" s="43">
        <f t="shared" si="4"/>
        <v>-50087.1091630882</v>
      </c>
      <c r="K28" s="43">
        <f t="shared" si="4"/>
        <v>-58282.259138159599</v>
      </c>
      <c r="L28" s="43">
        <f t="shared" si="4"/>
        <v>-64798.52050054018</v>
      </c>
      <c r="M28" s="43">
        <f t="shared" si="4"/>
        <v>-67702.893250229943</v>
      </c>
      <c r="N28" s="43">
        <f t="shared" si="4"/>
        <v>-75204.45025757252</v>
      </c>
      <c r="O28" s="43">
        <f t="shared" si="4"/>
        <v>-85087.191522567882</v>
      </c>
      <c r="P28" s="43">
        <f t="shared" si="4"/>
        <v>-95465.117045216088</v>
      </c>
    </row>
    <row r="29" spans="3:17" x14ac:dyDescent="0.35">
      <c r="D29" s="3" t="str">
        <f t="shared" si="3"/>
        <v>% realisation</v>
      </c>
      <c r="E29" s="9">
        <f t="shared" ref="E29:P29" si="5">E27/E26</f>
        <v>0.82487665735471727</v>
      </c>
      <c r="F29" s="9">
        <f t="shared" si="5"/>
        <v>0.87693704320765664</v>
      </c>
      <c r="G29" s="9">
        <f t="shared" si="5"/>
        <v>0.76435776343434425</v>
      </c>
      <c r="H29" s="9">
        <f t="shared" si="5"/>
        <v>0.73718295036339776</v>
      </c>
      <c r="I29" s="9">
        <f t="shared" si="5"/>
        <v>0.73237731328654154</v>
      </c>
      <c r="J29" s="9">
        <f t="shared" si="5"/>
        <v>0.71949754963220358</v>
      </c>
      <c r="K29" s="9">
        <f t="shared" si="5"/>
        <v>0.72204222096197879</v>
      </c>
      <c r="L29" s="9">
        <f t="shared" si="5"/>
        <v>0.73129540976543406</v>
      </c>
      <c r="M29" s="9">
        <f t="shared" si="5"/>
        <v>0.75198215328058859</v>
      </c>
      <c r="N29" s="9">
        <f t="shared" si="5"/>
        <v>0.75351567551116683</v>
      </c>
      <c r="O29" s="9">
        <f t="shared" si="5"/>
        <v>0.74792654327279251</v>
      </c>
      <c r="P29" s="9">
        <f t="shared" si="5"/>
        <v>0.74219389013647319</v>
      </c>
    </row>
    <row r="30" spans="3:17" x14ac:dyDescent="0.35">
      <c r="D30" s="3" t="str">
        <f t="shared" si="3"/>
        <v>Actual 2024/25</v>
      </c>
      <c r="E30" s="43">
        <f>SUM($E23:E23)</f>
        <v>60526</v>
      </c>
      <c r="F30" s="43">
        <f>SUM($E23:F23)</f>
        <v>125329</v>
      </c>
      <c r="G30" s="43">
        <f>SUM($E23:G23)</f>
        <v>187474</v>
      </c>
      <c r="H30" s="43">
        <f>SUM($E23:H23)</f>
        <v>253827</v>
      </c>
      <c r="I30" s="43">
        <f>SUM($E23:I23)</f>
        <v>315823</v>
      </c>
      <c r="J30" s="43">
        <f>SUM($E23:J23)</f>
        <v>376572</v>
      </c>
      <c r="K30" s="43">
        <f>SUM($E23:K23)</f>
        <v>449213</v>
      </c>
      <c r="L30" s="43">
        <f>SUM($E23:L23)</f>
        <v>516192</v>
      </c>
      <c r="M30" s="43">
        <f>SUM($E23:M23)</f>
        <v>577557</v>
      </c>
      <c r="N30" s="43">
        <f>SUM($E23:N23)</f>
        <v>658129</v>
      </c>
      <c r="O30" s="43">
        <f>SUM($E23:O23)</f>
        <v>718565</v>
      </c>
      <c r="P30" s="43">
        <f>SUM($E23:P23)</f>
        <v>780870</v>
      </c>
    </row>
  </sheetData>
  <sheetProtection algorithmName="SHA-512" hashValue="k+o3dmJtbgHqfnu94pD5ydZI1mlekN4AIAA7us96YqJDVaoqxI1n6uXdlBGam7wTPWGdkVOBUohHAkWJ4G4/rw==" saltValue="5l5SLydhfcF8Ys1DWQHWCQ==" spinCount="100000" sheet="1" objects="1" scenarios="1"/>
  <mergeCells count="3">
    <mergeCell ref="C1:F1"/>
    <mergeCell ref="J4:Q8"/>
    <mergeCell ref="J10:Q15"/>
  </mergeCells>
  <conditionalFormatting sqref="C3">
    <cfRule type="expression" dxfId="167" priority="2">
      <formula>S4&lt;S6</formula>
    </cfRule>
  </conditionalFormatting>
  <conditionalFormatting sqref="C4">
    <cfRule type="expression" dxfId="166" priority="1">
      <formula>AND(S4&gt;=S6,S4&lt;S5)</formula>
    </cfRule>
  </conditionalFormatting>
  <conditionalFormatting sqref="C5">
    <cfRule type="expression" dxfId="165" priority="3">
      <formula>S4&gt;=S5</formula>
    </cfRule>
  </conditionalFormatting>
  <hyperlinks>
    <hyperlink ref="L1" location="'Distribution Dashboard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79681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57150</xdr:rowOff>
                  </from>
                  <to>
                    <xdr:col>9</xdr:col>
                    <xdr:colOff>628650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S30"/>
  <sheetViews>
    <sheetView zoomScale="90" zoomScaleNormal="90" zoomScalePageLayoutView="90" workbookViewId="0">
      <pane ySplit="2" topLeftCell="A5" activePane="bottomLeft" state="frozen"/>
      <selection activeCell="D26" sqref="D26:D30"/>
      <selection pane="bottomLeft" activeCell="L1" sqref="L1"/>
    </sheetView>
  </sheetViews>
  <sheetFormatPr defaultColWidth="9.1796875" defaultRowHeight="14.5" x14ac:dyDescent="0.35"/>
  <cols>
    <col min="1" max="1" width="9.1796875" style="3"/>
    <col min="2" max="2" width="5.45312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 t="s">
        <v>102</v>
      </c>
      <c r="C1" s="124" t="s">
        <v>165</v>
      </c>
      <c r="D1" s="124"/>
      <c r="E1" s="124"/>
      <c r="F1" s="124"/>
      <c r="G1" s="3" t="s">
        <v>10</v>
      </c>
      <c r="I1" s="12" t="e">
        <f>INDEX(#REF!,Actual_month)</f>
        <v>#REF!</v>
      </c>
      <c r="L1" s="15" t="s">
        <v>21</v>
      </c>
      <c r="R1" s="5"/>
    </row>
    <row r="2" spans="1:19" x14ac:dyDescent="0.35">
      <c r="A2" s="3" t="s">
        <v>14</v>
      </c>
      <c r="C2" s="3" t="s">
        <v>15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/>
      <c r="K4" s="135"/>
      <c r="L4" s="135"/>
      <c r="M4" s="135"/>
      <c r="N4" s="135"/>
      <c r="O4" s="135"/>
      <c r="P4" s="135"/>
      <c r="Q4" s="136"/>
      <c r="R4" s="3" t="s">
        <v>25</v>
      </c>
      <c r="S4" s="43">
        <f>INDEX(E27:P27,Actual_month)</f>
        <v>395248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43">
        <f>INDEX(E26:P26,Actual_month)</f>
        <v>452009.09535415098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0.9</v>
      </c>
      <c r="S6" s="43">
        <f>+S5*R6</f>
        <v>406808.18581873592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43">
        <f>Budget2526!D36</f>
        <v>49682.108177409253</v>
      </c>
      <c r="F19" s="43">
        <f>Budget2526!E36</f>
        <v>50812.796230669344</v>
      </c>
      <c r="G19" s="43">
        <f>Budget2526!F36</f>
        <v>52082.38550559312</v>
      </c>
      <c r="H19" s="43">
        <f>Budget2526!G36</f>
        <v>54905.225469103534</v>
      </c>
      <c r="I19" s="43">
        <f>Budget2526!H36</f>
        <v>57524.584419955732</v>
      </c>
      <c r="J19" s="43">
        <f>Budget2526!I36</f>
        <v>60103.49863887432</v>
      </c>
      <c r="K19" s="43">
        <f>Budget2526!J36</f>
        <v>62333.998517139975</v>
      </c>
      <c r="L19" s="43">
        <f>Budget2526!K36</f>
        <v>64564.49839540563</v>
      </c>
      <c r="M19" s="43">
        <f>Budget2526!L36</f>
        <v>66605.098580406629</v>
      </c>
      <c r="N19" s="43">
        <f>Budget2526!M36</f>
        <v>68256.8396928211</v>
      </c>
      <c r="O19" s="43">
        <f>Budget2526!N36</f>
        <v>69908.580805235557</v>
      </c>
      <c r="P19" s="43">
        <f>Budget2526!O36</f>
        <v>71530.4309253838</v>
      </c>
      <c r="Q19" s="5"/>
    </row>
    <row r="20" spans="3:17" x14ac:dyDescent="0.35">
      <c r="D20" s="3" t="str">
        <f>'KPI 100'!D20</f>
        <v>Actual 2025/26</v>
      </c>
      <c r="E20" s="43">
        <f>Actuals2526!D36</f>
        <v>42506</v>
      </c>
      <c r="F20" s="43">
        <f>Actuals2526!E36</f>
        <v>58310</v>
      </c>
      <c r="G20" s="43">
        <f>Actuals2526!F36</f>
        <v>40155</v>
      </c>
      <c r="H20" s="43">
        <f>Actuals2526!G36</f>
        <v>56034</v>
      </c>
      <c r="I20" s="43">
        <f>Actuals2526!H36</f>
        <v>38221</v>
      </c>
      <c r="J20" s="43">
        <f>Actuals2526!I36</f>
        <v>41581</v>
      </c>
      <c r="K20" s="43">
        <f>Actuals2526!J36</f>
        <v>63419</v>
      </c>
      <c r="L20" s="43">
        <f>Actuals2526!K36</f>
        <v>55022</v>
      </c>
      <c r="M20" s="43">
        <f>Actuals2526!L36</f>
        <v>0</v>
      </c>
      <c r="N20" s="43">
        <f>Actuals2526!M36</f>
        <v>0</v>
      </c>
      <c r="O20" s="43">
        <f>Actuals2526!N36</f>
        <v>0</v>
      </c>
      <c r="P20" s="43">
        <f>Actuals2526!O36</f>
        <v>0</v>
      </c>
      <c r="Q20" s="5"/>
    </row>
    <row r="21" spans="3:17" x14ac:dyDescent="0.35">
      <c r="D21" s="3" t="str">
        <f>'KPI 100'!D21</f>
        <v>Difference</v>
      </c>
      <c r="E21" s="43">
        <f t="shared" ref="E21:P21" si="0">IF(E20=0,0,E20-E19)</f>
        <v>-7176.1081774092527</v>
      </c>
      <c r="F21" s="43">
        <f t="shared" si="0"/>
        <v>7497.2037693306556</v>
      </c>
      <c r="G21" s="43">
        <f t="shared" si="0"/>
        <v>-11927.38550559312</v>
      </c>
      <c r="H21" s="43">
        <f t="shared" si="0"/>
        <v>1128.7745308964659</v>
      </c>
      <c r="I21" s="43">
        <f t="shared" si="0"/>
        <v>-19303.584419955732</v>
      </c>
      <c r="J21" s="43">
        <f t="shared" si="0"/>
        <v>-18522.49863887432</v>
      </c>
      <c r="K21" s="43">
        <f t="shared" si="0"/>
        <v>1085.0014828600251</v>
      </c>
      <c r="L21" s="43">
        <f t="shared" si="0"/>
        <v>-9542.4983954056297</v>
      </c>
      <c r="M21" s="43">
        <f t="shared" si="0"/>
        <v>0</v>
      </c>
      <c r="N21" s="43">
        <f t="shared" si="0"/>
        <v>0</v>
      </c>
      <c r="O21" s="43">
        <f t="shared" si="0"/>
        <v>0</v>
      </c>
      <c r="P21" s="43">
        <f t="shared" si="0"/>
        <v>0</v>
      </c>
      <c r="Q21" s="5"/>
    </row>
    <row r="22" spans="3:17" x14ac:dyDescent="0.35">
      <c r="D22" s="3" t="str">
        <f>'KPI 100'!D22</f>
        <v>% realisation</v>
      </c>
      <c r="E22" s="43">
        <f>Actual2223!D29</f>
        <v>0.26104154533100371</v>
      </c>
      <c r="F22" s="9">
        <f t="shared" ref="F22:P22" si="1">F20/F19</f>
        <v>1.1475455854721399</v>
      </c>
      <c r="G22" s="9">
        <f t="shared" si="1"/>
        <v>0.77099003070217975</v>
      </c>
      <c r="H22" s="9">
        <f t="shared" si="1"/>
        <v>1.0205585993182316</v>
      </c>
      <c r="I22" s="9">
        <f t="shared" si="1"/>
        <v>0.66442896346663283</v>
      </c>
      <c r="J22" s="9">
        <f t="shared" si="1"/>
        <v>0.69182328719057029</v>
      </c>
      <c r="K22" s="9">
        <f t="shared" si="1"/>
        <v>1.0174062551524219</v>
      </c>
      <c r="L22" s="9">
        <f t="shared" si="1"/>
        <v>0.85220208268380715</v>
      </c>
      <c r="M22" s="9">
        <f t="shared" si="1"/>
        <v>0</v>
      </c>
      <c r="N22" s="9">
        <f t="shared" si="1"/>
        <v>0</v>
      </c>
      <c r="O22" s="9">
        <f t="shared" si="1"/>
        <v>0</v>
      </c>
      <c r="P22" s="9">
        <f t="shared" si="1"/>
        <v>0</v>
      </c>
    </row>
    <row r="23" spans="3:17" x14ac:dyDescent="0.35">
      <c r="D23" s="3" t="str">
        <f>'KPI 100'!D23</f>
        <v>Actual 2024/25</v>
      </c>
      <c r="E23" s="43">
        <f>Actuals2425!D36</f>
        <v>41618</v>
      </c>
      <c r="F23" s="43">
        <f>Actuals2425!E36</f>
        <v>45120</v>
      </c>
      <c r="G23" s="43">
        <f>Actuals2425!F36</f>
        <v>50207</v>
      </c>
      <c r="H23" s="43">
        <f>Actuals2425!G36</f>
        <v>47973</v>
      </c>
      <c r="I23" s="43">
        <f>Actuals2425!H36</f>
        <v>60240</v>
      </c>
      <c r="J23" s="43">
        <f>Actuals2425!I36</f>
        <v>33336</v>
      </c>
      <c r="K23" s="43">
        <f>Actuals2425!J36</f>
        <v>53103</v>
      </c>
      <c r="L23" s="43">
        <f>Actuals2425!K36</f>
        <v>49874</v>
      </c>
      <c r="M23" s="43">
        <f>Actuals2425!L36</f>
        <v>52781</v>
      </c>
      <c r="N23" s="43">
        <f>Actuals2425!M36</f>
        <v>37599</v>
      </c>
      <c r="O23" s="43">
        <f>Actuals2425!N36</f>
        <v>42659</v>
      </c>
      <c r="P23" s="43">
        <f>Actuals2425!O36</f>
        <v>48039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43">
        <f>SUM($E19:E19)</f>
        <v>49682.108177409253</v>
      </c>
      <c r="F26" s="43">
        <f>SUM($E19:F19)</f>
        <v>100494.9044080786</v>
      </c>
      <c r="G26" s="43">
        <f>SUM($E19:G19)</f>
        <v>152577.28991367173</v>
      </c>
      <c r="H26" s="43">
        <f>SUM($E19:H19)</f>
        <v>207482.51538277528</v>
      </c>
      <c r="I26" s="43">
        <f>SUM($E19:I19)</f>
        <v>265007.09980273101</v>
      </c>
      <c r="J26" s="43">
        <f>SUM($E19:J19)</f>
        <v>325110.59844160534</v>
      </c>
      <c r="K26" s="43">
        <f>SUM($E19:K19)</f>
        <v>387444.59695874533</v>
      </c>
      <c r="L26" s="43">
        <f>SUM($E19:L19)</f>
        <v>452009.09535415098</v>
      </c>
      <c r="M26" s="43">
        <f>SUM($E19:M19)</f>
        <v>518614.19393455761</v>
      </c>
      <c r="N26" s="43">
        <f>SUM($E19:N19)</f>
        <v>586871.03362737875</v>
      </c>
      <c r="O26" s="43">
        <f>SUM($E19:O19)</f>
        <v>656779.6144326143</v>
      </c>
      <c r="P26" s="43">
        <f>SUM($E19:P19)</f>
        <v>728310.04535799811</v>
      </c>
    </row>
    <row r="27" spans="3:17" x14ac:dyDescent="0.35">
      <c r="D27" s="3" t="str">
        <f t="shared" ref="D27:D30" si="3">D20</f>
        <v>Actual 2025/26</v>
      </c>
      <c r="E27" s="43">
        <f>SUM($E20:E20)</f>
        <v>42506</v>
      </c>
      <c r="F27" s="43">
        <f>SUM($E20:F20)</f>
        <v>100816</v>
      </c>
      <c r="G27" s="43">
        <f>SUM($E20:G20)</f>
        <v>140971</v>
      </c>
      <c r="H27" s="43">
        <f>SUM($E20:H20)</f>
        <v>197005</v>
      </c>
      <c r="I27" s="43">
        <f>SUM($E20:I20)</f>
        <v>235226</v>
      </c>
      <c r="J27" s="43">
        <f>SUM($E20:J20)</f>
        <v>276807</v>
      </c>
      <c r="K27" s="43">
        <f>SUM($E20:K20)</f>
        <v>340226</v>
      </c>
      <c r="L27" s="43">
        <f>SUM($E20:L20)</f>
        <v>395248</v>
      </c>
      <c r="M27" s="43">
        <f>SUM($E20:M20)</f>
        <v>395248</v>
      </c>
      <c r="N27" s="43">
        <f>SUM($E20:N20)</f>
        <v>395248</v>
      </c>
      <c r="O27" s="43">
        <f>SUM($E20:O20)</f>
        <v>395248</v>
      </c>
      <c r="P27" s="43">
        <f>SUM($E20:P20)</f>
        <v>395248</v>
      </c>
    </row>
    <row r="28" spans="3:17" x14ac:dyDescent="0.35">
      <c r="D28" s="3" t="str">
        <f t="shared" si="3"/>
        <v>Difference</v>
      </c>
      <c r="E28" s="43">
        <f>IF(E27=0,0,E27-E26)</f>
        <v>-7176.1081774092527</v>
      </c>
      <c r="F28" s="43">
        <f t="shared" ref="F28:P28" si="4">IF(F27=0,0,F27-F26)</f>
        <v>321.09559192140296</v>
      </c>
      <c r="G28" s="43">
        <f t="shared" si="4"/>
        <v>-11606.289913671731</v>
      </c>
      <c r="H28" s="43">
        <f t="shared" si="4"/>
        <v>-10477.51538277528</v>
      </c>
      <c r="I28" s="43">
        <f t="shared" si="4"/>
        <v>-29781.099802731012</v>
      </c>
      <c r="J28" s="43">
        <f t="shared" si="4"/>
        <v>-48303.59844160534</v>
      </c>
      <c r="K28" s="43">
        <f t="shared" si="4"/>
        <v>-47218.596958745329</v>
      </c>
      <c r="L28" s="43">
        <f t="shared" si="4"/>
        <v>-56761.095354150981</v>
      </c>
      <c r="M28" s="43">
        <f t="shared" si="4"/>
        <v>-123366.19393455761</v>
      </c>
      <c r="N28" s="43">
        <f t="shared" si="4"/>
        <v>-191623.03362737875</v>
      </c>
      <c r="O28" s="43">
        <f t="shared" si="4"/>
        <v>-261531.6144326143</v>
      </c>
      <c r="P28" s="43">
        <f t="shared" si="4"/>
        <v>-333062.04535799811</v>
      </c>
    </row>
    <row r="29" spans="3:17" x14ac:dyDescent="0.35">
      <c r="D29" s="3" t="str">
        <f t="shared" si="3"/>
        <v>% realisation</v>
      </c>
      <c r="E29" s="9">
        <f t="shared" ref="E29:P29" si="5">E27/E26</f>
        <v>0.85555950742299069</v>
      </c>
      <c r="F29" s="9">
        <f t="shared" si="5"/>
        <v>1.0031951430155854</v>
      </c>
      <c r="G29" s="9">
        <f t="shared" si="5"/>
        <v>0.92393173374465776</v>
      </c>
      <c r="H29" s="9">
        <f t="shared" si="5"/>
        <v>0.94950169481295432</v>
      </c>
      <c r="I29" s="9">
        <f t="shared" si="5"/>
        <v>0.88762150212239666</v>
      </c>
      <c r="J29" s="9">
        <f t="shared" si="5"/>
        <v>0.85142410406444691</v>
      </c>
      <c r="K29" s="9">
        <f t="shared" si="5"/>
        <v>0.87812813153315672</v>
      </c>
      <c r="L29" s="9">
        <f t="shared" si="5"/>
        <v>0.87442488229207327</v>
      </c>
      <c r="M29" s="9">
        <f t="shared" si="5"/>
        <v>0.76212337537733332</v>
      </c>
      <c r="N29" s="9">
        <f t="shared" si="5"/>
        <v>0.67348357194769015</v>
      </c>
      <c r="O29" s="9">
        <f t="shared" si="5"/>
        <v>0.60179699752321181</v>
      </c>
      <c r="P29" s="9">
        <f t="shared" si="5"/>
        <v>0.54269195175760254</v>
      </c>
    </row>
    <row r="30" spans="3:17" x14ac:dyDescent="0.35">
      <c r="D30" s="3" t="str">
        <f t="shared" si="3"/>
        <v>Actual 2024/25</v>
      </c>
      <c r="E30" s="43">
        <f>SUM($E23:E23)</f>
        <v>41618</v>
      </c>
      <c r="F30" s="43">
        <f>SUM($E23:F23)</f>
        <v>86738</v>
      </c>
      <c r="G30" s="43">
        <f>SUM($E23:G23)</f>
        <v>136945</v>
      </c>
      <c r="H30" s="43">
        <f>SUM($E23:H23)</f>
        <v>184918</v>
      </c>
      <c r="I30" s="43">
        <f>SUM($E23:I23)</f>
        <v>245158</v>
      </c>
      <c r="J30" s="43">
        <f>SUM($E23:J23)</f>
        <v>278494</v>
      </c>
      <c r="K30" s="43">
        <f>SUM($E23:K23)</f>
        <v>331597</v>
      </c>
      <c r="L30" s="43">
        <f>SUM($E23:L23)</f>
        <v>381471</v>
      </c>
      <c r="M30" s="43">
        <f>SUM($E23:M23)</f>
        <v>434252</v>
      </c>
      <c r="N30" s="43">
        <f>SUM($E23:N23)</f>
        <v>471851</v>
      </c>
      <c r="O30" s="43">
        <f>SUM($E23:O23)</f>
        <v>514510</v>
      </c>
      <c r="P30" s="43">
        <f>SUM($E23:P23)</f>
        <v>562549</v>
      </c>
    </row>
  </sheetData>
  <sheetProtection algorithmName="SHA-512" hashValue="k3z7nSZzl3YRzaCU+hdTB78CN42RBEXUnjr2gGp/3WFwM4wCgSL+i8uMhyZMqZ5oXTrxgtY7W3lhH1iQl9a5jw==" saltValue="IWau4Nym+OV/NSUUbUdctA==" spinCount="100000" sheet="1" objects="1" scenarios="1"/>
  <mergeCells count="3">
    <mergeCell ref="C1:F1"/>
    <mergeCell ref="J4:Q8"/>
    <mergeCell ref="J10:Q15"/>
  </mergeCells>
  <conditionalFormatting sqref="C3">
    <cfRule type="expression" dxfId="164" priority="2">
      <formula>S4&lt;S6</formula>
    </cfRule>
  </conditionalFormatting>
  <conditionalFormatting sqref="C4">
    <cfRule type="expression" dxfId="163" priority="1">
      <formula>AND(S4&gt;=S6,S4&lt;S5)</formula>
    </cfRule>
  </conditionalFormatting>
  <conditionalFormatting sqref="C5">
    <cfRule type="expression" dxfId="162" priority="3">
      <formula>S4&gt;=S5</formula>
    </cfRule>
  </conditionalFormatting>
  <hyperlinks>
    <hyperlink ref="L1" location="'Distribution Dashboard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96353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57150</xdr:rowOff>
                  </from>
                  <to>
                    <xdr:col>9</xdr:col>
                    <xdr:colOff>628650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S30"/>
  <sheetViews>
    <sheetView zoomScale="90" zoomScaleNormal="90" zoomScalePageLayoutView="90" workbookViewId="0">
      <pane ySplit="2" topLeftCell="A3" activePane="bottomLeft" state="frozen"/>
      <selection activeCell="D26" sqref="D26:D30"/>
      <selection pane="bottomLeft" activeCell="L1" sqref="L1"/>
    </sheetView>
  </sheetViews>
  <sheetFormatPr defaultColWidth="9.1796875" defaultRowHeight="14.5" x14ac:dyDescent="0.35"/>
  <cols>
    <col min="1" max="1" width="9.1796875" style="3"/>
    <col min="2" max="2" width="5.45312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 t="s">
        <v>103</v>
      </c>
      <c r="C1" s="124" t="s">
        <v>174</v>
      </c>
      <c r="D1" s="124"/>
      <c r="E1" s="124"/>
      <c r="F1" s="124"/>
      <c r="G1" s="3" t="s">
        <v>10</v>
      </c>
      <c r="I1" s="12" t="e">
        <f>INDEX(#REF!,Actual_month)</f>
        <v>#REF!</v>
      </c>
      <c r="L1" s="15" t="s">
        <v>21</v>
      </c>
      <c r="R1" s="5"/>
    </row>
    <row r="2" spans="1:19" x14ac:dyDescent="0.35">
      <c r="A2" s="3" t="s">
        <v>14</v>
      </c>
      <c r="C2" s="3" t="s">
        <v>15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/>
      <c r="K4" s="135"/>
      <c r="L4" s="135"/>
      <c r="M4" s="135"/>
      <c r="N4" s="135"/>
      <c r="O4" s="135"/>
      <c r="P4" s="135"/>
      <c r="Q4" s="136"/>
      <c r="R4" s="3" t="s">
        <v>25</v>
      </c>
      <c r="S4" s="43">
        <f>INDEX(E27:P27,Actual_month)</f>
        <v>181438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43">
        <f>INDEX(E26:P26,Actual_month)</f>
        <v>197003.31296454891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0.9</v>
      </c>
      <c r="S6" s="43">
        <f>+S5*R6</f>
        <v>177302.98166809403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43">
        <f>Budget2526!D37</f>
        <v>24486.036616534555</v>
      </c>
      <c r="F19" s="43">
        <f>Budget2526!E37</f>
        <v>24286.449873673664</v>
      </c>
      <c r="G19" s="43">
        <f>Budget2526!F37</f>
        <v>24074.364627733012</v>
      </c>
      <c r="H19" s="43">
        <f>Budget2526!G37</f>
        <v>24534.17610645025</v>
      </c>
      <c r="I19" s="43">
        <f>Budget2526!H37</f>
        <v>24849.47362458476</v>
      </c>
      <c r="J19" s="43">
        <f>Budget2526!I37</f>
        <v>25037.54438764041</v>
      </c>
      <c r="K19" s="43">
        <f>Budget2526!J37</f>
        <v>24946.371779121793</v>
      </c>
      <c r="L19" s="43">
        <f>Budget2526!K37</f>
        <v>24788.895948810481</v>
      </c>
      <c r="M19" s="43">
        <f>Budget2526!L37</f>
        <v>24497.524990679827</v>
      </c>
      <c r="N19" s="43">
        <f>Budget2526!M37</f>
        <v>23974.663465976424</v>
      </c>
      <c r="O19" s="43">
        <f>Budget2526!N37</f>
        <v>23421.33337545894</v>
      </c>
      <c r="P19" s="43">
        <f>Budget2526!O37</f>
        <v>22829.728015673463</v>
      </c>
      <c r="Q19" s="5"/>
    </row>
    <row r="20" spans="3:17" x14ac:dyDescent="0.35">
      <c r="D20" s="3" t="str">
        <f>'KPI 100'!D20</f>
        <v>Actual 2025/26</v>
      </c>
      <c r="E20" s="43">
        <f>Actuals2526!D37</f>
        <v>20321</v>
      </c>
      <c r="F20" s="43">
        <f>Actuals2526!E37</f>
        <v>26701</v>
      </c>
      <c r="G20" s="43">
        <f>Actuals2526!F37</f>
        <v>17098</v>
      </c>
      <c r="H20" s="43">
        <f>Actuals2526!G37</f>
        <v>31875</v>
      </c>
      <c r="I20" s="43">
        <f>Actuals2526!H37</f>
        <v>17238</v>
      </c>
      <c r="J20" s="43">
        <f>Actuals2526!I37</f>
        <v>19430</v>
      </c>
      <c r="K20" s="43">
        <f>Actuals2526!J37</f>
        <v>26162</v>
      </c>
      <c r="L20" s="43">
        <f>Actuals2526!K37</f>
        <v>22613</v>
      </c>
      <c r="M20" s="43">
        <f>Actuals2526!L37</f>
        <v>0</v>
      </c>
      <c r="N20" s="43">
        <f>Actuals2526!M37</f>
        <v>0</v>
      </c>
      <c r="O20" s="43">
        <f>Actuals2526!N37</f>
        <v>0</v>
      </c>
      <c r="P20" s="43">
        <f>Actuals2526!O37</f>
        <v>0</v>
      </c>
      <c r="Q20" s="43">
        <f>Actuals2526!P37</f>
        <v>0</v>
      </c>
    </row>
    <row r="21" spans="3:17" x14ac:dyDescent="0.35">
      <c r="D21" s="3" t="str">
        <f>'KPI 100'!D21</f>
        <v>Difference</v>
      </c>
      <c r="E21" s="43">
        <f>IF(E20=0,0,E20-E19)</f>
        <v>-4165.0366165345549</v>
      </c>
      <c r="F21" s="43">
        <f t="shared" ref="F21:P21" si="0">IF(F20=0,0,F20-F19)</f>
        <v>2414.5501263263359</v>
      </c>
      <c r="G21" s="43">
        <f t="shared" si="0"/>
        <v>-6976.3646277330117</v>
      </c>
      <c r="H21" s="43">
        <f t="shared" si="0"/>
        <v>7340.8238935497502</v>
      </c>
      <c r="I21" s="43">
        <f t="shared" si="0"/>
        <v>-7611.4736245847598</v>
      </c>
      <c r="J21" s="43">
        <f t="shared" si="0"/>
        <v>-5607.5443876404097</v>
      </c>
      <c r="K21" s="43">
        <f t="shared" si="0"/>
        <v>1215.6282208782068</v>
      </c>
      <c r="L21" s="43">
        <f t="shared" si="0"/>
        <v>-2175.8959488104811</v>
      </c>
      <c r="M21" s="43">
        <f t="shared" si="0"/>
        <v>0</v>
      </c>
      <c r="N21" s="43">
        <f t="shared" si="0"/>
        <v>0</v>
      </c>
      <c r="O21" s="43">
        <f t="shared" si="0"/>
        <v>0</v>
      </c>
      <c r="P21" s="43">
        <f t="shared" si="0"/>
        <v>0</v>
      </c>
      <c r="Q21" s="5"/>
    </row>
    <row r="22" spans="3:17" x14ac:dyDescent="0.35">
      <c r="D22" s="3" t="str">
        <f>'KPI 100'!D22</f>
        <v>% realisation</v>
      </c>
      <c r="E22" s="9">
        <f>E20/E19</f>
        <v>0.82990156056035413</v>
      </c>
      <c r="F22" s="9">
        <f t="shared" ref="F22:P22" si="1">F20/F19</f>
        <v>1.0994196409473453</v>
      </c>
      <c r="G22" s="9">
        <f t="shared" si="1"/>
        <v>0.71021604367924085</v>
      </c>
      <c r="H22" s="9">
        <f t="shared" si="1"/>
        <v>1.2992080867806188</v>
      </c>
      <c r="I22" s="9">
        <f t="shared" si="1"/>
        <v>0.69369678651646094</v>
      </c>
      <c r="J22" s="9">
        <f t="shared" si="1"/>
        <v>0.77603457029082568</v>
      </c>
      <c r="K22" s="9">
        <f t="shared" si="1"/>
        <v>1.0487296602344232</v>
      </c>
      <c r="L22" s="9">
        <f t="shared" si="1"/>
        <v>0.91222295848497059</v>
      </c>
      <c r="M22" s="9">
        <f t="shared" si="1"/>
        <v>0</v>
      </c>
      <c r="N22" s="9">
        <f t="shared" si="1"/>
        <v>0</v>
      </c>
      <c r="O22" s="9">
        <f t="shared" si="1"/>
        <v>0</v>
      </c>
      <c r="P22" s="9">
        <f t="shared" si="1"/>
        <v>0</v>
      </c>
    </row>
    <row r="23" spans="3:17" x14ac:dyDescent="0.35">
      <c r="D23" s="3" t="str">
        <f>'KPI 100'!D23</f>
        <v>Actual 2024/25</v>
      </c>
      <c r="E23" s="43">
        <f>Actuals2425!D37</f>
        <v>12771</v>
      </c>
      <c r="F23" s="43">
        <f>Actuals2425!E37</f>
        <v>19136</v>
      </c>
      <c r="G23" s="43">
        <f>Actuals2425!F37</f>
        <v>19757</v>
      </c>
      <c r="H23" s="43">
        <f>Actuals2425!G37</f>
        <v>23900</v>
      </c>
      <c r="I23" s="43">
        <f>Actuals2425!H37</f>
        <v>24979</v>
      </c>
      <c r="J23" s="43">
        <f>Actuals2425!I37</f>
        <v>14330</v>
      </c>
      <c r="K23" s="43">
        <f>Actuals2425!J37</f>
        <v>33443</v>
      </c>
      <c r="L23" s="43">
        <f>Actuals2425!K37</f>
        <v>24356</v>
      </c>
      <c r="M23" s="43">
        <f>Actuals2425!L37</f>
        <v>17969</v>
      </c>
      <c r="N23" s="43">
        <f>Actuals2425!M37</f>
        <v>18155</v>
      </c>
      <c r="O23" s="43">
        <f>Actuals2425!N37</f>
        <v>22103</v>
      </c>
      <c r="P23" s="43">
        <f>Actuals2425!O37</f>
        <v>20029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43">
        <f>SUM($E19:E19)</f>
        <v>24486.036616534555</v>
      </c>
      <c r="F26" s="43">
        <f>SUM($E19:F19)</f>
        <v>48772.486490208219</v>
      </c>
      <c r="G26" s="43">
        <f>SUM($E19:G19)</f>
        <v>72846.851117941231</v>
      </c>
      <c r="H26" s="43">
        <f>SUM($E19:H19)</f>
        <v>97381.027224391481</v>
      </c>
      <c r="I26" s="43">
        <f>SUM($E19:I19)</f>
        <v>122230.50084897624</v>
      </c>
      <c r="J26" s="43">
        <f>SUM($E19:J19)</f>
        <v>147268.04523661666</v>
      </c>
      <c r="K26" s="43">
        <f>SUM($E19:K19)</f>
        <v>172214.41701573844</v>
      </c>
      <c r="L26" s="43">
        <f>SUM($E19:L19)</f>
        <v>197003.31296454891</v>
      </c>
      <c r="M26" s="43">
        <f>SUM($E19:M19)</f>
        <v>221500.83795522875</v>
      </c>
      <c r="N26" s="43">
        <f>SUM($E19:N19)</f>
        <v>245475.50142120518</v>
      </c>
      <c r="O26" s="43">
        <f>SUM($E19:O19)</f>
        <v>268896.83479666413</v>
      </c>
      <c r="P26" s="43">
        <f>SUM($E19:P19)</f>
        <v>291726.56281233759</v>
      </c>
    </row>
    <row r="27" spans="3:17" x14ac:dyDescent="0.35">
      <c r="D27" s="3" t="str">
        <f t="shared" ref="D27:D30" si="3">D20</f>
        <v>Actual 2025/26</v>
      </c>
      <c r="E27" s="43">
        <f>SUM($E20:E20)</f>
        <v>20321</v>
      </c>
      <c r="F27" s="43">
        <f>SUM($E20:F20)</f>
        <v>47022</v>
      </c>
      <c r="G27" s="43">
        <f>SUM($E20:G20)</f>
        <v>64120</v>
      </c>
      <c r="H27" s="43">
        <f>SUM($E20:H20)</f>
        <v>95995</v>
      </c>
      <c r="I27" s="43">
        <f>SUM($E20:I20)</f>
        <v>113233</v>
      </c>
      <c r="J27" s="43">
        <f>SUM($E20:J20)</f>
        <v>132663</v>
      </c>
      <c r="K27" s="43">
        <f>SUM($E20:K20)</f>
        <v>158825</v>
      </c>
      <c r="L27" s="43">
        <f>SUM($E20:L20)</f>
        <v>181438</v>
      </c>
      <c r="M27" s="43">
        <f>SUM($E20:M20)</f>
        <v>181438</v>
      </c>
      <c r="N27" s="43">
        <f>SUM($E20:N20)</f>
        <v>181438</v>
      </c>
      <c r="O27" s="43">
        <f>SUM($E20:O20)</f>
        <v>181438</v>
      </c>
      <c r="P27" s="43">
        <f>SUM($E20:P20)</f>
        <v>181438</v>
      </c>
    </row>
    <row r="28" spans="3:17" x14ac:dyDescent="0.35">
      <c r="D28" s="3" t="str">
        <f t="shared" si="3"/>
        <v>Difference</v>
      </c>
      <c r="E28" s="43">
        <f>IF(E27=0,0,E27-E26)</f>
        <v>-4165.0366165345549</v>
      </c>
      <c r="F28" s="43">
        <f t="shared" ref="F28:P28" si="4">IF(F27=0,0,F27-F26)</f>
        <v>-1750.486490208219</v>
      </c>
      <c r="G28" s="43">
        <f t="shared" si="4"/>
        <v>-8726.8511179412308</v>
      </c>
      <c r="H28" s="43">
        <f t="shared" si="4"/>
        <v>-1386.0272243914806</v>
      </c>
      <c r="I28" s="43">
        <f t="shared" si="4"/>
        <v>-8997.5008489762404</v>
      </c>
      <c r="J28" s="43">
        <f t="shared" si="4"/>
        <v>-14605.045236616657</v>
      </c>
      <c r="K28" s="43">
        <f t="shared" si="4"/>
        <v>-13389.417015738436</v>
      </c>
      <c r="L28" s="43">
        <f t="shared" si="4"/>
        <v>-15565.31296454891</v>
      </c>
      <c r="M28" s="43">
        <f t="shared" si="4"/>
        <v>-40062.837955228752</v>
      </c>
      <c r="N28" s="43">
        <f t="shared" si="4"/>
        <v>-64037.501421205176</v>
      </c>
      <c r="O28" s="43">
        <f t="shared" si="4"/>
        <v>-87458.83479666413</v>
      </c>
      <c r="P28" s="43">
        <f t="shared" si="4"/>
        <v>-110288.56281233759</v>
      </c>
    </row>
    <row r="29" spans="3:17" x14ac:dyDescent="0.35">
      <c r="D29" s="3" t="str">
        <f t="shared" si="3"/>
        <v>% realisation</v>
      </c>
      <c r="E29" s="9">
        <f t="shared" ref="E29:P29" si="5">E27/E26</f>
        <v>0.82990156056035413</v>
      </c>
      <c r="F29" s="9">
        <f t="shared" si="5"/>
        <v>0.96410913988238733</v>
      </c>
      <c r="G29" s="9">
        <f t="shared" si="5"/>
        <v>0.88020276808104991</v>
      </c>
      <c r="H29" s="9">
        <f t="shared" si="5"/>
        <v>0.98576696853692347</v>
      </c>
      <c r="I29" s="9">
        <f t="shared" si="5"/>
        <v>0.92638906994177139</v>
      </c>
      <c r="J29" s="9">
        <f t="shared" si="5"/>
        <v>0.90082678687592666</v>
      </c>
      <c r="K29" s="9">
        <f t="shared" si="5"/>
        <v>0.92225147436689459</v>
      </c>
      <c r="L29" s="9">
        <f t="shared" si="5"/>
        <v>0.92098958778754181</v>
      </c>
      <c r="M29" s="9">
        <f t="shared" si="5"/>
        <v>0.81913008399847898</v>
      </c>
      <c r="N29" s="9">
        <f t="shared" si="5"/>
        <v>0.73912874787726834</v>
      </c>
      <c r="O29" s="9">
        <f t="shared" si="5"/>
        <v>0.67474948203537155</v>
      </c>
      <c r="P29" s="9">
        <f t="shared" si="5"/>
        <v>0.62194542125639674</v>
      </c>
    </row>
    <row r="30" spans="3:17" x14ac:dyDescent="0.35">
      <c r="D30" s="3" t="str">
        <f t="shared" si="3"/>
        <v>Actual 2024/25</v>
      </c>
      <c r="E30" s="43">
        <f>SUM($E23:E23)</f>
        <v>12771</v>
      </c>
      <c r="F30" s="43">
        <f>SUM($E23:F23)</f>
        <v>31907</v>
      </c>
      <c r="G30" s="43">
        <f>SUM($E23:G23)</f>
        <v>51664</v>
      </c>
      <c r="H30" s="43">
        <f>SUM($E23:H23)</f>
        <v>75564</v>
      </c>
      <c r="I30" s="43">
        <f>SUM($E23:I23)</f>
        <v>100543</v>
      </c>
      <c r="J30" s="43">
        <f>SUM($E23:J23)</f>
        <v>114873</v>
      </c>
      <c r="K30" s="43">
        <f>SUM($E23:K23)</f>
        <v>148316</v>
      </c>
      <c r="L30" s="43">
        <f>SUM($E23:L23)</f>
        <v>172672</v>
      </c>
      <c r="M30" s="43">
        <f>SUM($E23:M23)</f>
        <v>190641</v>
      </c>
      <c r="N30" s="43">
        <f>SUM($E23:N23)</f>
        <v>208796</v>
      </c>
      <c r="O30" s="43">
        <f>SUM($E23:O23)</f>
        <v>230899</v>
      </c>
      <c r="P30" s="43">
        <f>SUM($E23:P23)</f>
        <v>250928</v>
      </c>
    </row>
  </sheetData>
  <sheetProtection algorithmName="SHA-512" hashValue="BgasTMEddMxgNA4lQc+Bwsg0Z13GkgeVDp6ih+9iRNUKidOwY1WOhWAnTggipAYlJQiZHZ2G2ZXEZiyz3E8ouw==" saltValue="nKuVJttjNuf8gLbHUNg4Eg==" spinCount="100000" sheet="1" objects="1" scenarios="1"/>
  <mergeCells count="3">
    <mergeCell ref="C1:F1"/>
    <mergeCell ref="J4:Q8"/>
    <mergeCell ref="J10:Q15"/>
  </mergeCells>
  <conditionalFormatting sqref="C3">
    <cfRule type="expression" dxfId="161" priority="2">
      <formula>S4&lt;S6</formula>
    </cfRule>
  </conditionalFormatting>
  <conditionalFormatting sqref="C4">
    <cfRule type="expression" dxfId="160" priority="1">
      <formula>AND(S4&gt;=S6,S4&lt;S5)</formula>
    </cfRule>
  </conditionalFormatting>
  <conditionalFormatting sqref="C5">
    <cfRule type="expression" dxfId="159" priority="3">
      <formula>S4&gt;=S5</formula>
    </cfRule>
  </conditionalFormatting>
  <hyperlinks>
    <hyperlink ref="L1" location="'Distribution Dashboard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00833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57150</xdr:rowOff>
                  </from>
                  <to>
                    <xdr:col>9</xdr:col>
                    <xdr:colOff>628650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S30"/>
  <sheetViews>
    <sheetView zoomScale="90" zoomScaleNormal="90" zoomScalePageLayoutView="90" workbookViewId="0">
      <pane ySplit="2" topLeftCell="A3" activePane="bottomLeft" state="frozen"/>
      <selection activeCell="D26" sqref="D26:D30"/>
      <selection pane="bottomLeft" activeCell="L1" sqref="L1"/>
    </sheetView>
  </sheetViews>
  <sheetFormatPr defaultColWidth="9.1796875" defaultRowHeight="14.5" x14ac:dyDescent="0.35"/>
  <cols>
    <col min="1" max="1" width="9.1796875" style="3"/>
    <col min="2" max="2" width="5.45312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 t="s">
        <v>103</v>
      </c>
      <c r="C1" s="124" t="s">
        <v>175</v>
      </c>
      <c r="D1" s="124"/>
      <c r="E1" s="124"/>
      <c r="F1" s="124"/>
      <c r="G1" s="3" t="s">
        <v>10</v>
      </c>
      <c r="I1" s="12" t="e">
        <f>INDEX(#REF!,Actual_month)</f>
        <v>#REF!</v>
      </c>
      <c r="L1" s="15" t="s">
        <v>21</v>
      </c>
      <c r="R1" s="5"/>
    </row>
    <row r="2" spans="1:19" x14ac:dyDescent="0.35">
      <c r="A2" s="3" t="s">
        <v>14</v>
      </c>
      <c r="C2" s="3" t="s">
        <v>1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/>
      <c r="K4" s="135"/>
      <c r="L4" s="135"/>
      <c r="M4" s="135"/>
      <c r="N4" s="135"/>
      <c r="O4" s="135"/>
      <c r="P4" s="135"/>
      <c r="Q4" s="136"/>
      <c r="R4" s="3" t="s">
        <v>25</v>
      </c>
      <c r="S4" s="43">
        <f>INDEX(E27:P27,Actual_month)</f>
        <v>0.31392198975992935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43">
        <f>INDEX(E26:P26,Actual_month)</f>
        <v>0.30468409791690798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0.9</v>
      </c>
      <c r="S6" s="43">
        <f>+S5*R6</f>
        <v>0.27421568812521718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9">
        <f>Budget2526!D38</f>
        <v>0.3301422286422615</v>
      </c>
      <c r="F19" s="9">
        <f>Budget2526!E38</f>
        <v>0.32339139383543258</v>
      </c>
      <c r="G19" s="9">
        <f>Budget2526!F38</f>
        <v>0.31611596589385044</v>
      </c>
      <c r="H19" s="9">
        <f>Budget2526!G38</f>
        <v>0.30884140136826327</v>
      </c>
      <c r="I19" s="9">
        <f>Budget2526!H38</f>
        <v>0.30166625530513985</v>
      </c>
      <c r="J19" s="9">
        <f>Budget2526!I38</f>
        <v>0.29407138434800695</v>
      </c>
      <c r="K19" s="9">
        <f>Budget2526!J38</f>
        <v>0.2858188123451425</v>
      </c>
      <c r="L19" s="9">
        <f>Budget2526!K38</f>
        <v>0.27742534159716653</v>
      </c>
      <c r="M19" s="9">
        <f>Budget2526!L38</f>
        <v>0.26890032394692404</v>
      </c>
      <c r="N19" s="9">
        <f>Budget2526!M38</f>
        <v>0.25994007085299892</v>
      </c>
      <c r="O19" s="9">
        <f>Budget2526!N38</f>
        <v>0.25095205091599343</v>
      </c>
      <c r="P19" s="9">
        <f>Budget2526!O38</f>
        <v>0.24194244977834567</v>
      </c>
      <c r="Q19" s="5"/>
    </row>
    <row r="20" spans="3:17" x14ac:dyDescent="0.35">
      <c r="D20" s="3" t="str">
        <f>'KPI 100'!D20</f>
        <v>Actual 2025/26</v>
      </c>
      <c r="E20" s="9">
        <f>Actuals2526!D38</f>
        <v>0.32344374234007672</v>
      </c>
      <c r="F20" s="9">
        <f>Actuals2526!E38</f>
        <v>0.31408876498335508</v>
      </c>
      <c r="G20" s="9">
        <f>Actuals2526!F38</f>
        <v>0.29863937260929557</v>
      </c>
      <c r="H20" s="9">
        <f>Actuals2526!G38</f>
        <v>0.36259086100399279</v>
      </c>
      <c r="I20" s="9">
        <f>Actuals2526!H38</f>
        <v>0.31082421248129249</v>
      </c>
      <c r="J20" s="9">
        <f>Actuals2526!I38</f>
        <v>0.31846716165937289</v>
      </c>
      <c r="K20" s="9">
        <f>Actuals2526!J38</f>
        <v>0.29204853707817507</v>
      </c>
      <c r="L20" s="9">
        <f>Actuals2526!K38</f>
        <v>0.29127326592387454</v>
      </c>
      <c r="M20" s="9" t="e">
        <f>Actuals2526!L38</f>
        <v>#DIV/0!</v>
      </c>
      <c r="N20" s="9" t="e">
        <f>Actuals2526!M38</f>
        <v>#DIV/0!</v>
      </c>
      <c r="O20" s="9" t="e">
        <f>Actuals2526!N38</f>
        <v>#DIV/0!</v>
      </c>
      <c r="P20" s="9" t="e">
        <f>Actuals2526!O38</f>
        <v>#DIV/0!</v>
      </c>
      <c r="Q20" s="5"/>
    </row>
    <row r="21" spans="3:17" x14ac:dyDescent="0.35">
      <c r="D21" s="3" t="str">
        <f>'KPI 100'!D21</f>
        <v>Difference</v>
      </c>
      <c r="E21" s="43">
        <f>IF(E20=0,0,E20-E19)</f>
        <v>-6.6984863021847807E-3</v>
      </c>
      <c r="F21" s="43">
        <f t="shared" ref="F21:P21" si="0">IF(F20=0,0,F20-F19)</f>
        <v>-9.3026288520774991E-3</v>
      </c>
      <c r="G21" s="43">
        <f t="shared" si="0"/>
        <v>-1.7476593284554864E-2</v>
      </c>
      <c r="H21" s="43">
        <f t="shared" si="0"/>
        <v>5.3749459635729524E-2</v>
      </c>
      <c r="I21" s="43">
        <f t="shared" si="0"/>
        <v>9.1579571761526424E-3</v>
      </c>
      <c r="J21" s="43">
        <f t="shared" si="0"/>
        <v>2.439577731136594E-2</v>
      </c>
      <c r="K21" s="43">
        <f t="shared" si="0"/>
        <v>6.2297247330325711E-3</v>
      </c>
      <c r="L21" s="43">
        <f t="shared" si="0"/>
        <v>1.3847924326708005E-2</v>
      </c>
      <c r="M21" s="43" t="e">
        <f t="shared" si="0"/>
        <v>#DIV/0!</v>
      </c>
      <c r="N21" s="43" t="e">
        <f t="shared" si="0"/>
        <v>#DIV/0!</v>
      </c>
      <c r="O21" s="43" t="e">
        <f t="shared" si="0"/>
        <v>#DIV/0!</v>
      </c>
      <c r="P21" s="43" t="e">
        <f t="shared" si="0"/>
        <v>#DIV/0!</v>
      </c>
      <c r="Q21" s="5"/>
    </row>
    <row r="22" spans="3:17" x14ac:dyDescent="0.35">
      <c r="D22" s="3" t="str">
        <f>'KPI 100'!D22</f>
        <v>% realisation</v>
      </c>
      <c r="E22" s="9">
        <f>E20/E19</f>
        <v>0.97971030143664783</v>
      </c>
      <c r="F22" s="9">
        <f t="shared" ref="F22:P22" si="1">F20/F19</f>
        <v>0.9712341483743645</v>
      </c>
      <c r="G22" s="9">
        <f t="shared" si="1"/>
        <v>0.94471461371734899</v>
      </c>
      <c r="H22" s="9">
        <f t="shared" si="1"/>
        <v>1.1740357976540798</v>
      </c>
      <c r="I22" s="9">
        <f t="shared" si="1"/>
        <v>1.0303579104891571</v>
      </c>
      <c r="J22" s="9">
        <f t="shared" si="1"/>
        <v>1.0829586916981209</v>
      </c>
      <c r="K22" s="9">
        <f t="shared" si="1"/>
        <v>1.0217960626241418</v>
      </c>
      <c r="L22" s="9">
        <f t="shared" si="1"/>
        <v>1.0499158593334843</v>
      </c>
      <c r="M22" s="9" t="e">
        <f t="shared" si="1"/>
        <v>#DIV/0!</v>
      </c>
      <c r="N22" s="9" t="e">
        <f t="shared" si="1"/>
        <v>#DIV/0!</v>
      </c>
      <c r="O22" s="9" t="e">
        <f t="shared" si="1"/>
        <v>#DIV/0!</v>
      </c>
      <c r="P22" s="9" t="e">
        <f t="shared" si="1"/>
        <v>#DIV/0!</v>
      </c>
    </row>
    <row r="23" spans="3:17" x14ac:dyDescent="0.35">
      <c r="D23" s="3" t="str">
        <f>'KPI 100'!D23</f>
        <v>Actual 2024/25</v>
      </c>
      <c r="E23" s="9">
        <f>Actuals2425!D38</f>
        <v>0.23480850907352591</v>
      </c>
      <c r="F23" s="9">
        <f>Actuals2425!E38</f>
        <v>0.29780876494023906</v>
      </c>
      <c r="G23" s="9">
        <f>Actuals2425!F38</f>
        <v>0.28238808530101195</v>
      </c>
      <c r="H23" s="9">
        <f>Actuals2425!G38</f>
        <v>0.33253099216673854</v>
      </c>
      <c r="I23" s="9">
        <f>Actuals2425!H38</f>
        <v>0.29311538506671048</v>
      </c>
      <c r="J23" s="9">
        <f>Actuals2425!I38</f>
        <v>0.30063357529475937</v>
      </c>
      <c r="K23" s="9">
        <f>Actuals2425!J38</f>
        <v>0.38641878307489658</v>
      </c>
      <c r="L23" s="9">
        <f>Actuals2425!K38</f>
        <v>0.32811531725717363</v>
      </c>
      <c r="M23" s="9">
        <f>Actuals2425!L38</f>
        <v>0.25397879858657246</v>
      </c>
      <c r="N23" s="9">
        <f>Actuals2425!M38</f>
        <v>0.32562686085303294</v>
      </c>
      <c r="O23" s="9">
        <f>Actuals2425!N38</f>
        <v>0.34129582162379174</v>
      </c>
      <c r="P23" s="9">
        <f>Actuals2425!O38</f>
        <v>0.29424986777927953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9">
        <f>E19</f>
        <v>0.3301422286422615</v>
      </c>
      <c r="F26" s="9">
        <f>AVERAGE($E19:F19)</f>
        <v>0.32676681123884704</v>
      </c>
      <c r="G26" s="9">
        <f>AVERAGE($E19:G19)</f>
        <v>0.32321652945718155</v>
      </c>
      <c r="H26" s="9">
        <f>AVERAGE($E19:H19)</f>
        <v>0.31962274743495195</v>
      </c>
      <c r="I26" s="9">
        <f>AVERAGE($E19:I19)</f>
        <v>0.31603144900898955</v>
      </c>
      <c r="J26" s="9">
        <f>AVERAGE($E19:J19)</f>
        <v>0.31237143823215913</v>
      </c>
      <c r="K26" s="9">
        <f>AVERAGE($E19:K19)</f>
        <v>0.30857820596258534</v>
      </c>
      <c r="L26" s="9">
        <f>AVERAGE($E19:L19)</f>
        <v>0.30468409791690798</v>
      </c>
      <c r="M26" s="9">
        <f>AVERAGE($E19:M19)</f>
        <v>0.30070812303135419</v>
      </c>
      <c r="N26" s="9">
        <f>AVERAGE($E19:N19)</f>
        <v>0.29663131781351865</v>
      </c>
      <c r="O26" s="9">
        <f>AVERAGE($E19:O19)</f>
        <v>0.29247865718647093</v>
      </c>
      <c r="P26" s="9">
        <f>AVERAGE($E19:P19)</f>
        <v>0.28826730656912714</v>
      </c>
    </row>
    <row r="27" spans="3:17" x14ac:dyDescent="0.35">
      <c r="D27" s="3" t="str">
        <f t="shared" ref="D27:D30" si="3">D20</f>
        <v>Actual 2025/26</v>
      </c>
      <c r="E27" s="9">
        <f>E20</f>
        <v>0.32344374234007672</v>
      </c>
      <c r="F27" s="9">
        <f>AVERAGE($E20:F20)</f>
        <v>0.3187662536617159</v>
      </c>
      <c r="G27" s="9">
        <f>AVERAGE($E20:G20)</f>
        <v>0.31205729331090915</v>
      </c>
      <c r="H27" s="9">
        <f>AVERAGE($E20:H20)</f>
        <v>0.32469068523418004</v>
      </c>
      <c r="I27" s="9">
        <f>AVERAGE($E20:I20)</f>
        <v>0.32191739068360253</v>
      </c>
      <c r="J27" s="9">
        <f>AVERAGE($E20:J20)</f>
        <v>0.32134235251289761</v>
      </c>
      <c r="K27" s="9">
        <f>AVERAGE($E20:K20)</f>
        <v>0.31715752173650863</v>
      </c>
      <c r="L27" s="9">
        <f>AVERAGE($E20:L20)</f>
        <v>0.31392198975992935</v>
      </c>
      <c r="M27" s="9" t="e">
        <f>AVERAGE($E20:M20)</f>
        <v>#DIV/0!</v>
      </c>
      <c r="N27" s="9" t="e">
        <f>AVERAGE($E20:N20)</f>
        <v>#DIV/0!</v>
      </c>
      <c r="O27" s="9" t="e">
        <f>AVERAGE($E20:O20)</f>
        <v>#DIV/0!</v>
      </c>
      <c r="P27" s="9" t="e">
        <f>AVERAGE($E20:P20)</f>
        <v>#DIV/0!</v>
      </c>
    </row>
    <row r="28" spans="3:17" x14ac:dyDescent="0.35">
      <c r="D28" s="3" t="str">
        <f t="shared" si="3"/>
        <v>Difference</v>
      </c>
      <c r="E28" s="43">
        <f>IF(E27=0,0,E27-E26)</f>
        <v>-6.6984863021847807E-3</v>
      </c>
      <c r="F28" s="43">
        <f t="shared" ref="F28:P28" si="4">IF(F27=0,0,F27-F26)</f>
        <v>-8.0005575771311399E-3</v>
      </c>
      <c r="G28" s="43">
        <f t="shared" si="4"/>
        <v>-1.11592361462724E-2</v>
      </c>
      <c r="H28" s="43">
        <f t="shared" si="4"/>
        <v>5.067937799228095E-3</v>
      </c>
      <c r="I28" s="43">
        <f t="shared" si="4"/>
        <v>5.8859416746129822E-3</v>
      </c>
      <c r="J28" s="43">
        <f t="shared" si="4"/>
        <v>8.9709142807384845E-3</v>
      </c>
      <c r="K28" s="43">
        <f t="shared" si="4"/>
        <v>8.5793157739232906E-3</v>
      </c>
      <c r="L28" s="43">
        <f t="shared" si="4"/>
        <v>9.237891843021373E-3</v>
      </c>
      <c r="M28" s="43" t="e">
        <f t="shared" si="4"/>
        <v>#DIV/0!</v>
      </c>
      <c r="N28" s="43" t="e">
        <f t="shared" si="4"/>
        <v>#DIV/0!</v>
      </c>
      <c r="O28" s="43" t="e">
        <f t="shared" si="4"/>
        <v>#DIV/0!</v>
      </c>
      <c r="P28" s="43" t="e">
        <f t="shared" si="4"/>
        <v>#DIV/0!</v>
      </c>
    </row>
    <row r="29" spans="3:17" x14ac:dyDescent="0.35">
      <c r="D29" s="3" t="str">
        <f t="shared" si="3"/>
        <v>% realisation</v>
      </c>
      <c r="E29" s="9">
        <f t="shared" ref="E29:P29" si="5">E27/E26</f>
        <v>0.97971030143664783</v>
      </c>
      <c r="F29" s="9">
        <f t="shared" si="5"/>
        <v>0.97551600314977149</v>
      </c>
      <c r="G29" s="9">
        <f t="shared" si="5"/>
        <v>0.96547442618416357</v>
      </c>
      <c r="H29" s="9">
        <f t="shared" si="5"/>
        <v>1.0158559984854003</v>
      </c>
      <c r="I29" s="9">
        <f t="shared" si="5"/>
        <v>1.0186245441492299</v>
      </c>
      <c r="J29" s="9">
        <f t="shared" si="5"/>
        <v>1.0287187405209282</v>
      </c>
      <c r="K29" s="9">
        <f t="shared" si="5"/>
        <v>1.0278027275035864</v>
      </c>
      <c r="L29" s="9">
        <f t="shared" si="5"/>
        <v>1.0303195733094699</v>
      </c>
      <c r="M29" s="9" t="e">
        <f t="shared" si="5"/>
        <v>#DIV/0!</v>
      </c>
      <c r="N29" s="9" t="e">
        <f t="shared" si="5"/>
        <v>#DIV/0!</v>
      </c>
      <c r="O29" s="9" t="e">
        <f t="shared" si="5"/>
        <v>#DIV/0!</v>
      </c>
      <c r="P29" s="9" t="e">
        <f t="shared" si="5"/>
        <v>#DIV/0!</v>
      </c>
    </row>
    <row r="30" spans="3:17" x14ac:dyDescent="0.35">
      <c r="D30" s="3" t="str">
        <f t="shared" si="3"/>
        <v>Actual 2024/25</v>
      </c>
      <c r="E30" s="9">
        <f>E23</f>
        <v>0.23480850907352591</v>
      </c>
      <c r="F30" s="9">
        <f t="shared" ref="F30:P30" si="6">F23</f>
        <v>0.29780876494023906</v>
      </c>
      <c r="G30" s="9">
        <f t="shared" si="6"/>
        <v>0.28238808530101195</v>
      </c>
      <c r="H30" s="9">
        <f t="shared" si="6"/>
        <v>0.33253099216673854</v>
      </c>
      <c r="I30" s="9">
        <f t="shared" si="6"/>
        <v>0.29311538506671048</v>
      </c>
      <c r="J30" s="9">
        <f t="shared" si="6"/>
        <v>0.30063357529475937</v>
      </c>
      <c r="K30" s="9">
        <f t="shared" si="6"/>
        <v>0.38641878307489658</v>
      </c>
      <c r="L30" s="9">
        <f t="shared" si="6"/>
        <v>0.32811531725717363</v>
      </c>
      <c r="M30" s="9">
        <f t="shared" si="6"/>
        <v>0.25397879858657246</v>
      </c>
      <c r="N30" s="9">
        <f t="shared" si="6"/>
        <v>0.32562686085303294</v>
      </c>
      <c r="O30" s="9">
        <f t="shared" si="6"/>
        <v>0.34129582162379174</v>
      </c>
      <c r="P30" s="9">
        <f t="shared" si="6"/>
        <v>0.29424986777927953</v>
      </c>
    </row>
  </sheetData>
  <sheetProtection algorithmName="SHA-512" hashValue="NhFFTZ4LuwTsv83aj/6woN0h/Mte32BsYGdfqYtamaBRa9jAevlVzgVRWvZ6d+sueLhfWSAY/RJJymXH/vAxog==" saltValue="k4w/y8kBZIcl44gEjjDJFQ==" spinCount="100000" sheet="1" objects="1" scenarios="1"/>
  <mergeCells count="3">
    <mergeCell ref="C1:F1"/>
    <mergeCell ref="J4:Q8"/>
    <mergeCell ref="J10:Q15"/>
  </mergeCells>
  <conditionalFormatting sqref="C3">
    <cfRule type="expression" dxfId="158" priority="2">
      <formula>S4&lt;S6</formula>
    </cfRule>
  </conditionalFormatting>
  <conditionalFormatting sqref="C4">
    <cfRule type="expression" dxfId="157" priority="1">
      <formula>AND(S4&gt;=S6,S4&lt;S5)</formula>
    </cfRule>
  </conditionalFormatting>
  <conditionalFormatting sqref="C5">
    <cfRule type="expression" dxfId="156" priority="3">
      <formula>S4&gt;=S5</formula>
    </cfRule>
  </conditionalFormatting>
  <hyperlinks>
    <hyperlink ref="L1" location="'Distribution Dashboard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98401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57150</xdr:rowOff>
                  </from>
                  <to>
                    <xdr:col>9</xdr:col>
                    <xdr:colOff>628650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S30"/>
  <sheetViews>
    <sheetView topLeftCell="D1" zoomScale="90" zoomScaleNormal="90" zoomScalePageLayoutView="90" workbookViewId="0">
      <pane ySplit="2" topLeftCell="A9" activePane="bottomLeft" state="frozen"/>
      <selection activeCell="D26" sqref="D26:D30"/>
      <selection pane="bottomLeft" activeCell="I1" sqref="I1"/>
    </sheetView>
  </sheetViews>
  <sheetFormatPr defaultColWidth="9.1796875" defaultRowHeight="14.5" x14ac:dyDescent="0.35"/>
  <cols>
    <col min="1" max="1" width="9.1796875" style="3"/>
    <col min="2" max="2" width="6.54296875" style="3" customWidth="1"/>
    <col min="3" max="3" width="14.54296875" style="3" customWidth="1"/>
    <col min="4" max="4" width="21.2695312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customHeight="1" x14ac:dyDescent="0.5">
      <c r="A1" s="4" t="s">
        <v>4</v>
      </c>
      <c r="B1" s="4" t="s">
        <v>101</v>
      </c>
      <c r="C1" s="124" t="s">
        <v>171</v>
      </c>
      <c r="D1" s="124"/>
      <c r="E1" s="124"/>
      <c r="F1" s="124"/>
      <c r="G1" s="3" t="s">
        <v>10</v>
      </c>
      <c r="I1" s="12">
        <f>INDEX(E18:P18,Actual_month)</f>
        <v>46054</v>
      </c>
      <c r="L1" s="15" t="s">
        <v>21</v>
      </c>
      <c r="R1" s="5"/>
    </row>
    <row r="2" spans="1:19" x14ac:dyDescent="0.35">
      <c r="A2" s="3" t="s">
        <v>14</v>
      </c>
      <c r="C2" s="3" t="str">
        <f>'Distribution Dashboard'!C36</f>
        <v>m3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25"/>
      <c r="K4" s="126"/>
      <c r="L4" s="126"/>
      <c r="M4" s="126"/>
      <c r="N4" s="126"/>
      <c r="O4" s="126"/>
      <c r="P4" s="126"/>
      <c r="Q4" s="127"/>
      <c r="R4" s="3" t="s">
        <v>25</v>
      </c>
      <c r="S4" s="43">
        <f>INDEX(E27:P27,Actual_month)</f>
        <v>320680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28"/>
      <c r="K5" s="129"/>
      <c r="L5" s="129"/>
      <c r="M5" s="129"/>
      <c r="N5" s="129"/>
      <c r="O5" s="129"/>
      <c r="P5" s="129"/>
      <c r="Q5" s="130"/>
      <c r="R5" s="3" t="s">
        <v>26</v>
      </c>
      <c r="S5" s="43">
        <f>INDEX(E26:P26,Actual_month)</f>
        <v>291345.16647754761</v>
      </c>
    </row>
    <row r="6" spans="1:19" x14ac:dyDescent="0.35">
      <c r="J6" s="128"/>
      <c r="K6" s="129"/>
      <c r="L6" s="129"/>
      <c r="M6" s="129"/>
      <c r="N6" s="129"/>
      <c r="O6" s="129"/>
      <c r="P6" s="129"/>
      <c r="Q6" s="130"/>
      <c r="R6" s="6">
        <v>0.9</v>
      </c>
      <c r="S6" s="43">
        <f>+S5*R6</f>
        <v>262210.64982979285</v>
      </c>
    </row>
    <row r="7" spans="1:19" x14ac:dyDescent="0.35">
      <c r="J7" s="128"/>
      <c r="K7" s="129"/>
      <c r="L7" s="129"/>
      <c r="M7" s="129"/>
      <c r="N7" s="129"/>
      <c r="O7" s="129"/>
      <c r="P7" s="129"/>
      <c r="Q7" s="130"/>
    </row>
    <row r="8" spans="1:19" ht="15" thickBot="1" x14ac:dyDescent="0.4">
      <c r="J8" s="131"/>
      <c r="K8" s="132"/>
      <c r="L8" s="132"/>
      <c r="M8" s="132"/>
      <c r="N8" s="132"/>
      <c r="O8" s="132"/>
      <c r="P8" s="132"/>
      <c r="Q8" s="133"/>
    </row>
    <row r="9" spans="1:19" ht="15" thickBot="1" x14ac:dyDescent="0.4">
      <c r="J9" s="3" t="s">
        <v>13</v>
      </c>
    </row>
    <row r="10" spans="1:19" x14ac:dyDescent="0.35">
      <c r="J10" s="125"/>
      <c r="K10" s="126"/>
      <c r="L10" s="126"/>
      <c r="M10" s="126"/>
      <c r="N10" s="126"/>
      <c r="O10" s="126"/>
      <c r="P10" s="126"/>
      <c r="Q10" s="127"/>
    </row>
    <row r="11" spans="1:19" x14ac:dyDescent="0.35">
      <c r="J11" s="128"/>
      <c r="K11" s="129"/>
      <c r="L11" s="129"/>
      <c r="M11" s="129"/>
      <c r="N11" s="129"/>
      <c r="O11" s="129"/>
      <c r="P11" s="129"/>
      <c r="Q11" s="130"/>
    </row>
    <row r="12" spans="1:19" x14ac:dyDescent="0.35">
      <c r="J12" s="128"/>
      <c r="K12" s="129"/>
      <c r="L12" s="129"/>
      <c r="M12" s="129"/>
      <c r="N12" s="129"/>
      <c r="O12" s="129"/>
      <c r="P12" s="129"/>
      <c r="Q12" s="130"/>
    </row>
    <row r="13" spans="1:19" x14ac:dyDescent="0.35">
      <c r="J13" s="128"/>
      <c r="K13" s="129"/>
      <c r="L13" s="129"/>
      <c r="M13" s="129"/>
      <c r="N13" s="129"/>
      <c r="O13" s="129"/>
      <c r="P13" s="129"/>
      <c r="Q13" s="130"/>
    </row>
    <row r="14" spans="1:19" x14ac:dyDescent="0.35">
      <c r="J14" s="128"/>
      <c r="K14" s="129"/>
      <c r="L14" s="129"/>
      <c r="M14" s="129"/>
      <c r="N14" s="129"/>
      <c r="O14" s="129"/>
      <c r="P14" s="129"/>
      <c r="Q14" s="130"/>
    </row>
    <row r="15" spans="1:19" ht="15" thickBot="1" x14ac:dyDescent="0.4">
      <c r="J15" s="131"/>
      <c r="K15" s="132"/>
      <c r="L15" s="132"/>
      <c r="M15" s="132"/>
      <c r="N15" s="132"/>
      <c r="O15" s="132"/>
      <c r="P15" s="132"/>
      <c r="Q15" s="133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43">
        <f>Budget2526!D40</f>
        <v>35346.901044740996</v>
      </c>
      <c r="F19" s="43">
        <f>Budget2526!E40</f>
        <v>35708.700536117925</v>
      </c>
      <c r="G19" s="43">
        <f>Budget2526!F40</f>
        <v>36024.818727988459</v>
      </c>
      <c r="H19" s="43">
        <f>Budget2526!G40</f>
        <v>36296.055807086654</v>
      </c>
      <c r="I19" s="43">
        <f>Budget2526!H40</f>
        <v>36564.216630885414</v>
      </c>
      <c r="J19" s="43">
        <f>Budget2526!I40</f>
        <v>36788.567243041711</v>
      </c>
      <c r="K19" s="43">
        <f>Budget2526!J40</f>
        <v>37185.070383117723</v>
      </c>
      <c r="L19" s="43">
        <f>Budget2526!K40</f>
        <v>37430.836104568712</v>
      </c>
      <c r="M19" s="43">
        <f>Budget2526!L40</f>
        <v>37673.97140442166</v>
      </c>
      <c r="N19" s="43">
        <f>Budget2526!M40</f>
        <v>37861.94701068072</v>
      </c>
      <c r="O19" s="43">
        <f>Budget2526!N40</f>
        <v>38047.896151762739</v>
      </c>
      <c r="P19" s="43">
        <f>Budget2526!O40</f>
        <v>38231.85153251567</v>
      </c>
      <c r="Q19" s="5"/>
    </row>
    <row r="20" spans="3:17" x14ac:dyDescent="0.35">
      <c r="D20" s="3" t="str">
        <f>'KPI 100'!D20</f>
        <v>Actual 2025/26</v>
      </c>
      <c r="E20" s="43">
        <f>Actuals2526!D40</f>
        <v>41209</v>
      </c>
      <c r="F20" s="43">
        <f>Actuals2526!E40</f>
        <v>39990</v>
      </c>
      <c r="G20" s="43">
        <f>Actuals2526!F40</f>
        <v>36725</v>
      </c>
      <c r="H20" s="43">
        <f>Actuals2526!G40</f>
        <v>48806</v>
      </c>
      <c r="I20" s="43">
        <f>Actuals2526!H40</f>
        <v>33526</v>
      </c>
      <c r="J20" s="43">
        <f>Actuals2526!I40</f>
        <v>35129</v>
      </c>
      <c r="K20" s="43">
        <f>Actuals2526!J40</f>
        <v>42223</v>
      </c>
      <c r="L20" s="43">
        <f>Actuals2526!K40</f>
        <v>43072</v>
      </c>
      <c r="M20" s="43">
        <f>Actuals2526!L40</f>
        <v>0</v>
      </c>
      <c r="N20" s="43">
        <f>Actuals2526!M40</f>
        <v>0</v>
      </c>
      <c r="O20" s="43">
        <f>Actuals2526!N40</f>
        <v>0</v>
      </c>
      <c r="P20" s="43">
        <f>Actuals2526!O40</f>
        <v>0</v>
      </c>
      <c r="Q20" s="5"/>
    </row>
    <row r="21" spans="3:17" x14ac:dyDescent="0.35">
      <c r="D21" s="3" t="str">
        <f>'KPI 100'!D21</f>
        <v>Difference</v>
      </c>
      <c r="E21" s="43">
        <f>IF(E20=0,0,E20-E19)</f>
        <v>5862.0989552590036</v>
      </c>
      <c r="F21" s="43">
        <f t="shared" ref="F21:P21" si="0">IF(F20=0,0,F20-F19)</f>
        <v>4281.2994638820746</v>
      </c>
      <c r="G21" s="43">
        <f t="shared" si="0"/>
        <v>700.1812720115413</v>
      </c>
      <c r="H21" s="43">
        <f t="shared" si="0"/>
        <v>12509.944192913346</v>
      </c>
      <c r="I21" s="43">
        <f t="shared" si="0"/>
        <v>-3038.2166308854139</v>
      </c>
      <c r="J21" s="43">
        <f t="shared" si="0"/>
        <v>-1659.5672430417108</v>
      </c>
      <c r="K21" s="43">
        <f t="shared" si="0"/>
        <v>5037.9296168822766</v>
      </c>
      <c r="L21" s="43">
        <f t="shared" si="0"/>
        <v>5641.1638954312875</v>
      </c>
      <c r="M21" s="43">
        <f t="shared" si="0"/>
        <v>0</v>
      </c>
      <c r="N21" s="43">
        <f t="shared" si="0"/>
        <v>0</v>
      </c>
      <c r="O21" s="43">
        <f t="shared" si="0"/>
        <v>0</v>
      </c>
      <c r="P21" s="43">
        <f t="shared" si="0"/>
        <v>0</v>
      </c>
      <c r="Q21" s="5"/>
    </row>
    <row r="22" spans="3:17" x14ac:dyDescent="0.35">
      <c r="D22" s="3" t="str">
        <f>'KPI 100'!D22</f>
        <v>% realisation</v>
      </c>
      <c r="E22" s="9">
        <f>E20/E19</f>
        <v>1.1658447779577321</v>
      </c>
      <c r="F22" s="9">
        <f t="shared" ref="F22:P22" si="1">F20/F19</f>
        <v>1.1198951347879968</v>
      </c>
      <c r="G22" s="9">
        <f t="shared" si="1"/>
        <v>1.0194360803672151</v>
      </c>
      <c r="H22" s="9">
        <f t="shared" si="1"/>
        <v>1.3446640114122492</v>
      </c>
      <c r="I22" s="9">
        <f t="shared" si="1"/>
        <v>0.91690737800959576</v>
      </c>
      <c r="J22" s="9">
        <f t="shared" si="1"/>
        <v>0.95488904930496832</v>
      </c>
      <c r="K22" s="9">
        <f t="shared" si="1"/>
        <v>1.135482589248225</v>
      </c>
      <c r="L22" s="9">
        <f t="shared" si="1"/>
        <v>1.1507090004527776</v>
      </c>
      <c r="M22" s="9">
        <f t="shared" si="1"/>
        <v>0</v>
      </c>
      <c r="N22" s="9">
        <f t="shared" si="1"/>
        <v>0</v>
      </c>
      <c r="O22" s="9">
        <f t="shared" si="1"/>
        <v>0</v>
      </c>
      <c r="P22" s="9">
        <f t="shared" si="1"/>
        <v>0</v>
      </c>
    </row>
    <row r="23" spans="3:17" x14ac:dyDescent="0.35">
      <c r="D23" s="3" t="str">
        <f>'KPI 100'!D23</f>
        <v>Actual 2024/25</v>
      </c>
      <c r="E23" s="5">
        <f>Actuals2425!D40</f>
        <v>33056</v>
      </c>
      <c r="F23" s="5">
        <f>Actuals2425!E40</f>
        <v>39909</v>
      </c>
      <c r="G23" s="5">
        <f>Actuals2425!F40</f>
        <v>35284</v>
      </c>
      <c r="H23" s="5">
        <f>Actuals2425!G40</f>
        <v>38123</v>
      </c>
      <c r="I23" s="5">
        <f>Actuals2425!H40</f>
        <v>39016</v>
      </c>
      <c r="J23" s="5">
        <f>Actuals2425!I40</f>
        <v>29559</v>
      </c>
      <c r="K23" s="5">
        <f>Actuals2425!J40</f>
        <v>39778</v>
      </c>
      <c r="L23" s="5">
        <f>Actuals2425!K40</f>
        <v>36889</v>
      </c>
      <c r="M23" s="5">
        <f>Actuals2425!L40</f>
        <v>44066</v>
      </c>
      <c r="N23" s="5">
        <f>Actuals2425!M40</f>
        <v>32495</v>
      </c>
      <c r="O23" s="5">
        <f>Actuals2425!N40</f>
        <v>43409</v>
      </c>
      <c r="P23" s="5">
        <f>Actuals2425!O40</f>
        <v>47240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43">
        <f>SUM($E19:E19)</f>
        <v>35346.901044740996</v>
      </c>
      <c r="F26" s="43">
        <f>SUM($E19:F19)</f>
        <v>71055.601580858929</v>
      </c>
      <c r="G26" s="43">
        <f>SUM($E19:G19)</f>
        <v>107080.42030884739</v>
      </c>
      <c r="H26" s="43">
        <f>SUM($E19:H19)</f>
        <v>143376.47611593403</v>
      </c>
      <c r="I26" s="43">
        <f>SUM($E19:I19)</f>
        <v>179940.69274681943</v>
      </c>
      <c r="J26" s="43">
        <f>SUM($E19:J19)</f>
        <v>216729.25998986114</v>
      </c>
      <c r="K26" s="43">
        <f>SUM($E19:K19)</f>
        <v>253914.33037297887</v>
      </c>
      <c r="L26" s="43">
        <f>SUM($E19:L19)</f>
        <v>291345.16647754761</v>
      </c>
      <c r="M26" s="43">
        <f>SUM($E19:M19)</f>
        <v>329019.13788196928</v>
      </c>
      <c r="N26" s="43">
        <f>SUM($E19:N19)</f>
        <v>366881.08489265002</v>
      </c>
      <c r="O26" s="43">
        <f>SUM($E19:O19)</f>
        <v>404928.98104441277</v>
      </c>
      <c r="P26" s="43">
        <f>SUM($E19:P19)</f>
        <v>443160.83257692843</v>
      </c>
    </row>
    <row r="27" spans="3:17" x14ac:dyDescent="0.35">
      <c r="D27" s="3" t="str">
        <f t="shared" ref="D27:D30" si="3">D20</f>
        <v>Actual 2025/26</v>
      </c>
      <c r="E27" s="43">
        <f>SUM($E20:E20)</f>
        <v>41209</v>
      </c>
      <c r="F27" s="43">
        <f>SUM($E20:F20)</f>
        <v>81199</v>
      </c>
      <c r="G27" s="43">
        <f>SUM($E20:G20)</f>
        <v>117924</v>
      </c>
      <c r="H27" s="43">
        <f>SUM($E20:H20)</f>
        <v>166730</v>
      </c>
      <c r="I27" s="43">
        <f>SUM($E20:I20)</f>
        <v>200256</v>
      </c>
      <c r="J27" s="43">
        <f>SUM($E20:J20)</f>
        <v>235385</v>
      </c>
      <c r="K27" s="43">
        <f>SUM($E20:K20)</f>
        <v>277608</v>
      </c>
      <c r="L27" s="43">
        <f>SUM($E20:L20)</f>
        <v>320680</v>
      </c>
      <c r="M27" s="43">
        <f>SUM($E20:M20)</f>
        <v>320680</v>
      </c>
      <c r="N27" s="43">
        <f>SUM($E20:N20)</f>
        <v>320680</v>
      </c>
      <c r="O27" s="43">
        <f>SUM($E20:O20)</f>
        <v>320680</v>
      </c>
      <c r="P27" s="43">
        <f>SUM($E20:P20)</f>
        <v>320680</v>
      </c>
    </row>
    <row r="28" spans="3:17" x14ac:dyDescent="0.35">
      <c r="D28" s="3" t="str">
        <f t="shared" si="3"/>
        <v>Difference</v>
      </c>
      <c r="E28" s="43">
        <f>IF(E27=0,0,E27-E26)</f>
        <v>5862.0989552590036</v>
      </c>
      <c r="F28" s="43">
        <f t="shared" ref="F28:P28" si="4">IF(F27=0,0,F27-F26)</f>
        <v>10143.398419141071</v>
      </c>
      <c r="G28" s="43">
        <f t="shared" si="4"/>
        <v>10843.579691152612</v>
      </c>
      <c r="H28" s="43">
        <f t="shared" si="4"/>
        <v>23353.523884065973</v>
      </c>
      <c r="I28" s="43">
        <f t="shared" si="4"/>
        <v>20315.307253180566</v>
      </c>
      <c r="J28" s="43">
        <f t="shared" si="4"/>
        <v>18655.740010138863</v>
      </c>
      <c r="K28" s="43">
        <f t="shared" si="4"/>
        <v>23693.669627021125</v>
      </c>
      <c r="L28" s="43">
        <f t="shared" si="4"/>
        <v>29334.833522452391</v>
      </c>
      <c r="M28" s="43">
        <f t="shared" si="4"/>
        <v>-8339.1378819692763</v>
      </c>
      <c r="N28" s="43">
        <f t="shared" si="4"/>
        <v>-46201.084892650018</v>
      </c>
      <c r="O28" s="43">
        <f t="shared" si="4"/>
        <v>-84248.981044412765</v>
      </c>
      <c r="P28" s="43">
        <f t="shared" si="4"/>
        <v>-122480.83257692843</v>
      </c>
    </row>
    <row r="29" spans="3:17" x14ac:dyDescent="0.35">
      <c r="D29" s="3" t="str">
        <f t="shared" si="3"/>
        <v>% realisation</v>
      </c>
      <c r="E29" s="9">
        <f t="shared" ref="E29:P29" si="5">E27/E26</f>
        <v>1.1658447779577321</v>
      </c>
      <c r="F29" s="9">
        <f t="shared" si="5"/>
        <v>1.1427529736356987</v>
      </c>
      <c r="G29" s="9">
        <f t="shared" si="5"/>
        <v>1.1012657557738095</v>
      </c>
      <c r="H29" s="9">
        <f t="shared" si="5"/>
        <v>1.1628825349646783</v>
      </c>
      <c r="I29" s="9">
        <f t="shared" si="5"/>
        <v>1.1129000169059293</v>
      </c>
      <c r="J29" s="9">
        <f t="shared" si="5"/>
        <v>1.0860785480050621</v>
      </c>
      <c r="K29" s="9">
        <f t="shared" si="5"/>
        <v>1.0933136368956298</v>
      </c>
      <c r="L29" s="9">
        <f t="shared" si="5"/>
        <v>1.1006875585997171</v>
      </c>
      <c r="M29" s="9">
        <f t="shared" si="5"/>
        <v>0.97465455068768425</v>
      </c>
      <c r="N29" s="9">
        <f t="shared" si="5"/>
        <v>0.87407068176826686</v>
      </c>
      <c r="O29" s="9">
        <f t="shared" si="5"/>
        <v>0.79194134036266395</v>
      </c>
      <c r="P29" s="9">
        <f t="shared" si="5"/>
        <v>0.7236199059724735</v>
      </c>
    </row>
    <row r="30" spans="3:17" x14ac:dyDescent="0.35">
      <c r="D30" s="3" t="str">
        <f t="shared" si="3"/>
        <v>Actual 2024/25</v>
      </c>
      <c r="E30" s="43">
        <f>SUM($E23:E23)</f>
        <v>33056</v>
      </c>
      <c r="F30" s="43">
        <f>SUM($E23:F23)</f>
        <v>72965</v>
      </c>
      <c r="G30" s="43">
        <f>SUM($E23:G23)</f>
        <v>108249</v>
      </c>
      <c r="H30" s="43">
        <f>SUM($E23:H23)</f>
        <v>146372</v>
      </c>
      <c r="I30" s="43">
        <f>SUM($E23:I23)</f>
        <v>185388</v>
      </c>
      <c r="J30" s="43">
        <f>SUM($E23:J23)</f>
        <v>214947</v>
      </c>
      <c r="K30" s="43">
        <f>SUM($E23:K23)</f>
        <v>254725</v>
      </c>
      <c r="L30" s="43">
        <f>SUM($E23:L23)</f>
        <v>291614</v>
      </c>
      <c r="M30" s="43">
        <f>SUM($E23:M23)</f>
        <v>335680</v>
      </c>
      <c r="N30" s="43">
        <f>SUM($E23:N23)</f>
        <v>368175</v>
      </c>
      <c r="O30" s="43">
        <f>SUM($E23:O23)</f>
        <v>411584</v>
      </c>
      <c r="P30" s="43">
        <f>SUM($E23:P23)</f>
        <v>458824</v>
      </c>
    </row>
  </sheetData>
  <sheetProtection algorithmName="SHA-512" hashValue="F7PhChI8ENepqoAUcyFomoUgt88HrOuPVuYigP6HLqh6zYWmhjah6dl+RWnXeGItrfCleWd/y7b3NvTKdWYpnw==" saltValue="VFHwAQDEZ0eZaUPHg6LsyA==" spinCount="100000" sheet="1" objects="1" scenarios="1"/>
  <mergeCells count="3">
    <mergeCell ref="C1:F1"/>
    <mergeCell ref="J4:Q8"/>
    <mergeCell ref="J10:Q15"/>
  </mergeCells>
  <conditionalFormatting sqref="C3">
    <cfRule type="expression" dxfId="155" priority="2">
      <formula>S4&lt;S6</formula>
    </cfRule>
  </conditionalFormatting>
  <conditionalFormatting sqref="C4">
    <cfRule type="expression" dxfId="154" priority="1">
      <formula>AND(S4&gt;=S6,S4&lt;S5)</formula>
    </cfRule>
  </conditionalFormatting>
  <conditionalFormatting sqref="C5">
    <cfRule type="expression" dxfId="153" priority="3">
      <formula>S4&gt;=S5</formula>
    </cfRule>
  </conditionalFormatting>
  <hyperlinks>
    <hyperlink ref="L1" location="'Distribution Dashboard'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98785" r:id="rId4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57150</xdr:rowOff>
                  </from>
                  <to>
                    <xdr:col>9</xdr:col>
                    <xdr:colOff>628650</xdr:colOff>
                    <xdr:row>1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S30"/>
  <sheetViews>
    <sheetView zoomScale="90" zoomScaleNormal="90" zoomScalePageLayoutView="90" workbookViewId="0">
      <pane ySplit="2" topLeftCell="A3" activePane="bottomLeft" state="frozen"/>
      <selection activeCell="D26" sqref="D26:D30"/>
      <selection pane="bottomLeft" activeCell="I1" sqref="I1"/>
    </sheetView>
  </sheetViews>
  <sheetFormatPr defaultColWidth="9.1796875" defaultRowHeight="14.5" x14ac:dyDescent="0.35"/>
  <cols>
    <col min="1" max="1" width="9.1796875" style="3"/>
    <col min="2" max="2" width="5.45312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 t="s">
        <v>102</v>
      </c>
      <c r="C1" s="124" t="s">
        <v>172</v>
      </c>
      <c r="D1" s="124"/>
      <c r="E1" s="124"/>
      <c r="F1" s="124"/>
      <c r="G1" s="3" t="s">
        <v>10</v>
      </c>
      <c r="I1" s="12" t="e">
        <f>INDEX(#REF!,Actual_month)</f>
        <v>#REF!</v>
      </c>
      <c r="L1" s="15" t="s">
        <v>21</v>
      </c>
      <c r="R1" s="5"/>
    </row>
    <row r="2" spans="1:19" x14ac:dyDescent="0.35">
      <c r="A2" s="3" t="s">
        <v>14</v>
      </c>
      <c r="C2" s="3" t="s">
        <v>15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/>
      <c r="K4" s="135"/>
      <c r="L4" s="135"/>
      <c r="M4" s="135"/>
      <c r="N4" s="135"/>
      <c r="O4" s="135"/>
      <c r="P4" s="135"/>
      <c r="Q4" s="136"/>
      <c r="R4" s="3" t="s">
        <v>25</v>
      </c>
      <c r="S4" s="43">
        <f>INDEX(E27:P27,Actual_month)</f>
        <v>233077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43">
        <f>INDEX(E26:P26,Actual_month)</f>
        <v>241151.52050054018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0.9</v>
      </c>
      <c r="S6" s="43">
        <f>+S5*R6</f>
        <v>217036.36845048616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43">
        <f>Budget2526!D41</f>
        <v>28805.518725913207</v>
      </c>
      <c r="F19" s="43">
        <f>Budget2526!E41</f>
        <v>29221.45184642047</v>
      </c>
      <c r="G19" s="43">
        <f>Budget2526!F41</f>
        <v>29607.384966927733</v>
      </c>
      <c r="H19" s="43">
        <f>Budget2526!G41</f>
        <v>29963.318087435</v>
      </c>
      <c r="I19" s="43">
        <f>Budget2526!H41</f>
        <v>30319.251207942259</v>
      </c>
      <c r="J19" s="43">
        <f>Budget2526!I41</f>
        <v>30645.184328449523</v>
      </c>
      <c r="K19" s="43">
        <f>Budget2526!J41</f>
        <v>31118.149975071403</v>
      </c>
      <c r="L19" s="43">
        <f>Budget2526!K41</f>
        <v>31471.261362380574</v>
      </c>
      <c r="M19" s="43">
        <f>Budget2526!L41</f>
        <v>31824.372749689741</v>
      </c>
      <c r="N19" s="43">
        <f>Budget2526!M41</f>
        <v>32132.557007342555</v>
      </c>
      <c r="O19" s="43">
        <f>Budget2526!N41</f>
        <v>32440.741264995373</v>
      </c>
      <c r="P19" s="43">
        <f>Budget2526!O41</f>
        <v>32748.925522648187</v>
      </c>
      <c r="Q19" s="5"/>
    </row>
    <row r="20" spans="3:17" x14ac:dyDescent="0.35">
      <c r="D20" s="3" t="str">
        <f>'KPI 100'!D20</f>
        <v>Actual 2025/26</v>
      </c>
      <c r="E20" s="43">
        <f>Actuals2526!D41</f>
        <v>31567</v>
      </c>
      <c r="F20" s="43">
        <f>Actuals2526!E41</f>
        <v>30396</v>
      </c>
      <c r="G20" s="43">
        <f>Actuals2526!F41</f>
        <v>26239</v>
      </c>
      <c r="H20" s="43">
        <f>Actuals2526!G41</f>
        <v>28789</v>
      </c>
      <c r="I20" s="43">
        <f>Actuals2526!H41</f>
        <v>24966</v>
      </c>
      <c r="J20" s="43">
        <f>Actuals2526!I41</f>
        <v>26222</v>
      </c>
      <c r="K20" s="43">
        <f>Actuals2526!J41</f>
        <v>31253</v>
      </c>
      <c r="L20" s="43">
        <f>Actuals2526!K41</f>
        <v>33645</v>
      </c>
      <c r="M20" s="43">
        <f>Actuals2526!L41</f>
        <v>0</v>
      </c>
      <c r="N20" s="43">
        <f>Actuals2526!M41</f>
        <v>0</v>
      </c>
      <c r="O20" s="43">
        <f>Actuals2526!N41</f>
        <v>0</v>
      </c>
      <c r="P20" s="43">
        <f>Actuals2526!O41</f>
        <v>0</v>
      </c>
      <c r="Q20" s="5"/>
    </row>
    <row r="21" spans="3:17" x14ac:dyDescent="0.35">
      <c r="D21" s="3" t="str">
        <f>'KPI 100'!D21</f>
        <v>Difference</v>
      </c>
      <c r="E21" s="43">
        <f>IF(E20=0,0,E20-E19)</f>
        <v>2761.4812740867928</v>
      </c>
      <c r="F21" s="43">
        <f t="shared" ref="F21:P21" si="0">IF(F20=0,0,F20-F19)</f>
        <v>1174.5481535795298</v>
      </c>
      <c r="G21" s="43">
        <f t="shared" si="0"/>
        <v>-3368.3849669277333</v>
      </c>
      <c r="H21" s="43">
        <f t="shared" si="0"/>
        <v>-1174.3180874350001</v>
      </c>
      <c r="I21" s="43">
        <f t="shared" si="0"/>
        <v>-5353.2512079422595</v>
      </c>
      <c r="J21" s="43">
        <f t="shared" si="0"/>
        <v>-4423.1843284495226</v>
      </c>
      <c r="K21" s="43">
        <f t="shared" si="0"/>
        <v>134.85002492859712</v>
      </c>
      <c r="L21" s="43">
        <f t="shared" si="0"/>
        <v>2173.7386376194263</v>
      </c>
      <c r="M21" s="43">
        <f t="shared" si="0"/>
        <v>0</v>
      </c>
      <c r="N21" s="43">
        <f t="shared" si="0"/>
        <v>0</v>
      </c>
      <c r="O21" s="43">
        <f t="shared" si="0"/>
        <v>0</v>
      </c>
      <c r="P21" s="43">
        <f t="shared" si="0"/>
        <v>0</v>
      </c>
      <c r="Q21" s="5"/>
    </row>
    <row r="22" spans="3:17" x14ac:dyDescent="0.35">
      <c r="D22" s="3" t="str">
        <f>'KPI 100'!D22</f>
        <v>% realisation</v>
      </c>
      <c r="E22" s="9">
        <f>E20/E19</f>
        <v>1.0958663963097663</v>
      </c>
      <c r="F22" s="9">
        <f t="shared" ref="F22:P22" si="1">F20/F19</f>
        <v>1.0401947226904609</v>
      </c>
      <c r="G22" s="9">
        <f t="shared" si="1"/>
        <v>0.88623159489801906</v>
      </c>
      <c r="H22" s="9">
        <f t="shared" si="1"/>
        <v>0.96080814267604608</v>
      </c>
      <c r="I22" s="9">
        <f t="shared" si="1"/>
        <v>0.8234372224027765</v>
      </c>
      <c r="J22" s="9">
        <f t="shared" si="1"/>
        <v>0.85566461989451148</v>
      </c>
      <c r="K22" s="9">
        <f t="shared" si="1"/>
        <v>1.0043334846395633</v>
      </c>
      <c r="L22" s="9">
        <f t="shared" si="1"/>
        <v>1.069070591502183</v>
      </c>
      <c r="M22" s="9">
        <f t="shared" si="1"/>
        <v>0</v>
      </c>
      <c r="N22" s="9">
        <f t="shared" si="1"/>
        <v>0</v>
      </c>
      <c r="O22" s="9">
        <f t="shared" si="1"/>
        <v>0</v>
      </c>
      <c r="P22" s="9">
        <f t="shared" si="1"/>
        <v>0</v>
      </c>
    </row>
    <row r="23" spans="3:17" x14ac:dyDescent="0.35">
      <c r="D23" s="3" t="str">
        <f>'KPI 100'!D23</f>
        <v>Actual 2024/25</v>
      </c>
      <c r="E23" s="5">
        <f>Actuals2425!D41</f>
        <v>26497</v>
      </c>
      <c r="F23" s="5">
        <f>Actuals2425!E41</f>
        <v>29718</v>
      </c>
      <c r="G23" s="5">
        <f>Actuals2425!F41</f>
        <v>32245</v>
      </c>
      <c r="H23" s="5">
        <f>Actuals2425!G41</f>
        <v>30200</v>
      </c>
      <c r="I23" s="5">
        <f>Actuals2425!H41</f>
        <v>32349</v>
      </c>
      <c r="J23" s="5">
        <f>Actuals2425!I41</f>
        <v>24184</v>
      </c>
      <c r="K23" s="5">
        <f>Actuals2425!J41</f>
        <v>29173</v>
      </c>
      <c r="L23" s="5">
        <f>Actuals2425!K41</f>
        <v>28120</v>
      </c>
      <c r="M23" s="5">
        <f>Actuals2425!L41</f>
        <v>29681</v>
      </c>
      <c r="N23" s="5">
        <f>Actuals2425!M41</f>
        <v>26294</v>
      </c>
      <c r="O23" s="5">
        <f>Actuals2425!N41</f>
        <v>27869</v>
      </c>
      <c r="P23" s="5">
        <f>Actuals2425!O41</f>
        <v>30668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43">
        <f>SUM($E19:E19)</f>
        <v>28805.518725913207</v>
      </c>
      <c r="F26" s="43">
        <f>SUM($E19:F19)</f>
        <v>58026.970572333681</v>
      </c>
      <c r="G26" s="43">
        <f>SUM($E19:G19)</f>
        <v>87634.355539261422</v>
      </c>
      <c r="H26" s="43">
        <f>SUM($E19:H19)</f>
        <v>117597.67362669643</v>
      </c>
      <c r="I26" s="43">
        <f>SUM($E19:I19)</f>
        <v>147916.92483463869</v>
      </c>
      <c r="J26" s="43">
        <f>SUM($E19:J19)</f>
        <v>178562.1091630882</v>
      </c>
      <c r="K26" s="43">
        <f>SUM($E19:K19)</f>
        <v>209680.2591381596</v>
      </c>
      <c r="L26" s="43">
        <f>SUM($E19:L19)</f>
        <v>241151.52050054018</v>
      </c>
      <c r="M26" s="43">
        <f>SUM($E19:M19)</f>
        <v>272975.89325022994</v>
      </c>
      <c r="N26" s="43">
        <f>SUM($E19:N19)</f>
        <v>305108.45025757252</v>
      </c>
      <c r="O26" s="43">
        <f>SUM($E19:O19)</f>
        <v>337549.19152256788</v>
      </c>
      <c r="P26" s="43">
        <f>SUM($E19:P19)</f>
        <v>370298.11704521609</v>
      </c>
    </row>
    <row r="27" spans="3:17" x14ac:dyDescent="0.35">
      <c r="D27" s="3" t="str">
        <f t="shared" ref="D27:D30" si="3">D20</f>
        <v>Actual 2025/26</v>
      </c>
      <c r="E27" s="43">
        <f>SUM($E20:E20)</f>
        <v>31567</v>
      </c>
      <c r="F27" s="43">
        <f>SUM($E20:F20)</f>
        <v>61963</v>
      </c>
      <c r="G27" s="43">
        <f>SUM($E20:G20)</f>
        <v>88202</v>
      </c>
      <c r="H27" s="43">
        <f>SUM($E20:H20)</f>
        <v>116991</v>
      </c>
      <c r="I27" s="43">
        <f>SUM($E20:I20)</f>
        <v>141957</v>
      </c>
      <c r="J27" s="43">
        <f>SUM($E20:J20)</f>
        <v>168179</v>
      </c>
      <c r="K27" s="43">
        <f>SUM($E20:K20)</f>
        <v>199432</v>
      </c>
      <c r="L27" s="43">
        <f>SUM($E20:L20)</f>
        <v>233077</v>
      </c>
      <c r="M27" s="43">
        <f>SUM($E20:M20)</f>
        <v>233077</v>
      </c>
      <c r="N27" s="43">
        <f>SUM($E20:N20)</f>
        <v>233077</v>
      </c>
      <c r="O27" s="43">
        <f>SUM($E20:O20)</f>
        <v>233077</v>
      </c>
      <c r="P27" s="43">
        <f>SUM($E20:P20)</f>
        <v>233077</v>
      </c>
    </row>
    <row r="28" spans="3:17" x14ac:dyDescent="0.35">
      <c r="D28" s="3" t="str">
        <f t="shared" si="3"/>
        <v>Difference</v>
      </c>
      <c r="E28" s="43">
        <f>IF(E27=0,0,E27-E26)</f>
        <v>2761.4812740867928</v>
      </c>
      <c r="F28" s="43">
        <f t="shared" ref="F28:P28" si="4">IF(F27=0,0,F27-F26)</f>
        <v>3936.029427666319</v>
      </c>
      <c r="G28" s="43">
        <f t="shared" si="4"/>
        <v>567.64446073857835</v>
      </c>
      <c r="H28" s="43">
        <f t="shared" si="4"/>
        <v>-606.67362669642898</v>
      </c>
      <c r="I28" s="43">
        <f t="shared" si="4"/>
        <v>-5959.9248346386885</v>
      </c>
      <c r="J28" s="43">
        <f t="shared" si="4"/>
        <v>-10383.1091630882</v>
      </c>
      <c r="K28" s="43">
        <f t="shared" si="4"/>
        <v>-10248.259138159599</v>
      </c>
      <c r="L28" s="43">
        <f t="shared" si="4"/>
        <v>-8074.5205005401804</v>
      </c>
      <c r="M28" s="43">
        <f t="shared" si="4"/>
        <v>-39898.893250229943</v>
      </c>
      <c r="N28" s="43">
        <f t="shared" si="4"/>
        <v>-72031.45025757252</v>
      </c>
      <c r="O28" s="43">
        <f t="shared" si="4"/>
        <v>-104472.19152256788</v>
      </c>
      <c r="P28" s="43">
        <f t="shared" si="4"/>
        <v>-137221.11704521609</v>
      </c>
    </row>
    <row r="29" spans="3:17" x14ac:dyDescent="0.35">
      <c r="D29" s="3" t="str">
        <f t="shared" si="3"/>
        <v>% realisation</v>
      </c>
      <c r="E29" s="9">
        <f t="shared" ref="E29:P29" si="5">E27/E26</f>
        <v>1.0958663963097663</v>
      </c>
      <c r="F29" s="9">
        <f t="shared" si="5"/>
        <v>1.0678310342388089</v>
      </c>
      <c r="G29" s="9">
        <f t="shared" si="5"/>
        <v>1.0064774192409536</v>
      </c>
      <c r="H29" s="9">
        <f t="shared" si="5"/>
        <v>0.99484110860371044</v>
      </c>
      <c r="I29" s="9">
        <f t="shared" si="5"/>
        <v>0.95970762073845517</v>
      </c>
      <c r="J29" s="9">
        <f t="shared" si="5"/>
        <v>0.94185155399567511</v>
      </c>
      <c r="K29" s="9">
        <f t="shared" si="5"/>
        <v>0.95112434913862365</v>
      </c>
      <c r="L29" s="9">
        <f t="shared" si="5"/>
        <v>0.96651681696312552</v>
      </c>
      <c r="M29" s="9">
        <f t="shared" si="5"/>
        <v>0.853837301253354</v>
      </c>
      <c r="N29" s="9">
        <f t="shared" si="5"/>
        <v>0.7639152563727305</v>
      </c>
      <c r="O29" s="9">
        <f t="shared" si="5"/>
        <v>0.69049787661664985</v>
      </c>
      <c r="P29" s="9">
        <f t="shared" si="5"/>
        <v>0.62943069184318756</v>
      </c>
    </row>
    <row r="30" spans="3:17" x14ac:dyDescent="0.35">
      <c r="D30" s="3" t="str">
        <f t="shared" si="3"/>
        <v>Actual 2024/25</v>
      </c>
      <c r="E30" s="43">
        <f>SUM($E23:E23)</f>
        <v>26497</v>
      </c>
      <c r="F30" s="43">
        <f>SUM($E23:F23)</f>
        <v>56215</v>
      </c>
      <c r="G30" s="43">
        <f>SUM($E23:G23)</f>
        <v>88460</v>
      </c>
      <c r="H30" s="43">
        <f>SUM($E23:H23)</f>
        <v>118660</v>
      </c>
      <c r="I30" s="43">
        <f>SUM($E23:I23)</f>
        <v>151009</v>
      </c>
      <c r="J30" s="43">
        <f>SUM($E23:J23)</f>
        <v>175193</v>
      </c>
      <c r="K30" s="43">
        <f>SUM($E23:K23)</f>
        <v>204366</v>
      </c>
      <c r="L30" s="43">
        <f>SUM($E23:L23)</f>
        <v>232486</v>
      </c>
      <c r="M30" s="43">
        <f>SUM($E23:M23)</f>
        <v>262167</v>
      </c>
      <c r="N30" s="43">
        <f>SUM($E23:N23)</f>
        <v>288461</v>
      </c>
      <c r="O30" s="43">
        <f>SUM($E23:O23)</f>
        <v>316330</v>
      </c>
      <c r="P30" s="43">
        <f>SUM($E23:P23)</f>
        <v>346998</v>
      </c>
    </row>
  </sheetData>
  <sheetProtection algorithmName="SHA-512" hashValue="zUqj+Sv66W9MmDBKAtUFW+W2al4MM81c8iA59Ku229RV+Ce8vLdzzn/ULBmk3snen+pDrBSOJIsW/SfrSm37LQ==" saltValue="xD1iXguNQ1gqSoJUCJ5zxw==" spinCount="100000" sheet="1" objects="1" scenarios="1"/>
  <mergeCells count="3">
    <mergeCell ref="C1:F1"/>
    <mergeCell ref="J4:Q8"/>
    <mergeCell ref="J10:Q15"/>
  </mergeCells>
  <conditionalFormatting sqref="C3">
    <cfRule type="expression" dxfId="152" priority="2">
      <formula>S4&lt;S6</formula>
    </cfRule>
  </conditionalFormatting>
  <conditionalFormatting sqref="C4">
    <cfRule type="expression" dxfId="151" priority="1">
      <formula>AND(S4&gt;=S6,S4&lt;S5)</formula>
    </cfRule>
  </conditionalFormatting>
  <conditionalFormatting sqref="C5">
    <cfRule type="expression" dxfId="150" priority="3">
      <formula>S4&gt;=S5</formula>
    </cfRule>
  </conditionalFormatting>
  <hyperlinks>
    <hyperlink ref="L1" location="'Distribution Dashboard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80705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57150</xdr:rowOff>
                  </from>
                  <to>
                    <xdr:col>9</xdr:col>
                    <xdr:colOff>628650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S30"/>
  <sheetViews>
    <sheetView zoomScale="90" zoomScaleNormal="90" zoomScalePageLayoutView="90" workbookViewId="0">
      <pane ySplit="2" topLeftCell="A3" activePane="bottomLeft" state="frozen"/>
      <selection activeCell="D26" sqref="D26:D30"/>
      <selection pane="bottomLeft" activeCell="I1" sqref="I1"/>
    </sheetView>
  </sheetViews>
  <sheetFormatPr defaultColWidth="9.1796875" defaultRowHeight="14.5" x14ac:dyDescent="0.35"/>
  <cols>
    <col min="1" max="1" width="9.1796875" style="3"/>
    <col min="2" max="2" width="5.45312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 t="s">
        <v>103</v>
      </c>
      <c r="C1" s="124" t="s">
        <v>173</v>
      </c>
      <c r="D1" s="124"/>
      <c r="E1" s="124"/>
      <c r="F1" s="124"/>
      <c r="G1" s="3" t="s">
        <v>10</v>
      </c>
      <c r="I1" s="12" t="e">
        <f>INDEX(#REF!,Actual_month)</f>
        <v>#REF!</v>
      </c>
      <c r="L1" s="15" t="s">
        <v>21</v>
      </c>
      <c r="R1" s="5"/>
    </row>
    <row r="2" spans="1:19" x14ac:dyDescent="0.35">
      <c r="A2" s="3" t="s">
        <v>14</v>
      </c>
      <c r="C2" s="3" t="s">
        <v>15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/>
      <c r="K4" s="135"/>
      <c r="L4" s="135"/>
      <c r="M4" s="135"/>
      <c r="N4" s="135"/>
      <c r="O4" s="135"/>
      <c r="P4" s="135"/>
      <c r="Q4" s="136"/>
      <c r="R4" s="3" t="s">
        <v>25</v>
      </c>
      <c r="S4" s="43">
        <f>INDEX(E27:P27,Actual_month)</f>
        <v>87603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43">
        <f>INDEX(E26:P26,Actual_month)</f>
        <v>50193.645977007429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0.9</v>
      </c>
      <c r="S6" s="43">
        <f>+S5*R6</f>
        <v>45174.281379306689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43">
        <f>Budget2526!D42</f>
        <v>6541.3823188277893</v>
      </c>
      <c r="F19" s="43">
        <f>Budget2526!E42</f>
        <v>6487.2486896974551</v>
      </c>
      <c r="G19" s="43">
        <f>Budget2526!F42</f>
        <v>6417.4337610607254</v>
      </c>
      <c r="H19" s="43">
        <f>Budget2526!G42</f>
        <v>6332.7377196516536</v>
      </c>
      <c r="I19" s="43">
        <f>Budget2526!H42</f>
        <v>6244.9654229431544</v>
      </c>
      <c r="J19" s="43">
        <f>Budget2526!I42</f>
        <v>6143.3829145921882</v>
      </c>
      <c r="K19" s="43">
        <f>Budget2526!J42</f>
        <v>6066.9204080463205</v>
      </c>
      <c r="L19" s="43">
        <f>Budget2526!K42</f>
        <v>5959.5747421881388</v>
      </c>
      <c r="M19" s="43">
        <f>Budget2526!L42</f>
        <v>5849.5986547319189</v>
      </c>
      <c r="N19" s="43">
        <f>Budget2526!M42</f>
        <v>5729.3900033381651</v>
      </c>
      <c r="O19" s="43">
        <f>Budget2526!N42</f>
        <v>5607.1548867673664</v>
      </c>
      <c r="P19" s="43">
        <f>Budget2526!O42</f>
        <v>5482.9260098674822</v>
      </c>
      <c r="Q19" s="5"/>
    </row>
    <row r="20" spans="3:17" x14ac:dyDescent="0.35">
      <c r="D20" s="3" t="str">
        <f>'KPI 100'!D20</f>
        <v>Actual 2025/26</v>
      </c>
      <c r="E20" s="43">
        <f>Actuals2526!D42</f>
        <v>9642</v>
      </c>
      <c r="F20" s="43">
        <f>Actuals2526!E42</f>
        <v>9594</v>
      </c>
      <c r="G20" s="43">
        <f>Actuals2526!F42</f>
        <v>10486</v>
      </c>
      <c r="H20" s="43">
        <f>Actuals2526!G42</f>
        <v>20017</v>
      </c>
      <c r="I20" s="43">
        <f>Actuals2526!H42</f>
        <v>8560</v>
      </c>
      <c r="J20" s="43">
        <f>Actuals2526!I42</f>
        <v>8907</v>
      </c>
      <c r="K20" s="43">
        <f>Actuals2526!J42</f>
        <v>10970</v>
      </c>
      <c r="L20" s="43">
        <f>Actuals2526!K42</f>
        <v>9427</v>
      </c>
      <c r="M20" s="43">
        <f>Actuals2526!L42</f>
        <v>0</v>
      </c>
      <c r="N20" s="43">
        <f>Actuals2526!M42</f>
        <v>0</v>
      </c>
      <c r="O20" s="43">
        <f>Actuals2526!N42</f>
        <v>0</v>
      </c>
      <c r="P20" s="43">
        <f>Actuals2526!O42</f>
        <v>0</v>
      </c>
      <c r="Q20" s="5"/>
    </row>
    <row r="21" spans="3:17" x14ac:dyDescent="0.35">
      <c r="D21" s="3" t="str">
        <f>'KPI 100'!D21</f>
        <v>Difference</v>
      </c>
      <c r="E21" s="43">
        <f>IF(E20=0,0,E20-E19)</f>
        <v>3100.6176811722107</v>
      </c>
      <c r="F21" s="43">
        <f t="shared" ref="F21:P21" si="0">IF(F20=0,0,F20-F19)</f>
        <v>3106.7513103025449</v>
      </c>
      <c r="G21" s="43">
        <f t="shared" si="0"/>
        <v>4068.5662389392746</v>
      </c>
      <c r="H21" s="43">
        <f t="shared" si="0"/>
        <v>13684.262280348346</v>
      </c>
      <c r="I21" s="43">
        <f t="shared" si="0"/>
        <v>2315.0345770568456</v>
      </c>
      <c r="J21" s="43">
        <f t="shared" si="0"/>
        <v>2763.6170854078118</v>
      </c>
      <c r="K21" s="43">
        <f t="shared" si="0"/>
        <v>4903.0795919536795</v>
      </c>
      <c r="L21" s="43">
        <f t="shared" si="0"/>
        <v>3467.4252578118612</v>
      </c>
      <c r="M21" s="43">
        <f t="shared" si="0"/>
        <v>0</v>
      </c>
      <c r="N21" s="43">
        <f t="shared" si="0"/>
        <v>0</v>
      </c>
      <c r="O21" s="43">
        <f t="shared" si="0"/>
        <v>0</v>
      </c>
      <c r="P21" s="43">
        <f t="shared" si="0"/>
        <v>0</v>
      </c>
      <c r="Q21" s="5"/>
    </row>
    <row r="22" spans="3:17" x14ac:dyDescent="0.35">
      <c r="D22" s="3" t="str">
        <f>'KPI 100'!D22</f>
        <v>% realisation</v>
      </c>
      <c r="E22" s="9">
        <f>E20/E19</f>
        <v>1.4740003763803611</v>
      </c>
      <c r="F22" s="9">
        <f t="shared" ref="F22:P22" si="1">F20/F19</f>
        <v>1.4789012197476639</v>
      </c>
      <c r="G22" s="9">
        <f t="shared" si="1"/>
        <v>1.6339864797087971</v>
      </c>
      <c r="H22" s="9">
        <f t="shared" si="1"/>
        <v>3.1608762096499836</v>
      </c>
      <c r="I22" s="9">
        <f t="shared" si="1"/>
        <v>1.3707041465036336</v>
      </c>
      <c r="J22" s="9">
        <f t="shared" si="1"/>
        <v>1.4498526502138549</v>
      </c>
      <c r="K22" s="9">
        <f t="shared" si="1"/>
        <v>1.8081661307853842</v>
      </c>
      <c r="L22" s="9">
        <f t="shared" si="1"/>
        <v>1.5818242756929917</v>
      </c>
      <c r="M22" s="9">
        <f t="shared" si="1"/>
        <v>0</v>
      </c>
      <c r="N22" s="9">
        <f t="shared" si="1"/>
        <v>0</v>
      </c>
      <c r="O22" s="9">
        <f t="shared" si="1"/>
        <v>0</v>
      </c>
      <c r="P22" s="9">
        <f t="shared" si="1"/>
        <v>0</v>
      </c>
    </row>
    <row r="23" spans="3:17" x14ac:dyDescent="0.35">
      <c r="D23" s="3" t="str">
        <f>'KPI 100'!D23</f>
        <v>Actual 2024/25</v>
      </c>
      <c r="E23" s="43">
        <f>Actuals2425!D42</f>
        <v>6559</v>
      </c>
      <c r="F23" s="43">
        <f>Actuals2425!E42</f>
        <v>10191</v>
      </c>
      <c r="G23" s="43">
        <f>Actuals2425!F42</f>
        <v>3039</v>
      </c>
      <c r="H23" s="43">
        <f>Actuals2425!G42</f>
        <v>7923</v>
      </c>
      <c r="I23" s="43">
        <f>Actuals2425!H42</f>
        <v>6667</v>
      </c>
      <c r="J23" s="43">
        <f>Actuals2425!I42</f>
        <v>5375</v>
      </c>
      <c r="K23" s="43">
        <f>Actuals2425!J42</f>
        <v>10605</v>
      </c>
      <c r="L23" s="43">
        <f>Actuals2425!K42</f>
        <v>8769</v>
      </c>
      <c r="M23" s="43">
        <f>Actuals2425!L42</f>
        <v>14385</v>
      </c>
      <c r="N23" s="43">
        <f>Actuals2425!M42</f>
        <v>6201</v>
      </c>
      <c r="O23" s="43">
        <f>Actuals2425!N42</f>
        <v>15540</v>
      </c>
      <c r="P23" s="43">
        <f>Actuals2425!O42</f>
        <v>16572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43">
        <f>SUM($E19:E19)</f>
        <v>6541.3823188277893</v>
      </c>
      <c r="F26" s="43">
        <f>SUM($E19:F19)</f>
        <v>13028.631008525244</v>
      </c>
      <c r="G26" s="43">
        <f>SUM($E19:G19)</f>
        <v>19446.06476958597</v>
      </c>
      <c r="H26" s="43">
        <f>SUM($E19:H19)</f>
        <v>25778.802489237623</v>
      </c>
      <c r="I26" s="43">
        <f>SUM($E19:I19)</f>
        <v>32023.767912180778</v>
      </c>
      <c r="J26" s="43">
        <f>SUM($E19:J19)</f>
        <v>38167.150826772966</v>
      </c>
      <c r="K26" s="43">
        <f>SUM($E19:K19)</f>
        <v>44234.07123481929</v>
      </c>
      <c r="L26" s="43">
        <f>SUM($E19:L19)</f>
        <v>50193.645977007429</v>
      </c>
      <c r="M26" s="43">
        <f>SUM($E19:M19)</f>
        <v>56043.244631739348</v>
      </c>
      <c r="N26" s="43">
        <f>SUM($E19:N19)</f>
        <v>61772.634635077513</v>
      </c>
      <c r="O26" s="43">
        <f>SUM($E19:O19)</f>
        <v>67379.789521844883</v>
      </c>
      <c r="P26" s="43">
        <f>SUM($E19:P19)</f>
        <v>72862.715531712369</v>
      </c>
    </row>
    <row r="27" spans="3:17" x14ac:dyDescent="0.35">
      <c r="D27" s="3" t="str">
        <f t="shared" ref="D27:D30" si="3">D20</f>
        <v>Actual 2025/26</v>
      </c>
      <c r="E27" s="43">
        <f>SUM($E20:E20)</f>
        <v>9642</v>
      </c>
      <c r="F27" s="43">
        <f>SUM($E20:F20)</f>
        <v>19236</v>
      </c>
      <c r="G27" s="43">
        <f>SUM($E20:G20)</f>
        <v>29722</v>
      </c>
      <c r="H27" s="43">
        <f>SUM($E20:H20)</f>
        <v>49739</v>
      </c>
      <c r="I27" s="43">
        <f>SUM($E20:I20)</f>
        <v>58299</v>
      </c>
      <c r="J27" s="43">
        <f>SUM($E20:J20)</f>
        <v>67206</v>
      </c>
      <c r="K27" s="43">
        <f>SUM($E20:K20)</f>
        <v>78176</v>
      </c>
      <c r="L27" s="43">
        <f>SUM($E20:L20)</f>
        <v>87603</v>
      </c>
      <c r="M27" s="43">
        <f>SUM($E20:M20)</f>
        <v>87603</v>
      </c>
      <c r="N27" s="43">
        <f>SUM($E20:N20)</f>
        <v>87603</v>
      </c>
      <c r="O27" s="43">
        <f>SUM($E20:O20)</f>
        <v>87603</v>
      </c>
      <c r="P27" s="43">
        <f>SUM($E20:P20)</f>
        <v>87603</v>
      </c>
    </row>
    <row r="28" spans="3:17" x14ac:dyDescent="0.35">
      <c r="D28" s="3" t="str">
        <f t="shared" si="3"/>
        <v>Difference</v>
      </c>
      <c r="E28" s="43">
        <f>IF(E27=0,0,E27-E26)</f>
        <v>3100.6176811722107</v>
      </c>
      <c r="F28" s="43">
        <f t="shared" ref="F28:P28" si="4">IF(F27=0,0,F27-F26)</f>
        <v>6207.3689914747556</v>
      </c>
      <c r="G28" s="43">
        <f t="shared" si="4"/>
        <v>10275.93523041403</v>
      </c>
      <c r="H28" s="43">
        <f t="shared" si="4"/>
        <v>23960.197510762377</v>
      </c>
      <c r="I28" s="43">
        <f t="shared" si="4"/>
        <v>26275.232087819222</v>
      </c>
      <c r="J28" s="43">
        <f t="shared" si="4"/>
        <v>29038.849173227034</v>
      </c>
      <c r="K28" s="43">
        <f t="shared" si="4"/>
        <v>33941.92876518071</v>
      </c>
      <c r="L28" s="43">
        <f t="shared" si="4"/>
        <v>37409.354022992571</v>
      </c>
      <c r="M28" s="43">
        <f t="shared" si="4"/>
        <v>31559.755368260652</v>
      </c>
      <c r="N28" s="43">
        <f t="shared" si="4"/>
        <v>25830.365364922487</v>
      </c>
      <c r="O28" s="43">
        <f t="shared" si="4"/>
        <v>20223.210478155117</v>
      </c>
      <c r="P28" s="43">
        <f t="shared" si="4"/>
        <v>14740.284468287631</v>
      </c>
    </row>
    <row r="29" spans="3:17" x14ac:dyDescent="0.35">
      <c r="D29" s="3" t="str">
        <f t="shared" si="3"/>
        <v>% realisation</v>
      </c>
      <c r="E29" s="9">
        <f t="shared" ref="E29:P29" si="5">E27/E26</f>
        <v>1.4740003763803611</v>
      </c>
      <c r="F29" s="9">
        <f t="shared" si="5"/>
        <v>1.4764406166244928</v>
      </c>
      <c r="G29" s="9">
        <f t="shared" si="5"/>
        <v>1.5284326341690375</v>
      </c>
      <c r="H29" s="9">
        <f t="shared" si="5"/>
        <v>1.9294534732854836</v>
      </c>
      <c r="I29" s="9">
        <f t="shared" si="5"/>
        <v>1.8204915848714041</v>
      </c>
      <c r="J29" s="9">
        <f t="shared" si="5"/>
        <v>1.7608335582874388</v>
      </c>
      <c r="K29" s="9">
        <f t="shared" si="5"/>
        <v>1.7673254533818037</v>
      </c>
      <c r="L29" s="9">
        <f t="shared" si="5"/>
        <v>1.7453005912367663</v>
      </c>
      <c r="M29" s="9">
        <f t="shared" si="5"/>
        <v>1.5631321950690058</v>
      </c>
      <c r="N29" s="9">
        <f t="shared" si="5"/>
        <v>1.4181522371113948</v>
      </c>
      <c r="O29" s="9">
        <f t="shared" si="5"/>
        <v>1.300137632095135</v>
      </c>
      <c r="P29" s="9">
        <f t="shared" si="5"/>
        <v>1.2023021563322349</v>
      </c>
    </row>
    <row r="30" spans="3:17" x14ac:dyDescent="0.35">
      <c r="D30" s="3" t="str">
        <f t="shared" si="3"/>
        <v>Actual 2024/25</v>
      </c>
      <c r="E30" s="43">
        <f>SUM($E23:E23)</f>
        <v>6559</v>
      </c>
      <c r="F30" s="43">
        <f>SUM($E23:F23)</f>
        <v>16750</v>
      </c>
      <c r="G30" s="43">
        <f>SUM($E23:G23)</f>
        <v>19789</v>
      </c>
      <c r="H30" s="43">
        <f>SUM($E23:H23)</f>
        <v>27712</v>
      </c>
      <c r="I30" s="43">
        <f>SUM($E23:I23)</f>
        <v>34379</v>
      </c>
      <c r="J30" s="43">
        <f>SUM($E23:J23)</f>
        <v>39754</v>
      </c>
      <c r="K30" s="43">
        <f>SUM($E23:K23)</f>
        <v>50359</v>
      </c>
      <c r="L30" s="43">
        <f>SUM($E23:L23)</f>
        <v>59128</v>
      </c>
      <c r="M30" s="43">
        <f>SUM($E23:M23)</f>
        <v>73513</v>
      </c>
      <c r="N30" s="43">
        <f>SUM($E23:N23)</f>
        <v>79714</v>
      </c>
      <c r="O30" s="43">
        <f>SUM($E23:O23)</f>
        <v>95254</v>
      </c>
      <c r="P30" s="43">
        <f>SUM($E23:P23)</f>
        <v>111826</v>
      </c>
    </row>
  </sheetData>
  <sheetProtection algorithmName="SHA-512" hashValue="zrElabFRJ39UxmyGw9zFgP+C0L5UrD4NmWObAcYWVsLDn8L+BsyurBKmQ0Tn5rWLhaYVa2XvpLLrk4NpykXaHg==" saltValue="k3cj24ggO947Pbq8F0URog==" spinCount="100000" sheet="1" objects="1" scenarios="1"/>
  <mergeCells count="3">
    <mergeCell ref="C1:F1"/>
    <mergeCell ref="J4:Q8"/>
    <mergeCell ref="J10:Q15"/>
  </mergeCells>
  <conditionalFormatting sqref="C3">
    <cfRule type="expression" dxfId="149" priority="2">
      <formula>S4&lt;S6</formula>
    </cfRule>
  </conditionalFormatting>
  <conditionalFormatting sqref="C4">
    <cfRule type="expression" dxfId="148" priority="1">
      <formula>AND(S4&gt;=S6,S4&lt;S5)</formula>
    </cfRule>
  </conditionalFormatting>
  <conditionalFormatting sqref="C5">
    <cfRule type="expression" dxfId="147" priority="3">
      <formula>S4&gt;=S5</formula>
    </cfRule>
  </conditionalFormatting>
  <hyperlinks>
    <hyperlink ref="L1" location="'Distribution Dashboard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02881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57150</xdr:rowOff>
                  </from>
                  <to>
                    <xdr:col>9</xdr:col>
                    <xdr:colOff>628650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S30"/>
  <sheetViews>
    <sheetView zoomScale="90" zoomScaleNormal="90" zoomScalePageLayoutView="90" workbookViewId="0">
      <pane ySplit="2" topLeftCell="A3" activePane="bottomLeft" state="frozen"/>
      <selection activeCell="D26" sqref="D26:D30"/>
      <selection pane="bottomLeft" activeCell="I2" sqref="I2"/>
    </sheetView>
  </sheetViews>
  <sheetFormatPr defaultColWidth="9.1796875" defaultRowHeight="14.5" x14ac:dyDescent="0.35"/>
  <cols>
    <col min="1" max="1" width="9.1796875" style="3"/>
    <col min="2" max="2" width="5.45312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 t="s">
        <v>103</v>
      </c>
      <c r="C1" s="124" t="str">
        <f>'Distribution Dashboard'!B34</f>
        <v>NRW</v>
      </c>
      <c r="D1" s="124"/>
      <c r="E1" s="124"/>
      <c r="F1" s="124"/>
      <c r="G1" s="3" t="s">
        <v>10</v>
      </c>
      <c r="I1" s="12" cm="1">
        <f t="array" ref="I1">INDEX(E18:P18,Actual_month)</f>
        <v>46054</v>
      </c>
      <c r="L1" s="15" t="s">
        <v>21</v>
      </c>
      <c r="R1" s="5"/>
    </row>
    <row r="2" spans="1:19" x14ac:dyDescent="0.35">
      <c r="A2" s="3" t="s">
        <v>14</v>
      </c>
      <c r="C2" s="3" t="s">
        <v>1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/>
      <c r="K4" s="135"/>
      <c r="L4" s="135"/>
      <c r="M4" s="135"/>
      <c r="N4" s="135"/>
      <c r="O4" s="135"/>
      <c r="P4" s="135"/>
      <c r="Q4" s="136"/>
      <c r="R4" s="3" t="s">
        <v>25</v>
      </c>
      <c r="S4" s="43">
        <f>INDEX(E27:P27,Actual_month)</f>
        <v>0.26963775910833204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43">
        <f>INDEX(E26:P26,Actual_month)</f>
        <v>0.17243800303750137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0.9</v>
      </c>
      <c r="S6" s="43">
        <f>+S5*R6</f>
        <v>0.15519420273375123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9">
        <f>Budget2526!D43</f>
        <v>0.18506239940378119</v>
      </c>
      <c r="F19" s="9">
        <f>Budget2526!E43</f>
        <v>0.18167137398729652</v>
      </c>
      <c r="G19" s="9">
        <f>Budget2526!F43</f>
        <v>0.17813923810461488</v>
      </c>
      <c r="H19" s="9">
        <f>Budget2526!G43</f>
        <v>0.17447454217367642</v>
      </c>
      <c r="I19" s="9">
        <f>Budget2526!H43</f>
        <v>0.17079445420603095</v>
      </c>
      <c r="J19" s="9">
        <f>Budget2526!I43</f>
        <v>0.16699163286262975</v>
      </c>
      <c r="K19" s="9">
        <f>Budget2526!J43</f>
        <v>0.16315473778962494</v>
      </c>
      <c r="L19" s="9">
        <f>Budget2526!K43</f>
        <v>0.15921564577235633</v>
      </c>
      <c r="M19" s="9">
        <f>Budget2526!L43</f>
        <v>0.15526896784885738</v>
      </c>
      <c r="N19" s="9">
        <f>Budget2526!M43</f>
        <v>0.15132317420765298</v>
      </c>
      <c r="O19" s="9">
        <f>Budget2526!N43</f>
        <v>0.14737095750056575</v>
      </c>
      <c r="P19" s="9">
        <f>Budget2526!O43</f>
        <v>0.14341251574500199</v>
      </c>
      <c r="Q19" s="5"/>
    </row>
    <row r="20" spans="3:17" x14ac:dyDescent="0.35">
      <c r="D20" s="3" t="str">
        <f>'KPI 100'!D20</f>
        <v>Actual 2025/26</v>
      </c>
      <c r="E20" s="9">
        <f>Actuals2526!D43</f>
        <v>0.23397801451139313</v>
      </c>
      <c r="F20" s="9">
        <f>Actuals2526!E43</f>
        <v>0.23990997749437359</v>
      </c>
      <c r="G20" s="9">
        <f>Actuals2526!F43</f>
        <v>0.28552756977535737</v>
      </c>
      <c r="H20" s="9">
        <f>Actuals2526!G43</f>
        <v>0.41013399991804289</v>
      </c>
      <c r="I20" s="9">
        <f>Actuals2526!H43</f>
        <v>0.255324225973871</v>
      </c>
      <c r="J20" s="9">
        <f>Actuals2526!I43</f>
        <v>0.25355119701670986</v>
      </c>
      <c r="K20" s="9">
        <f>Actuals2526!J43</f>
        <v>0.25981100348151481</v>
      </c>
      <c r="L20" s="9">
        <f>Actuals2526!K43</f>
        <v>0.21886608469539376</v>
      </c>
      <c r="M20" s="9" t="e">
        <f>Actuals2526!L43</f>
        <v>#DIV/0!</v>
      </c>
      <c r="N20" s="9" t="e">
        <f>Actuals2526!M43</f>
        <v>#DIV/0!</v>
      </c>
      <c r="O20" s="9" t="e">
        <f>Actuals2526!N43</f>
        <v>#DIV/0!</v>
      </c>
      <c r="P20" s="9" t="e">
        <f>Actuals2526!O43</f>
        <v>#DIV/0!</v>
      </c>
      <c r="Q20" s="5"/>
    </row>
    <row r="21" spans="3:17" x14ac:dyDescent="0.35">
      <c r="D21" s="3" t="str">
        <f>'KPI 100'!D21</f>
        <v>Difference</v>
      </c>
      <c r="E21" s="43">
        <f>IF(E20=0,0,E20-E19)</f>
        <v>4.8915615107611943E-2</v>
      </c>
      <c r="F21" s="43">
        <f t="shared" ref="F21:P21" si="0">IF(F20=0,0,F20-F19)</f>
        <v>5.8238603507077075E-2</v>
      </c>
      <c r="G21" s="43">
        <f t="shared" si="0"/>
        <v>0.10738833167074249</v>
      </c>
      <c r="H21" s="43">
        <f t="shared" si="0"/>
        <v>0.23565945774436647</v>
      </c>
      <c r="I21" s="43">
        <f t="shared" si="0"/>
        <v>8.4529771767840045E-2</v>
      </c>
      <c r="J21" s="43">
        <f t="shared" si="0"/>
        <v>8.6559564154080115E-2</v>
      </c>
      <c r="K21" s="43">
        <f t="shared" si="0"/>
        <v>9.665626569188987E-2</v>
      </c>
      <c r="L21" s="43">
        <f t="shared" si="0"/>
        <v>5.9650438923037424E-2</v>
      </c>
      <c r="M21" s="43" t="e">
        <f t="shared" si="0"/>
        <v>#DIV/0!</v>
      </c>
      <c r="N21" s="43" t="e">
        <f t="shared" si="0"/>
        <v>#DIV/0!</v>
      </c>
      <c r="O21" s="43" t="e">
        <f t="shared" si="0"/>
        <v>#DIV/0!</v>
      </c>
      <c r="P21" s="43" t="e">
        <f t="shared" si="0"/>
        <v>#DIV/0!</v>
      </c>
      <c r="Q21" s="5"/>
    </row>
    <row r="22" spans="3:17" x14ac:dyDescent="0.35">
      <c r="D22" s="3" t="str">
        <f>'KPI 100'!D22</f>
        <v>% realisation</v>
      </c>
      <c r="E22" s="9">
        <f>E20/E19</f>
        <v>1.2643195768843603</v>
      </c>
      <c r="F22" s="9">
        <f t="shared" ref="F22:P22" si="1">F20/F19</f>
        <v>1.3205711622522844</v>
      </c>
      <c r="G22" s="9">
        <f t="shared" si="1"/>
        <v>1.6028336755750416</v>
      </c>
      <c r="H22" s="9">
        <f t="shared" si="1"/>
        <v>2.3506810495584225</v>
      </c>
      <c r="I22" s="9">
        <f t="shared" si="1"/>
        <v>1.4949210567801632</v>
      </c>
      <c r="J22" s="9">
        <f t="shared" si="1"/>
        <v>1.5183467139655167</v>
      </c>
      <c r="K22" s="9">
        <f t="shared" si="1"/>
        <v>1.5924208331389091</v>
      </c>
      <c r="L22" s="9">
        <f t="shared" si="1"/>
        <v>1.3746518668669319</v>
      </c>
      <c r="M22" s="9" t="e">
        <f t="shared" si="1"/>
        <v>#DIV/0!</v>
      </c>
      <c r="N22" s="9" t="e">
        <f t="shared" si="1"/>
        <v>#DIV/0!</v>
      </c>
      <c r="O22" s="9" t="e">
        <f t="shared" si="1"/>
        <v>#DIV/0!</v>
      </c>
      <c r="P22" s="9" t="e">
        <f t="shared" si="1"/>
        <v>#DIV/0!</v>
      </c>
    </row>
    <row r="23" spans="3:17" x14ac:dyDescent="0.35">
      <c r="D23" s="3" t="str">
        <f>'KPI 100'!D23</f>
        <v>Actual 2024/25</v>
      </c>
      <c r="E23" s="9">
        <f>Actuals2425!D43</f>
        <v>0.19842086156824781</v>
      </c>
      <c r="F23" s="9">
        <f>Actuals2425!E43</f>
        <v>0.25535593475155982</v>
      </c>
      <c r="G23" s="9">
        <f>Actuals2425!F43</f>
        <v>8.6129690511279902E-2</v>
      </c>
      <c r="H23" s="9">
        <f>Actuals2425!G43</f>
        <v>0.20782729585814338</v>
      </c>
      <c r="I23" s="9">
        <f>Actuals2425!H43</f>
        <v>0.17087861390198894</v>
      </c>
      <c r="J23" s="9">
        <f>Actuals2425!I43</f>
        <v>0.1818397104096891</v>
      </c>
      <c r="K23" s="9">
        <f>Actuals2425!J43</f>
        <v>0.2666046558399115</v>
      </c>
      <c r="L23" s="9">
        <f>Actuals2425!K43</f>
        <v>0.23771313941825475</v>
      </c>
      <c r="M23" s="9">
        <f>Actuals2425!L43</f>
        <v>0.3264421549493941</v>
      </c>
      <c r="N23" s="9">
        <f>Actuals2425!M43</f>
        <v>0.19082935836282505</v>
      </c>
      <c r="O23" s="9">
        <f>Actuals2425!N43</f>
        <v>0.35799027851367227</v>
      </c>
      <c r="P23" s="9">
        <f>Actuals2425!O43</f>
        <v>0.35080440304826416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9">
        <f>AVERAGE($E19:E19)</f>
        <v>0.18506239940378119</v>
      </c>
      <c r="F26" s="9">
        <f>AVERAGE($E19:F19)</f>
        <v>0.18336688669553886</v>
      </c>
      <c r="G26" s="9">
        <f>AVERAGE($E19:G19)</f>
        <v>0.18162433716523085</v>
      </c>
      <c r="H26" s="9">
        <f>AVERAGE($E19:H19)</f>
        <v>0.17983688841734224</v>
      </c>
      <c r="I26" s="9">
        <f>AVERAGE($E19:I19)</f>
        <v>0.17802840157507999</v>
      </c>
      <c r="J26" s="9">
        <f>AVERAGE($E19:J19)</f>
        <v>0.17618894012300493</v>
      </c>
      <c r="K26" s="9">
        <f>AVERAGE($E19:K19)</f>
        <v>0.17432691121823637</v>
      </c>
      <c r="L26" s="9">
        <f>AVERAGE($E19:L19)</f>
        <v>0.17243800303750137</v>
      </c>
      <c r="M26" s="9">
        <f>AVERAGE($E19:M19)</f>
        <v>0.17053033246098537</v>
      </c>
      <c r="N26" s="9">
        <f>AVERAGE($E19:N19)</f>
        <v>0.16860961663565216</v>
      </c>
      <c r="O26" s="9">
        <f>AVERAGE($E19:O19)</f>
        <v>0.16667882944155338</v>
      </c>
      <c r="P26" s="9">
        <f>AVERAGE($E19:P19)</f>
        <v>0.16473996996684076</v>
      </c>
    </row>
    <row r="27" spans="3:17" x14ac:dyDescent="0.35">
      <c r="D27" s="3" t="str">
        <f t="shared" ref="D27:D30" si="3">D20</f>
        <v>Actual 2025/26</v>
      </c>
      <c r="E27" s="9">
        <f>AVERAGE($E20:E20)</f>
        <v>0.23397801451139313</v>
      </c>
      <c r="F27" s="9">
        <f>AVERAGE($E20:F20)</f>
        <v>0.23694399600288335</v>
      </c>
      <c r="G27" s="9">
        <f>AVERAGE($E20:G20)</f>
        <v>0.25313852059370801</v>
      </c>
      <c r="H27" s="9">
        <f>AVERAGE($E20:H20)</f>
        <v>0.29238739042479173</v>
      </c>
      <c r="I27" s="9">
        <f>AVERAGE($E20:I20)</f>
        <v>0.2849747575346076</v>
      </c>
      <c r="J27" s="9">
        <f>AVERAGE($E20:J20)</f>
        <v>0.27973749744829129</v>
      </c>
      <c r="K27" s="9">
        <f>AVERAGE($E20:K20)</f>
        <v>0.27689085545303754</v>
      </c>
      <c r="L27" s="9">
        <f>AVERAGE($E20:L20)</f>
        <v>0.26963775910833204</v>
      </c>
      <c r="M27" s="9" t="e">
        <f>AVERAGE($E20:M20)</f>
        <v>#DIV/0!</v>
      </c>
      <c r="N27" s="9" t="e">
        <f>AVERAGE($E20:N20)</f>
        <v>#DIV/0!</v>
      </c>
      <c r="O27" s="9" t="e">
        <f>AVERAGE($E20:O20)</f>
        <v>#DIV/0!</v>
      </c>
      <c r="P27" s="9" t="e">
        <f>AVERAGE($E20:P20)</f>
        <v>#DIV/0!</v>
      </c>
    </row>
    <row r="28" spans="3:17" x14ac:dyDescent="0.35">
      <c r="D28" s="3" t="str">
        <f t="shared" si="3"/>
        <v>Difference</v>
      </c>
      <c r="E28" s="43">
        <f>IF(E27=0,0,E27-E26)</f>
        <v>4.8915615107611943E-2</v>
      </c>
      <c r="F28" s="43">
        <f t="shared" ref="F28:P28" si="4">IF(F27=0,0,F27-F26)</f>
        <v>5.3577109307344495E-2</v>
      </c>
      <c r="G28" s="43">
        <f t="shared" si="4"/>
        <v>7.1514183428477152E-2</v>
      </c>
      <c r="H28" s="43">
        <f t="shared" si="4"/>
        <v>0.11255050200744948</v>
      </c>
      <c r="I28" s="43">
        <f t="shared" si="4"/>
        <v>0.10694635595952762</v>
      </c>
      <c r="J28" s="43">
        <f t="shared" si="4"/>
        <v>0.10354855732528637</v>
      </c>
      <c r="K28" s="43">
        <f t="shared" si="4"/>
        <v>0.10256394423480117</v>
      </c>
      <c r="L28" s="43">
        <f t="shared" si="4"/>
        <v>9.7199756070830673E-2</v>
      </c>
      <c r="M28" s="43" t="e">
        <f t="shared" si="4"/>
        <v>#DIV/0!</v>
      </c>
      <c r="N28" s="43" t="e">
        <f t="shared" si="4"/>
        <v>#DIV/0!</v>
      </c>
      <c r="O28" s="43" t="e">
        <f t="shared" si="4"/>
        <v>#DIV/0!</v>
      </c>
      <c r="P28" s="43" t="e">
        <f t="shared" si="4"/>
        <v>#DIV/0!</v>
      </c>
    </row>
    <row r="29" spans="3:17" x14ac:dyDescent="0.35">
      <c r="D29" s="3" t="str">
        <f t="shared" si="3"/>
        <v>% realisation</v>
      </c>
      <c r="E29" s="9">
        <f t="shared" ref="E29:P29" si="5">E27/E26</f>
        <v>1.2643195768843603</v>
      </c>
      <c r="F29" s="9">
        <f t="shared" si="5"/>
        <v>1.2921853027711789</v>
      </c>
      <c r="G29" s="9">
        <f t="shared" si="5"/>
        <v>1.3937478013390787</v>
      </c>
      <c r="H29" s="9">
        <f t="shared" si="5"/>
        <v>1.6258476945300389</v>
      </c>
      <c r="I29" s="9">
        <f t="shared" si="5"/>
        <v>1.6007263729457522</v>
      </c>
      <c r="J29" s="9">
        <f t="shared" si="5"/>
        <v>1.5877131518754513</v>
      </c>
      <c r="K29" s="9">
        <f t="shared" si="5"/>
        <v>1.5883425772765709</v>
      </c>
      <c r="L29" s="9">
        <f t="shared" si="5"/>
        <v>1.5636794346875609</v>
      </c>
      <c r="M29" s="9" t="e">
        <f t="shared" si="5"/>
        <v>#DIV/0!</v>
      </c>
      <c r="N29" s="9" t="e">
        <f t="shared" si="5"/>
        <v>#DIV/0!</v>
      </c>
      <c r="O29" s="9" t="e">
        <f t="shared" si="5"/>
        <v>#DIV/0!</v>
      </c>
      <c r="P29" s="9" t="e">
        <f t="shared" si="5"/>
        <v>#DIV/0!</v>
      </c>
    </row>
    <row r="30" spans="3:17" x14ac:dyDescent="0.35">
      <c r="D30" s="3" t="str">
        <f t="shared" si="3"/>
        <v>Actual 2024/25</v>
      </c>
      <c r="E30" s="9">
        <f>E23</f>
        <v>0.19842086156824781</v>
      </c>
      <c r="F30" s="9">
        <f t="shared" ref="F30:P30" si="6">F23</f>
        <v>0.25535593475155982</v>
      </c>
      <c r="G30" s="9">
        <f t="shared" si="6"/>
        <v>8.6129690511279902E-2</v>
      </c>
      <c r="H30" s="9">
        <f t="shared" si="6"/>
        <v>0.20782729585814338</v>
      </c>
      <c r="I30" s="9">
        <f t="shared" si="6"/>
        <v>0.17087861390198894</v>
      </c>
      <c r="J30" s="9">
        <f t="shared" si="6"/>
        <v>0.1818397104096891</v>
      </c>
      <c r="K30" s="9">
        <f t="shared" si="6"/>
        <v>0.2666046558399115</v>
      </c>
      <c r="L30" s="9">
        <f t="shared" si="6"/>
        <v>0.23771313941825475</v>
      </c>
      <c r="M30" s="9">
        <f t="shared" si="6"/>
        <v>0.3264421549493941</v>
      </c>
      <c r="N30" s="9">
        <f t="shared" si="6"/>
        <v>0.19082935836282505</v>
      </c>
      <c r="O30" s="9">
        <f t="shared" si="6"/>
        <v>0.35799027851367227</v>
      </c>
      <c r="P30" s="9">
        <f t="shared" si="6"/>
        <v>0.35080440304826416</v>
      </c>
    </row>
  </sheetData>
  <sheetProtection algorithmName="SHA-512" hashValue="gimNq+elTk/gM1kNTSqh64ZWpB0Gogv3+X7xi7shp57YVUFvZV8f4/ikLstObUklFO2mtxoqrN7rA1/rYI/DSw==" saltValue="PU1MYJaSp/ByNb1rm8CmpA==" spinCount="100000" sheet="1" objects="1" scenarios="1"/>
  <mergeCells count="3">
    <mergeCell ref="C1:F1"/>
    <mergeCell ref="J4:Q8"/>
    <mergeCell ref="J10:Q15"/>
  </mergeCells>
  <conditionalFormatting sqref="C3">
    <cfRule type="expression" dxfId="146" priority="2">
      <formula>S4&lt;S6</formula>
    </cfRule>
  </conditionalFormatting>
  <conditionalFormatting sqref="C4">
    <cfRule type="expression" dxfId="145" priority="1">
      <formula>AND(S4&gt;=S6,S4&lt;S5)</formula>
    </cfRule>
  </conditionalFormatting>
  <conditionalFormatting sqref="C5">
    <cfRule type="expression" dxfId="144" priority="3">
      <formula>S4&gt;=S5</formula>
    </cfRule>
  </conditionalFormatting>
  <hyperlinks>
    <hyperlink ref="L1" location="'Distribution Dashboard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81729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57150</xdr:rowOff>
                  </from>
                  <to>
                    <xdr:col>9</xdr:col>
                    <xdr:colOff>628650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S30"/>
  <sheetViews>
    <sheetView topLeftCell="D1" zoomScale="90" zoomScaleNormal="90" zoomScalePageLayoutView="90" workbookViewId="0">
      <pane ySplit="2" topLeftCell="A3" activePane="bottomLeft" state="frozen"/>
      <selection activeCell="D26" sqref="D26:D30"/>
      <selection pane="bottomLeft" activeCell="D1" sqref="A1:XFD1048576"/>
    </sheetView>
  </sheetViews>
  <sheetFormatPr defaultColWidth="9.1796875" defaultRowHeight="14.5" x14ac:dyDescent="0.35"/>
  <cols>
    <col min="1" max="1" width="9.1796875" style="3"/>
    <col min="2" max="2" width="6.54296875" style="3" customWidth="1"/>
    <col min="3" max="3" width="14.54296875" style="3" customWidth="1"/>
    <col min="4" max="4" width="21.2695312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customHeight="1" x14ac:dyDescent="0.5">
      <c r="A1" s="4" t="s">
        <v>4</v>
      </c>
      <c r="B1" s="4">
        <v>101</v>
      </c>
      <c r="C1" s="124" t="s">
        <v>166</v>
      </c>
      <c r="D1" s="124"/>
      <c r="E1" s="124"/>
      <c r="F1" s="124"/>
      <c r="G1" s="3" t="s">
        <v>10</v>
      </c>
      <c r="I1" s="12" cm="1">
        <f t="array" ref="I1">INDEX(E18:P18,Actual_month)</f>
        <v>46054</v>
      </c>
      <c r="L1" s="15" t="s">
        <v>21</v>
      </c>
      <c r="R1" s="5"/>
    </row>
    <row r="2" spans="1:19" x14ac:dyDescent="0.35">
      <c r="A2" s="3" t="s">
        <v>14</v>
      </c>
      <c r="C2" s="3" t="str">
        <f>'Distribution Dashboard'!C36</f>
        <v>m3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25"/>
      <c r="K4" s="126"/>
      <c r="L4" s="126"/>
      <c r="M4" s="126"/>
      <c r="N4" s="126"/>
      <c r="O4" s="126"/>
      <c r="P4" s="126"/>
      <c r="Q4" s="127"/>
      <c r="R4" s="3" t="s">
        <v>25</v>
      </c>
      <c r="S4" s="43">
        <f>INDEX(E27:P27,Actual_month)</f>
        <v>167638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28"/>
      <c r="K5" s="129"/>
      <c r="L5" s="129"/>
      <c r="M5" s="129"/>
      <c r="N5" s="129"/>
      <c r="O5" s="129"/>
      <c r="P5" s="129"/>
      <c r="Q5" s="130"/>
      <c r="R5" s="3" t="s">
        <v>26</v>
      </c>
      <c r="S5" s="43">
        <f>INDEX(E26:P26,Actual_month)</f>
        <v>165895.34272510189</v>
      </c>
    </row>
    <row r="6" spans="1:19" x14ac:dyDescent="0.35">
      <c r="J6" s="128"/>
      <c r="K6" s="129"/>
      <c r="L6" s="129"/>
      <c r="M6" s="129"/>
      <c r="N6" s="129"/>
      <c r="O6" s="129"/>
      <c r="P6" s="129"/>
      <c r="Q6" s="130"/>
      <c r="R6" s="6">
        <v>0.9</v>
      </c>
      <c r="S6" s="43">
        <f>+S5*R6</f>
        <v>149305.80845259171</v>
      </c>
    </row>
    <row r="7" spans="1:19" x14ac:dyDescent="0.35">
      <c r="J7" s="128"/>
      <c r="K7" s="129"/>
      <c r="L7" s="129"/>
      <c r="M7" s="129"/>
      <c r="N7" s="129"/>
      <c r="O7" s="129"/>
      <c r="P7" s="129"/>
      <c r="Q7" s="130"/>
    </row>
    <row r="8" spans="1:19" ht="15" thickBot="1" x14ac:dyDescent="0.4">
      <c r="J8" s="131"/>
      <c r="K8" s="132"/>
      <c r="L8" s="132"/>
      <c r="M8" s="132"/>
      <c r="N8" s="132"/>
      <c r="O8" s="132"/>
      <c r="P8" s="132"/>
      <c r="Q8" s="133"/>
    </row>
    <row r="9" spans="1:19" ht="15" thickBot="1" x14ac:dyDescent="0.4">
      <c r="J9" s="3" t="s">
        <v>13</v>
      </c>
    </row>
    <row r="10" spans="1:19" x14ac:dyDescent="0.35">
      <c r="J10" s="125"/>
      <c r="K10" s="126"/>
      <c r="L10" s="126"/>
      <c r="M10" s="126"/>
      <c r="N10" s="126"/>
      <c r="O10" s="126"/>
      <c r="P10" s="126"/>
      <c r="Q10" s="127"/>
    </row>
    <row r="11" spans="1:19" x14ac:dyDescent="0.35">
      <c r="J11" s="128"/>
      <c r="K11" s="129"/>
      <c r="L11" s="129"/>
      <c r="M11" s="129"/>
      <c r="N11" s="129"/>
      <c r="O11" s="129"/>
      <c r="P11" s="129"/>
      <c r="Q11" s="130"/>
    </row>
    <row r="12" spans="1:19" x14ac:dyDescent="0.35">
      <c r="J12" s="128"/>
      <c r="K12" s="129"/>
      <c r="L12" s="129"/>
      <c r="M12" s="129"/>
      <c r="N12" s="129"/>
      <c r="O12" s="129"/>
      <c r="P12" s="129"/>
      <c r="Q12" s="130"/>
    </row>
    <row r="13" spans="1:19" x14ac:dyDescent="0.35">
      <c r="J13" s="128"/>
      <c r="K13" s="129"/>
      <c r="L13" s="129"/>
      <c r="M13" s="129"/>
      <c r="N13" s="129"/>
      <c r="O13" s="129"/>
      <c r="P13" s="129"/>
      <c r="Q13" s="130"/>
    </row>
    <row r="14" spans="1:19" x14ac:dyDescent="0.35">
      <c r="J14" s="128"/>
      <c r="K14" s="129"/>
      <c r="L14" s="129"/>
      <c r="M14" s="129"/>
      <c r="N14" s="129"/>
      <c r="O14" s="129"/>
      <c r="P14" s="129"/>
      <c r="Q14" s="130"/>
    </row>
    <row r="15" spans="1:19" ht="15" thickBot="1" x14ac:dyDescent="0.4">
      <c r="J15" s="131"/>
      <c r="K15" s="132"/>
      <c r="L15" s="132"/>
      <c r="M15" s="132"/>
      <c r="N15" s="132"/>
      <c r="O15" s="132"/>
      <c r="P15" s="132"/>
      <c r="Q15" s="133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43">
        <f>Budget2526!D45</f>
        <v>21082.242554366287</v>
      </c>
      <c r="F19" s="43">
        <f>Budget2526!E45</f>
        <v>20981.406814435482</v>
      </c>
      <c r="G19" s="43">
        <f>Budget2526!F45</f>
        <v>20881.679159558877</v>
      </c>
      <c r="H19" s="43">
        <f>Budget2526!G45</f>
        <v>20783.041424407693</v>
      </c>
      <c r="I19" s="43">
        <f>Budget2526!H45</f>
        <v>20685.475838551629</v>
      </c>
      <c r="J19" s="43">
        <f>Budget2526!I45</f>
        <v>20588.965015785896</v>
      </c>
      <c r="K19" s="43">
        <f>Budget2526!J45</f>
        <v>20493.491943802594</v>
      </c>
      <c r="L19" s="43">
        <f>Budget2526!K45</f>
        <v>20399.039974193442</v>
      </c>
      <c r="M19" s="43">
        <f>Budget2526!L45</f>
        <v>20305.592812771625</v>
      </c>
      <c r="N19" s="43">
        <f>Budget2526!M45</f>
        <v>20213.134510200838</v>
      </c>
      <c r="O19" s="43">
        <f>Budget2526!N45</f>
        <v>20121.649452920268</v>
      </c>
      <c r="P19" s="43">
        <f>Budget2526!O45</f>
        <v>20031.122354354669</v>
      </c>
      <c r="Q19" s="5"/>
    </row>
    <row r="20" spans="3:17" x14ac:dyDescent="0.35">
      <c r="D20" s="3" t="str">
        <f>'KPI 100'!D20</f>
        <v>Actual 2025/26</v>
      </c>
      <c r="E20" s="43">
        <f>Actuals2526!D45</f>
        <v>18634</v>
      </c>
      <c r="F20" s="43">
        <f>Actuals2526!E45</f>
        <v>23756</v>
      </c>
      <c r="G20" s="43">
        <f>Actuals2526!F45</f>
        <v>22318</v>
      </c>
      <c r="H20" s="43">
        <f>Actuals2526!G45</f>
        <v>21615</v>
      </c>
      <c r="I20" s="43">
        <f>Actuals2526!H45</f>
        <v>20535</v>
      </c>
      <c r="J20" s="43">
        <f>Actuals2526!I45</f>
        <v>17778</v>
      </c>
      <c r="K20" s="43">
        <f>Actuals2526!J45</f>
        <v>23190</v>
      </c>
      <c r="L20" s="43">
        <f>Actuals2526!K45</f>
        <v>19812</v>
      </c>
      <c r="M20" s="43">
        <f>Actuals2526!L45</f>
        <v>0</v>
      </c>
      <c r="N20" s="43">
        <f>Actuals2526!M45</f>
        <v>0</v>
      </c>
      <c r="O20" s="43">
        <f>Actuals2526!N45</f>
        <v>0</v>
      </c>
      <c r="P20" s="43">
        <f>Actuals2526!O45</f>
        <v>0</v>
      </c>
      <c r="Q20" s="5"/>
    </row>
    <row r="21" spans="3:17" x14ac:dyDescent="0.35">
      <c r="D21" s="3" t="str">
        <f>'KPI 100'!D21</f>
        <v>Difference</v>
      </c>
      <c r="E21" s="43">
        <f>IF(E20=0,0,E20-E19)</f>
        <v>-2448.2425543662866</v>
      </c>
      <c r="F21" s="43">
        <f t="shared" ref="F21:P21" si="0">IF(F20=0,0,F20-F19)</f>
        <v>2774.5931855645176</v>
      </c>
      <c r="G21" s="43">
        <f t="shared" si="0"/>
        <v>1436.3208404411234</v>
      </c>
      <c r="H21" s="43">
        <f t="shared" si="0"/>
        <v>831.95857559230717</v>
      </c>
      <c r="I21" s="43">
        <f t="shared" si="0"/>
        <v>-150.47583855162884</v>
      </c>
      <c r="J21" s="43">
        <f t="shared" si="0"/>
        <v>-2810.965015785896</v>
      </c>
      <c r="K21" s="43">
        <f t="shared" si="0"/>
        <v>2696.5080561974064</v>
      </c>
      <c r="L21" s="43">
        <f t="shared" si="0"/>
        <v>-587.03997419344159</v>
      </c>
      <c r="M21" s="43">
        <f t="shared" si="0"/>
        <v>0</v>
      </c>
      <c r="N21" s="43">
        <f t="shared" si="0"/>
        <v>0</v>
      </c>
      <c r="O21" s="43">
        <f t="shared" si="0"/>
        <v>0</v>
      </c>
      <c r="P21" s="43">
        <f t="shared" si="0"/>
        <v>0</v>
      </c>
      <c r="Q21" s="5"/>
    </row>
    <row r="22" spans="3:17" x14ac:dyDescent="0.35">
      <c r="D22" s="3" t="str">
        <f>'KPI 100'!D22</f>
        <v>% realisation</v>
      </c>
      <c r="E22" s="9">
        <f>E20/E19</f>
        <v>0.88387181543648274</v>
      </c>
      <c r="F22" s="9">
        <f t="shared" ref="F22:P22" si="1">F20/F19</f>
        <v>1.1322405694767599</v>
      </c>
      <c r="G22" s="9">
        <f t="shared" si="1"/>
        <v>1.0687837807230951</v>
      </c>
      <c r="H22" s="9">
        <f t="shared" si="1"/>
        <v>1.0400306460735458</v>
      </c>
      <c r="I22" s="9">
        <f t="shared" si="1"/>
        <v>0.99272553168580313</v>
      </c>
      <c r="J22" s="9">
        <f t="shared" si="1"/>
        <v>0.86347225255710114</v>
      </c>
      <c r="K22" s="9">
        <f t="shared" si="1"/>
        <v>1.131578750151111</v>
      </c>
      <c r="L22" s="9">
        <f t="shared" si="1"/>
        <v>0.97122217638986452</v>
      </c>
      <c r="M22" s="9">
        <f t="shared" si="1"/>
        <v>0</v>
      </c>
      <c r="N22" s="9">
        <f t="shared" si="1"/>
        <v>0</v>
      </c>
      <c r="O22" s="9">
        <f t="shared" si="1"/>
        <v>0</v>
      </c>
      <c r="P22" s="9">
        <f t="shared" si="1"/>
        <v>0</v>
      </c>
    </row>
    <row r="23" spans="3:17" x14ac:dyDescent="0.35">
      <c r="D23" s="3" t="str">
        <f>'KPI 100'!D23</f>
        <v>Actual 2024/25</v>
      </c>
      <c r="E23" s="5">
        <f>Actuals2425!D45</f>
        <v>19112</v>
      </c>
      <c r="F23" s="5">
        <f>Actuals2425!E45</f>
        <v>23869</v>
      </c>
      <c r="G23" s="5">
        <f>Actuals2425!F45</f>
        <v>20294</v>
      </c>
      <c r="H23" s="5">
        <f>Actuals2425!G45</f>
        <v>23120</v>
      </c>
      <c r="I23" s="5">
        <f>Actuals2425!H45</f>
        <v>22054</v>
      </c>
      <c r="J23" s="5">
        <f>Actuals2425!I45</f>
        <v>15058</v>
      </c>
      <c r="K23" s="5">
        <f>Actuals2425!J45</f>
        <v>30251</v>
      </c>
      <c r="L23" s="5">
        <f>Actuals2425!K45</f>
        <v>21435</v>
      </c>
      <c r="M23" s="5">
        <f>Actuals2425!L45</f>
        <v>22177</v>
      </c>
      <c r="N23" s="5">
        <f>Actuals2425!M45</f>
        <v>21609</v>
      </c>
      <c r="O23" s="5">
        <f>Actuals2425!N45</f>
        <v>22267</v>
      </c>
      <c r="P23" s="5">
        <f>Actuals2425!O45</f>
        <v>22668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43">
        <f>SUM($E19:E19)</f>
        <v>21082.242554366287</v>
      </c>
      <c r="F26" s="43">
        <f>SUM($E19:F19)</f>
        <v>42063.649368801765</v>
      </c>
      <c r="G26" s="43">
        <f>SUM($E19:G19)</f>
        <v>62945.328528360638</v>
      </c>
      <c r="H26" s="43">
        <f>SUM($E19:H19)</f>
        <v>83728.369952768335</v>
      </c>
      <c r="I26" s="43">
        <f>SUM($E19:I19)</f>
        <v>104413.84579131997</v>
      </c>
      <c r="J26" s="43">
        <f>SUM($E19:J19)</f>
        <v>125002.81080710587</v>
      </c>
      <c r="K26" s="43">
        <f>SUM($E19:K19)</f>
        <v>145496.30275090845</v>
      </c>
      <c r="L26" s="43">
        <f>SUM($E19:L19)</f>
        <v>165895.34272510189</v>
      </c>
      <c r="M26" s="43">
        <f>SUM($E19:M19)</f>
        <v>186200.93553787351</v>
      </c>
      <c r="N26" s="43">
        <f>SUM($E19:N19)</f>
        <v>206414.07004807435</v>
      </c>
      <c r="O26" s="43">
        <f>SUM($E19:O19)</f>
        <v>226535.71950099463</v>
      </c>
      <c r="P26" s="43">
        <f>SUM($E19:P19)</f>
        <v>246566.84185534931</v>
      </c>
    </row>
    <row r="27" spans="3:17" x14ac:dyDescent="0.35">
      <c r="D27" s="3" t="str">
        <f t="shared" ref="D27:D30" si="3">D20</f>
        <v>Actual 2025/26</v>
      </c>
      <c r="E27" s="43">
        <f>SUM($E20:E20)</f>
        <v>18634</v>
      </c>
      <c r="F27" s="43">
        <f>SUM($E20:F20)</f>
        <v>42390</v>
      </c>
      <c r="G27" s="43">
        <f>SUM($E20:G20)</f>
        <v>64708</v>
      </c>
      <c r="H27" s="43">
        <f>SUM($E20:H20)</f>
        <v>86323</v>
      </c>
      <c r="I27" s="43">
        <f>SUM($E20:I20)</f>
        <v>106858</v>
      </c>
      <c r="J27" s="43">
        <f>SUM($E20:J20)</f>
        <v>124636</v>
      </c>
      <c r="K27" s="43">
        <f>SUM($E20:K20)</f>
        <v>147826</v>
      </c>
      <c r="L27" s="43">
        <f>SUM($E20:L20)</f>
        <v>167638</v>
      </c>
      <c r="M27" s="43">
        <f>SUM($E20:M20)</f>
        <v>167638</v>
      </c>
      <c r="N27" s="43">
        <f>SUM($E20:N20)</f>
        <v>167638</v>
      </c>
      <c r="O27" s="43">
        <f>SUM($E20:O20)</f>
        <v>167638</v>
      </c>
      <c r="P27" s="43">
        <f>SUM($E20:P20)</f>
        <v>167638</v>
      </c>
    </row>
    <row r="28" spans="3:17" x14ac:dyDescent="0.35">
      <c r="D28" s="3" t="str">
        <f t="shared" si="3"/>
        <v>Difference</v>
      </c>
      <c r="E28" s="43">
        <f>IF(E27=0,0,E27-E26)</f>
        <v>-2448.2425543662866</v>
      </c>
      <c r="F28" s="43">
        <f t="shared" ref="F28:P28" si="4">IF(F27=0,0,F27-F26)</f>
        <v>326.35063119823462</v>
      </c>
      <c r="G28" s="43">
        <f t="shared" si="4"/>
        <v>1762.6714716393617</v>
      </c>
      <c r="H28" s="43">
        <f t="shared" si="4"/>
        <v>2594.6300472316652</v>
      </c>
      <c r="I28" s="43">
        <f t="shared" si="4"/>
        <v>2444.1542086800328</v>
      </c>
      <c r="J28" s="43">
        <f t="shared" si="4"/>
        <v>-366.81080710586684</v>
      </c>
      <c r="K28" s="43">
        <f t="shared" si="4"/>
        <v>2329.6972490915505</v>
      </c>
      <c r="L28" s="43">
        <f t="shared" si="4"/>
        <v>1742.6572748981125</v>
      </c>
      <c r="M28" s="43">
        <f t="shared" si="4"/>
        <v>-18562.935537873505</v>
      </c>
      <c r="N28" s="43">
        <f t="shared" si="4"/>
        <v>-38776.070048074354</v>
      </c>
      <c r="O28" s="43">
        <f t="shared" si="4"/>
        <v>-58897.71950099463</v>
      </c>
      <c r="P28" s="43">
        <f t="shared" si="4"/>
        <v>-78928.84185534931</v>
      </c>
    </row>
    <row r="29" spans="3:17" x14ac:dyDescent="0.35">
      <c r="D29" s="3" t="str">
        <f t="shared" si="3"/>
        <v>% realisation</v>
      </c>
      <c r="E29" s="9">
        <f t="shared" ref="E29:P29" si="5">E27/E26</f>
        <v>0.88387181543648274</v>
      </c>
      <c r="F29" s="9">
        <f t="shared" si="5"/>
        <v>1.0077584954252754</v>
      </c>
      <c r="G29" s="9">
        <f t="shared" si="5"/>
        <v>1.0280032134687354</v>
      </c>
      <c r="H29" s="9">
        <f t="shared" si="5"/>
        <v>1.0309886606976262</v>
      </c>
      <c r="I29" s="9">
        <f t="shared" si="5"/>
        <v>1.0234083343081231</v>
      </c>
      <c r="J29" s="9">
        <f t="shared" si="5"/>
        <v>0.99706557952787234</v>
      </c>
      <c r="K29" s="9">
        <f t="shared" si="5"/>
        <v>1.0160120718193095</v>
      </c>
      <c r="L29" s="9">
        <f t="shared" si="5"/>
        <v>1.0105045581525804</v>
      </c>
      <c r="M29" s="9">
        <f t="shared" si="5"/>
        <v>0.90030696954206346</v>
      </c>
      <c r="N29" s="9">
        <f t="shared" si="5"/>
        <v>0.81214424947367536</v>
      </c>
      <c r="O29" s="9">
        <f t="shared" si="5"/>
        <v>0.74000691974434507</v>
      </c>
      <c r="P29" s="9">
        <f t="shared" si="5"/>
        <v>0.67988866117832003</v>
      </c>
    </row>
    <row r="30" spans="3:17" x14ac:dyDescent="0.35">
      <c r="D30" s="3" t="str">
        <f t="shared" si="3"/>
        <v>Actual 2024/25</v>
      </c>
      <c r="E30" s="43">
        <f>SUM($E23:E23)</f>
        <v>19112</v>
      </c>
      <c r="F30" s="43">
        <f>SUM($E23:F23)</f>
        <v>42981</v>
      </c>
      <c r="G30" s="43">
        <f>SUM($E23:G23)</f>
        <v>63275</v>
      </c>
      <c r="H30" s="43">
        <f>SUM($E23:H23)</f>
        <v>86395</v>
      </c>
      <c r="I30" s="43">
        <f>SUM($E23:I23)</f>
        <v>108449</v>
      </c>
      <c r="J30" s="43">
        <f>SUM($E23:J23)</f>
        <v>123507</v>
      </c>
      <c r="K30" s="43">
        <f>SUM($E23:K23)</f>
        <v>153758</v>
      </c>
      <c r="L30" s="43">
        <f>SUM($E23:L23)</f>
        <v>175193</v>
      </c>
      <c r="M30" s="43">
        <f>SUM($E23:M23)</f>
        <v>197370</v>
      </c>
      <c r="N30" s="43">
        <f>SUM($E23:N23)</f>
        <v>218979</v>
      </c>
      <c r="O30" s="43">
        <f>SUM($E23:O23)</f>
        <v>241246</v>
      </c>
      <c r="P30" s="43">
        <f>SUM($E23:P23)</f>
        <v>263914</v>
      </c>
    </row>
  </sheetData>
  <sheetProtection algorithmName="SHA-512" hashValue="g18McoZ0b7vPGq3VQWUJXVNbsoHzdnWUY4PMoeaAu6r7TOrDENQJoId4KIShzh68ltplzOGyBBOBuNvW94Ht6g==" saltValue="FT1HDKjk2v9hOGvEcv6L9w==" spinCount="100000" sheet="1" objects="1" scenarios="1"/>
  <mergeCells count="3">
    <mergeCell ref="C1:F1"/>
    <mergeCell ref="J4:Q8"/>
    <mergeCell ref="J10:Q15"/>
  </mergeCells>
  <conditionalFormatting sqref="C3">
    <cfRule type="expression" dxfId="143" priority="2">
      <formula>S4&lt;S6</formula>
    </cfRule>
  </conditionalFormatting>
  <conditionalFormatting sqref="C4">
    <cfRule type="expression" dxfId="142" priority="1">
      <formula>AND(S4&gt;=S6,S4&lt;S5)</formula>
    </cfRule>
  </conditionalFormatting>
  <conditionalFormatting sqref="C5">
    <cfRule type="expression" dxfId="141" priority="3">
      <formula>S4&gt;=S5</formula>
    </cfRule>
  </conditionalFormatting>
  <hyperlinks>
    <hyperlink ref="L1" location="'Distribution Dashboard'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29057" r:id="rId4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57150</xdr:rowOff>
                  </from>
                  <to>
                    <xdr:col>9</xdr:col>
                    <xdr:colOff>628650</xdr:colOff>
                    <xdr:row>1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S30"/>
  <sheetViews>
    <sheetView zoomScale="90" zoomScaleNormal="90" zoomScalePageLayoutView="90" workbookViewId="0">
      <pane ySplit="2" topLeftCell="A3" activePane="bottomLeft" state="frozen"/>
      <selection activeCell="D26" sqref="D26:D30"/>
      <selection pane="bottomLeft" activeCell="S30" sqref="A1:S30"/>
    </sheetView>
  </sheetViews>
  <sheetFormatPr defaultColWidth="9.1796875" defaultRowHeight="14.5" x14ac:dyDescent="0.35"/>
  <cols>
    <col min="1" max="1" width="9.1796875" style="3"/>
    <col min="2" max="2" width="5.45312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>
        <v>108</v>
      </c>
      <c r="C1" s="124" t="s">
        <v>167</v>
      </c>
      <c r="D1" s="124"/>
      <c r="E1" s="124"/>
      <c r="F1" s="124"/>
      <c r="G1" s="3" t="s">
        <v>10</v>
      </c>
      <c r="I1" s="12" cm="1">
        <f t="array" ref="I1">INDEX(E18:P18,Actual_month)</f>
        <v>46054</v>
      </c>
      <c r="L1" s="15" t="s">
        <v>21</v>
      </c>
      <c r="R1" s="5"/>
    </row>
    <row r="2" spans="1:19" x14ac:dyDescent="0.35">
      <c r="A2" s="3" t="s">
        <v>14</v>
      </c>
      <c r="C2" s="3" t="s">
        <v>15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/>
      <c r="K4" s="135"/>
      <c r="L4" s="135"/>
      <c r="M4" s="135"/>
      <c r="N4" s="135"/>
      <c r="O4" s="135"/>
      <c r="P4" s="135"/>
      <c r="Q4" s="136"/>
      <c r="R4" s="3" t="s">
        <v>25</v>
      </c>
      <c r="S4" s="43">
        <f>INDEX(E27:P27,Actual_month)</f>
        <v>125957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43">
        <f>INDEX(E26:P26,Actual_month)</f>
        <v>129411.97896950578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0.9</v>
      </c>
      <c r="S6" s="43">
        <f>+S5*R6</f>
        <v>116470.78107255521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43">
        <f>Budget2526!D46</f>
        <v>16134.369786189976</v>
      </c>
      <c r="F19" s="43">
        <f>Budget2526!E46</f>
        <v>16146.406239046619</v>
      </c>
      <c r="G19" s="43">
        <f>Budget2526!F46</f>
        <v>16158.442691903261</v>
      </c>
      <c r="H19" s="43">
        <f>Budget2526!G46</f>
        <v>16170.479144759904</v>
      </c>
      <c r="I19" s="43">
        <f>Budget2526!H46</f>
        <v>16182.515597616546</v>
      </c>
      <c r="J19" s="43">
        <f>Budget2526!I46</f>
        <v>16194.552050473189</v>
      </c>
      <c r="K19" s="43">
        <f>Budget2526!J46</f>
        <v>16206.588503329831</v>
      </c>
      <c r="L19" s="43">
        <f>Budget2526!K46</f>
        <v>16218.62495618647</v>
      </c>
      <c r="M19" s="43">
        <f>Budget2526!L46</f>
        <v>16230.661409043112</v>
      </c>
      <c r="N19" s="43">
        <f>Budget2526!M46</f>
        <v>16242.697861899755</v>
      </c>
      <c r="O19" s="43">
        <f>Budget2526!N46</f>
        <v>16254.734314756397</v>
      </c>
      <c r="P19" s="43">
        <f>Budget2526!O46</f>
        <v>16266.770767613039</v>
      </c>
      <c r="Q19" s="5"/>
    </row>
    <row r="20" spans="3:17" x14ac:dyDescent="0.35">
      <c r="D20" s="3" t="str">
        <f>'KPI 100'!D20</f>
        <v>Actual 2025/26</v>
      </c>
      <c r="E20" s="43">
        <f>Actuals2526!D46</f>
        <v>12992</v>
      </c>
      <c r="F20" s="43">
        <f>Actuals2526!E46</f>
        <v>17788</v>
      </c>
      <c r="G20" s="43">
        <f>Actuals2526!F46</f>
        <v>16452</v>
      </c>
      <c r="H20" s="43">
        <f>Actuals2526!G46</f>
        <v>16186</v>
      </c>
      <c r="I20" s="43">
        <f>Actuals2526!H46</f>
        <v>13605</v>
      </c>
      <c r="J20" s="43">
        <f>Actuals2526!I46</f>
        <v>12217</v>
      </c>
      <c r="K20" s="43">
        <f>Actuals2526!J46</f>
        <v>20906</v>
      </c>
      <c r="L20" s="43">
        <f>Actuals2526!K46</f>
        <v>15811</v>
      </c>
      <c r="M20" s="43">
        <f>Actuals2526!L46</f>
        <v>0</v>
      </c>
      <c r="N20" s="43">
        <f>Actuals2526!M46</f>
        <v>0</v>
      </c>
      <c r="O20" s="43">
        <f>Actuals2526!N46</f>
        <v>0</v>
      </c>
      <c r="P20" s="43">
        <f>Actuals2526!O46</f>
        <v>0</v>
      </c>
      <c r="Q20" s="5"/>
    </row>
    <row r="21" spans="3:17" x14ac:dyDescent="0.35">
      <c r="D21" s="3" t="str">
        <f>'KPI 100'!D21</f>
        <v>Difference</v>
      </c>
      <c r="E21" s="43">
        <f>IF(E20=0,0,E20-E19)</f>
        <v>-3142.3697861899764</v>
      </c>
      <c r="F21" s="43">
        <f t="shared" ref="F21:P21" si="0">IF(F20=0,0,F20-F19)</f>
        <v>1641.5937609533812</v>
      </c>
      <c r="G21" s="43">
        <f t="shared" si="0"/>
        <v>293.55730809673878</v>
      </c>
      <c r="H21" s="43">
        <f t="shared" si="0"/>
        <v>15.520855240096353</v>
      </c>
      <c r="I21" s="43">
        <f t="shared" si="0"/>
        <v>-2577.5155976165461</v>
      </c>
      <c r="J21" s="43">
        <f t="shared" si="0"/>
        <v>-3977.5520504731885</v>
      </c>
      <c r="K21" s="43">
        <f t="shared" si="0"/>
        <v>4699.4114966701691</v>
      </c>
      <c r="L21" s="43">
        <f t="shared" si="0"/>
        <v>-407.62495618646972</v>
      </c>
      <c r="M21" s="43">
        <f t="shared" si="0"/>
        <v>0</v>
      </c>
      <c r="N21" s="43">
        <f t="shared" si="0"/>
        <v>0</v>
      </c>
      <c r="O21" s="43">
        <f t="shared" si="0"/>
        <v>0</v>
      </c>
      <c r="P21" s="43">
        <f t="shared" si="0"/>
        <v>0</v>
      </c>
      <c r="Q21" s="5"/>
    </row>
    <row r="22" spans="3:17" x14ac:dyDescent="0.35">
      <c r="D22" s="3" t="str">
        <f>'KPI 100'!D22</f>
        <v>% realisation</v>
      </c>
      <c r="E22" s="9">
        <f>E20/E19</f>
        <v>0.80523752536776172</v>
      </c>
      <c r="F22" s="9">
        <f t="shared" ref="F22:P22" si="1">F20/F19</f>
        <v>1.101669296352989</v>
      </c>
      <c r="G22" s="9">
        <f t="shared" si="1"/>
        <v>1.0181674257658404</v>
      </c>
      <c r="H22" s="9">
        <f t="shared" si="1"/>
        <v>1.0009598265519006</v>
      </c>
      <c r="I22" s="9">
        <f t="shared" si="1"/>
        <v>0.84072219290824124</v>
      </c>
      <c r="J22" s="9">
        <f t="shared" si="1"/>
        <v>0.75438949851305281</v>
      </c>
      <c r="K22" s="9">
        <f t="shared" si="1"/>
        <v>1.289969199606976</v>
      </c>
      <c r="L22" s="9">
        <f t="shared" si="1"/>
        <v>0.97486686095229147</v>
      </c>
      <c r="M22" s="9">
        <f t="shared" si="1"/>
        <v>0</v>
      </c>
      <c r="N22" s="9">
        <f t="shared" si="1"/>
        <v>0</v>
      </c>
      <c r="O22" s="9">
        <f t="shared" si="1"/>
        <v>0</v>
      </c>
      <c r="P22" s="9">
        <f t="shared" si="1"/>
        <v>0</v>
      </c>
    </row>
    <row r="23" spans="3:17" x14ac:dyDescent="0.35">
      <c r="D23" s="3" t="str">
        <f>'KPI 100'!D23</f>
        <v>Actual 2024/25</v>
      </c>
      <c r="E23" s="5">
        <f>Actuals2425!D46</f>
        <v>15333</v>
      </c>
      <c r="F23" s="5">
        <f>Actuals2425!E46</f>
        <v>18128</v>
      </c>
      <c r="G23" s="5">
        <f>Actuals2425!F46</f>
        <v>15348</v>
      </c>
      <c r="H23" s="5">
        <f>Actuals2425!G46</f>
        <v>17288</v>
      </c>
      <c r="I23" s="5">
        <f>Actuals2425!H46</f>
        <v>16464</v>
      </c>
      <c r="J23" s="5">
        <f>Actuals2425!I46</f>
        <v>11402</v>
      </c>
      <c r="K23" s="5">
        <f>Actuals2425!J46</f>
        <v>21639</v>
      </c>
      <c r="L23" s="5">
        <f>Actuals2425!K46</f>
        <v>16771</v>
      </c>
      <c r="M23" s="5">
        <f>Actuals2425!L46</f>
        <v>16898</v>
      </c>
      <c r="N23" s="5">
        <f>Actuals2425!M46</f>
        <v>14822</v>
      </c>
      <c r="O23" s="5">
        <f>Actuals2425!N46</f>
        <v>15647</v>
      </c>
      <c r="P23" s="5">
        <f>Actuals2425!O46</f>
        <v>15127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43">
        <f>SUM($E19:E19)</f>
        <v>16134.369786189976</v>
      </c>
      <c r="F26" s="43">
        <f>SUM($E19:F19)</f>
        <v>32280.776025236595</v>
      </c>
      <c r="G26" s="43">
        <f>SUM($E19:G19)</f>
        <v>48439.218717139855</v>
      </c>
      <c r="H26" s="43">
        <f>SUM($E19:H19)</f>
        <v>64609.69786189976</v>
      </c>
      <c r="I26" s="43">
        <f>SUM($E19:I19)</f>
        <v>80792.213459516308</v>
      </c>
      <c r="J26" s="43">
        <f>SUM($E19:J19)</f>
        <v>96986.765509989491</v>
      </c>
      <c r="K26" s="43">
        <f>SUM($E19:K19)</f>
        <v>113193.35401331932</v>
      </c>
      <c r="L26" s="43">
        <f>SUM($E19:L19)</f>
        <v>129411.97896950578</v>
      </c>
      <c r="M26" s="43">
        <f>SUM($E19:M19)</f>
        <v>145642.64037854891</v>
      </c>
      <c r="N26" s="43">
        <f>SUM($E19:N19)</f>
        <v>161885.33824044868</v>
      </c>
      <c r="O26" s="43">
        <f>SUM($E19:O19)</f>
        <v>178140.07255520509</v>
      </c>
      <c r="P26" s="43">
        <f>SUM($E19:P19)</f>
        <v>194406.84332281814</v>
      </c>
    </row>
    <row r="27" spans="3:17" x14ac:dyDescent="0.35">
      <c r="D27" s="3" t="str">
        <f t="shared" ref="D27:D30" si="3">D20</f>
        <v>Actual 2025/26</v>
      </c>
      <c r="E27" s="43">
        <f>SUM($E20:E20)</f>
        <v>12992</v>
      </c>
      <c r="F27" s="43">
        <f>SUM($E20:F20)</f>
        <v>30780</v>
      </c>
      <c r="G27" s="43">
        <f>SUM($E20:G20)</f>
        <v>47232</v>
      </c>
      <c r="H27" s="43">
        <f>SUM($E20:H20)</f>
        <v>63418</v>
      </c>
      <c r="I27" s="43">
        <f>SUM($E20:I20)</f>
        <v>77023</v>
      </c>
      <c r="J27" s="43">
        <f>SUM($E20:J20)</f>
        <v>89240</v>
      </c>
      <c r="K27" s="43">
        <f>SUM($E20:K20)</f>
        <v>110146</v>
      </c>
      <c r="L27" s="43">
        <f>SUM($E20:L20)</f>
        <v>125957</v>
      </c>
      <c r="M27" s="43">
        <f>SUM($E20:M20)</f>
        <v>125957</v>
      </c>
      <c r="N27" s="43">
        <f>SUM($E20:N20)</f>
        <v>125957</v>
      </c>
      <c r="O27" s="43">
        <f>SUM($E20:O20)</f>
        <v>125957</v>
      </c>
      <c r="P27" s="43">
        <f>SUM($E20:P20)</f>
        <v>125957</v>
      </c>
    </row>
    <row r="28" spans="3:17" x14ac:dyDescent="0.35">
      <c r="D28" s="3" t="str">
        <f t="shared" si="3"/>
        <v>Difference</v>
      </c>
      <c r="E28" s="43">
        <f>IF(E27=0,0,E27-E26)</f>
        <v>-3142.3697861899764</v>
      </c>
      <c r="F28" s="43">
        <f t="shared" ref="F28:P28" si="4">IF(F27=0,0,F27-F26)</f>
        <v>-1500.7760252365952</v>
      </c>
      <c r="G28" s="43">
        <f t="shared" si="4"/>
        <v>-1207.2187171398546</v>
      </c>
      <c r="H28" s="43">
        <f t="shared" si="4"/>
        <v>-1191.69786189976</v>
      </c>
      <c r="I28" s="43">
        <f t="shared" si="4"/>
        <v>-3769.2134595163079</v>
      </c>
      <c r="J28" s="43">
        <f t="shared" si="4"/>
        <v>-7746.765509989491</v>
      </c>
      <c r="K28" s="43">
        <f t="shared" si="4"/>
        <v>-3047.3540133193164</v>
      </c>
      <c r="L28" s="43">
        <f t="shared" si="4"/>
        <v>-3454.9789695057843</v>
      </c>
      <c r="M28" s="43">
        <f t="shared" si="4"/>
        <v>-19685.640378548909</v>
      </c>
      <c r="N28" s="43">
        <f t="shared" si="4"/>
        <v>-35928.338240448677</v>
      </c>
      <c r="O28" s="43">
        <f t="shared" si="4"/>
        <v>-52183.072555205086</v>
      </c>
      <c r="P28" s="43">
        <f t="shared" si="4"/>
        <v>-68449.843322818138</v>
      </c>
    </row>
    <row r="29" spans="3:17" x14ac:dyDescent="0.35">
      <c r="D29" s="3" t="str">
        <f t="shared" si="3"/>
        <v>% realisation</v>
      </c>
      <c r="E29" s="9">
        <f t="shared" ref="E29:P29" si="5">E27/E26</f>
        <v>0.80523752536776172</v>
      </c>
      <c r="F29" s="9">
        <f t="shared" si="5"/>
        <v>0.95350867574982356</v>
      </c>
      <c r="G29" s="9">
        <f t="shared" si="5"/>
        <v>0.97507765919616929</v>
      </c>
      <c r="H29" s="9">
        <f t="shared" si="5"/>
        <v>0.98155543360615993</v>
      </c>
      <c r="I29" s="9">
        <f t="shared" si="5"/>
        <v>0.9533468226934394</v>
      </c>
      <c r="J29" s="9">
        <f t="shared" si="5"/>
        <v>0.92012554012648684</v>
      </c>
      <c r="K29" s="9">
        <f t="shared" si="5"/>
        <v>0.97307833096843532</v>
      </c>
      <c r="L29" s="9">
        <f t="shared" si="5"/>
        <v>0.97330247943801318</v>
      </c>
      <c r="M29" s="9">
        <f t="shared" si="5"/>
        <v>0.86483601006283095</v>
      </c>
      <c r="N29" s="9">
        <f t="shared" si="5"/>
        <v>0.77806304986629349</v>
      </c>
      <c r="O29" s="9">
        <f t="shared" si="5"/>
        <v>0.70706718703601235</v>
      </c>
      <c r="P29" s="9">
        <f t="shared" si="5"/>
        <v>0.64790414703069266</v>
      </c>
    </row>
    <row r="30" spans="3:17" x14ac:dyDescent="0.35">
      <c r="D30" s="3" t="str">
        <f t="shared" si="3"/>
        <v>Actual 2024/25</v>
      </c>
      <c r="E30" s="43">
        <f>SUM($E23:E23)</f>
        <v>15333</v>
      </c>
      <c r="F30" s="43">
        <f>SUM($E23:F23)</f>
        <v>33461</v>
      </c>
      <c r="G30" s="43">
        <f>SUM($E23:G23)</f>
        <v>48809</v>
      </c>
      <c r="H30" s="43">
        <f>SUM($E23:H23)</f>
        <v>66097</v>
      </c>
      <c r="I30" s="43">
        <f>SUM($E23:I23)</f>
        <v>82561</v>
      </c>
      <c r="J30" s="43">
        <f>SUM($E23:J23)</f>
        <v>93963</v>
      </c>
      <c r="K30" s="43">
        <f>SUM($E23:K23)</f>
        <v>115602</v>
      </c>
      <c r="L30" s="43">
        <f>SUM($E23:L23)</f>
        <v>132373</v>
      </c>
      <c r="M30" s="43">
        <f>SUM($E23:M23)</f>
        <v>149271</v>
      </c>
      <c r="N30" s="43">
        <f>SUM($E23:N23)</f>
        <v>164093</v>
      </c>
      <c r="O30" s="43">
        <f>SUM($E23:O23)</f>
        <v>179740</v>
      </c>
      <c r="P30" s="43">
        <f>SUM($E23:P23)</f>
        <v>194867</v>
      </c>
    </row>
  </sheetData>
  <sheetProtection algorithmName="SHA-512" hashValue="l9T+Sz7pu7L8ukaxHjwooLd7CtworkL1DomV4dEoMGbDaYIAf+3W9A4f5lfiPp+UK5SnyJwhQ5jvcSD9YlfDdw==" saltValue="5Nl6NURmz7bADOehuDJndA==" spinCount="100000" sheet="1" objects="1" scenarios="1"/>
  <mergeCells count="3">
    <mergeCell ref="C1:F1"/>
    <mergeCell ref="J4:Q8"/>
    <mergeCell ref="J10:Q15"/>
  </mergeCells>
  <conditionalFormatting sqref="C3">
    <cfRule type="expression" dxfId="140" priority="2">
      <formula>S4&lt;S6</formula>
    </cfRule>
  </conditionalFormatting>
  <conditionalFormatting sqref="C4">
    <cfRule type="expression" dxfId="139" priority="1">
      <formula>AND(S4&gt;=S6,S4&lt;S5)</formula>
    </cfRule>
  </conditionalFormatting>
  <conditionalFormatting sqref="C5">
    <cfRule type="expression" dxfId="138" priority="3">
      <formula>S4&gt;=S5</formula>
    </cfRule>
  </conditionalFormatting>
  <hyperlinks>
    <hyperlink ref="L1" location="'Distribution Dashboard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36225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57150</xdr:rowOff>
                  </from>
                  <to>
                    <xdr:col>9</xdr:col>
                    <xdr:colOff>628650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S30"/>
  <sheetViews>
    <sheetView zoomScale="90" zoomScaleNormal="90" zoomScalePageLayoutView="90" workbookViewId="0">
      <pane ySplit="2" topLeftCell="A4" activePane="bottomLeft" state="frozen"/>
      <selection activeCell="D26" sqref="D26:D30"/>
      <selection pane="bottomLeft"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>
        <v>122</v>
      </c>
      <c r="C1" s="124" t="s">
        <v>168</v>
      </c>
      <c r="D1" s="124"/>
      <c r="E1" s="124"/>
      <c r="F1" s="124"/>
      <c r="G1" s="3" t="s">
        <v>10</v>
      </c>
      <c r="I1" s="12">
        <f>INDEX(E$18:P$18,Actual_month)</f>
        <v>46054</v>
      </c>
      <c r="L1" s="15" t="s">
        <v>21</v>
      </c>
      <c r="R1" s="5"/>
    </row>
    <row r="2" spans="1:19" x14ac:dyDescent="0.35">
      <c r="A2" s="3" t="s">
        <v>14</v>
      </c>
      <c r="C2" s="3" t="s">
        <v>1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/>
      <c r="K4" s="135"/>
      <c r="L4" s="135"/>
      <c r="M4" s="135"/>
      <c r="N4" s="135"/>
      <c r="O4" s="135"/>
      <c r="P4" s="135"/>
      <c r="Q4" s="136"/>
      <c r="R4" s="3" t="s">
        <v>25</v>
      </c>
      <c r="S4" s="9">
        <f>INDEX(E27:P27,Actual_month)</f>
        <v>0.24863694389100324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9">
        <f>INDEX(E26:P26,Actual_month)</f>
        <v>0.21991795041558901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1.1000000000000001</v>
      </c>
      <c r="S6" s="9">
        <f>+S5*R6</f>
        <v>0.24190974545714794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9">
        <f>Budget2526!D47</f>
        <v>0.23469385457533168</v>
      </c>
      <c r="F19" s="9">
        <f>Budget2526!E47</f>
        <v>0.23044215376741659</v>
      </c>
      <c r="G19" s="9">
        <f>Budget2526!F47</f>
        <v>0.22619045295950199</v>
      </c>
      <c r="H19" s="9">
        <f>Budget2526!G47</f>
        <v>0.22193875215158723</v>
      </c>
      <c r="I19" s="9">
        <f>Budget2526!H47</f>
        <v>0.21768705134367236</v>
      </c>
      <c r="J19" s="9">
        <f>Budget2526!I47</f>
        <v>0.21343535053575735</v>
      </c>
      <c r="K19" s="9">
        <f>Budget2526!J47</f>
        <v>0.20918364972784245</v>
      </c>
      <c r="L19" s="9">
        <f>Budget2526!K47</f>
        <v>0.20493194891992761</v>
      </c>
      <c r="M19" s="9">
        <f>Budget2526!L47</f>
        <v>0.20068024811201277</v>
      </c>
      <c r="N19" s="9">
        <f>Budget2526!M47</f>
        <v>0.19642854730409812</v>
      </c>
      <c r="O19" s="9">
        <f>Budget2526!N47</f>
        <v>0.19217684649618341</v>
      </c>
      <c r="P19" s="9">
        <f>Budget2526!O47</f>
        <v>0.18792514568826835</v>
      </c>
      <c r="Q19" s="5"/>
    </row>
    <row r="20" spans="3:17" x14ac:dyDescent="0.35">
      <c r="D20" s="3" t="str">
        <f>'KPI 100'!D20</f>
        <v>Actual 2025/26</v>
      </c>
      <c r="E20" s="9">
        <f>Actuals2526!D47</f>
        <v>0.30277986476333585</v>
      </c>
      <c r="F20" s="9">
        <f>Actuals2526!E47</f>
        <v>0.25122074423303586</v>
      </c>
      <c r="G20" s="9">
        <f>Actuals2526!F47</f>
        <v>0.26283717178958688</v>
      </c>
      <c r="H20" s="9">
        <f>Actuals2526!G47</f>
        <v>0.25116817025213972</v>
      </c>
      <c r="I20" s="9">
        <f>Actuals2526!H47</f>
        <v>0.33747260774287802</v>
      </c>
      <c r="J20" s="9">
        <f>Actuals2526!I47</f>
        <v>0.31280233997075035</v>
      </c>
      <c r="K20" s="9">
        <f>Actuals2526!J47</f>
        <v>9.8490728762397589E-2</v>
      </c>
      <c r="L20" s="9">
        <f>Actuals2526!K47</f>
        <v>0.20194831415303857</v>
      </c>
      <c r="M20" s="9" t="e">
        <f>Actuals2526!L47</f>
        <v>#DIV/0!</v>
      </c>
      <c r="N20" s="9" t="e">
        <f>Actuals2526!M47</f>
        <v>#DIV/0!</v>
      </c>
      <c r="O20" s="9" t="e">
        <f>Actuals2526!N47</f>
        <v>#DIV/0!</v>
      </c>
      <c r="P20" s="9" t="e">
        <f>Actuals2526!O47</f>
        <v>#DIV/0!</v>
      </c>
      <c r="Q20" s="5"/>
    </row>
    <row r="21" spans="3:17" x14ac:dyDescent="0.35">
      <c r="D21" s="3" t="str">
        <f>'KPI 100'!D21</f>
        <v>Difference</v>
      </c>
      <c r="E21" s="9">
        <f>IF(E20=0,0,E20-E19)</f>
        <v>6.808601018800417E-2</v>
      </c>
      <c r="F21" s="9">
        <f t="shared" ref="F21:P21" si="0">IF(F20=0,0,F20-F19)</f>
        <v>2.0778590465619279E-2</v>
      </c>
      <c r="G21" s="9">
        <f t="shared" si="0"/>
        <v>3.6646718830084885E-2</v>
      </c>
      <c r="H21" s="9">
        <f t="shared" si="0"/>
        <v>2.922941810055249E-2</v>
      </c>
      <c r="I21" s="9">
        <f t="shared" si="0"/>
        <v>0.11978555639920566</v>
      </c>
      <c r="J21" s="9">
        <f t="shared" si="0"/>
        <v>9.9366989434993003E-2</v>
      </c>
      <c r="K21" s="9">
        <f t="shared" si="0"/>
        <v>-0.11069292096544486</v>
      </c>
      <c r="L21" s="9">
        <f t="shared" si="0"/>
        <v>-2.9836347668890373E-3</v>
      </c>
      <c r="M21" s="9" t="e">
        <f t="shared" si="0"/>
        <v>#DIV/0!</v>
      </c>
      <c r="N21" s="9" t="e">
        <f t="shared" si="0"/>
        <v>#DIV/0!</v>
      </c>
      <c r="O21" s="9" t="e">
        <f t="shared" si="0"/>
        <v>#DIV/0!</v>
      </c>
      <c r="P21" s="9" t="e">
        <f t="shared" si="0"/>
        <v>#DIV/0!</v>
      </c>
      <c r="Q21" s="5"/>
    </row>
    <row r="22" spans="3:17" x14ac:dyDescent="0.35">
      <c r="D22" s="3" t="str">
        <f>'KPI 100'!D22</f>
        <v>% realisation</v>
      </c>
      <c r="E22" s="9">
        <f>E20/E19</f>
        <v>1.2901056370274495</v>
      </c>
      <c r="F22" s="9">
        <f t="shared" ref="F22:P22" si="1">F20/F19</f>
        <v>1.0901683573335759</v>
      </c>
      <c r="G22" s="9">
        <f t="shared" si="1"/>
        <v>1.1620170893625039</v>
      </c>
      <c r="H22" s="9">
        <f t="shared" si="1"/>
        <v>1.131700380475188</v>
      </c>
      <c r="I22" s="9">
        <f t="shared" si="1"/>
        <v>1.5502649590769402</v>
      </c>
      <c r="J22" s="9">
        <f t="shared" si="1"/>
        <v>1.4655601294985379</v>
      </c>
      <c r="K22" s="9">
        <f t="shared" si="1"/>
        <v>0.47083378118002317</v>
      </c>
      <c r="L22" s="9">
        <f t="shared" si="1"/>
        <v>0.98544085106000323</v>
      </c>
      <c r="M22" s="9" t="e">
        <f t="shared" si="1"/>
        <v>#DIV/0!</v>
      </c>
      <c r="N22" s="9" t="e">
        <f t="shared" si="1"/>
        <v>#DIV/0!</v>
      </c>
      <c r="O22" s="9" t="e">
        <f t="shared" si="1"/>
        <v>#DIV/0!</v>
      </c>
      <c r="P22" s="9" t="e">
        <f t="shared" si="1"/>
        <v>#DIV/0!</v>
      </c>
    </row>
    <row r="23" spans="3:17" x14ac:dyDescent="0.35">
      <c r="D23" s="3" t="str">
        <f>'KPI 100'!D23</f>
        <v>Actual 2024/25</v>
      </c>
      <c r="E23" s="9">
        <f>Actuals2425!D47</f>
        <v>0.19772917538719129</v>
      </c>
      <c r="F23" s="9">
        <f>Actuals2425!E47</f>
        <v>0.2405211780971134</v>
      </c>
      <c r="G23" s="9">
        <f>Actuals2425!F47</f>
        <v>0.24371735488321672</v>
      </c>
      <c r="H23" s="9">
        <f>Actuals2425!G47</f>
        <v>0.25224913494809686</v>
      </c>
      <c r="I23" s="9">
        <f>Actuals2425!H47</f>
        <v>0.25346875850185907</v>
      </c>
      <c r="J23" s="9">
        <f>Actuals2425!I47</f>
        <v>0.24279452782574046</v>
      </c>
      <c r="K23" s="9">
        <f>Actuals2425!J47</f>
        <v>0.2846848038081386</v>
      </c>
      <c r="L23" s="9">
        <f>Actuals2425!K47</f>
        <v>0.21758805691625846</v>
      </c>
      <c r="M23" s="9">
        <f>Actuals2425!L47</f>
        <v>0.2380394101997565</v>
      </c>
      <c r="N23" s="9">
        <f>Actuals2425!M47</f>
        <v>0.31408209542320331</v>
      </c>
      <c r="O23" s="9">
        <f>Actuals2425!N47</f>
        <v>0.29730093860870344</v>
      </c>
      <c r="P23" s="9">
        <f>Actuals2425!O47</f>
        <v>0.33267160755249692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9">
        <f>('KPI 101'!E26-'KPI 108'!E26)/'KPI 101'!E26</f>
        <v>0.23469385457533168</v>
      </c>
      <c r="F26" s="9">
        <f>('KPI 101'!F26-'KPI 108'!F26)/'KPI 101'!F26</f>
        <v>0.23257310029835501</v>
      </c>
      <c r="G26" s="9">
        <f>('KPI 101'!G26-'KPI 108'!G26)/'KPI 101'!G26</f>
        <v>0.23045570100861279</v>
      </c>
      <c r="H26" s="9">
        <f>('KPI 101'!H26-'KPI 108'!H26)/'KPI 101'!H26</f>
        <v>0.22834162544491826</v>
      </c>
      <c r="I26" s="9">
        <f>('KPI 101'!I26-'KPI 108'!I26)/'KPI 101'!I26</f>
        <v>0.22623084278509881</v>
      </c>
      <c r="J26" s="9">
        <f>('KPI 101'!J26-'KPI 108'!J26)/'KPI 101'!J26</f>
        <v>0.22412332263750812</v>
      </c>
      <c r="K26" s="9">
        <f>('KPI 101'!K26-'KPI 108'!K26)/'KPI 101'!K26</f>
        <v>0.22201903503274717</v>
      </c>
      <c r="L26" s="9">
        <f>('KPI 101'!L26-'KPI 108'!L26)/'KPI 101'!L26</f>
        <v>0.21991795041558901</v>
      </c>
      <c r="M26" s="9">
        <f>('KPI 101'!M26-'KPI 108'!M26)/'KPI 101'!M26</f>
        <v>0.21782003963709939</v>
      </c>
      <c r="N26" s="9">
        <f>('KPI 101'!N26-'KPI 108'!N26)/'KPI 101'!N26</f>
        <v>0.21572527394694957</v>
      </c>
      <c r="O26" s="9">
        <f>('KPI 101'!O26-'KPI 108'!O26)/'KPI 101'!O26</f>
        <v>0.21363362498591335</v>
      </c>
      <c r="P26" s="9">
        <f>('KPI 101'!P26-'KPI 108'!P26)/'KPI 101'!P26</f>
        <v>0.21154506477854518</v>
      </c>
    </row>
    <row r="27" spans="3:17" x14ac:dyDescent="0.35">
      <c r="D27" s="3" t="str">
        <f t="shared" ref="D27:D30" si="3">D20</f>
        <v>Actual 2025/26</v>
      </c>
      <c r="E27" s="9">
        <f>('KPI 101'!E27-'KPI 108'!E27)/'KPI 101'!E27</f>
        <v>0.30277986476333585</v>
      </c>
      <c r="F27" s="9">
        <f>('KPI 101'!F27-'KPI 108'!F27)/'KPI 101'!F27</f>
        <v>0.27388535031847133</v>
      </c>
      <c r="G27" s="9">
        <f>('KPI 101'!G27-'KPI 108'!G27)/'KPI 101'!G27</f>
        <v>0.27007479755208014</v>
      </c>
      <c r="H27" s="9">
        <f>('KPI 101'!H27-'KPI 108'!H27)/'KPI 101'!H27</f>
        <v>0.26534063922708895</v>
      </c>
      <c r="I27" s="9">
        <f>('KPI 101'!I27-'KPI 108'!I27)/'KPI 101'!I27</f>
        <v>0.27920230586385669</v>
      </c>
      <c r="J27" s="9">
        <f>('KPI 101'!J27-'KPI 108'!J27)/'KPI 101'!J27</f>
        <v>0.2839949934208415</v>
      </c>
      <c r="K27" s="9">
        <f>('KPI 101'!K27-'KPI 108'!K27)/'KPI 101'!K27</f>
        <v>0.25489426758486328</v>
      </c>
      <c r="L27" s="9">
        <f>('KPI 101'!L27-'KPI 108'!L27)/'KPI 101'!L27</f>
        <v>0.24863694389100324</v>
      </c>
      <c r="M27" s="9">
        <f>('KPI 101'!M27-'KPI 108'!M27)/'KPI 101'!M27</f>
        <v>0.24863694389100324</v>
      </c>
      <c r="N27" s="9">
        <f>('KPI 101'!N27-'KPI 108'!N27)/'KPI 101'!N27</f>
        <v>0.24863694389100324</v>
      </c>
      <c r="O27" s="9">
        <f>('KPI 101'!O27-'KPI 108'!O27)/'KPI 101'!O27</f>
        <v>0.24863694389100324</v>
      </c>
      <c r="P27" s="9">
        <f>('KPI 101'!P27-'KPI 108'!P27)/'KPI 101'!P27</f>
        <v>0.24863694389100324</v>
      </c>
    </row>
    <row r="28" spans="3:17" x14ac:dyDescent="0.35">
      <c r="D28" s="3" t="str">
        <f t="shared" si="3"/>
        <v>Difference</v>
      </c>
      <c r="E28" s="9">
        <f>IF(E27=0,0,E27-E26)</f>
        <v>6.808601018800417E-2</v>
      </c>
      <c r="F28" s="43">
        <f t="shared" ref="F28:P28" si="4">IF(F27=0,0,F27-F26)</f>
        <v>4.131225002011632E-2</v>
      </c>
      <c r="G28" s="43">
        <f t="shared" si="4"/>
        <v>3.9619096543467347E-2</v>
      </c>
      <c r="H28" s="43">
        <f t="shared" si="4"/>
        <v>3.6999013782170687E-2</v>
      </c>
      <c r="I28" s="43">
        <f t="shared" si="4"/>
        <v>5.2971463078757886E-2</v>
      </c>
      <c r="J28" s="43">
        <f t="shared" si="4"/>
        <v>5.9871670783333386E-2</v>
      </c>
      <c r="K28" s="43">
        <f t="shared" si="4"/>
        <v>3.2875232552116107E-2</v>
      </c>
      <c r="L28" s="43">
        <f t="shared" si="4"/>
        <v>2.8718993475414234E-2</v>
      </c>
      <c r="M28" s="43">
        <f t="shared" si="4"/>
        <v>3.0816904253903848E-2</v>
      </c>
      <c r="N28" s="43">
        <f t="shared" si="4"/>
        <v>3.2911669944053673E-2</v>
      </c>
      <c r="O28" s="43">
        <f t="shared" si="4"/>
        <v>3.5003318905089897E-2</v>
      </c>
      <c r="P28" s="43">
        <f t="shared" si="4"/>
        <v>3.7091879112458065E-2</v>
      </c>
    </row>
    <row r="29" spans="3:17" x14ac:dyDescent="0.35">
      <c r="D29" s="3" t="str">
        <f t="shared" si="3"/>
        <v>% realisation</v>
      </c>
      <c r="E29" s="9">
        <f t="shared" ref="E29:P29" si="5">E27/E26</f>
        <v>1.2901056370274495</v>
      </c>
      <c r="F29" s="9">
        <f t="shared" si="5"/>
        <v>1.1776312478404387</v>
      </c>
      <c r="G29" s="9">
        <f t="shared" si="5"/>
        <v>1.1719163221828333</v>
      </c>
      <c r="H29" s="9">
        <f t="shared" si="5"/>
        <v>1.1620335920359637</v>
      </c>
      <c r="I29" s="9">
        <f t="shared" si="5"/>
        <v>1.234147839554647</v>
      </c>
      <c r="J29" s="9">
        <f t="shared" si="5"/>
        <v>1.2671371728687444</v>
      </c>
      <c r="K29" s="9">
        <f t="shared" si="5"/>
        <v>1.1480739367562205</v>
      </c>
      <c r="L29" s="9">
        <f t="shared" si="5"/>
        <v>1.1305895831656427</v>
      </c>
      <c r="M29" s="9">
        <f t="shared" si="5"/>
        <v>1.1414787377012996</v>
      </c>
      <c r="N29" s="9">
        <f t="shared" si="5"/>
        <v>1.1525628839954432</v>
      </c>
      <c r="O29" s="9">
        <f t="shared" si="5"/>
        <v>1.1638474229297844</v>
      </c>
      <c r="P29" s="9">
        <f t="shared" si="5"/>
        <v>1.1753379553018053</v>
      </c>
    </row>
    <row r="30" spans="3:17" x14ac:dyDescent="0.35">
      <c r="D30" s="3" t="str">
        <f t="shared" si="3"/>
        <v>Actual 2024/25</v>
      </c>
      <c r="E30" s="9">
        <f>('KPI 101'!E30-'KPI 108'!E30)/'KPI 101'!E30</f>
        <v>0.19772917538719129</v>
      </c>
      <c r="F30" s="9">
        <f>('KPI 101'!F30-'KPI 108'!F30)/'KPI 101'!F30</f>
        <v>0.22149321793350552</v>
      </c>
      <c r="G30" s="9">
        <f>('KPI 101'!G30-'KPI 108'!G30)/'KPI 101'!G30</f>
        <v>0.22862109838008693</v>
      </c>
      <c r="H30" s="9">
        <f>('KPI 101'!H30-'KPI 108'!H30)/'KPI 101'!H30</f>
        <v>0.23494415186064008</v>
      </c>
      <c r="I30" s="9">
        <f>('KPI 101'!I30-'KPI 108'!I30)/'KPI 101'!I30</f>
        <v>0.23871128364484689</v>
      </c>
      <c r="J30" s="9">
        <f>('KPI 101'!J30-'KPI 108'!J30)/'KPI 101'!J30</f>
        <v>0.23920911365347713</v>
      </c>
      <c r="K30" s="9">
        <f>('KPI 101'!K30-'KPI 108'!K30)/'KPI 101'!K30</f>
        <v>0.24815619349887486</v>
      </c>
      <c r="L30" s="9">
        <f>('KPI 101'!L30-'KPI 108'!L30)/'KPI 101'!L30</f>
        <v>0.24441615817983595</v>
      </c>
      <c r="M30" s="9">
        <f>('KPI 101'!M30-'KPI 108'!M30)/'KPI 101'!M30</f>
        <v>0.24369965040279679</v>
      </c>
      <c r="N30" s="9">
        <f>('KPI 101'!N30-'KPI 108'!N30)/'KPI 101'!N30</f>
        <v>0.25064503902200669</v>
      </c>
      <c r="O30" s="9">
        <f>('KPI 101'!O30-'KPI 108'!O30)/'KPI 101'!O30</f>
        <v>0.25495137743216467</v>
      </c>
      <c r="P30" s="9">
        <f>('KPI 101'!P30-'KPI 108'!P30)/'KPI 101'!P30</f>
        <v>0.26162689360928182</v>
      </c>
    </row>
  </sheetData>
  <sheetProtection algorithmName="SHA-512" hashValue="xwztKYzqagxNWpSxY50fCO8UicgGXfB884lIKVLEge/TKS1JQoI0tc7tMx0HT7aVz7CRLNnz1GK/ogcl9JWDSQ==" saltValue="pfeqrBiZu7tpj9qFsZUsfg==" spinCount="100000" sheet="1" objects="1" scenarios="1"/>
  <mergeCells count="3">
    <mergeCell ref="C1:F1"/>
    <mergeCell ref="J4:Q8"/>
    <mergeCell ref="J10:Q15"/>
  </mergeCells>
  <conditionalFormatting sqref="C3">
    <cfRule type="expression" dxfId="137" priority="2">
      <formula>S4&gt;S6</formula>
    </cfRule>
  </conditionalFormatting>
  <conditionalFormatting sqref="C4">
    <cfRule type="expression" dxfId="136" priority="1">
      <formula>AND(S4&gt;S5,S4&lt;=S6)</formula>
    </cfRule>
  </conditionalFormatting>
  <conditionalFormatting sqref="C5">
    <cfRule type="expression" dxfId="135" priority="3">
      <formula>S4&lt;=S5</formula>
    </cfRule>
  </conditionalFormatting>
  <hyperlinks>
    <hyperlink ref="L1" location="'Distribution Dashboard'!A1" display="Dashboard"/>
  </hyperlinks>
  <pageMargins left="0.7" right="0.7" top="0.75" bottom="0.75" header="0.3" footer="0.3"/>
  <pageSetup paperSize="9" orientation="portrait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51585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57150</xdr:rowOff>
                  </from>
                  <to>
                    <xdr:col>9</xdr:col>
                    <xdr:colOff>628650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S30"/>
  <sheetViews>
    <sheetView zoomScale="90" zoomScaleNormal="90" zoomScalePageLayoutView="90" workbookViewId="0">
      <pane ySplit="2" topLeftCell="A3" activePane="bottomLeft" state="frozen"/>
      <selection activeCell="D26" sqref="D26:D30"/>
      <selection pane="bottomLeft" activeCell="L1" sqref="L1"/>
    </sheetView>
  </sheetViews>
  <sheetFormatPr defaultColWidth="9.1796875" defaultRowHeight="14.5" x14ac:dyDescent="0.35"/>
  <cols>
    <col min="1" max="1" width="9.1796875" style="3"/>
    <col min="2" max="2" width="6.726562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>
        <v>102</v>
      </c>
      <c r="C1" s="124" t="s">
        <v>49</v>
      </c>
      <c r="D1" s="124"/>
      <c r="E1" s="124"/>
      <c r="F1" s="124"/>
      <c r="G1" s="3" t="s">
        <v>10</v>
      </c>
      <c r="I1" s="12" t="e">
        <f>INDEX(#REF!,Actual_month)</f>
        <v>#REF!</v>
      </c>
      <c r="L1" s="15" t="s">
        <v>21</v>
      </c>
      <c r="R1" s="5"/>
    </row>
    <row r="2" spans="1:19" x14ac:dyDescent="0.35">
      <c r="A2" s="3" t="s">
        <v>14</v>
      </c>
      <c r="C2" s="3" t="e">
        <f>'Distribution Dashboard'!#REF!</f>
        <v>#REF!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25"/>
      <c r="K4" s="126"/>
      <c r="L4" s="126"/>
      <c r="M4" s="126"/>
      <c r="N4" s="126"/>
      <c r="O4" s="126"/>
      <c r="P4" s="126"/>
      <c r="Q4" s="127"/>
      <c r="R4" s="3" t="s">
        <v>25</v>
      </c>
      <c r="S4" s="43">
        <f>INDEX(E27:P27,Actual_month)</f>
        <v>158283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28"/>
      <c r="K5" s="129"/>
      <c r="L5" s="129"/>
      <c r="M5" s="129"/>
      <c r="N5" s="129"/>
      <c r="O5" s="129"/>
      <c r="P5" s="129"/>
      <c r="Q5" s="130"/>
      <c r="R5" s="3" t="s">
        <v>26</v>
      </c>
      <c r="S5" s="43">
        <f>INDEX(E26:P26,Actual_month)</f>
        <v>154600.02021292958</v>
      </c>
    </row>
    <row r="6" spans="1:19" x14ac:dyDescent="0.35">
      <c r="J6" s="128"/>
      <c r="K6" s="129"/>
      <c r="L6" s="129"/>
      <c r="M6" s="129"/>
      <c r="N6" s="129"/>
      <c r="O6" s="129"/>
      <c r="P6" s="129"/>
      <c r="Q6" s="130"/>
      <c r="R6" s="6">
        <v>0.9</v>
      </c>
      <c r="S6" s="43">
        <f>+S5*R6</f>
        <v>139140.01819163663</v>
      </c>
    </row>
    <row r="7" spans="1:19" x14ac:dyDescent="0.35">
      <c r="J7" s="128"/>
      <c r="K7" s="129"/>
      <c r="L7" s="129"/>
      <c r="M7" s="129"/>
      <c r="N7" s="129"/>
      <c r="O7" s="129"/>
      <c r="P7" s="129"/>
      <c r="Q7" s="130"/>
    </row>
    <row r="8" spans="1:19" ht="15" thickBot="1" x14ac:dyDescent="0.4">
      <c r="J8" s="131"/>
      <c r="K8" s="132"/>
      <c r="L8" s="132"/>
      <c r="M8" s="132"/>
      <c r="N8" s="132"/>
      <c r="O8" s="132"/>
      <c r="P8" s="132"/>
      <c r="Q8" s="133"/>
    </row>
    <row r="9" spans="1:19" ht="15" thickBot="1" x14ac:dyDescent="0.4">
      <c r="J9" s="3" t="s">
        <v>13</v>
      </c>
    </row>
    <row r="10" spans="1:19" x14ac:dyDescent="0.35">
      <c r="J10" s="125"/>
      <c r="K10" s="126"/>
      <c r="L10" s="126"/>
      <c r="M10" s="126"/>
      <c r="N10" s="126"/>
      <c r="O10" s="126"/>
      <c r="P10" s="126"/>
      <c r="Q10" s="127"/>
    </row>
    <row r="11" spans="1:19" x14ac:dyDescent="0.35">
      <c r="J11" s="128"/>
      <c r="K11" s="129"/>
      <c r="L11" s="129"/>
      <c r="M11" s="129"/>
      <c r="N11" s="129"/>
      <c r="O11" s="129"/>
      <c r="P11" s="129"/>
      <c r="Q11" s="130"/>
    </row>
    <row r="12" spans="1:19" x14ac:dyDescent="0.35">
      <c r="J12" s="128"/>
      <c r="K12" s="129"/>
      <c r="L12" s="129"/>
      <c r="M12" s="129"/>
      <c r="N12" s="129"/>
      <c r="O12" s="129"/>
      <c r="P12" s="129"/>
      <c r="Q12" s="130"/>
    </row>
    <row r="13" spans="1:19" x14ac:dyDescent="0.35">
      <c r="J13" s="128"/>
      <c r="K13" s="129"/>
      <c r="L13" s="129"/>
      <c r="M13" s="129"/>
      <c r="N13" s="129"/>
      <c r="O13" s="129"/>
      <c r="P13" s="129"/>
      <c r="Q13" s="130"/>
    </row>
    <row r="14" spans="1:19" x14ac:dyDescent="0.35">
      <c r="J14" s="128"/>
      <c r="K14" s="129"/>
      <c r="L14" s="129"/>
      <c r="M14" s="129"/>
      <c r="N14" s="129"/>
      <c r="O14" s="129"/>
      <c r="P14" s="129"/>
      <c r="Q14" s="130"/>
    </row>
    <row r="15" spans="1:19" ht="15" thickBot="1" x14ac:dyDescent="0.4">
      <c r="J15" s="131"/>
      <c r="K15" s="132"/>
      <c r="L15" s="132"/>
      <c r="M15" s="132"/>
      <c r="N15" s="132"/>
      <c r="O15" s="132"/>
      <c r="P15" s="132"/>
      <c r="Q15" s="133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43">
        <f>Budget2526!D51</f>
        <v>19036.909247675489</v>
      </c>
      <c r="F19" s="43">
        <f>Budget2526!E51</f>
        <v>19122.590472348864</v>
      </c>
      <c r="G19" s="43">
        <f>Budget2526!F51</f>
        <v>19206.523100600341</v>
      </c>
      <c r="H19" s="43">
        <f>Budget2526!G51</f>
        <v>19288.76012020027</v>
      </c>
      <c r="I19" s="43">
        <f>Budget2526!H51</f>
        <v>19369.352399408199</v>
      </c>
      <c r="J19" s="43">
        <f>Budget2526!I51</f>
        <v>19448.34879189913</v>
      </c>
      <c r="K19" s="43">
        <f>Budget2526!J51</f>
        <v>19525.796235517701</v>
      </c>
      <c r="L19" s="43">
        <f>Budget2526!K51</f>
        <v>19601.739845279593</v>
      </c>
      <c r="M19" s="43">
        <f>Budget2526!L51</f>
        <v>19676.223001007613</v>
      </c>
      <c r="N19" s="43">
        <f>Budget2526!M51</f>
        <v>19749.287429959859</v>
      </c>
      <c r="O19" s="43">
        <f>Budget2526!N51</f>
        <v>19820.973284780928</v>
      </c>
      <c r="P19" s="43">
        <f>Budget2526!O51</f>
        <v>19891.319217081975</v>
      </c>
      <c r="Q19" s="5"/>
    </row>
    <row r="20" spans="3:17" x14ac:dyDescent="0.35">
      <c r="D20" s="3" t="str">
        <f>'KPI 100'!D20</f>
        <v>Actual 2025/26</v>
      </c>
      <c r="E20" s="43">
        <f>Actuals2526!D51</f>
        <v>21082</v>
      </c>
      <c r="F20" s="43">
        <f>Actuals2526!E51</f>
        <v>19289</v>
      </c>
      <c r="G20" s="43">
        <f>Actuals2526!F51</f>
        <v>17841</v>
      </c>
      <c r="H20" s="43">
        <f>Actuals2526!G51</f>
        <v>21548</v>
      </c>
      <c r="I20" s="43">
        <f>Actuals2526!H51</f>
        <v>18790</v>
      </c>
      <c r="J20" s="43">
        <f>Actuals2526!I51</f>
        <v>15397</v>
      </c>
      <c r="K20" s="43">
        <f>Actuals2526!J51</f>
        <v>23443</v>
      </c>
      <c r="L20" s="43">
        <f>Actuals2526!K51</f>
        <v>20893</v>
      </c>
      <c r="M20" s="43">
        <f>Actuals2526!L51</f>
        <v>0</v>
      </c>
      <c r="N20" s="43">
        <f>Actuals2526!M51</f>
        <v>0</v>
      </c>
      <c r="O20" s="43">
        <f>Actuals2526!N51</f>
        <v>0</v>
      </c>
      <c r="P20" s="43">
        <f>Actuals2526!O51</f>
        <v>0</v>
      </c>
      <c r="Q20" s="5"/>
    </row>
    <row r="21" spans="3:17" x14ac:dyDescent="0.35">
      <c r="D21" s="3" t="str">
        <f>'KPI 100'!D21</f>
        <v>Difference</v>
      </c>
      <c r="E21" s="43">
        <f>IF(E20=0,0,E20-E19)</f>
        <v>2045.0907523245114</v>
      </c>
      <c r="F21" s="43">
        <f t="shared" ref="F21:P21" si="0">IF(F20=0,0,F20-F19)</f>
        <v>166.40952765113616</v>
      </c>
      <c r="G21" s="43">
        <f t="shared" si="0"/>
        <v>-1365.5231006003414</v>
      </c>
      <c r="H21" s="43">
        <f t="shared" si="0"/>
        <v>2259.2398797997303</v>
      </c>
      <c r="I21" s="43">
        <f t="shared" si="0"/>
        <v>-579.35239940819883</v>
      </c>
      <c r="J21" s="43">
        <f t="shared" si="0"/>
        <v>-4051.3487918991304</v>
      </c>
      <c r="K21" s="43">
        <f t="shared" si="0"/>
        <v>3917.2037644822994</v>
      </c>
      <c r="L21" s="43">
        <f t="shared" si="0"/>
        <v>1291.2601547204067</v>
      </c>
      <c r="M21" s="43">
        <f t="shared" si="0"/>
        <v>0</v>
      </c>
      <c r="N21" s="43">
        <f t="shared" si="0"/>
        <v>0</v>
      </c>
      <c r="O21" s="43">
        <f t="shared" si="0"/>
        <v>0</v>
      </c>
      <c r="P21" s="43">
        <f t="shared" si="0"/>
        <v>0</v>
      </c>
      <c r="Q21" s="5"/>
    </row>
    <row r="22" spans="3:17" x14ac:dyDescent="0.35">
      <c r="D22" s="3" t="str">
        <f>'KPI 100'!D22</f>
        <v>% realisation</v>
      </c>
      <c r="E22" s="9">
        <f>E20/E19</f>
        <v>1.1074276672603369</v>
      </c>
      <c r="F22" s="9">
        <f t="shared" ref="F22:P22" si="1">F20/F19</f>
        <v>1.0087022481547028</v>
      </c>
      <c r="G22" s="9">
        <f t="shared" si="1"/>
        <v>0.92890315996039596</v>
      </c>
      <c r="H22" s="9">
        <f t="shared" si="1"/>
        <v>1.117127273382063</v>
      </c>
      <c r="I22" s="9">
        <f t="shared" si="1"/>
        <v>0.97008922201106218</v>
      </c>
      <c r="J22" s="9">
        <f t="shared" si="1"/>
        <v>0.79168674753577806</v>
      </c>
      <c r="K22" s="9">
        <f t="shared" si="1"/>
        <v>1.2006168515349376</v>
      </c>
      <c r="L22" s="9">
        <f t="shared" si="1"/>
        <v>1.0658747725922586</v>
      </c>
      <c r="M22" s="9">
        <f t="shared" si="1"/>
        <v>0</v>
      </c>
      <c r="N22" s="9">
        <f t="shared" si="1"/>
        <v>0</v>
      </c>
      <c r="O22" s="9">
        <f t="shared" si="1"/>
        <v>0</v>
      </c>
      <c r="P22" s="9">
        <f t="shared" si="1"/>
        <v>0</v>
      </c>
    </row>
    <row r="23" spans="3:17" x14ac:dyDescent="0.35">
      <c r="D23" s="3" t="str">
        <f>'KPI 100'!D23</f>
        <v>Actual 2024/25</v>
      </c>
      <c r="E23" s="5">
        <f>Actuals2425!D51</f>
        <v>16236</v>
      </c>
      <c r="F23" s="5">
        <f>Actuals2425!E51</f>
        <v>22065</v>
      </c>
      <c r="G23" s="5">
        <f>Actuals2425!F51</f>
        <v>17891</v>
      </c>
      <c r="H23" s="5">
        <f>Actuals2425!G51</f>
        <v>19851</v>
      </c>
      <c r="I23" s="5">
        <f>Actuals2425!H51</f>
        <v>19526</v>
      </c>
      <c r="J23" s="5">
        <f>Actuals2425!I51</f>
        <v>14104</v>
      </c>
      <c r="K23" s="5">
        <f>Actuals2425!J51</f>
        <v>25367</v>
      </c>
      <c r="L23" s="5">
        <f>Actuals2425!K51</f>
        <v>19845</v>
      </c>
      <c r="M23" s="5">
        <f>Actuals2425!L51</f>
        <v>19606</v>
      </c>
      <c r="N23" s="5">
        <f>Actuals2425!M51</f>
        <v>15629</v>
      </c>
      <c r="O23" s="5">
        <f>Actuals2425!N51</f>
        <v>21957</v>
      </c>
      <c r="P23" s="5">
        <f>Actuals2425!O51</f>
        <v>21851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43">
        <f>SUM($E19:E19)</f>
        <v>19036.909247675489</v>
      </c>
      <c r="F26" s="43">
        <f>SUM($E19:F19)</f>
        <v>38159.499720024352</v>
      </c>
      <c r="G26" s="43">
        <f>SUM($E19:G19)</f>
        <v>57366.022820624697</v>
      </c>
      <c r="H26" s="43">
        <f>SUM($E19:H19)</f>
        <v>76654.782940824967</v>
      </c>
      <c r="I26" s="43">
        <f>SUM($E19:I19)</f>
        <v>96024.135340233159</v>
      </c>
      <c r="J26" s="43">
        <f>SUM($E19:J19)</f>
        <v>115472.48413213229</v>
      </c>
      <c r="K26" s="43">
        <f>SUM($E19:K19)</f>
        <v>134998.28036764998</v>
      </c>
      <c r="L26" s="43">
        <f>SUM($E19:L19)</f>
        <v>154600.02021292958</v>
      </c>
      <c r="M26" s="43">
        <f>SUM($E19:M19)</f>
        <v>174276.24321393718</v>
      </c>
      <c r="N26" s="43">
        <f>SUM($E19:N19)</f>
        <v>194025.53064389704</v>
      </c>
      <c r="O26" s="43">
        <f>SUM($E19:O19)</f>
        <v>213846.50392867796</v>
      </c>
      <c r="P26" s="43">
        <f>SUM($E19:P19)</f>
        <v>233737.82314575993</v>
      </c>
    </row>
    <row r="27" spans="3:17" x14ac:dyDescent="0.35">
      <c r="D27" s="3" t="str">
        <f t="shared" ref="D27:D30" si="3">D20</f>
        <v>Actual 2025/26</v>
      </c>
      <c r="E27" s="43">
        <f>SUM($E20:E20)</f>
        <v>21082</v>
      </c>
      <c r="F27" s="43">
        <f>SUM($E20:F20)</f>
        <v>40371</v>
      </c>
      <c r="G27" s="43">
        <f>SUM($E20:G20)</f>
        <v>58212</v>
      </c>
      <c r="H27" s="43">
        <f>SUM($E20:H20)</f>
        <v>79760</v>
      </c>
      <c r="I27" s="43">
        <f>SUM($E20:I20)</f>
        <v>98550</v>
      </c>
      <c r="J27" s="43">
        <f>SUM($E20:J20)</f>
        <v>113947</v>
      </c>
      <c r="K27" s="43">
        <f>SUM($E20:K20)</f>
        <v>137390</v>
      </c>
      <c r="L27" s="43">
        <f>SUM($E20:L20)</f>
        <v>158283</v>
      </c>
      <c r="M27" s="43">
        <f>SUM($E20:M20)</f>
        <v>158283</v>
      </c>
      <c r="N27" s="43">
        <f>SUM($E20:N20)</f>
        <v>158283</v>
      </c>
      <c r="O27" s="43">
        <f>SUM($E20:O20)</f>
        <v>158283</v>
      </c>
      <c r="P27" s="43">
        <f>SUM($E20:P20)</f>
        <v>158283</v>
      </c>
    </row>
    <row r="28" spans="3:17" x14ac:dyDescent="0.35">
      <c r="D28" s="3" t="str">
        <f t="shared" si="3"/>
        <v>Difference</v>
      </c>
      <c r="E28" s="43">
        <f>IF(E27=0,0,E27-E26)</f>
        <v>2045.0907523245114</v>
      </c>
      <c r="F28" s="43">
        <f t="shared" ref="F28:P28" si="4">IF(F27=0,0,F27-F26)</f>
        <v>2211.5002799756476</v>
      </c>
      <c r="G28" s="43">
        <f t="shared" si="4"/>
        <v>845.97717937530251</v>
      </c>
      <c r="H28" s="43">
        <f t="shared" si="4"/>
        <v>3105.2170591750328</v>
      </c>
      <c r="I28" s="43">
        <f t="shared" si="4"/>
        <v>2525.8646597668412</v>
      </c>
      <c r="J28" s="43">
        <f t="shared" si="4"/>
        <v>-1525.4841321322892</v>
      </c>
      <c r="K28" s="43">
        <f t="shared" si="4"/>
        <v>2391.7196323500248</v>
      </c>
      <c r="L28" s="43">
        <f t="shared" si="4"/>
        <v>3682.9797870704206</v>
      </c>
      <c r="M28" s="43">
        <f t="shared" si="4"/>
        <v>-15993.243213937181</v>
      </c>
      <c r="N28" s="43">
        <f t="shared" si="4"/>
        <v>-35742.530643897044</v>
      </c>
      <c r="O28" s="43">
        <f t="shared" si="4"/>
        <v>-55563.503928677965</v>
      </c>
      <c r="P28" s="43">
        <f t="shared" si="4"/>
        <v>-75454.823145759932</v>
      </c>
    </row>
    <row r="29" spans="3:17" x14ac:dyDescent="0.35">
      <c r="D29" s="3" t="str">
        <f t="shared" si="3"/>
        <v>% realisation</v>
      </c>
      <c r="E29" s="9">
        <f t="shared" ref="E29:P29" si="5">E27/E26</f>
        <v>1.1074276672603369</v>
      </c>
      <c r="F29" s="9">
        <f t="shared" si="5"/>
        <v>1.0579541214167216</v>
      </c>
      <c r="G29" s="9">
        <f t="shared" si="5"/>
        <v>1.0147470076846803</v>
      </c>
      <c r="H29" s="9">
        <f t="shared" si="5"/>
        <v>1.0405091103261248</v>
      </c>
      <c r="I29" s="9">
        <f t="shared" si="5"/>
        <v>1.0263044770027576</v>
      </c>
      <c r="J29" s="9">
        <f t="shared" si="5"/>
        <v>0.98678919793232545</v>
      </c>
      <c r="K29" s="9">
        <f t="shared" si="5"/>
        <v>1.0177166673963289</v>
      </c>
      <c r="L29" s="9">
        <f t="shared" si="5"/>
        <v>1.0238226345766184</v>
      </c>
      <c r="M29" s="9">
        <f t="shared" si="5"/>
        <v>0.90823050279834028</v>
      </c>
      <c r="N29" s="9">
        <f t="shared" si="5"/>
        <v>0.81578439432542116</v>
      </c>
      <c r="O29" s="9">
        <f t="shared" si="5"/>
        <v>0.74017109044153706</v>
      </c>
      <c r="P29" s="9">
        <f t="shared" si="5"/>
        <v>0.67718180083030044</v>
      </c>
    </row>
    <row r="30" spans="3:17" x14ac:dyDescent="0.35">
      <c r="D30" s="3" t="str">
        <f t="shared" si="3"/>
        <v>Actual 2024/25</v>
      </c>
      <c r="E30" s="43">
        <f>SUM($E23:E23)</f>
        <v>16236</v>
      </c>
      <c r="F30" s="43">
        <f>SUM($E23:F23)</f>
        <v>38301</v>
      </c>
      <c r="G30" s="43">
        <f>SUM($E23:G23)</f>
        <v>56192</v>
      </c>
      <c r="H30" s="43">
        <f>SUM($E23:H23)</f>
        <v>76043</v>
      </c>
      <c r="I30" s="43">
        <f>SUM($E23:I23)</f>
        <v>95569</v>
      </c>
      <c r="J30" s="43">
        <f>SUM($E23:J23)</f>
        <v>109673</v>
      </c>
      <c r="K30" s="43">
        <f>SUM($E23:K23)</f>
        <v>135040</v>
      </c>
      <c r="L30" s="43">
        <f>SUM($E23:L23)</f>
        <v>154885</v>
      </c>
      <c r="M30" s="43">
        <f>SUM($E23:M23)</f>
        <v>174491</v>
      </c>
      <c r="N30" s="43">
        <f>SUM($E23:N23)</f>
        <v>190120</v>
      </c>
      <c r="O30" s="43">
        <f>SUM($E23:O23)</f>
        <v>212077</v>
      </c>
      <c r="P30" s="43">
        <f>SUM($E23:P23)</f>
        <v>233928</v>
      </c>
    </row>
  </sheetData>
  <sheetProtection algorithmName="SHA-512" hashValue="P4af2MR+Y4fW0fTOs42fg5VyS5j5pMKmnKDQxd17WwVX109pvZJpF0sJgKa/4t+uC/aVnGpmd3TiXwVoHxDNSA==" saltValue="XGXfULuujgfmsWI6ZNaMpA==" spinCount="100000" sheet="1" objects="1" scenarios="1"/>
  <mergeCells count="3">
    <mergeCell ref="C1:F1"/>
    <mergeCell ref="J4:Q8"/>
    <mergeCell ref="J10:Q15"/>
  </mergeCells>
  <conditionalFormatting sqref="C3">
    <cfRule type="expression" dxfId="134" priority="2">
      <formula>S4&lt;S6</formula>
    </cfRule>
  </conditionalFormatting>
  <conditionalFormatting sqref="C4">
    <cfRule type="expression" dxfId="133" priority="1">
      <formula>AND(S4&gt;=S6,S4&lt;S5)</formula>
    </cfRule>
  </conditionalFormatting>
  <conditionalFormatting sqref="C5">
    <cfRule type="expression" dxfId="132" priority="3">
      <formula>S4&gt;=S5</formula>
    </cfRule>
  </conditionalFormatting>
  <hyperlinks>
    <hyperlink ref="L1" location="'Distribution Dashboard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30081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57150</xdr:rowOff>
                  </from>
                  <to>
                    <xdr:col>9</xdr:col>
                    <xdr:colOff>628650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S30"/>
  <sheetViews>
    <sheetView zoomScale="90" zoomScaleNormal="90" zoomScalePageLayoutView="90" workbookViewId="0">
      <pane ySplit="2" topLeftCell="A3" activePane="bottomLeft" state="frozen"/>
      <selection activeCell="D26" sqref="D26:D30"/>
      <selection pane="bottomLeft" sqref="A1:XFD1048576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>
        <v>109</v>
      </c>
      <c r="C1" s="124" t="s">
        <v>58</v>
      </c>
      <c r="D1" s="124"/>
      <c r="E1" s="124"/>
      <c r="F1" s="124"/>
      <c r="G1" s="3" t="s">
        <v>10</v>
      </c>
      <c r="I1" s="12" cm="1">
        <f t="array" ref="I1">INDEX(E18:P18,Actual_month)</f>
        <v>46054</v>
      </c>
      <c r="L1" s="15" t="s">
        <v>21</v>
      </c>
      <c r="R1" s="5"/>
    </row>
    <row r="2" spans="1:19" x14ac:dyDescent="0.35">
      <c r="A2" s="3" t="s">
        <v>14</v>
      </c>
      <c r="C2" s="3" t="s">
        <v>15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/>
      <c r="K4" s="135"/>
      <c r="L4" s="135"/>
      <c r="M4" s="135"/>
      <c r="N4" s="135"/>
      <c r="O4" s="135"/>
      <c r="P4" s="135"/>
      <c r="Q4" s="136"/>
      <c r="R4" s="3" t="s">
        <v>25</v>
      </c>
      <c r="S4" s="43">
        <f>INDEX(E27:P27,Actual_month)</f>
        <v>127731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43">
        <f>INDEX(E26:P26,Actual_month)</f>
        <v>130834.10228977131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0.9</v>
      </c>
      <c r="S6" s="43">
        <f>+S5*R6</f>
        <v>117750.69206079419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43">
        <f>Budget2526!D52</f>
        <v>15540.334546280268</v>
      </c>
      <c r="F19" s="43">
        <f>Budget2526!E52</f>
        <v>15772.885471977739</v>
      </c>
      <c r="G19" s="43">
        <f>Budget2526!F52</f>
        <v>16005.436397675212</v>
      </c>
      <c r="H19" s="43">
        <f>Budget2526!G52</f>
        <v>16237.987323372683</v>
      </c>
      <c r="I19" s="43">
        <f>Budget2526!H52</f>
        <v>16470.538249070152</v>
      </c>
      <c r="J19" s="43">
        <f>Budget2526!I52</f>
        <v>16703.089174767621</v>
      </c>
      <c r="K19" s="43">
        <f>Budget2526!J52</f>
        <v>16935.640100465091</v>
      </c>
      <c r="L19" s="43">
        <f>Budget2526!K52</f>
        <v>17168.19102616256</v>
      </c>
      <c r="M19" s="43">
        <f>Budget2526!L52</f>
        <v>17400.741951860036</v>
      </c>
      <c r="N19" s="43">
        <f>Budget2526!M52</f>
        <v>17633.292877557506</v>
      </c>
      <c r="O19" s="43">
        <f>Budget2526!N52</f>
        <v>17865.843803254975</v>
      </c>
      <c r="P19" s="43">
        <f>Budget2526!O52</f>
        <v>18098.394728952448</v>
      </c>
      <c r="Q19" s="5"/>
    </row>
    <row r="20" spans="3:17" x14ac:dyDescent="0.35">
      <c r="D20" s="3" t="str">
        <f>'KPI 100'!D20</f>
        <v>Actual 2025/26</v>
      </c>
      <c r="E20" s="43">
        <f>Actuals2526!D52</f>
        <v>15991</v>
      </c>
      <c r="F20" s="43">
        <f>Actuals2526!E52</f>
        <v>15410</v>
      </c>
      <c r="G20" s="43">
        <f>Actuals2526!F52</f>
        <v>13572</v>
      </c>
      <c r="H20" s="43">
        <f>Actuals2526!G52</f>
        <v>16565</v>
      </c>
      <c r="I20" s="43">
        <f>Actuals2526!H52</f>
        <v>15215</v>
      </c>
      <c r="J20" s="43">
        <f>Actuals2526!I52</f>
        <v>12683</v>
      </c>
      <c r="K20" s="43">
        <f>Actuals2526!J52</f>
        <v>20921</v>
      </c>
      <c r="L20" s="43">
        <f>Actuals2526!K52</f>
        <v>17374</v>
      </c>
      <c r="M20" s="43">
        <f>Actuals2526!L52</f>
        <v>0</v>
      </c>
      <c r="N20" s="43">
        <f>Actuals2526!M52</f>
        <v>0</v>
      </c>
      <c r="O20" s="43">
        <f>Actuals2526!N52</f>
        <v>0</v>
      </c>
      <c r="P20" s="43">
        <f>Actuals2526!O52</f>
        <v>0</v>
      </c>
      <c r="Q20" s="5"/>
    </row>
    <row r="21" spans="3:17" x14ac:dyDescent="0.35">
      <c r="D21" s="3" t="str">
        <f>'KPI 100'!D21</f>
        <v>Difference</v>
      </c>
      <c r="E21" s="43">
        <f>IF(E20=0,0,E20-E19)</f>
        <v>450.66545371973189</v>
      </c>
      <c r="F21" s="43">
        <f t="shared" ref="F21:P21" si="0">IF(F20=0,0,F20-F19)</f>
        <v>-362.88547197773914</v>
      </c>
      <c r="G21" s="43">
        <f t="shared" si="0"/>
        <v>-2433.436397675212</v>
      </c>
      <c r="H21" s="43">
        <f t="shared" si="0"/>
        <v>327.01267662731698</v>
      </c>
      <c r="I21" s="43">
        <f t="shared" si="0"/>
        <v>-1255.5382490701522</v>
      </c>
      <c r="J21" s="43">
        <f t="shared" si="0"/>
        <v>-4020.0891747676214</v>
      </c>
      <c r="K21" s="43">
        <f t="shared" si="0"/>
        <v>3985.3598995349093</v>
      </c>
      <c r="L21" s="43">
        <f t="shared" si="0"/>
        <v>205.80897383744013</v>
      </c>
      <c r="M21" s="43">
        <f t="shared" si="0"/>
        <v>0</v>
      </c>
      <c r="N21" s="43">
        <f t="shared" si="0"/>
        <v>0</v>
      </c>
      <c r="O21" s="43">
        <f t="shared" si="0"/>
        <v>0</v>
      </c>
      <c r="P21" s="43">
        <f t="shared" si="0"/>
        <v>0</v>
      </c>
      <c r="Q21" s="5"/>
    </row>
    <row r="22" spans="3:17" x14ac:dyDescent="0.35">
      <c r="D22" s="3" t="str">
        <f>'KPI 100'!D22</f>
        <v>% realisation</v>
      </c>
      <c r="E22" s="9">
        <f>E20/E19</f>
        <v>1.0289997266389355</v>
      </c>
      <c r="F22" s="9">
        <f t="shared" ref="F22:P22" si="1">F20/F19</f>
        <v>0.97699308267834406</v>
      </c>
      <c r="G22" s="9">
        <f t="shared" si="1"/>
        <v>0.84796188387411486</v>
      </c>
      <c r="H22" s="9">
        <f t="shared" si="1"/>
        <v>1.0201387444216452</v>
      </c>
      <c r="I22" s="9">
        <f t="shared" si="1"/>
        <v>0.92377066067400471</v>
      </c>
      <c r="J22" s="9">
        <f t="shared" si="1"/>
        <v>0.75932061831768616</v>
      </c>
      <c r="K22" s="9">
        <f t="shared" si="1"/>
        <v>1.2353238422576931</v>
      </c>
      <c r="L22" s="9">
        <f t="shared" si="1"/>
        <v>1.0119878077733298</v>
      </c>
      <c r="M22" s="9">
        <f t="shared" si="1"/>
        <v>0</v>
      </c>
      <c r="N22" s="9">
        <f t="shared" si="1"/>
        <v>0</v>
      </c>
      <c r="O22" s="9">
        <f t="shared" si="1"/>
        <v>0</v>
      </c>
      <c r="P22" s="9">
        <f t="shared" si="1"/>
        <v>0</v>
      </c>
    </row>
    <row r="23" spans="3:17" x14ac:dyDescent="0.35">
      <c r="D23" s="3" t="str">
        <f>'KPI 100'!D23</f>
        <v>Actual 2024/25</v>
      </c>
      <c r="E23" s="5">
        <f>Actuals2425!D52</f>
        <v>13187</v>
      </c>
      <c r="F23" s="5">
        <f>Actuals2425!E52</f>
        <v>19014</v>
      </c>
      <c r="G23" s="5">
        <f>Actuals2425!F52</f>
        <v>14518</v>
      </c>
      <c r="H23" s="5">
        <f>Actuals2425!G52</f>
        <v>15348</v>
      </c>
      <c r="I23" s="5">
        <f>Actuals2425!H52</f>
        <v>15020</v>
      </c>
      <c r="J23" s="5">
        <f>Actuals2425!I52</f>
        <v>11149</v>
      </c>
      <c r="K23" s="5">
        <f>Actuals2425!J52</f>
        <v>18653</v>
      </c>
      <c r="L23" s="5">
        <f>Actuals2425!K52</f>
        <v>16512</v>
      </c>
      <c r="M23" s="5">
        <f>Actuals2425!L52</f>
        <v>16356</v>
      </c>
      <c r="N23" s="5">
        <f>Actuals2425!M52</f>
        <v>14401</v>
      </c>
      <c r="O23" s="5">
        <f>Actuals2425!N52</f>
        <v>18218</v>
      </c>
      <c r="P23" s="5">
        <f>Actuals2425!O52</f>
        <v>18443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43">
        <f>SUM($E19:E19)</f>
        <v>15540.334546280268</v>
      </c>
      <c r="F26" s="43">
        <f>SUM($E19:F19)</f>
        <v>31313.220018258005</v>
      </c>
      <c r="G26" s="43">
        <f>SUM($E19:G19)</f>
        <v>47318.656415933219</v>
      </c>
      <c r="H26" s="43">
        <f>SUM($E19:H19)</f>
        <v>63556.643739305902</v>
      </c>
      <c r="I26" s="43">
        <f>SUM($E19:I19)</f>
        <v>80027.181988376047</v>
      </c>
      <c r="J26" s="43">
        <f>SUM($E19:J19)</f>
        <v>96730.271163143669</v>
      </c>
      <c r="K26" s="43">
        <f>SUM($E19:K19)</f>
        <v>113665.91126360875</v>
      </c>
      <c r="L26" s="43">
        <f>SUM($E19:L19)</f>
        <v>130834.10228977131</v>
      </c>
      <c r="M26" s="43">
        <f>SUM($E19:M19)</f>
        <v>148234.84424163133</v>
      </c>
      <c r="N26" s="43">
        <f>SUM($E19:N19)</f>
        <v>165868.13711918885</v>
      </c>
      <c r="O26" s="43">
        <f>SUM($E19:O19)</f>
        <v>183733.98092244382</v>
      </c>
      <c r="P26" s="43">
        <f>SUM($E19:P19)</f>
        <v>201832.37565139626</v>
      </c>
    </row>
    <row r="27" spans="3:17" x14ac:dyDescent="0.35">
      <c r="D27" s="3" t="str">
        <f t="shared" ref="D27:D30" si="3">D20</f>
        <v>Actual 2025/26</v>
      </c>
      <c r="E27" s="43">
        <f>SUM($E20:E20)</f>
        <v>15991</v>
      </c>
      <c r="F27" s="43">
        <f>SUM($E20:F20)</f>
        <v>31401</v>
      </c>
      <c r="G27" s="43">
        <f>SUM($E20:G20)</f>
        <v>44973</v>
      </c>
      <c r="H27" s="43">
        <f>SUM($E20:H20)</f>
        <v>61538</v>
      </c>
      <c r="I27" s="43">
        <f>SUM($E20:I20)</f>
        <v>76753</v>
      </c>
      <c r="J27" s="43">
        <f>SUM($E20:J20)</f>
        <v>89436</v>
      </c>
      <c r="K27" s="43">
        <f>SUM($E20:K20)</f>
        <v>110357</v>
      </c>
      <c r="L27" s="43">
        <f>SUM($E20:L20)</f>
        <v>127731</v>
      </c>
      <c r="M27" s="43">
        <f>SUM($E20:M20)</f>
        <v>127731</v>
      </c>
      <c r="N27" s="43">
        <f>SUM($E20:N20)</f>
        <v>127731</v>
      </c>
      <c r="O27" s="43">
        <f>SUM($E20:O20)</f>
        <v>127731</v>
      </c>
      <c r="P27" s="43">
        <f>SUM($E20:P20)</f>
        <v>127731</v>
      </c>
    </row>
    <row r="28" spans="3:17" x14ac:dyDescent="0.35">
      <c r="D28" s="3" t="str">
        <f t="shared" si="3"/>
        <v>Difference</v>
      </c>
      <c r="E28" s="43">
        <f>IF(E27=0,0,E27-E26)</f>
        <v>450.66545371973189</v>
      </c>
      <c r="F28" s="43">
        <f t="shared" ref="F28:P28" si="4">IF(F27=0,0,F27-F26)</f>
        <v>87.779981741994561</v>
      </c>
      <c r="G28" s="43">
        <f t="shared" si="4"/>
        <v>-2345.6564159332193</v>
      </c>
      <c r="H28" s="43">
        <f t="shared" si="4"/>
        <v>-2018.6437393059023</v>
      </c>
      <c r="I28" s="43">
        <f t="shared" si="4"/>
        <v>-3274.1819883760472</v>
      </c>
      <c r="J28" s="43">
        <f t="shared" si="4"/>
        <v>-7294.2711631436687</v>
      </c>
      <c r="K28" s="43">
        <f t="shared" si="4"/>
        <v>-3308.9112636087521</v>
      </c>
      <c r="L28" s="43">
        <f t="shared" si="4"/>
        <v>-3103.1022897713119</v>
      </c>
      <c r="M28" s="43">
        <f t="shared" si="4"/>
        <v>-20503.844241631334</v>
      </c>
      <c r="N28" s="43">
        <f t="shared" si="4"/>
        <v>-38137.137119188847</v>
      </c>
      <c r="O28" s="43">
        <f t="shared" si="4"/>
        <v>-56002.980922443821</v>
      </c>
      <c r="P28" s="43">
        <f t="shared" si="4"/>
        <v>-74101.375651396258</v>
      </c>
    </row>
    <row r="29" spans="3:17" x14ac:dyDescent="0.35">
      <c r="D29" s="3" t="str">
        <f t="shared" si="3"/>
        <v>% realisation</v>
      </c>
      <c r="E29" s="9">
        <f t="shared" ref="E29:P29" si="5">E27/E26</f>
        <v>1.0289997266389355</v>
      </c>
      <c r="F29" s="9">
        <f t="shared" si="5"/>
        <v>1.002803288249845</v>
      </c>
      <c r="G29" s="9">
        <f t="shared" si="5"/>
        <v>0.95042850762044495</v>
      </c>
      <c r="H29" s="9">
        <f t="shared" si="5"/>
        <v>0.96823866679326409</v>
      </c>
      <c r="I29" s="9">
        <f t="shared" si="5"/>
        <v>0.9590866264808422</v>
      </c>
      <c r="J29" s="9">
        <f t="shared" si="5"/>
        <v>0.92459163945853851</v>
      </c>
      <c r="K29" s="9">
        <f t="shared" si="5"/>
        <v>0.97088915025776834</v>
      </c>
      <c r="L29" s="9">
        <f t="shared" si="5"/>
        <v>0.97628216011374036</v>
      </c>
      <c r="M29" s="9">
        <f t="shared" si="5"/>
        <v>0.86167999604594392</v>
      </c>
      <c r="N29" s="9">
        <f t="shared" si="5"/>
        <v>0.77007556857177206</v>
      </c>
      <c r="O29" s="9">
        <f t="shared" si="5"/>
        <v>0.69519530006763797</v>
      </c>
      <c r="P29" s="9">
        <f t="shared" si="5"/>
        <v>0.63285684265351094</v>
      </c>
    </row>
    <row r="30" spans="3:17" x14ac:dyDescent="0.35">
      <c r="D30" s="3" t="str">
        <f t="shared" si="3"/>
        <v>Actual 2024/25</v>
      </c>
      <c r="E30" s="43">
        <f>SUM($E23:E23)</f>
        <v>13187</v>
      </c>
      <c r="F30" s="43">
        <f>SUM($E23:F23)</f>
        <v>32201</v>
      </c>
      <c r="G30" s="43">
        <f>SUM($E23:G23)</f>
        <v>46719</v>
      </c>
      <c r="H30" s="43">
        <f>SUM($E23:H23)</f>
        <v>62067</v>
      </c>
      <c r="I30" s="43">
        <f>SUM($E23:I23)</f>
        <v>77087</v>
      </c>
      <c r="J30" s="43">
        <f>SUM($E23:J23)</f>
        <v>88236</v>
      </c>
      <c r="K30" s="43">
        <f>SUM($E23:K23)</f>
        <v>106889</v>
      </c>
      <c r="L30" s="43">
        <f>SUM($E23:L23)</f>
        <v>123401</v>
      </c>
      <c r="M30" s="43">
        <f>SUM($E23:M23)</f>
        <v>139757</v>
      </c>
      <c r="N30" s="43">
        <f>SUM($E23:N23)</f>
        <v>154158</v>
      </c>
      <c r="O30" s="43">
        <f>SUM($E23:O23)</f>
        <v>172376</v>
      </c>
      <c r="P30" s="43">
        <f>SUM($E23:P23)</f>
        <v>190819</v>
      </c>
    </row>
  </sheetData>
  <sheetProtection algorithmName="SHA-512" hashValue="XoINExBdJPVQrWofAAvWdMATLun0CjaSuc4leSaVvIkr5ZHB9m7AM/NCkzaFuoaOAs4X2ufu4kEekSK2g6Idpw==" saltValue="tdl/oIImw607M8KKBbgN2Q==" spinCount="100000" sheet="1" objects="1" scenarios="1"/>
  <mergeCells count="3">
    <mergeCell ref="C1:F1"/>
    <mergeCell ref="J4:Q8"/>
    <mergeCell ref="J10:Q15"/>
  </mergeCells>
  <conditionalFormatting sqref="C3">
    <cfRule type="expression" dxfId="131" priority="2">
      <formula>S4&lt;S6</formula>
    </cfRule>
  </conditionalFormatting>
  <conditionalFormatting sqref="C4">
    <cfRule type="expression" dxfId="130" priority="1">
      <formula>AND(S4&gt;=S6,S4&lt;S5)</formula>
    </cfRule>
  </conditionalFormatting>
  <conditionalFormatting sqref="C5">
    <cfRule type="expression" dxfId="129" priority="3">
      <formula>S4&gt;=S5</formula>
    </cfRule>
  </conditionalFormatting>
  <hyperlinks>
    <hyperlink ref="L1" location="'Distribution Dashboard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37249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57150</xdr:rowOff>
                  </from>
                  <to>
                    <xdr:col>9</xdr:col>
                    <xdr:colOff>628650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S30"/>
  <sheetViews>
    <sheetView zoomScale="90" zoomScaleNormal="90" zoomScalePageLayoutView="90" workbookViewId="0">
      <pane ySplit="2" topLeftCell="A3" activePane="bottomLeft" state="frozen"/>
      <selection activeCell="D26" sqref="D26:D30"/>
      <selection pane="bottomLeft"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>
        <v>123</v>
      </c>
      <c r="C1" s="124" t="s">
        <v>67</v>
      </c>
      <c r="D1" s="124"/>
      <c r="E1" s="124"/>
      <c r="F1" s="124"/>
      <c r="G1" s="3" t="s">
        <v>10</v>
      </c>
      <c r="I1" s="12">
        <f>INDEX(E$18:P$18,Actual_month)</f>
        <v>46054</v>
      </c>
      <c r="L1" s="15" t="s">
        <v>21</v>
      </c>
      <c r="R1" s="5"/>
    </row>
    <row r="2" spans="1:19" x14ac:dyDescent="0.35">
      <c r="A2" s="3" t="s">
        <v>14</v>
      </c>
      <c r="C2" s="3" t="s">
        <v>1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/>
      <c r="K4" s="135"/>
      <c r="L4" s="135"/>
      <c r="M4" s="135"/>
      <c r="N4" s="135"/>
      <c r="O4" s="135"/>
      <c r="P4" s="135"/>
      <c r="Q4" s="136"/>
      <c r="R4" s="3" t="s">
        <v>25</v>
      </c>
      <c r="S4" s="9">
        <f>INDEX(E27:P27,Actual_month)</f>
        <v>0.19302136047459298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9">
        <f>INDEX(E26:P26,Actual_month)</f>
        <v>0.15372519285848493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1.1000000000000001</v>
      </c>
      <c r="S6" s="9">
        <f>+S5*R6</f>
        <v>0.16909771214433345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9">
        <f>Budget2526!D53</f>
        <v>0.18367344488035375</v>
      </c>
      <c r="F19" s="9">
        <f>Budget2526!E53</f>
        <v>0.17517004326452398</v>
      </c>
      <c r="G19" s="9">
        <f>Budget2526!F53</f>
        <v>0.16666664164869446</v>
      </c>
      <c r="H19" s="9">
        <f>Budget2526!G53</f>
        <v>0.15816324003286486</v>
      </c>
      <c r="I19" s="9">
        <f>Budget2526!H53</f>
        <v>0.14965983841703534</v>
      </c>
      <c r="J19" s="9">
        <f>Budget2526!I53</f>
        <v>0.1411564368012054</v>
      </c>
      <c r="K19" s="9">
        <f>Budget2526!J53</f>
        <v>0.13265303518537591</v>
      </c>
      <c r="L19" s="9">
        <f>Budget2526!K53</f>
        <v>0.12414963356954613</v>
      </c>
      <c r="M19" s="9">
        <f>Budget2526!L53</f>
        <v>0.11564623195371641</v>
      </c>
      <c r="N19" s="9">
        <f>Budget2526!M53</f>
        <v>0.10714283033788699</v>
      </c>
      <c r="O19" s="9">
        <f>Budget2526!N53</f>
        <v>9.8639428722057457E-2</v>
      </c>
      <c r="P19" s="9">
        <f>Budget2526!O53</f>
        <v>9.0136027106227617E-2</v>
      </c>
      <c r="Q19" s="5"/>
    </row>
    <row r="20" spans="3:17" x14ac:dyDescent="0.35">
      <c r="D20" s="3" t="str">
        <f>'KPI 100'!D20</f>
        <v>Actual 2025/26</v>
      </c>
      <c r="E20" s="9">
        <f>Actuals2526!D53</f>
        <v>0.24148562754956834</v>
      </c>
      <c r="F20" s="9">
        <f>Actuals2526!E53</f>
        <v>0.20109907200995386</v>
      </c>
      <c r="G20" s="9">
        <f>Actuals2526!F53</f>
        <v>0.23928030939969733</v>
      </c>
      <c r="H20" s="9">
        <f>Actuals2526!G53</f>
        <v>0.23125116020048264</v>
      </c>
      <c r="I20" s="9">
        <f>Actuals2526!H53</f>
        <v>0.19026077700904737</v>
      </c>
      <c r="J20" s="9">
        <f>Actuals2526!I53</f>
        <v>0.1762681041761382</v>
      </c>
      <c r="K20" s="9">
        <f>Actuals2526!J53</f>
        <v>0.10758008787271253</v>
      </c>
      <c r="L20" s="9">
        <f>Actuals2526!K53</f>
        <v>0.16842961757526445</v>
      </c>
      <c r="M20" s="9" t="e">
        <f>Actuals2526!L53</f>
        <v>#DIV/0!</v>
      </c>
      <c r="N20" s="9" t="e">
        <f>Actuals2526!M53</f>
        <v>#DIV/0!</v>
      </c>
      <c r="O20" s="9" t="e">
        <f>Actuals2526!N53</f>
        <v>#DIV/0!</v>
      </c>
      <c r="P20" s="9" t="e">
        <f>Actuals2526!O53</f>
        <v>#DIV/0!</v>
      </c>
      <c r="Q20" s="5"/>
    </row>
    <row r="21" spans="3:17" x14ac:dyDescent="0.35">
      <c r="D21" s="3" t="str">
        <f>'KPI 100'!D21</f>
        <v>Difference</v>
      </c>
      <c r="E21" s="9">
        <f>IF(E20=0,0,E20-E19)</f>
        <v>5.781218266921459E-2</v>
      </c>
      <c r="F21" s="9">
        <f t="shared" ref="F21:P21" si="0">IF(F20=0,0,F20-F19)</f>
        <v>2.5929028745429877E-2</v>
      </c>
      <c r="G21" s="9">
        <f t="shared" si="0"/>
        <v>7.2613667751002864E-2</v>
      </c>
      <c r="H21" s="9">
        <f t="shared" si="0"/>
        <v>7.3087920167617781E-2</v>
      </c>
      <c r="I21" s="9">
        <f t="shared" si="0"/>
        <v>4.0600938592012026E-2</v>
      </c>
      <c r="J21" s="9">
        <f t="shared" si="0"/>
        <v>3.5111667374932792E-2</v>
      </c>
      <c r="K21" s="9">
        <f t="shared" si="0"/>
        <v>-2.507294731266338E-2</v>
      </c>
      <c r="L21" s="9">
        <f t="shared" si="0"/>
        <v>4.4279984005718323E-2</v>
      </c>
      <c r="M21" s="9" t="e">
        <f t="shared" si="0"/>
        <v>#DIV/0!</v>
      </c>
      <c r="N21" s="9" t="e">
        <f t="shared" si="0"/>
        <v>#DIV/0!</v>
      </c>
      <c r="O21" s="9" t="e">
        <f t="shared" si="0"/>
        <v>#DIV/0!</v>
      </c>
      <c r="P21" s="9" t="e">
        <f t="shared" si="0"/>
        <v>#DIV/0!</v>
      </c>
      <c r="Q21" s="5"/>
    </row>
    <row r="22" spans="3:17" x14ac:dyDescent="0.35">
      <c r="D22" s="3" t="str">
        <f>'KPI 100'!D22</f>
        <v>% realisation</v>
      </c>
      <c r="E22" s="9">
        <f>E20/E19</f>
        <v>1.3147552587521505</v>
      </c>
      <c r="F22" s="9">
        <f t="shared" ref="F22:P22" si="1">F20/F19</f>
        <v>1.1480220491027366</v>
      </c>
      <c r="G22" s="9">
        <f t="shared" si="1"/>
        <v>1.4356820719053089</v>
      </c>
      <c r="H22" s="9">
        <f t="shared" si="1"/>
        <v>1.4621043432875476</v>
      </c>
      <c r="I22" s="9">
        <f t="shared" si="1"/>
        <v>1.271288135958528</v>
      </c>
      <c r="J22" s="9">
        <f t="shared" si="1"/>
        <v>1.2487429420195804</v>
      </c>
      <c r="K22" s="9">
        <f t="shared" si="1"/>
        <v>0.81098851392563165</v>
      </c>
      <c r="L22" s="9">
        <f t="shared" si="1"/>
        <v>1.3566662480796898</v>
      </c>
      <c r="M22" s="9" t="e">
        <f t="shared" si="1"/>
        <v>#DIV/0!</v>
      </c>
      <c r="N22" s="9" t="e">
        <f t="shared" si="1"/>
        <v>#DIV/0!</v>
      </c>
      <c r="O22" s="9" t="e">
        <f t="shared" si="1"/>
        <v>#DIV/0!</v>
      </c>
      <c r="P22" s="9" t="e">
        <f t="shared" si="1"/>
        <v>#DIV/0!</v>
      </c>
    </row>
    <row r="23" spans="3:17" x14ac:dyDescent="0.35">
      <c r="D23" s="3" t="str">
        <f>'KPI 100'!D23</f>
        <v>Actual 2024/25</v>
      </c>
      <c r="E23" s="9">
        <f>Actuals2425!D53</f>
        <v>0.18779255974377926</v>
      </c>
      <c r="F23" s="9">
        <f>Actuals2425!E53</f>
        <v>0.13827328348062543</v>
      </c>
      <c r="G23" s="9">
        <f>Actuals2425!F53</f>
        <v>0.18853054608462355</v>
      </c>
      <c r="H23" s="9">
        <f>Actuals2425!G53</f>
        <v>0.2268399576847514</v>
      </c>
      <c r="I23" s="9">
        <f>Actuals2425!H53</f>
        <v>0.23076923076923078</v>
      </c>
      <c r="J23" s="9">
        <f>Actuals2425!I53</f>
        <v>0.2095150311968236</v>
      </c>
      <c r="K23" s="9">
        <f>Actuals2425!J53</f>
        <v>0.26467457720660703</v>
      </c>
      <c r="L23" s="9">
        <f>Actuals2425!K53</f>
        <v>0.16795162509448225</v>
      </c>
      <c r="M23" s="9">
        <f>Actuals2425!L53</f>
        <v>0.16576558196470467</v>
      </c>
      <c r="N23" s="9">
        <f>Actuals2425!M53</f>
        <v>7.8571885597287089E-2</v>
      </c>
      <c r="O23" s="9">
        <f>Actuals2425!N53</f>
        <v>0.17028737987885412</v>
      </c>
      <c r="P23" s="9">
        <f>Actuals2425!O53</f>
        <v>0.15596540204109652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9">
        <f>('KPI 102'!E26-'KPI 109'!E26)/'KPI 102'!E26</f>
        <v>0.18367344488035375</v>
      </c>
      <c r="F26" s="9">
        <f>('KPI 102'!F26-'KPI 109'!F26)/'KPI 102'!F26</f>
        <v>0.17941219753920762</v>
      </c>
      <c r="G26" s="9">
        <f>('KPI 102'!G26-'KPI 109'!G26)/'KPI 102'!G26</f>
        <v>0.17514490129650695</v>
      </c>
      <c r="H26" s="9">
        <f>('KPI 102'!H26-'KPI 109'!H26)/'KPI 102'!H26</f>
        <v>0.17087177993355493</v>
      </c>
      <c r="I26" s="9">
        <f>('KPI 102'!I26-'KPI 109'!I26)/'KPI 102'!I26</f>
        <v>0.16659304762471053</v>
      </c>
      <c r="J26" s="9">
        <f>('KPI 102'!J26-'KPI 109'!J26)/'KPI 102'!J26</f>
        <v>0.16230890943285131</v>
      </c>
      <c r="K26" s="9">
        <f>('KPI 102'!K26-'KPI 109'!K26)/'KPI 102'!K26</f>
        <v>0.15801956177475251</v>
      </c>
      <c r="L26" s="9">
        <f>('KPI 102'!L26-'KPI 109'!L26)/'KPI 102'!L26</f>
        <v>0.15372519285848493</v>
      </c>
      <c r="M26" s="9">
        <f>('KPI 102'!M26-'KPI 109'!M26)/'KPI 102'!M26</f>
        <v>0.14942598309477026</v>
      </c>
      <c r="N26" s="9">
        <f>('KPI 102'!N26-'KPI 109'!N26)/'KPI 102'!N26</f>
        <v>0.14512210548407986</v>
      </c>
      <c r="O26" s="9">
        <f>('KPI 102'!O26-'KPI 109'!O26)/'KPI 102'!O26</f>
        <v>0.14081372598112366</v>
      </c>
      <c r="P26" s="9">
        <f>('KPI 102'!P26-'KPI 109'!P26)/'KPI 102'!P26</f>
        <v>0.13650100383825042</v>
      </c>
    </row>
    <row r="27" spans="3:17" x14ac:dyDescent="0.35">
      <c r="D27" s="3" t="str">
        <f t="shared" ref="D27:D30" si="3">D20</f>
        <v>Actual 2025/26</v>
      </c>
      <c r="E27" s="9">
        <f>('KPI 102'!E27-'KPI 109'!E27)/'KPI 102'!E27</f>
        <v>0.24148562754956834</v>
      </c>
      <c r="F27" s="9">
        <f>('KPI 102'!F27-'KPI 109'!F27)/'KPI 102'!F27</f>
        <v>0.22218919521438657</v>
      </c>
      <c r="G27" s="9">
        <f>('KPI 102'!G27-'KPI 109'!G27)/'KPI 102'!G27</f>
        <v>0.22742733457019171</v>
      </c>
      <c r="H27" s="9">
        <f>('KPI 102'!H27-'KPI 109'!H27)/'KPI 102'!H27</f>
        <v>0.22846038114343029</v>
      </c>
      <c r="I27" s="9">
        <f>('KPI 102'!I27-'KPI 109'!I27)/'KPI 102'!I27</f>
        <v>0.22117706747843735</v>
      </c>
      <c r="J27" s="9">
        <f>('KPI 102'!J27-'KPI 109'!J27)/'KPI 102'!J27</f>
        <v>0.21510877864270231</v>
      </c>
      <c r="K27" s="9">
        <f>('KPI 102'!K27-'KPI 109'!K27)/'KPI 102'!K27</f>
        <v>0.1967610451997962</v>
      </c>
      <c r="L27" s="9">
        <f>('KPI 102'!L27-'KPI 109'!L27)/'KPI 102'!L27</f>
        <v>0.19302136047459298</v>
      </c>
      <c r="M27" s="9">
        <f>('KPI 102'!M27-'KPI 109'!M27)/'KPI 102'!M27</f>
        <v>0.19302136047459298</v>
      </c>
      <c r="N27" s="9">
        <f>('KPI 102'!N27-'KPI 109'!N27)/'KPI 102'!N27</f>
        <v>0.19302136047459298</v>
      </c>
      <c r="O27" s="9">
        <f>('KPI 102'!O27-'KPI 109'!O27)/'KPI 102'!O27</f>
        <v>0.19302136047459298</v>
      </c>
      <c r="P27" s="9">
        <f>('KPI 102'!P27-'KPI 109'!P27)/'KPI 102'!P27</f>
        <v>0.19302136047459298</v>
      </c>
    </row>
    <row r="28" spans="3:17" x14ac:dyDescent="0.35">
      <c r="D28" s="3" t="str">
        <f t="shared" si="3"/>
        <v>Difference</v>
      </c>
      <c r="E28" s="9">
        <f>IF(E27=0,0,E27-E26)</f>
        <v>5.781218266921459E-2</v>
      </c>
      <c r="F28" s="9">
        <f t="shared" ref="F28:P28" si="4">IF(F27=0,0,F27-F26)</f>
        <v>4.2776997675178952E-2</v>
      </c>
      <c r="G28" s="9">
        <f t="shared" si="4"/>
        <v>5.2282433273684759E-2</v>
      </c>
      <c r="H28" s="9">
        <f t="shared" si="4"/>
        <v>5.7588601209875356E-2</v>
      </c>
      <c r="I28" s="9">
        <f t="shared" si="4"/>
        <v>5.4584019853726823E-2</v>
      </c>
      <c r="J28" s="9">
        <f t="shared" si="4"/>
        <v>5.2799869209850997E-2</v>
      </c>
      <c r="K28" s="9">
        <f t="shared" si="4"/>
        <v>3.8741483425043688E-2</v>
      </c>
      <c r="L28" s="9">
        <f t="shared" si="4"/>
        <v>3.9296167616108046E-2</v>
      </c>
      <c r="M28" s="9">
        <f t="shared" si="4"/>
        <v>4.359537737982272E-2</v>
      </c>
      <c r="N28" s="9">
        <f t="shared" si="4"/>
        <v>4.7899254990513118E-2</v>
      </c>
      <c r="O28" s="9">
        <f t="shared" si="4"/>
        <v>5.2207634493469324E-2</v>
      </c>
      <c r="P28" s="9">
        <f t="shared" si="4"/>
        <v>5.6520356636342556E-2</v>
      </c>
    </row>
    <row r="29" spans="3:17" x14ac:dyDescent="0.35">
      <c r="D29" s="3" t="str">
        <f t="shared" si="3"/>
        <v>% realisation</v>
      </c>
      <c r="E29" s="9">
        <f t="shared" ref="E29:P29" si="5">E27/E26</f>
        <v>1.3147552587521505</v>
      </c>
      <c r="F29" s="9">
        <f t="shared" si="5"/>
        <v>1.2384285921576248</v>
      </c>
      <c r="G29" s="9">
        <f t="shared" si="5"/>
        <v>1.2985095934090287</v>
      </c>
      <c r="H29" s="9">
        <f t="shared" si="5"/>
        <v>1.3370281577933421</v>
      </c>
      <c r="I29" s="9">
        <f t="shared" si="5"/>
        <v>1.3276488462873313</v>
      </c>
      <c r="J29" s="9">
        <f t="shared" si="5"/>
        <v>1.3253048116357087</v>
      </c>
      <c r="K29" s="9">
        <f t="shared" si="5"/>
        <v>1.245168908139787</v>
      </c>
      <c r="L29" s="9">
        <f t="shared" si="5"/>
        <v>1.2556260745906691</v>
      </c>
      <c r="M29" s="9">
        <f t="shared" si="5"/>
        <v>1.2917523209612969</v>
      </c>
      <c r="N29" s="9">
        <f t="shared" si="5"/>
        <v>1.3300617423564582</v>
      </c>
      <c r="O29" s="9">
        <f t="shared" si="5"/>
        <v>1.3707567151547986</v>
      </c>
      <c r="P29" s="9">
        <f t="shared" si="5"/>
        <v>1.4140655016963646</v>
      </c>
    </row>
    <row r="30" spans="3:17" x14ac:dyDescent="0.35">
      <c r="D30" s="3" t="str">
        <f t="shared" si="3"/>
        <v>Actual 2024/25</v>
      </c>
      <c r="E30" s="9">
        <f>('KPI 102'!E30-'KPI 109'!E30)/'KPI 102'!E30</f>
        <v>0.18779255974377926</v>
      </c>
      <c r="F30" s="9">
        <f>('KPI 102'!F30-'KPI 109'!F30)/'KPI 102'!F30</f>
        <v>0.15926477115480014</v>
      </c>
      <c r="G30" s="9">
        <f>('KPI 102'!G30-'KPI 109'!G30)/'KPI 102'!G30</f>
        <v>0.16858271640091116</v>
      </c>
      <c r="H30" s="9">
        <f>('KPI 102'!H30-'KPI 109'!H30)/'KPI 102'!H30</f>
        <v>0.18379074997041148</v>
      </c>
      <c r="I30" s="9">
        <f>('KPI 102'!I30-'KPI 109'!I30)/'KPI 102'!I30</f>
        <v>0.19338906967740585</v>
      </c>
      <c r="J30" s="9">
        <f>('KPI 102'!J30-'KPI 109'!J30)/'KPI 102'!J30</f>
        <v>0.19546287600412135</v>
      </c>
      <c r="K30" s="9">
        <f>('KPI 102'!K30-'KPI 109'!K30)/'KPI 102'!K30</f>
        <v>0.20846415876777252</v>
      </c>
      <c r="L30" s="9">
        <f>('KPI 102'!L30-'KPI 109'!L30)/'KPI 102'!L30</f>
        <v>0.20327339639087064</v>
      </c>
      <c r="M30" s="9">
        <f>('KPI 102'!M30-'KPI 109'!M30)/'KPI 102'!M30</f>
        <v>0.19905897725384117</v>
      </c>
      <c r="N30" s="9">
        <f>('KPI 102'!N30-'KPI 109'!N30)/'KPI 102'!N30</f>
        <v>0.18915421838838628</v>
      </c>
      <c r="O30" s="9">
        <f>('KPI 102'!O30-'KPI 109'!O30)/'KPI 102'!O30</f>
        <v>0.18720087515383563</v>
      </c>
      <c r="P30" s="9">
        <f>('KPI 102'!P30-'KPI 109'!P30)/'KPI 102'!P30</f>
        <v>0.18428319824903389</v>
      </c>
    </row>
  </sheetData>
  <sheetProtection algorithmName="SHA-512" hashValue="BpFl9BgZ+JXkSwKmmb3ESuiBa3EePmTfWXfNfJ02THrAwBEW0L9LYIwNaz1tbRLP096urOljA+FyfFmwhYlcCw==" saltValue="2qF622qhtPunwZzGlJ9nLw==" spinCount="100000" sheet="1" objects="1" scenarios="1"/>
  <mergeCells count="3">
    <mergeCell ref="C1:F1"/>
    <mergeCell ref="J4:Q8"/>
    <mergeCell ref="J10:Q15"/>
  </mergeCells>
  <conditionalFormatting sqref="C3">
    <cfRule type="expression" dxfId="128" priority="2">
      <formula>S4&gt;S6</formula>
    </cfRule>
  </conditionalFormatting>
  <conditionalFormatting sqref="C4">
    <cfRule type="expression" dxfId="127" priority="1">
      <formula>AND(S4&gt;S5,S4&lt;=S6)</formula>
    </cfRule>
  </conditionalFormatting>
  <conditionalFormatting sqref="C5">
    <cfRule type="expression" dxfId="126" priority="3">
      <formula>S4&lt;=S5</formula>
    </cfRule>
  </conditionalFormatting>
  <hyperlinks>
    <hyperlink ref="L1" location="'Distribution Dashboard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52609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57150</xdr:rowOff>
                  </from>
                  <to>
                    <xdr:col>9</xdr:col>
                    <xdr:colOff>628650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S30"/>
  <sheetViews>
    <sheetView zoomScale="90" zoomScaleNormal="90" zoomScalePageLayoutView="90" workbookViewId="0">
      <pane ySplit="2" topLeftCell="A3" activePane="bottomLeft" state="frozen"/>
      <selection activeCell="D26" sqref="D26:D30"/>
      <selection pane="bottomLeft" activeCell="I2" sqref="I2"/>
    </sheetView>
  </sheetViews>
  <sheetFormatPr defaultColWidth="9.1796875" defaultRowHeight="14.5" x14ac:dyDescent="0.35"/>
  <cols>
    <col min="1" max="1" width="9.1796875" style="3"/>
    <col min="2" max="2" width="5.726562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>
        <v>104</v>
      </c>
      <c r="C1" s="124" t="s">
        <v>56</v>
      </c>
      <c r="D1" s="124"/>
      <c r="E1" s="124"/>
      <c r="F1" s="124"/>
      <c r="G1" s="3" t="s">
        <v>10</v>
      </c>
      <c r="I1" s="12" cm="1">
        <f t="array" ref="I1">INDEX(E18:P18,Actual_month)</f>
        <v>46054</v>
      </c>
      <c r="L1" s="15" t="s">
        <v>21</v>
      </c>
      <c r="R1" s="5"/>
    </row>
    <row r="2" spans="1:19" x14ac:dyDescent="0.35">
      <c r="A2" s="3" t="s">
        <v>14</v>
      </c>
      <c r="C2" s="3" t="s">
        <v>15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25"/>
      <c r="K4" s="126"/>
      <c r="L4" s="126"/>
      <c r="M4" s="126"/>
      <c r="N4" s="126"/>
      <c r="O4" s="126"/>
      <c r="P4" s="126"/>
      <c r="Q4" s="127"/>
      <c r="R4" s="3" t="s">
        <v>25</v>
      </c>
      <c r="S4" s="43">
        <f>INDEX(E27:P27,Actual_month)</f>
        <v>210015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28"/>
      <c r="K5" s="129"/>
      <c r="L5" s="129"/>
      <c r="M5" s="129"/>
      <c r="N5" s="129"/>
      <c r="O5" s="129"/>
      <c r="P5" s="129"/>
      <c r="Q5" s="130"/>
      <c r="R5" s="3" t="s">
        <v>26</v>
      </c>
      <c r="S5" s="43">
        <f>INDEX(E26:P26,Actual_month)</f>
        <v>209089.34734794308</v>
      </c>
    </row>
    <row r="6" spans="1:19" x14ac:dyDescent="0.35">
      <c r="J6" s="128"/>
      <c r="K6" s="129"/>
      <c r="L6" s="129"/>
      <c r="M6" s="129"/>
      <c r="N6" s="129"/>
      <c r="O6" s="129"/>
      <c r="P6" s="129"/>
      <c r="Q6" s="130"/>
      <c r="R6" s="6">
        <v>0.9</v>
      </c>
      <c r="S6" s="43">
        <f>+S5*R6</f>
        <v>188180.41261314877</v>
      </c>
    </row>
    <row r="7" spans="1:19" x14ac:dyDescent="0.35">
      <c r="J7" s="128"/>
      <c r="K7" s="129"/>
      <c r="L7" s="129"/>
      <c r="M7" s="129"/>
      <c r="N7" s="129"/>
      <c r="O7" s="129"/>
      <c r="P7" s="129"/>
      <c r="Q7" s="130"/>
    </row>
    <row r="8" spans="1:19" ht="15" thickBot="1" x14ac:dyDescent="0.4">
      <c r="J8" s="131"/>
      <c r="K8" s="132"/>
      <c r="L8" s="132"/>
      <c r="M8" s="132"/>
      <c r="N8" s="132"/>
      <c r="O8" s="132"/>
      <c r="P8" s="132"/>
      <c r="Q8" s="133"/>
    </row>
    <row r="9" spans="1:19" ht="15" thickBot="1" x14ac:dyDescent="0.4">
      <c r="J9" s="3" t="s">
        <v>13</v>
      </c>
    </row>
    <row r="10" spans="1:19" x14ac:dyDescent="0.35">
      <c r="J10" s="125"/>
      <c r="K10" s="126"/>
      <c r="L10" s="126"/>
      <c r="M10" s="126"/>
      <c r="N10" s="126"/>
      <c r="O10" s="126"/>
      <c r="P10" s="126"/>
      <c r="Q10" s="127"/>
    </row>
    <row r="11" spans="1:19" x14ac:dyDescent="0.35">
      <c r="J11" s="128"/>
      <c r="K11" s="129"/>
      <c r="L11" s="129"/>
      <c r="M11" s="129"/>
      <c r="N11" s="129"/>
      <c r="O11" s="129"/>
      <c r="P11" s="129"/>
      <c r="Q11" s="130"/>
    </row>
    <row r="12" spans="1:19" x14ac:dyDescent="0.35">
      <c r="J12" s="128"/>
      <c r="K12" s="129"/>
      <c r="L12" s="129"/>
      <c r="M12" s="129"/>
      <c r="N12" s="129"/>
      <c r="O12" s="129"/>
      <c r="P12" s="129"/>
      <c r="Q12" s="130"/>
    </row>
    <row r="13" spans="1:19" x14ac:dyDescent="0.35">
      <c r="J13" s="128"/>
      <c r="K13" s="129"/>
      <c r="L13" s="129"/>
      <c r="M13" s="129"/>
      <c r="N13" s="129"/>
      <c r="O13" s="129"/>
      <c r="P13" s="129"/>
      <c r="Q13" s="130"/>
    </row>
    <row r="14" spans="1:19" x14ac:dyDescent="0.35">
      <c r="J14" s="128"/>
      <c r="K14" s="129"/>
      <c r="L14" s="129"/>
      <c r="M14" s="129"/>
      <c r="N14" s="129"/>
      <c r="O14" s="129"/>
      <c r="P14" s="129"/>
      <c r="Q14" s="130"/>
    </row>
    <row r="15" spans="1:19" ht="15" thickBot="1" x14ac:dyDescent="0.4">
      <c r="J15" s="131"/>
      <c r="K15" s="132"/>
      <c r="L15" s="132"/>
      <c r="M15" s="132"/>
      <c r="N15" s="132"/>
      <c r="O15" s="132"/>
      <c r="P15" s="132"/>
      <c r="Q15" s="133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43">
        <f>Budget2526!D57</f>
        <v>26498.756491475899</v>
      </c>
      <c r="F19" s="43">
        <f>Budget2526!E57</f>
        <v>26392.10061533931</v>
      </c>
      <c r="G19" s="43">
        <f>Budget2526!F57</f>
        <v>26287.016510008951</v>
      </c>
      <c r="H19" s="43">
        <f>Budget2526!G57</f>
        <v>26183.469685216343</v>
      </c>
      <c r="I19" s="43">
        <f>Budget2526!H57</f>
        <v>26081.426652485032</v>
      </c>
      <c r="J19" s="43">
        <f>Budget2526!I57</f>
        <v>25980.854889020706</v>
      </c>
      <c r="K19" s="43">
        <f>Budget2526!J57</f>
        <v>25881.722803151977</v>
      </c>
      <c r="L19" s="43">
        <f>Budget2526!K57</f>
        <v>25783.999701244837</v>
      </c>
      <c r="M19" s="43">
        <f>Budget2526!L57</f>
        <v>25687.655756017833</v>
      </c>
      <c r="N19" s="43">
        <f>Budget2526!M57</f>
        <v>25592.661976189418</v>
      </c>
      <c r="O19" s="43">
        <f>Budget2526!N57</f>
        <v>25498.990177392407</v>
      </c>
      <c r="P19" s="43">
        <f>Budget2526!O57</f>
        <v>25406.612954294462</v>
      </c>
      <c r="Q19" s="5"/>
    </row>
    <row r="20" spans="3:17" x14ac:dyDescent="0.35">
      <c r="D20" s="3" t="str">
        <f>'KPI 100'!D20</f>
        <v>Actual 2025/26</v>
      </c>
      <c r="E20" s="43">
        <f>Actuals2526!D57</f>
        <v>26384</v>
      </c>
      <c r="F20" s="43">
        <f>Actuals2526!E57</f>
        <v>25573</v>
      </c>
      <c r="G20" s="43">
        <f>Actuals2526!F57</f>
        <v>25446</v>
      </c>
      <c r="H20" s="43">
        <f>Actuals2526!G57</f>
        <v>30068</v>
      </c>
      <c r="I20" s="43">
        <f>Actuals2526!H57</f>
        <v>20903</v>
      </c>
      <c r="J20" s="43">
        <f>Actuals2526!I57</f>
        <v>22989</v>
      </c>
      <c r="K20" s="43">
        <f>Actuals2526!J57</f>
        <v>32055</v>
      </c>
      <c r="L20" s="43">
        <f>Actuals2526!K57</f>
        <v>26597</v>
      </c>
      <c r="M20" s="43">
        <f>Actuals2526!L57</f>
        <v>0</v>
      </c>
      <c r="N20" s="43">
        <f>Actuals2526!M57</f>
        <v>0</v>
      </c>
      <c r="O20" s="43">
        <f>Actuals2526!N57</f>
        <v>0</v>
      </c>
      <c r="P20" s="43">
        <f>Actuals2526!O57</f>
        <v>0</v>
      </c>
      <c r="Q20" s="43"/>
    </row>
    <row r="21" spans="3:17" x14ac:dyDescent="0.35">
      <c r="D21" s="3" t="str">
        <f>'KPI 100'!D21</f>
        <v>Difference</v>
      </c>
      <c r="E21" s="43">
        <f>IF(E20=0,0,E20-E19)</f>
        <v>-114.75649147589866</v>
      </c>
      <c r="F21" s="43">
        <f t="shared" ref="F21:P21" si="0">IF(F20=0,0,F20-F19)</f>
        <v>-819.10061533931002</v>
      </c>
      <c r="G21" s="43">
        <f t="shared" si="0"/>
        <v>-841.01651000895072</v>
      </c>
      <c r="H21" s="43">
        <f t="shared" si="0"/>
        <v>3884.5303147836566</v>
      </c>
      <c r="I21" s="43">
        <f t="shared" si="0"/>
        <v>-5178.4266524850318</v>
      </c>
      <c r="J21" s="43">
        <f t="shared" si="0"/>
        <v>-2991.8548890207057</v>
      </c>
      <c r="K21" s="43">
        <f t="shared" si="0"/>
        <v>6173.2771968480229</v>
      </c>
      <c r="L21" s="43">
        <f t="shared" si="0"/>
        <v>813.00029875516339</v>
      </c>
      <c r="M21" s="43">
        <f t="shared" si="0"/>
        <v>0</v>
      </c>
      <c r="N21" s="43">
        <f t="shared" si="0"/>
        <v>0</v>
      </c>
      <c r="O21" s="43">
        <f t="shared" si="0"/>
        <v>0</v>
      </c>
      <c r="P21" s="43">
        <f t="shared" si="0"/>
        <v>0</v>
      </c>
      <c r="Q21" s="5"/>
    </row>
    <row r="22" spans="3:17" x14ac:dyDescent="0.35">
      <c r="D22" s="3" t="str">
        <f>'KPI 100'!D22</f>
        <v>% realisation</v>
      </c>
      <c r="E22" s="9">
        <f>E20/E19</f>
        <v>0.99566936314491539</v>
      </c>
      <c r="F22" s="9">
        <f t="shared" ref="F22:P22" si="1">F20/F19</f>
        <v>0.9689641750280672</v>
      </c>
      <c r="G22" s="9">
        <f t="shared" si="1"/>
        <v>0.96800639168432334</v>
      </c>
      <c r="H22" s="9">
        <f t="shared" si="1"/>
        <v>1.148358119129526</v>
      </c>
      <c r="I22" s="9">
        <f t="shared" si="1"/>
        <v>0.80145155702241344</v>
      </c>
      <c r="J22" s="9">
        <f t="shared" si="1"/>
        <v>0.88484386284436545</v>
      </c>
      <c r="K22" s="9">
        <f t="shared" si="1"/>
        <v>1.2385187896416314</v>
      </c>
      <c r="L22" s="9">
        <f t="shared" si="1"/>
        <v>1.031531194080642</v>
      </c>
      <c r="M22" s="9">
        <f t="shared" si="1"/>
        <v>0</v>
      </c>
      <c r="N22" s="9">
        <f t="shared" si="1"/>
        <v>0</v>
      </c>
      <c r="O22" s="9">
        <f t="shared" si="1"/>
        <v>0</v>
      </c>
      <c r="P22" s="9">
        <f t="shared" si="1"/>
        <v>0</v>
      </c>
    </row>
    <row r="23" spans="3:17" x14ac:dyDescent="0.35">
      <c r="D23" s="3" t="str">
        <f>'KPI 100'!D23</f>
        <v>Actual 2024/25</v>
      </c>
      <c r="E23" s="5">
        <f>Actuals2425!D57</f>
        <v>29682</v>
      </c>
      <c r="F23" s="5">
        <f>Actuals2425!E57</f>
        <v>27699</v>
      </c>
      <c r="G23" s="5">
        <f>Actuals2425!F57</f>
        <v>25361</v>
      </c>
      <c r="H23" s="5">
        <f>Actuals2425!G57</f>
        <v>26173</v>
      </c>
      <c r="I23" s="5">
        <f>Actuals2425!H57</f>
        <v>25162</v>
      </c>
      <c r="J23" s="5">
        <f>Actuals2425!I57</f>
        <v>17827</v>
      </c>
      <c r="K23" s="5">
        <f>Actuals2425!J57</f>
        <v>33666</v>
      </c>
      <c r="L23" s="5">
        <f>Actuals2425!K57</f>
        <v>27318</v>
      </c>
      <c r="M23" s="5">
        <f>Actuals2425!L57</f>
        <v>31524</v>
      </c>
      <c r="N23" s="5">
        <f>Actuals2425!M57</f>
        <v>17420</v>
      </c>
      <c r="O23" s="5">
        <f>Actuals2425!N57</f>
        <v>21884</v>
      </c>
      <c r="P23" s="5">
        <f>Actuals2425!O57</f>
        <v>27334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43">
        <f>SUM($E19:E19)</f>
        <v>26498.756491475899</v>
      </c>
      <c r="F26" s="43">
        <f>SUM($E19:F19)</f>
        <v>52890.857106815209</v>
      </c>
      <c r="G26" s="43">
        <f>SUM($E19:G19)</f>
        <v>79177.873616824159</v>
      </c>
      <c r="H26" s="43">
        <f>SUM($E19:H19)</f>
        <v>105361.34330204051</v>
      </c>
      <c r="I26" s="43">
        <f>SUM($E19:I19)</f>
        <v>131442.76995452555</v>
      </c>
      <c r="J26" s="43">
        <f>SUM($E19:J19)</f>
        <v>157423.62484354625</v>
      </c>
      <c r="K26" s="43">
        <f>SUM($E19:K19)</f>
        <v>183305.34764669824</v>
      </c>
      <c r="L26" s="43">
        <f>SUM($E19:L19)</f>
        <v>209089.34734794308</v>
      </c>
      <c r="M26" s="43">
        <f>SUM($E19:M19)</f>
        <v>234777.00310396092</v>
      </c>
      <c r="N26" s="43">
        <f>SUM($E19:N19)</f>
        <v>260369.66508015033</v>
      </c>
      <c r="O26" s="43">
        <f>SUM($E19:O19)</f>
        <v>285868.65525754273</v>
      </c>
      <c r="P26" s="43">
        <f>SUM($E19:P19)</f>
        <v>311275.26821183722</v>
      </c>
    </row>
    <row r="27" spans="3:17" x14ac:dyDescent="0.35">
      <c r="D27" s="3" t="str">
        <f t="shared" ref="D27:D30" si="3">D20</f>
        <v>Actual 2025/26</v>
      </c>
      <c r="E27" s="43">
        <f>SUM($E20:E20)</f>
        <v>26384</v>
      </c>
      <c r="F27" s="43">
        <f>SUM($E20:F20)</f>
        <v>51957</v>
      </c>
      <c r="G27" s="43">
        <f>SUM($E20:G20)</f>
        <v>77403</v>
      </c>
      <c r="H27" s="43">
        <f>SUM($E20:H20)</f>
        <v>107471</v>
      </c>
      <c r="I27" s="43">
        <f>SUM($E20:I20)</f>
        <v>128374</v>
      </c>
      <c r="J27" s="43">
        <f>SUM($E20:J20)</f>
        <v>151363</v>
      </c>
      <c r="K27" s="43">
        <f>SUM($E20:K20)</f>
        <v>183418</v>
      </c>
      <c r="L27" s="43">
        <f>SUM($E20:L20)</f>
        <v>210015</v>
      </c>
      <c r="M27" s="43">
        <f>SUM($E20:M20)</f>
        <v>210015</v>
      </c>
      <c r="N27" s="43">
        <f>SUM($E20:N20)</f>
        <v>210015</v>
      </c>
      <c r="O27" s="43">
        <f>SUM($E20:O20)</f>
        <v>210015</v>
      </c>
      <c r="P27" s="43">
        <f>SUM($E20:P20)</f>
        <v>210015</v>
      </c>
    </row>
    <row r="28" spans="3:17" x14ac:dyDescent="0.35">
      <c r="D28" s="3" t="str">
        <f t="shared" si="3"/>
        <v>Difference</v>
      </c>
      <c r="E28" s="43">
        <f>IF(E27=0,0,E27-E26)</f>
        <v>-114.75649147589866</v>
      </c>
      <c r="F28" s="43">
        <f t="shared" ref="F28:P28" si="4">IF(F27=0,0,F27-F26)</f>
        <v>-933.85710681520868</v>
      </c>
      <c r="G28" s="43">
        <f t="shared" si="4"/>
        <v>-1774.8736168241594</v>
      </c>
      <c r="H28" s="43">
        <f t="shared" si="4"/>
        <v>2109.6566979594936</v>
      </c>
      <c r="I28" s="43">
        <f t="shared" si="4"/>
        <v>-3068.7699545255455</v>
      </c>
      <c r="J28" s="43">
        <f t="shared" si="4"/>
        <v>-6060.6248435462476</v>
      </c>
      <c r="K28" s="43">
        <f t="shared" si="4"/>
        <v>112.65235330176074</v>
      </c>
      <c r="L28" s="43">
        <f t="shared" si="4"/>
        <v>925.65265205691685</v>
      </c>
      <c r="M28" s="43">
        <f t="shared" si="4"/>
        <v>-24762.003103960917</v>
      </c>
      <c r="N28" s="43">
        <f t="shared" si="4"/>
        <v>-50354.665080150327</v>
      </c>
      <c r="O28" s="43">
        <f t="shared" si="4"/>
        <v>-75853.655257542734</v>
      </c>
      <c r="P28" s="43">
        <f t="shared" si="4"/>
        <v>-101260.26821183722</v>
      </c>
    </row>
    <row r="29" spans="3:17" x14ac:dyDescent="0.35">
      <c r="D29" s="3" t="str">
        <f t="shared" si="3"/>
        <v>% realisation</v>
      </c>
      <c r="E29" s="9">
        <f t="shared" ref="E29:P29" si="5">E27/E26</f>
        <v>0.99566936314491539</v>
      </c>
      <c r="F29" s="9">
        <f t="shared" si="5"/>
        <v>0.98234369496169727</v>
      </c>
      <c r="G29" s="9">
        <f t="shared" si="5"/>
        <v>0.97758371706957503</v>
      </c>
      <c r="H29" s="9">
        <f t="shared" si="5"/>
        <v>1.0200230618919854</v>
      </c>
      <c r="I29" s="9">
        <f t="shared" si="5"/>
        <v>0.97665318559866598</v>
      </c>
      <c r="J29" s="9">
        <f t="shared" si="5"/>
        <v>0.96150117334949226</v>
      </c>
      <c r="K29" s="9">
        <f t="shared" si="5"/>
        <v>1.0006145611939206</v>
      </c>
      <c r="L29" s="9">
        <f t="shared" si="5"/>
        <v>1.0044270674895577</v>
      </c>
      <c r="M29" s="9">
        <f t="shared" si="5"/>
        <v>0.89452969082752909</v>
      </c>
      <c r="N29" s="9">
        <f t="shared" si="5"/>
        <v>0.80660318065605108</v>
      </c>
      <c r="O29" s="9">
        <f t="shared" si="5"/>
        <v>0.73465557044298824</v>
      </c>
      <c r="P29" s="9">
        <f t="shared" si="5"/>
        <v>0.67469221440707294</v>
      </c>
    </row>
    <row r="30" spans="3:17" x14ac:dyDescent="0.35">
      <c r="D30" s="3" t="str">
        <f t="shared" si="3"/>
        <v>Actual 2024/25</v>
      </c>
      <c r="E30" s="43">
        <f>SUM($E23:E23)</f>
        <v>29682</v>
      </c>
      <c r="F30" s="43">
        <f>SUM($E23:F23)</f>
        <v>57381</v>
      </c>
      <c r="G30" s="43">
        <f>SUM($E23:G23)</f>
        <v>82742</v>
      </c>
      <c r="H30" s="43">
        <f>SUM($E23:H23)</f>
        <v>108915</v>
      </c>
      <c r="I30" s="43">
        <f>SUM($E23:I23)</f>
        <v>134077</v>
      </c>
      <c r="J30" s="43">
        <f>SUM($E23:J23)</f>
        <v>151904</v>
      </c>
      <c r="K30" s="43">
        <f>SUM($E23:K23)</f>
        <v>185570</v>
      </c>
      <c r="L30" s="43">
        <f>SUM($E23:L23)</f>
        <v>212888</v>
      </c>
      <c r="M30" s="43">
        <f>SUM($E23:M23)</f>
        <v>244412</v>
      </c>
      <c r="N30" s="43">
        <f>SUM($E23:N23)</f>
        <v>261832</v>
      </c>
      <c r="O30" s="43">
        <f>SUM($E23:O23)</f>
        <v>283716</v>
      </c>
      <c r="P30" s="43">
        <f>SUM($E23:P23)</f>
        <v>311050</v>
      </c>
    </row>
  </sheetData>
  <sheetProtection algorithmName="SHA-512" hashValue="rE5U/cphqQNc+9bliJLAKwBb+XATniYhqvo6KLzSKZhKa5XVUoZdydw5SbqqSp+XZYY6DLbKxmLm4XpMduxQ2Q==" saltValue="0s3B+ioWp7rYZY0cGymxvw==" spinCount="100000" sheet="1" objects="1" scenarios="1"/>
  <mergeCells count="3">
    <mergeCell ref="C1:F1"/>
    <mergeCell ref="J4:Q8"/>
    <mergeCell ref="J10:Q15"/>
  </mergeCells>
  <conditionalFormatting sqref="C3">
    <cfRule type="expression" dxfId="125" priority="2">
      <formula>S4&lt;S6</formula>
    </cfRule>
  </conditionalFormatting>
  <conditionalFormatting sqref="C4">
    <cfRule type="expression" dxfId="124" priority="1">
      <formula>AND(S4&gt;=S6,S4&lt;S5)</formula>
    </cfRule>
  </conditionalFormatting>
  <conditionalFormatting sqref="C5">
    <cfRule type="expression" dxfId="123" priority="3">
      <formula>S4&gt;=S5</formula>
    </cfRule>
  </conditionalFormatting>
  <hyperlinks>
    <hyperlink ref="L1" location="'Distribution Dashboard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32129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57150</xdr:rowOff>
                  </from>
                  <to>
                    <xdr:col>9</xdr:col>
                    <xdr:colOff>628650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S30"/>
  <sheetViews>
    <sheetView zoomScale="90" zoomScaleNormal="90" zoomScalePageLayoutView="90" workbookViewId="0">
      <pane ySplit="2" topLeftCell="A3" activePane="bottomLeft" state="frozen"/>
      <selection activeCell="D26" sqref="D26:D30"/>
      <selection pane="bottomLeft" activeCell="I2" sqref="I2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>
        <v>111</v>
      </c>
      <c r="C1" s="124" t="s">
        <v>65</v>
      </c>
      <c r="D1" s="124"/>
      <c r="E1" s="124"/>
      <c r="F1" s="124"/>
      <c r="G1" s="3" t="s">
        <v>10</v>
      </c>
      <c r="I1" s="12" cm="1">
        <f t="array" ref="I1">INDEX(E18:P18,Actual_month)</f>
        <v>46054</v>
      </c>
      <c r="L1" s="15" t="s">
        <v>21</v>
      </c>
      <c r="R1" s="5"/>
    </row>
    <row r="2" spans="1:19" x14ac:dyDescent="0.35">
      <c r="A2" s="3" t="s">
        <v>14</v>
      </c>
      <c r="C2" s="3" t="s">
        <v>15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/>
      <c r="K4" s="135"/>
      <c r="L4" s="135"/>
      <c r="M4" s="135"/>
      <c r="N4" s="135"/>
      <c r="O4" s="135"/>
      <c r="P4" s="135"/>
      <c r="Q4" s="136"/>
      <c r="R4" s="3" t="s">
        <v>25</v>
      </c>
      <c r="S4" s="43">
        <f>INDEX(E27:P27,Actual_month)</f>
        <v>157584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43">
        <f>INDEX(E26:P26,Actual_month)</f>
        <v>170748.56220691337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0.9</v>
      </c>
      <c r="S6" s="43">
        <f>+S5*R6</f>
        <v>153673.70598622205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43">
        <f>Budget2526!D58</f>
        <v>21090.847636599865</v>
      </c>
      <c r="F19" s="43">
        <f>Budget2526!E58</f>
        <v>21163.054104961095</v>
      </c>
      <c r="G19" s="43">
        <f>Budget2526!F58</f>
        <v>21235.260573322324</v>
      </c>
      <c r="H19" s="43">
        <f>Budget2526!G58</f>
        <v>21307.467041683554</v>
      </c>
      <c r="I19" s="43">
        <f>Budget2526!H58</f>
        <v>21379.673510044788</v>
      </c>
      <c r="J19" s="43">
        <f>Budget2526!I58</f>
        <v>21451.879978406017</v>
      </c>
      <c r="K19" s="43">
        <f>Budget2526!J58</f>
        <v>21524.086446767247</v>
      </c>
      <c r="L19" s="43">
        <f>Budget2526!K58</f>
        <v>21596.292915128477</v>
      </c>
      <c r="M19" s="43">
        <f>Budget2526!L58</f>
        <v>21668.499383489707</v>
      </c>
      <c r="N19" s="43">
        <f>Budget2526!M58</f>
        <v>21740.70585185094</v>
      </c>
      <c r="O19" s="43">
        <f>Budget2526!N58</f>
        <v>21812.912320212166</v>
      </c>
      <c r="P19" s="43">
        <f>Budget2526!O58</f>
        <v>21885.1187885734</v>
      </c>
      <c r="Q19" s="5"/>
    </row>
    <row r="20" spans="3:17" x14ac:dyDescent="0.35">
      <c r="D20" s="3" t="str">
        <f>'KPI 100'!D20</f>
        <v>Actual 2025/26</v>
      </c>
      <c r="E20" s="43">
        <f>Actuals2526!D58</f>
        <v>16861</v>
      </c>
      <c r="F20" s="43">
        <f>Actuals2526!E58</f>
        <v>20788</v>
      </c>
      <c r="G20" s="43">
        <f>Actuals2526!F58</f>
        <v>19143</v>
      </c>
      <c r="H20" s="43">
        <f>Actuals2526!G58</f>
        <v>21669</v>
      </c>
      <c r="I20" s="43">
        <f>Actuals2526!H58</f>
        <v>16926</v>
      </c>
      <c r="J20" s="43">
        <f>Actuals2526!I58</f>
        <v>14915</v>
      </c>
      <c r="K20" s="43">
        <f>Actuals2526!J58</f>
        <v>26099</v>
      </c>
      <c r="L20" s="43">
        <f>Actuals2526!K58</f>
        <v>21183</v>
      </c>
      <c r="M20" s="43">
        <f>Actuals2526!L58</f>
        <v>0</v>
      </c>
      <c r="N20" s="43">
        <f>Actuals2526!M58</f>
        <v>0</v>
      </c>
      <c r="O20" s="43">
        <f>Actuals2526!N58</f>
        <v>0</v>
      </c>
      <c r="P20" s="43">
        <f>Actuals2526!O58</f>
        <v>0</v>
      </c>
      <c r="Q20" s="5"/>
    </row>
    <row r="21" spans="3:17" x14ac:dyDescent="0.35">
      <c r="D21" s="3" t="str">
        <f>'KPI 100'!D21</f>
        <v>Difference</v>
      </c>
      <c r="E21" s="43">
        <f>IF(E20=0,0,E20-E19)</f>
        <v>-4229.8476365998649</v>
      </c>
      <c r="F21" s="43">
        <f t="shared" ref="F21:P21" si="0">IF(F20=0,0,F20-F19)</f>
        <v>-375.05410496109471</v>
      </c>
      <c r="G21" s="43">
        <f t="shared" si="0"/>
        <v>-2092.2605733223245</v>
      </c>
      <c r="H21" s="43">
        <f t="shared" si="0"/>
        <v>361.53295831644573</v>
      </c>
      <c r="I21" s="43">
        <f t="shared" si="0"/>
        <v>-4453.6735100447877</v>
      </c>
      <c r="J21" s="43">
        <f t="shared" si="0"/>
        <v>-6536.8799784060175</v>
      </c>
      <c r="K21" s="43">
        <f t="shared" si="0"/>
        <v>4574.9135532327527</v>
      </c>
      <c r="L21" s="43">
        <f t="shared" si="0"/>
        <v>-413.29291512847703</v>
      </c>
      <c r="M21" s="43">
        <f t="shared" si="0"/>
        <v>0</v>
      </c>
      <c r="N21" s="43">
        <f t="shared" si="0"/>
        <v>0</v>
      </c>
      <c r="O21" s="43">
        <f t="shared" si="0"/>
        <v>0</v>
      </c>
      <c r="P21" s="43">
        <f t="shared" si="0"/>
        <v>0</v>
      </c>
      <c r="Q21" s="5"/>
    </row>
    <row r="22" spans="3:17" x14ac:dyDescent="0.35">
      <c r="D22" s="3" t="str">
        <f>'KPI 100'!D22</f>
        <v>% realisation</v>
      </c>
      <c r="E22" s="9">
        <f>E20/E19</f>
        <v>0.7994462949293879</v>
      </c>
      <c r="F22" s="9">
        <f t="shared" ref="F22:P22" si="1">F20/F19</f>
        <v>0.98227788375435032</v>
      </c>
      <c r="G22" s="9">
        <f t="shared" si="1"/>
        <v>0.9014723381378793</v>
      </c>
      <c r="H22" s="9">
        <f t="shared" si="1"/>
        <v>1.0169674301318492</v>
      </c>
      <c r="I22" s="9">
        <f t="shared" si="1"/>
        <v>0.79168655181042291</v>
      </c>
      <c r="J22" s="9">
        <f t="shared" si="1"/>
        <v>0.69527705800208661</v>
      </c>
      <c r="K22" s="9">
        <f t="shared" si="1"/>
        <v>1.2125485587761087</v>
      </c>
      <c r="L22" s="9">
        <f t="shared" si="1"/>
        <v>0.98086278433281671</v>
      </c>
      <c r="M22" s="9">
        <f t="shared" si="1"/>
        <v>0</v>
      </c>
      <c r="N22" s="9">
        <f t="shared" si="1"/>
        <v>0</v>
      </c>
      <c r="O22" s="9">
        <f t="shared" si="1"/>
        <v>0</v>
      </c>
      <c r="P22" s="9">
        <f t="shared" si="1"/>
        <v>0</v>
      </c>
    </row>
    <row r="23" spans="3:17" x14ac:dyDescent="0.35">
      <c r="D23" s="3" t="str">
        <f>'KPI 100'!D23</f>
        <v>Actual 2024/25</v>
      </c>
      <c r="E23" s="5">
        <f>Actuals2425!D58</f>
        <v>22322</v>
      </c>
      <c r="F23" s="5">
        <f>Actuals2425!E58</f>
        <v>22874</v>
      </c>
      <c r="G23" s="5">
        <f>Actuals2425!F58</f>
        <v>20854</v>
      </c>
      <c r="H23" s="5">
        <f>Actuals2425!G58</f>
        <v>19690</v>
      </c>
      <c r="I23" s="5">
        <f>Actuals2425!H58</f>
        <v>22452</v>
      </c>
      <c r="J23" s="5">
        <f>Actuals2425!I58</f>
        <v>13727</v>
      </c>
      <c r="K23" s="5">
        <f>Actuals2425!J58</f>
        <v>22903</v>
      </c>
      <c r="L23" s="5">
        <f>Actuals2425!K58</f>
        <v>22721</v>
      </c>
      <c r="M23" s="5">
        <f>Actuals2425!L58</f>
        <v>23737</v>
      </c>
      <c r="N23" s="5">
        <f>Actuals2425!M58</f>
        <v>14918</v>
      </c>
      <c r="O23" s="5">
        <f>Actuals2425!N58</f>
        <v>19396</v>
      </c>
      <c r="P23" s="5">
        <f>Actuals2425!O58</f>
        <v>20427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43">
        <f>SUM($E19:E19)</f>
        <v>21090.847636599865</v>
      </c>
      <c r="F26" s="43">
        <f>SUM($E19:F19)</f>
        <v>42253.901741560956</v>
      </c>
      <c r="G26" s="43">
        <f>SUM($E19:G19)</f>
        <v>63489.16231488328</v>
      </c>
      <c r="H26" s="43">
        <f>SUM($E19:H19)</f>
        <v>84796.629356566831</v>
      </c>
      <c r="I26" s="43">
        <f>SUM($E19:I19)</f>
        <v>106176.30286661162</v>
      </c>
      <c r="J26" s="43">
        <f>SUM($E19:J19)</f>
        <v>127628.18284501764</v>
      </c>
      <c r="K26" s="43">
        <f>SUM($E19:K19)</f>
        <v>149152.26929178488</v>
      </c>
      <c r="L26" s="43">
        <f>SUM($E19:L19)</f>
        <v>170748.56220691337</v>
      </c>
      <c r="M26" s="43">
        <f>SUM($E19:M19)</f>
        <v>192417.06159040309</v>
      </c>
      <c r="N26" s="43">
        <f>SUM($E19:N19)</f>
        <v>214157.76744225403</v>
      </c>
      <c r="O26" s="43">
        <f>SUM($E19:O19)</f>
        <v>235970.6797624662</v>
      </c>
      <c r="P26" s="43">
        <f>SUM($E19:P19)</f>
        <v>257855.7985510396</v>
      </c>
    </row>
    <row r="27" spans="3:17" x14ac:dyDescent="0.35">
      <c r="D27" s="3" t="str">
        <f t="shared" ref="D27:D30" si="3">D20</f>
        <v>Actual 2025/26</v>
      </c>
      <c r="E27" s="43">
        <f>SUM($E20:E20)</f>
        <v>16861</v>
      </c>
      <c r="F27" s="43">
        <f>SUM($E20:F20)</f>
        <v>37649</v>
      </c>
      <c r="G27" s="43">
        <f>SUM($E20:G20)</f>
        <v>56792</v>
      </c>
      <c r="H27" s="43">
        <f>SUM($E20:H20)</f>
        <v>78461</v>
      </c>
      <c r="I27" s="43">
        <f>SUM($E20:I20)</f>
        <v>95387</v>
      </c>
      <c r="J27" s="43">
        <f>SUM($E20:J20)</f>
        <v>110302</v>
      </c>
      <c r="K27" s="43">
        <f>SUM($E20:K20)</f>
        <v>136401</v>
      </c>
      <c r="L27" s="43">
        <f>SUM($E20:L20)</f>
        <v>157584</v>
      </c>
      <c r="M27" s="43">
        <f>SUM($E20:M20)</f>
        <v>157584</v>
      </c>
      <c r="N27" s="43">
        <f>SUM($E20:N20)</f>
        <v>157584</v>
      </c>
      <c r="O27" s="43">
        <f>SUM($E20:O20)</f>
        <v>157584</v>
      </c>
      <c r="P27" s="43">
        <f>SUM($E20:P20)</f>
        <v>157584</v>
      </c>
    </row>
    <row r="28" spans="3:17" x14ac:dyDescent="0.35">
      <c r="D28" s="3" t="str">
        <f t="shared" si="3"/>
        <v>Difference</v>
      </c>
      <c r="E28" s="43">
        <f>IF(E27=0,0,E27-E26)</f>
        <v>-4229.8476365998649</v>
      </c>
      <c r="F28" s="43">
        <f t="shared" ref="F28:P28" si="4">IF(F27=0,0,F27-F26)</f>
        <v>-4604.901741560956</v>
      </c>
      <c r="G28" s="43">
        <f t="shared" si="4"/>
        <v>-6697.1623148832805</v>
      </c>
      <c r="H28" s="43">
        <f t="shared" si="4"/>
        <v>-6335.6293565668311</v>
      </c>
      <c r="I28" s="43">
        <f t="shared" si="4"/>
        <v>-10789.302866611615</v>
      </c>
      <c r="J28" s="43">
        <f t="shared" si="4"/>
        <v>-17326.18284501764</v>
      </c>
      <c r="K28" s="43">
        <f t="shared" si="4"/>
        <v>-12751.269291784876</v>
      </c>
      <c r="L28" s="43">
        <f t="shared" si="4"/>
        <v>-13164.562206913368</v>
      </c>
      <c r="M28" s="43">
        <f t="shared" si="4"/>
        <v>-34833.061590403086</v>
      </c>
      <c r="N28" s="43">
        <f t="shared" si="4"/>
        <v>-56573.767442254029</v>
      </c>
      <c r="O28" s="43">
        <f t="shared" si="4"/>
        <v>-78386.679762466199</v>
      </c>
      <c r="P28" s="43">
        <f t="shared" si="4"/>
        <v>-100271.7985510396</v>
      </c>
    </row>
    <row r="29" spans="3:17" x14ac:dyDescent="0.35">
      <c r="D29" s="3" t="str">
        <f t="shared" si="3"/>
        <v>% realisation</v>
      </c>
      <c r="E29" s="9">
        <f t="shared" ref="E29:P29" si="5">E27/E26</f>
        <v>0.7994462949293879</v>
      </c>
      <c r="F29" s="9">
        <f t="shared" si="5"/>
        <v>0.89101830714412888</v>
      </c>
      <c r="G29" s="9">
        <f t="shared" si="5"/>
        <v>0.89451487355168147</v>
      </c>
      <c r="H29" s="9">
        <f t="shared" si="5"/>
        <v>0.92528441985676424</v>
      </c>
      <c r="I29" s="9">
        <f t="shared" si="5"/>
        <v>0.89838313658212299</v>
      </c>
      <c r="J29" s="9">
        <f t="shared" si="5"/>
        <v>0.86424485204762891</v>
      </c>
      <c r="K29" s="9">
        <f t="shared" si="5"/>
        <v>0.91450837890478409</v>
      </c>
      <c r="L29" s="9">
        <f t="shared" si="5"/>
        <v>0.92290088984198571</v>
      </c>
      <c r="M29" s="9">
        <f t="shared" si="5"/>
        <v>0.81897103457201736</v>
      </c>
      <c r="N29" s="9">
        <f t="shared" si="5"/>
        <v>0.73583135406233302</v>
      </c>
      <c r="O29" s="9">
        <f t="shared" si="5"/>
        <v>0.66781178135617469</v>
      </c>
      <c r="P29" s="9">
        <f t="shared" si="5"/>
        <v>0.61113227193457142</v>
      </c>
    </row>
    <row r="30" spans="3:17" x14ac:dyDescent="0.35">
      <c r="D30" s="3" t="str">
        <f t="shared" si="3"/>
        <v>Actual 2024/25</v>
      </c>
      <c r="E30" s="43">
        <f>SUM($E23:E23)</f>
        <v>22322</v>
      </c>
      <c r="F30" s="43">
        <f>SUM($E23:F23)</f>
        <v>45196</v>
      </c>
      <c r="G30" s="43">
        <f>SUM($E23:G23)</f>
        <v>66050</v>
      </c>
      <c r="H30" s="43">
        <f>SUM($E23:H23)</f>
        <v>85740</v>
      </c>
      <c r="I30" s="43">
        <f>SUM($E23:I23)</f>
        <v>108192</v>
      </c>
      <c r="J30" s="43">
        <f>SUM($E23:J23)</f>
        <v>121919</v>
      </c>
      <c r="K30" s="43">
        <f>SUM($E23:K23)</f>
        <v>144822</v>
      </c>
      <c r="L30" s="43">
        <f>SUM($E23:L23)</f>
        <v>167543</v>
      </c>
      <c r="M30" s="43">
        <f>SUM($E23:M23)</f>
        <v>191280</v>
      </c>
      <c r="N30" s="43">
        <f>SUM($E23:N23)</f>
        <v>206198</v>
      </c>
      <c r="O30" s="43">
        <f>SUM($E23:O23)</f>
        <v>225594</v>
      </c>
      <c r="P30" s="43">
        <f>SUM($E23:P23)</f>
        <v>246021</v>
      </c>
    </row>
  </sheetData>
  <sheetProtection algorithmName="SHA-512" hashValue="gCqAcC10Rqg1c0skBYJGGyj/7tB60FyqEgT/svZKNpuweqvjGIPU9ZqjQISwhoVYnYr1FoI3/3el+e7NMGic7Q==" saltValue="XX/tjr35UZuBRL5fIdX3+g==" spinCount="100000" sheet="1" objects="1" scenarios="1"/>
  <mergeCells count="3">
    <mergeCell ref="C1:F1"/>
    <mergeCell ref="J4:Q8"/>
    <mergeCell ref="J10:Q15"/>
  </mergeCells>
  <conditionalFormatting sqref="C3">
    <cfRule type="expression" dxfId="122" priority="2">
      <formula>S4&lt;S6</formula>
    </cfRule>
  </conditionalFormatting>
  <conditionalFormatting sqref="C4">
    <cfRule type="expression" dxfId="121" priority="1">
      <formula>AND(S4&gt;=S6,S4&lt;S5)</formula>
    </cfRule>
  </conditionalFormatting>
  <conditionalFormatting sqref="C5">
    <cfRule type="expression" dxfId="120" priority="3">
      <formula>S4&gt;=S5</formula>
    </cfRule>
  </conditionalFormatting>
  <hyperlinks>
    <hyperlink ref="L1" location="'Distribution Dashboard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39297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57150</xdr:rowOff>
                  </from>
                  <to>
                    <xdr:col>9</xdr:col>
                    <xdr:colOff>628650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S30"/>
  <sheetViews>
    <sheetView zoomScale="90" zoomScaleNormal="90" zoomScalePageLayoutView="90" workbookViewId="0">
      <pane ySplit="2" topLeftCell="A3" activePane="bottomLeft" state="frozen"/>
      <selection activeCell="D26" sqref="D26:D30"/>
      <selection pane="bottomLeft"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>
        <v>125</v>
      </c>
      <c r="C1" s="124" t="s">
        <v>74</v>
      </c>
      <c r="D1" s="124"/>
      <c r="E1" s="124"/>
      <c r="F1" s="124"/>
      <c r="G1" s="3" t="s">
        <v>10</v>
      </c>
      <c r="I1" s="12">
        <f>INDEX(E$18:P$18,Actual_month)</f>
        <v>46054</v>
      </c>
      <c r="L1" s="15" t="s">
        <v>21</v>
      </c>
      <c r="R1" s="5"/>
    </row>
    <row r="2" spans="1:19" x14ac:dyDescent="0.35">
      <c r="A2" s="3" t="s">
        <v>14</v>
      </c>
      <c r="C2" s="3" t="s">
        <v>1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/>
      <c r="K4" s="135"/>
      <c r="L4" s="135"/>
      <c r="M4" s="135"/>
      <c r="N4" s="135"/>
      <c r="O4" s="135"/>
      <c r="P4" s="135"/>
      <c r="Q4" s="136"/>
      <c r="R4" s="3" t="s">
        <v>25</v>
      </c>
      <c r="S4" s="9">
        <f>INDEX(E27:P27,Actual_month)</f>
        <v>0.24965359617170202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9">
        <f>INDEX(E26:P26,Actual_month)</f>
        <v>0.18337034204438579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1.1000000000000001</v>
      </c>
      <c r="S6" s="9">
        <f>+S5*R6</f>
        <v>0.2017073762488244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9">
        <f>Budget2526!D59</f>
        <v>0.2040816087583448</v>
      </c>
      <c r="F19" s="9">
        <f>Budget2526!E59</f>
        <v>0.19812922762726395</v>
      </c>
      <c r="G19" s="9">
        <f>Budget2526!F59</f>
        <v>0.1921768464961833</v>
      </c>
      <c r="H19" s="9">
        <f>Budget2526!G59</f>
        <v>0.18622446536510276</v>
      </c>
      <c r="I19" s="9">
        <f>Budget2526!H59</f>
        <v>0.18027208423402186</v>
      </c>
      <c r="J19" s="9">
        <f>Budget2526!I59</f>
        <v>0.17431970310294123</v>
      </c>
      <c r="K19" s="9">
        <f>Budget2526!J59</f>
        <v>0.16836732197186038</v>
      </c>
      <c r="L19" s="9">
        <f>Budget2526!K59</f>
        <v>0.16241494084077962</v>
      </c>
      <c r="M19" s="9">
        <f>Budget2526!L59</f>
        <v>0.15646255970969875</v>
      </c>
      <c r="N19" s="9">
        <f>Budget2526!M59</f>
        <v>0.15051017857861806</v>
      </c>
      <c r="O19" s="9">
        <f>Budget2526!N59</f>
        <v>0.14455779744753752</v>
      </c>
      <c r="P19" s="9">
        <f>Budget2526!O59</f>
        <v>0.13860541631645656</v>
      </c>
      <c r="Q19" s="5"/>
    </row>
    <row r="20" spans="3:17" x14ac:dyDescent="0.35">
      <c r="D20" s="3" t="str">
        <f>'KPI 100'!D20</f>
        <v>Actual 2025/26</v>
      </c>
      <c r="E20" s="9">
        <f>Actuals2526!D59</f>
        <v>0.36093844754396603</v>
      </c>
      <c r="F20" s="9">
        <f>Actuals2526!E59</f>
        <v>0.18711140656160793</v>
      </c>
      <c r="G20" s="9">
        <f>Actuals2526!F59</f>
        <v>0.24770101391181326</v>
      </c>
      <c r="H20" s="9">
        <f>Actuals2526!G59</f>
        <v>0.27933351070905948</v>
      </c>
      <c r="I20" s="9">
        <f>Actuals2526!H59</f>
        <v>0.19025977132469024</v>
      </c>
      <c r="J20" s="9">
        <f>Actuals2526!I59</f>
        <v>0.35121144895384748</v>
      </c>
      <c r="K20" s="9">
        <f>Actuals2526!J59</f>
        <v>0.18580564654500079</v>
      </c>
      <c r="L20" s="9">
        <f>Actuals2526!K59</f>
        <v>0.20355679211941197</v>
      </c>
      <c r="M20" s="9" t="e">
        <f>Actuals2526!L59</f>
        <v>#DIV/0!</v>
      </c>
      <c r="N20" s="9" t="e">
        <f>Actuals2526!M59</f>
        <v>#DIV/0!</v>
      </c>
      <c r="O20" s="9" t="e">
        <f>Actuals2526!N59</f>
        <v>#DIV/0!</v>
      </c>
      <c r="P20" s="9" t="e">
        <f>Actuals2526!O59</f>
        <v>#DIV/0!</v>
      </c>
      <c r="Q20" s="5"/>
    </row>
    <row r="21" spans="3:17" x14ac:dyDescent="0.35">
      <c r="D21" s="3" t="str">
        <f>'KPI 100'!D21</f>
        <v>Difference</v>
      </c>
      <c r="E21" s="9">
        <f>IF(E20=0,0,E20-E19)</f>
        <v>0.15685683878562123</v>
      </c>
      <c r="F21" s="9">
        <f t="shared" ref="F21:P21" si="0">IF(F20=0,0,F20-F19)</f>
        <v>-1.1017821065656019E-2</v>
      </c>
      <c r="G21" s="9">
        <f t="shared" si="0"/>
        <v>5.552416741562996E-2</v>
      </c>
      <c r="H21" s="9">
        <f t="shared" si="0"/>
        <v>9.3109045343956726E-2</v>
      </c>
      <c r="I21" s="9">
        <f t="shared" si="0"/>
        <v>9.9876870906683846E-3</v>
      </c>
      <c r="J21" s="9">
        <f t="shared" si="0"/>
        <v>0.17689174585090625</v>
      </c>
      <c r="K21" s="9">
        <f t="shared" si="0"/>
        <v>1.7438324573140401E-2</v>
      </c>
      <c r="L21" s="9">
        <f t="shared" si="0"/>
        <v>4.1141851278632346E-2</v>
      </c>
      <c r="M21" s="9" t="e">
        <f t="shared" si="0"/>
        <v>#DIV/0!</v>
      </c>
      <c r="N21" s="9" t="e">
        <f t="shared" si="0"/>
        <v>#DIV/0!</v>
      </c>
      <c r="O21" s="9" t="e">
        <f t="shared" si="0"/>
        <v>#DIV/0!</v>
      </c>
      <c r="P21" s="9" t="e">
        <f t="shared" si="0"/>
        <v>#DIV/0!</v>
      </c>
      <c r="Q21" s="5"/>
    </row>
    <row r="22" spans="3:17" x14ac:dyDescent="0.35">
      <c r="D22" s="3" t="str">
        <f>'KPI 100'!D22</f>
        <v>% realisation</v>
      </c>
      <c r="E22" s="9">
        <f>E20/E19</f>
        <v>1.7685986000402274</v>
      </c>
      <c r="F22" s="9">
        <f t="shared" ref="F22:P22" si="1">F20/F19</f>
        <v>0.94439073327240952</v>
      </c>
      <c r="G22" s="9">
        <f t="shared" si="1"/>
        <v>1.2889222527477195</v>
      </c>
      <c r="H22" s="9">
        <f t="shared" si="1"/>
        <v>1.4999828844261229</v>
      </c>
      <c r="I22" s="9">
        <f t="shared" si="1"/>
        <v>1.0554034038775675</v>
      </c>
      <c r="J22" s="9">
        <f t="shared" si="1"/>
        <v>2.0147547448864467</v>
      </c>
      <c r="K22" s="9">
        <f t="shared" si="1"/>
        <v>1.1035730946415772</v>
      </c>
      <c r="L22" s="9">
        <f t="shared" si="1"/>
        <v>1.2533132177720334</v>
      </c>
      <c r="M22" s="9" t="e">
        <f t="shared" si="1"/>
        <v>#DIV/0!</v>
      </c>
      <c r="N22" s="9" t="e">
        <f t="shared" si="1"/>
        <v>#DIV/0!</v>
      </c>
      <c r="O22" s="9" t="e">
        <f t="shared" si="1"/>
        <v>#DIV/0!</v>
      </c>
      <c r="P22" s="9" t="e">
        <f t="shared" si="1"/>
        <v>#DIV/0!</v>
      </c>
    </row>
    <row r="23" spans="3:17" x14ac:dyDescent="0.35">
      <c r="D23" s="3" t="str">
        <f>'KPI 100'!D23</f>
        <v>Actual 2024/25</v>
      </c>
      <c r="E23" s="9">
        <f>Actuals2425!D59</f>
        <v>0.24796172764638502</v>
      </c>
      <c r="F23" s="9">
        <f>Actuals2425!E59</f>
        <v>0.17419401422434022</v>
      </c>
      <c r="G23" s="9">
        <f>Actuals2425!F59</f>
        <v>0.17771381254682386</v>
      </c>
      <c r="H23" s="9">
        <f>Actuals2425!G59</f>
        <v>0.24769800939899897</v>
      </c>
      <c r="I23" s="9">
        <f>Actuals2425!H59</f>
        <v>0.10770209045385899</v>
      </c>
      <c r="J23" s="9">
        <f>Actuals2425!I59</f>
        <v>0.22998822011555506</v>
      </c>
      <c r="K23" s="9">
        <f>Actuals2425!J59</f>
        <v>0.31969939998811858</v>
      </c>
      <c r="L23" s="9">
        <f>Actuals2425!K59</f>
        <v>0.16827732630500036</v>
      </c>
      <c r="M23" s="9">
        <f>Actuals2425!L59</f>
        <v>0.24701814490546886</v>
      </c>
      <c r="N23" s="9">
        <f>Actuals2425!M59</f>
        <v>0.1436280137772675</v>
      </c>
      <c r="O23" s="9">
        <f>Actuals2425!N59</f>
        <v>0.1136903673917017</v>
      </c>
      <c r="P23" s="9">
        <f>Actuals2425!O59</f>
        <v>0.25268895880588277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9">
        <f>('KPI 104'!E26-'KPI 111'!E26)/'KPI 104'!E26</f>
        <v>0.2040816087583448</v>
      </c>
      <c r="F26" s="9">
        <f>('KPI 104'!F26-'KPI 111'!F26)/'KPI 104'!F26</f>
        <v>0.20111141976339114</v>
      </c>
      <c r="G26" s="9">
        <f>('KPI 104'!G26-'KPI 111'!G26)/'KPI 104'!G26</f>
        <v>0.1981451456737183</v>
      </c>
      <c r="H26" s="9">
        <f>('KPI 104'!H26-'KPI 111'!H26)/'KPI 104'!H26</f>
        <v>0.19518272357747554</v>
      </c>
      <c r="I26" s="9">
        <f>('KPI 104'!I26-'KPI 111'!I26)/'KPI 104'!I26</f>
        <v>0.19222409187401648</v>
      </c>
      <c r="J26" s="9">
        <f>('KPI 104'!J26-'KPI 111'!J26)/'KPI 104'!J26</f>
        <v>0.18926919023838057</v>
      </c>
      <c r="K26" s="9">
        <f>('KPI 104'!K26-'KPI 111'!K26)/'KPI 104'!K26</f>
        <v>0.18631795958697192</v>
      </c>
      <c r="L26" s="9">
        <f>('KPI 104'!L26-'KPI 111'!L26)/'KPI 104'!L26</f>
        <v>0.18337034204438579</v>
      </c>
      <c r="M26" s="9">
        <f>('KPI 104'!M26-'KPI 111'!M26)/'KPI 104'!M26</f>
        <v>0.18042628091134016</v>
      </c>
      <c r="N26" s="9">
        <f>('KPI 104'!N26-'KPI 111'!N26)/'KPI 104'!N26</f>
        <v>0.1774857206336643</v>
      </c>
      <c r="O26" s="9">
        <f>('KPI 104'!O26-'KPI 111'!O26)/'KPI 104'!O26</f>
        <v>0.1745486067723053</v>
      </c>
      <c r="P26" s="9">
        <f>('KPI 104'!P26-'KPI 111'!P26)/'KPI 104'!P26</f>
        <v>0.17161488597431135</v>
      </c>
    </row>
    <row r="27" spans="3:17" x14ac:dyDescent="0.35">
      <c r="D27" s="3" t="str">
        <f t="shared" ref="D27:D30" si="3">D20</f>
        <v>Actual 2025/26</v>
      </c>
      <c r="E27" s="9">
        <f>('KPI 104'!E27-'KPI 111'!E27)/'KPI 104'!E27</f>
        <v>0.36093844754396603</v>
      </c>
      <c r="F27" s="9">
        <f>('KPI 104'!F27-'KPI 111'!F27)/'KPI 104'!F27</f>
        <v>0.27538156552533827</v>
      </c>
      <c r="G27" s="9">
        <f>('KPI 104'!G27-'KPI 111'!G27)/'KPI 104'!G27</f>
        <v>0.26628166866917302</v>
      </c>
      <c r="H27" s="9">
        <f>('KPI 104'!H27-'KPI 111'!H27)/'KPI 104'!H27</f>
        <v>0.26993328432786518</v>
      </c>
      <c r="I27" s="9">
        <f>('KPI 104'!I27-'KPI 111'!I27)/'KPI 104'!I27</f>
        <v>0.25696013211397944</v>
      </c>
      <c r="J27" s="9">
        <f>('KPI 104'!J27-'KPI 111'!J27)/'KPI 104'!J27</f>
        <v>0.2712750143694298</v>
      </c>
      <c r="K27" s="9">
        <f>('KPI 104'!K27-'KPI 111'!K27)/'KPI 104'!K27</f>
        <v>0.25633798209554132</v>
      </c>
      <c r="L27" s="9">
        <f>('KPI 104'!L27-'KPI 111'!L27)/'KPI 104'!L27</f>
        <v>0.24965359617170202</v>
      </c>
      <c r="M27" s="9">
        <f>('KPI 104'!M27-'KPI 111'!M27)/'KPI 104'!M27</f>
        <v>0.24965359617170202</v>
      </c>
      <c r="N27" s="9">
        <f>('KPI 104'!N27-'KPI 111'!N27)/'KPI 104'!N27</f>
        <v>0.24965359617170202</v>
      </c>
      <c r="O27" s="9">
        <f>('KPI 104'!O27-'KPI 111'!O27)/'KPI 104'!O27</f>
        <v>0.24965359617170202</v>
      </c>
      <c r="P27" s="9">
        <f>('KPI 104'!P27-'KPI 111'!P27)/'KPI 104'!P27</f>
        <v>0.24965359617170202</v>
      </c>
    </row>
    <row r="28" spans="3:17" x14ac:dyDescent="0.35">
      <c r="D28" s="3" t="str">
        <f t="shared" si="3"/>
        <v>Difference</v>
      </c>
      <c r="E28" s="9">
        <f>IF(E27=0,0,E27-E26)</f>
        <v>0.15685683878562123</v>
      </c>
      <c r="F28" s="9">
        <f t="shared" ref="F28:P28" si="4">IF(F27=0,0,F27-F26)</f>
        <v>7.4270145761947126E-2</v>
      </c>
      <c r="G28" s="9">
        <f t="shared" si="4"/>
        <v>6.8136522995454724E-2</v>
      </c>
      <c r="H28" s="9">
        <f t="shared" si="4"/>
        <v>7.4750560750389633E-2</v>
      </c>
      <c r="I28" s="9">
        <f t="shared" si="4"/>
        <v>6.4736040239962961E-2</v>
      </c>
      <c r="J28" s="9">
        <f t="shared" si="4"/>
        <v>8.2005824131049232E-2</v>
      </c>
      <c r="K28" s="9">
        <f t="shared" si="4"/>
        <v>7.0020022508569396E-2</v>
      </c>
      <c r="L28" s="9">
        <f t="shared" si="4"/>
        <v>6.6283254127316227E-2</v>
      </c>
      <c r="M28" s="9">
        <f t="shared" si="4"/>
        <v>6.9227315260361855E-2</v>
      </c>
      <c r="N28" s="9">
        <f t="shared" si="4"/>
        <v>7.2167875538037718E-2</v>
      </c>
      <c r="O28" s="9">
        <f t="shared" si="4"/>
        <v>7.5104989399396721E-2</v>
      </c>
      <c r="P28" s="9">
        <f t="shared" si="4"/>
        <v>7.803871019739067E-2</v>
      </c>
    </row>
    <row r="29" spans="3:17" x14ac:dyDescent="0.35">
      <c r="D29" s="3" t="str">
        <f t="shared" si="3"/>
        <v>% realisation</v>
      </c>
      <c r="E29" s="9">
        <f t="shared" ref="E29:P29" si="5">E27/E26</f>
        <v>1.7685986000402274</v>
      </c>
      <c r="F29" s="9">
        <f t="shared" si="5"/>
        <v>1.36929850054923</v>
      </c>
      <c r="G29" s="9">
        <f t="shared" si="5"/>
        <v>1.3438717752271043</v>
      </c>
      <c r="H29" s="9">
        <f t="shared" si="5"/>
        <v>1.3829773423605203</v>
      </c>
      <c r="I29" s="9">
        <f t="shared" si="5"/>
        <v>1.3367738123189621</v>
      </c>
      <c r="J29" s="9">
        <f t="shared" si="5"/>
        <v>1.4332761398078822</v>
      </c>
      <c r="K29" s="9">
        <f t="shared" si="5"/>
        <v>1.3758093028916225</v>
      </c>
      <c r="L29" s="9">
        <f t="shared" si="5"/>
        <v>1.3614720537046934</v>
      </c>
      <c r="M29" s="9">
        <f t="shared" si="5"/>
        <v>1.3836875365977284</v>
      </c>
      <c r="N29" s="9">
        <f t="shared" si="5"/>
        <v>1.4066122912895866</v>
      </c>
      <c r="O29" s="9">
        <f t="shared" si="5"/>
        <v>1.430281231046258</v>
      </c>
      <c r="P29" s="9">
        <f t="shared" si="5"/>
        <v>1.4547315913438426</v>
      </c>
    </row>
    <row r="30" spans="3:17" x14ac:dyDescent="0.35">
      <c r="D30" s="3" t="str">
        <f t="shared" si="3"/>
        <v>Actual 2024/25</v>
      </c>
      <c r="E30" s="9">
        <f>('KPI 104'!E30-'KPI 111'!E30)/'KPI 104'!E30</f>
        <v>0.24796172764638502</v>
      </c>
      <c r="F30" s="9">
        <f>('KPI 104'!F30-'KPI 111'!F30)/'KPI 104'!F30</f>
        <v>0.21235252086927728</v>
      </c>
      <c r="G30" s="9">
        <f>('KPI 104'!G30-'KPI 111'!G30)/'KPI 104'!G30</f>
        <v>0.20173551521597255</v>
      </c>
      <c r="H30" s="9">
        <f>('KPI 104'!H30-'KPI 111'!H30)/'KPI 104'!H30</f>
        <v>0.21278060873157967</v>
      </c>
      <c r="I30" s="9">
        <f>('KPI 104'!I30-'KPI 111'!I30)/'KPI 104'!I30</f>
        <v>0.19306070392386465</v>
      </c>
      <c r="J30" s="9">
        <f>('KPI 104'!J30-'KPI 111'!J30)/'KPI 104'!J30</f>
        <v>0.19739440699389088</v>
      </c>
      <c r="K30" s="9">
        <f>('KPI 104'!K30-'KPI 111'!K30)/'KPI 104'!K30</f>
        <v>0.21958290671983619</v>
      </c>
      <c r="L30" s="9">
        <f>('KPI 104'!L30-'KPI 111'!L30)/'KPI 104'!L30</f>
        <v>0.21299932358798992</v>
      </c>
      <c r="M30" s="9">
        <f>('KPI 104'!M30-'KPI 111'!M30)/'KPI 104'!M30</f>
        <v>0.2173870350064645</v>
      </c>
      <c r="N30" s="9">
        <f>('KPI 104'!N30-'KPI 111'!N30)/'KPI 104'!N30</f>
        <v>0.21247975801277155</v>
      </c>
      <c r="O30" s="9">
        <f>('KPI 104'!O30-'KPI 111'!O30)/'KPI 104'!O30</f>
        <v>0.20485978936683161</v>
      </c>
      <c r="P30" s="9">
        <f>('KPI 104'!P30-'KPI 111'!P30)/'KPI 104'!P30</f>
        <v>0.20906285163157048</v>
      </c>
    </row>
  </sheetData>
  <sheetProtection algorithmName="SHA-512" hashValue="d0jGrq/18YoHuHL6WQ8mIFBUp1XKuXPar8LEd43n+D7nhF+9g3BpWRkAFCEmj6M09GJrJy1bMnLQBhFv8RPCKw==" saltValue="EIUO1L5Lh7JMAbJllPy/JA==" spinCount="100000" sheet="1" objects="1" scenarios="1"/>
  <mergeCells count="3">
    <mergeCell ref="C1:F1"/>
    <mergeCell ref="J4:Q8"/>
    <mergeCell ref="J10:Q15"/>
  </mergeCells>
  <conditionalFormatting sqref="C3">
    <cfRule type="expression" dxfId="119" priority="2">
      <formula>S4&gt;S6</formula>
    </cfRule>
  </conditionalFormatting>
  <conditionalFormatting sqref="C4">
    <cfRule type="expression" dxfId="118" priority="1">
      <formula>AND(S4&gt;S5,S4&lt;=S6)</formula>
    </cfRule>
  </conditionalFormatting>
  <conditionalFormatting sqref="C5">
    <cfRule type="expression" dxfId="117" priority="3">
      <formula>S4&lt;=S5</formula>
    </cfRule>
  </conditionalFormatting>
  <hyperlinks>
    <hyperlink ref="L1" location="'Distribution Dashboard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55681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57150</xdr:rowOff>
                  </from>
                  <to>
                    <xdr:col>9</xdr:col>
                    <xdr:colOff>628650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S30"/>
  <sheetViews>
    <sheetView zoomScale="90" zoomScaleNormal="90" zoomScalePageLayoutView="90" workbookViewId="0">
      <pane ySplit="2" topLeftCell="A3" activePane="bottomLeft" state="frozen"/>
      <selection activeCell="D26" sqref="D26:D30"/>
      <selection pane="bottomLeft" activeCell="I2" sqref="I2"/>
    </sheetView>
  </sheetViews>
  <sheetFormatPr defaultColWidth="9.1796875" defaultRowHeight="14.5" x14ac:dyDescent="0.35"/>
  <cols>
    <col min="1" max="1" width="9.1796875" style="3"/>
    <col min="2" max="2" width="7.726562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>
        <v>103</v>
      </c>
      <c r="C1" s="124" t="s">
        <v>50</v>
      </c>
      <c r="D1" s="124"/>
      <c r="E1" s="124"/>
      <c r="F1" s="124"/>
      <c r="G1" s="3" t="s">
        <v>10</v>
      </c>
      <c r="I1" s="12" cm="1">
        <f t="array" ref="I1">INDEX(E18:P18,Actual_month)</f>
        <v>46054</v>
      </c>
      <c r="L1" s="15" t="s">
        <v>21</v>
      </c>
      <c r="R1" s="5"/>
    </row>
    <row r="2" spans="1:19" x14ac:dyDescent="0.35">
      <c r="A2" s="3" t="s">
        <v>14</v>
      </c>
      <c r="C2" s="3" t="s">
        <v>15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/>
      <c r="K4" s="135"/>
      <c r="L4" s="135"/>
      <c r="M4" s="135"/>
      <c r="N4" s="135"/>
      <c r="O4" s="135"/>
      <c r="P4" s="135"/>
      <c r="Q4" s="136"/>
      <c r="R4" s="3" t="s">
        <v>25</v>
      </c>
      <c r="S4" s="43">
        <f>INDEX(E27:P27,Actual_month)</f>
        <v>121581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43">
        <f>INDEX(E26:P26,Actual_month)</f>
        <v>133847.96282374166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0.9</v>
      </c>
      <c r="S6" s="43">
        <f>+S5*R6</f>
        <v>120463.16654136749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43">
        <f>Budget2526!D63</f>
        <v>16735.651704742097</v>
      </c>
      <c r="F19" s="43">
        <f>Budget2526!E63</f>
        <v>16734.288004651131</v>
      </c>
      <c r="G19" s="43">
        <f>Budget2526!F63</f>
        <v>16732.941350811307</v>
      </c>
      <c r="H19" s="43">
        <f>Budget2526!G63</f>
        <v>16731.611425590614</v>
      </c>
      <c r="I19" s="43">
        <f>Budget2526!H63</f>
        <v>16730.297919199798</v>
      </c>
      <c r="J19" s="43">
        <f>Budget2526!I63</f>
        <v>16729.000529451812</v>
      </c>
      <c r="K19" s="43">
        <f>Budget2526!J63</f>
        <v>16727.71896153003</v>
      </c>
      <c r="L19" s="43">
        <f>Budget2526!K63</f>
        <v>16726.452927764873</v>
      </c>
      <c r="M19" s="43">
        <f>Budget2526!L63</f>
        <v>16725.202147418568</v>
      </c>
      <c r="N19" s="43">
        <f>Budget2526!M63</f>
        <v>16723.966346477617</v>
      </c>
      <c r="O19" s="43">
        <f>Budget2526!N63</f>
        <v>16722.745257452625</v>
      </c>
      <c r="P19" s="43">
        <f>Budget2526!O63</f>
        <v>16721.538619185321</v>
      </c>
      <c r="Q19" s="5"/>
    </row>
    <row r="20" spans="3:17" x14ac:dyDescent="0.35">
      <c r="D20" s="3" t="str">
        <f>'KPI 100'!D20</f>
        <v>Actual 2025/26</v>
      </c>
      <c r="E20" s="43">
        <f>Actuals2526!D63</f>
        <v>15271</v>
      </c>
      <c r="F20" s="43">
        <f>Actuals2526!E63</f>
        <v>14365</v>
      </c>
      <c r="G20" s="43">
        <f>Actuals2526!F63</f>
        <v>14499</v>
      </c>
      <c r="H20" s="43">
        <f>Actuals2526!G63</f>
        <v>15769</v>
      </c>
      <c r="I20" s="43">
        <f>Actuals2526!H63</f>
        <v>13590</v>
      </c>
      <c r="J20" s="43">
        <f>Actuals2526!I63</f>
        <v>11896</v>
      </c>
      <c r="K20" s="43">
        <f>Actuals2526!J63</f>
        <v>21645</v>
      </c>
      <c r="L20" s="43">
        <f>Actuals2526!K63</f>
        <v>14546</v>
      </c>
      <c r="M20" s="43">
        <f>Actuals2526!L63</f>
        <v>0</v>
      </c>
      <c r="N20" s="43">
        <f>Actuals2526!M63</f>
        <v>0</v>
      </c>
      <c r="O20" s="43">
        <f>Actuals2526!N63</f>
        <v>0</v>
      </c>
      <c r="P20" s="43">
        <f>Actuals2526!O63</f>
        <v>0</v>
      </c>
      <c r="Q20" s="5"/>
    </row>
    <row r="21" spans="3:17" x14ac:dyDescent="0.35">
      <c r="D21" s="3" t="str">
        <f>'KPI 100'!D21</f>
        <v>Difference</v>
      </c>
      <c r="E21" s="43">
        <f>IF(E20=0,0,E20-E19)</f>
        <v>-1464.6517047420966</v>
      </c>
      <c r="F21" s="43">
        <f t="shared" ref="F21:P21" si="0">IF(F20=0,0,F20-F19)</f>
        <v>-2369.2880046511309</v>
      </c>
      <c r="G21" s="43">
        <f t="shared" si="0"/>
        <v>-2233.9413508113066</v>
      </c>
      <c r="H21" s="43">
        <f t="shared" si="0"/>
        <v>-962.61142559061409</v>
      </c>
      <c r="I21" s="43">
        <f t="shared" si="0"/>
        <v>-3140.2979191997983</v>
      </c>
      <c r="J21" s="43">
        <f t="shared" si="0"/>
        <v>-4833.0005294518123</v>
      </c>
      <c r="K21" s="43">
        <f t="shared" si="0"/>
        <v>4917.2810384699696</v>
      </c>
      <c r="L21" s="43">
        <f t="shared" si="0"/>
        <v>-2180.4529277648726</v>
      </c>
      <c r="M21" s="43">
        <f t="shared" si="0"/>
        <v>0</v>
      </c>
      <c r="N21" s="43">
        <f t="shared" si="0"/>
        <v>0</v>
      </c>
      <c r="O21" s="43">
        <f t="shared" si="0"/>
        <v>0</v>
      </c>
      <c r="P21" s="43">
        <f t="shared" si="0"/>
        <v>0</v>
      </c>
      <c r="Q21" s="5"/>
    </row>
    <row r="22" spans="3:17" x14ac:dyDescent="0.35">
      <c r="D22" s="3" t="str">
        <f>'KPI 100'!D22</f>
        <v>% realisation</v>
      </c>
      <c r="E22" s="9">
        <f>E20/E19</f>
        <v>0.91248313895496025</v>
      </c>
      <c r="F22" s="9">
        <f t="shared" ref="F22:P22" si="1">F20/F19</f>
        <v>0.8584171609815362</v>
      </c>
      <c r="G22" s="9">
        <f t="shared" si="1"/>
        <v>0.8664944014339121</v>
      </c>
      <c r="H22" s="9">
        <f t="shared" si="1"/>
        <v>0.94246750052309236</v>
      </c>
      <c r="I22" s="9">
        <f t="shared" si="1"/>
        <v>0.81229874480621345</v>
      </c>
      <c r="J22" s="9">
        <f t="shared" si="1"/>
        <v>0.71110046168369723</v>
      </c>
      <c r="K22" s="9">
        <f t="shared" si="1"/>
        <v>1.2939600461831409</v>
      </c>
      <c r="L22" s="9">
        <f t="shared" si="1"/>
        <v>0.86964044695062293</v>
      </c>
      <c r="M22" s="9">
        <f t="shared" si="1"/>
        <v>0</v>
      </c>
      <c r="N22" s="9">
        <f t="shared" si="1"/>
        <v>0</v>
      </c>
      <c r="O22" s="9">
        <f t="shared" si="1"/>
        <v>0</v>
      </c>
      <c r="P22" s="9">
        <f t="shared" si="1"/>
        <v>0</v>
      </c>
    </row>
    <row r="23" spans="3:17" x14ac:dyDescent="0.35">
      <c r="D23" s="3" t="str">
        <f>'KPI 100'!D23</f>
        <v>Actual 2024/25</v>
      </c>
      <c r="E23" s="5">
        <f>Actuals2425!D63</f>
        <v>13873</v>
      </c>
      <c r="F23" s="5">
        <f>Actuals2425!E63</f>
        <v>18468</v>
      </c>
      <c r="G23" s="5">
        <f>Actuals2425!F63</f>
        <v>16003</v>
      </c>
      <c r="H23" s="5">
        <f>Actuals2425!G63</f>
        <v>17425</v>
      </c>
      <c r="I23" s="5">
        <f>Actuals2425!H63</f>
        <v>16584</v>
      </c>
      <c r="J23" s="5">
        <f>Actuals2425!I63</f>
        <v>11489</v>
      </c>
      <c r="K23" s="5">
        <f>Actuals2425!J63</f>
        <v>21782</v>
      </c>
      <c r="L23" s="5">
        <f>Actuals2425!K63</f>
        <v>14988</v>
      </c>
      <c r="M23" s="5">
        <f>Actuals2425!L63</f>
        <v>18296</v>
      </c>
      <c r="N23" s="5">
        <f>Actuals2425!M63</f>
        <v>14499</v>
      </c>
      <c r="O23" s="5">
        <f>Actuals2425!N63</f>
        <v>14001</v>
      </c>
      <c r="P23" s="5">
        <f>Actuals2425!O63</f>
        <v>15536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43">
        <f>SUM($E19:E19)</f>
        <v>16735.651704742097</v>
      </c>
      <c r="F26" s="43">
        <f>SUM($E19:F19)</f>
        <v>33469.939709393228</v>
      </c>
      <c r="G26" s="43">
        <f>SUM($E19:G19)</f>
        <v>50202.881060204534</v>
      </c>
      <c r="H26" s="43">
        <f>SUM($E19:H19)</f>
        <v>66934.492485795141</v>
      </c>
      <c r="I26" s="43">
        <f>SUM($E19:I19)</f>
        <v>83664.790404994943</v>
      </c>
      <c r="J26" s="43">
        <f>SUM($E19:J19)</f>
        <v>100393.79093444676</v>
      </c>
      <c r="K26" s="43">
        <f>SUM($E19:K19)</f>
        <v>117121.50989597679</v>
      </c>
      <c r="L26" s="43">
        <f>SUM($E19:L19)</f>
        <v>133847.96282374166</v>
      </c>
      <c r="M26" s="43">
        <f>SUM($E19:M19)</f>
        <v>150573.16497116024</v>
      </c>
      <c r="N26" s="43">
        <f>SUM($E19:N19)</f>
        <v>167297.13131763786</v>
      </c>
      <c r="O26" s="43">
        <f>SUM($E19:O19)</f>
        <v>184019.87657509049</v>
      </c>
      <c r="P26" s="43">
        <f>SUM($E19:P19)</f>
        <v>200741.41519427582</v>
      </c>
    </row>
    <row r="27" spans="3:17" x14ac:dyDescent="0.35">
      <c r="D27" s="3" t="str">
        <f t="shared" ref="D27:D30" si="3">D20</f>
        <v>Actual 2025/26</v>
      </c>
      <c r="E27" s="43">
        <f>SUM($E20:E20)</f>
        <v>15271</v>
      </c>
      <c r="F27" s="43">
        <f>SUM($E20:F20)</f>
        <v>29636</v>
      </c>
      <c r="G27" s="43">
        <f>SUM($E20:G20)</f>
        <v>44135</v>
      </c>
      <c r="H27" s="43">
        <f>SUM($E20:H20)</f>
        <v>59904</v>
      </c>
      <c r="I27" s="43">
        <f>SUM($E20:I20)</f>
        <v>73494</v>
      </c>
      <c r="J27" s="43">
        <f>SUM($E20:J20)</f>
        <v>85390</v>
      </c>
      <c r="K27" s="43">
        <f>SUM($E20:K20)</f>
        <v>107035</v>
      </c>
      <c r="L27" s="43">
        <f>SUM($E20:L20)</f>
        <v>121581</v>
      </c>
      <c r="M27" s="43">
        <f>SUM($E20:M20)</f>
        <v>121581</v>
      </c>
      <c r="N27" s="43">
        <f>SUM($E20:N20)</f>
        <v>121581</v>
      </c>
      <c r="O27" s="43">
        <f>SUM($E20:O20)</f>
        <v>121581</v>
      </c>
      <c r="P27" s="43">
        <f>SUM($E20:P20)</f>
        <v>121581</v>
      </c>
    </row>
    <row r="28" spans="3:17" x14ac:dyDescent="0.35">
      <c r="D28" s="3" t="str">
        <f t="shared" si="3"/>
        <v>Difference</v>
      </c>
      <c r="E28" s="43">
        <f>IF(E27=0,0,E27-E26)</f>
        <v>-1464.6517047420966</v>
      </c>
      <c r="F28" s="43">
        <f t="shared" ref="F28:P28" si="4">IF(F27=0,0,F27-F26)</f>
        <v>-3833.9397093932275</v>
      </c>
      <c r="G28" s="43">
        <f t="shared" si="4"/>
        <v>-6067.8810602045342</v>
      </c>
      <c r="H28" s="43">
        <f t="shared" si="4"/>
        <v>-7030.492485795141</v>
      </c>
      <c r="I28" s="43">
        <f t="shared" si="4"/>
        <v>-10170.790404994943</v>
      </c>
      <c r="J28" s="43">
        <f t="shared" si="4"/>
        <v>-15003.790934446763</v>
      </c>
      <c r="K28" s="43">
        <f t="shared" si="4"/>
        <v>-10086.509895976793</v>
      </c>
      <c r="L28" s="43">
        <f t="shared" si="4"/>
        <v>-12266.962823741662</v>
      </c>
      <c r="M28" s="43">
        <f t="shared" si="4"/>
        <v>-28992.164971160237</v>
      </c>
      <c r="N28" s="43">
        <f t="shared" si="4"/>
        <v>-45716.131317637861</v>
      </c>
      <c r="O28" s="43">
        <f t="shared" si="4"/>
        <v>-62438.876575090486</v>
      </c>
      <c r="P28" s="43">
        <f t="shared" si="4"/>
        <v>-79160.415194275818</v>
      </c>
    </row>
    <row r="29" spans="3:17" x14ac:dyDescent="0.35">
      <c r="D29" s="3" t="str">
        <f t="shared" si="3"/>
        <v>% realisation</v>
      </c>
      <c r="E29" s="9">
        <f t="shared" ref="E29:P29" si="5">E27/E26</f>
        <v>0.91248313895496025</v>
      </c>
      <c r="F29" s="9">
        <f t="shared" si="5"/>
        <v>0.88545125140105208</v>
      </c>
      <c r="G29" s="9">
        <f t="shared" si="5"/>
        <v>0.87913281206057114</v>
      </c>
      <c r="H29" s="9">
        <f t="shared" si="5"/>
        <v>0.89496458067136087</v>
      </c>
      <c r="I29" s="9">
        <f t="shared" si="5"/>
        <v>0.87843404189789587</v>
      </c>
      <c r="J29" s="9">
        <f t="shared" si="5"/>
        <v>0.85055060880962596</v>
      </c>
      <c r="K29" s="9">
        <f t="shared" si="5"/>
        <v>0.91387995334985628</v>
      </c>
      <c r="L29" s="9">
        <f t="shared" si="5"/>
        <v>0.90835151641496803</v>
      </c>
      <c r="M29" s="9">
        <f t="shared" si="5"/>
        <v>0.80745463524849725</v>
      </c>
      <c r="N29" s="9">
        <f t="shared" si="5"/>
        <v>0.72673690841214034</v>
      </c>
      <c r="O29" s="9">
        <f t="shared" si="5"/>
        <v>0.66069493286714653</v>
      </c>
      <c r="P29" s="9">
        <f t="shared" si="5"/>
        <v>0.60565977320791009</v>
      </c>
    </row>
    <row r="30" spans="3:17" x14ac:dyDescent="0.35">
      <c r="D30" s="3" t="str">
        <f t="shared" si="3"/>
        <v>Actual 2024/25</v>
      </c>
      <c r="E30" s="43">
        <f>SUM($E23:E23)</f>
        <v>13873</v>
      </c>
      <c r="F30" s="43">
        <f>SUM($E23:F23)</f>
        <v>32341</v>
      </c>
      <c r="G30" s="43">
        <f>SUM($E23:G23)</f>
        <v>48344</v>
      </c>
      <c r="H30" s="43">
        <f>SUM($E23:H23)</f>
        <v>65769</v>
      </c>
      <c r="I30" s="43">
        <f>SUM($E23:I23)</f>
        <v>82353</v>
      </c>
      <c r="J30" s="43">
        <f>SUM($E23:J23)</f>
        <v>93842</v>
      </c>
      <c r="K30" s="43">
        <f>SUM($E23:K23)</f>
        <v>115624</v>
      </c>
      <c r="L30" s="43">
        <f>SUM($E23:L23)</f>
        <v>130612</v>
      </c>
      <c r="M30" s="43">
        <f>SUM($E23:M23)</f>
        <v>148908</v>
      </c>
      <c r="N30" s="43">
        <f>SUM($E23:N23)</f>
        <v>163407</v>
      </c>
      <c r="O30" s="43">
        <f>SUM($E23:O23)</f>
        <v>177408</v>
      </c>
      <c r="P30" s="43">
        <f>SUM($E23:P23)</f>
        <v>192944</v>
      </c>
    </row>
  </sheetData>
  <sheetProtection algorithmName="SHA-512" hashValue="hBH3bPZsPWsuHJneqpX5VHy2ypF7Eztcv035oPebHRKZUoOttP1eKSRf7a8WqOyjHAjiH/uyxQUXuz2I4XXe3g==" saltValue="mTDXHOAZAPr8ks1IrWP2gQ==" spinCount="100000" sheet="1" objects="1" scenarios="1"/>
  <mergeCells count="3">
    <mergeCell ref="C1:F1"/>
    <mergeCell ref="J4:Q8"/>
    <mergeCell ref="J10:Q15"/>
  </mergeCells>
  <conditionalFormatting sqref="C3">
    <cfRule type="expression" dxfId="116" priority="2">
      <formula>S4&lt;S6</formula>
    </cfRule>
  </conditionalFormatting>
  <conditionalFormatting sqref="C4">
    <cfRule type="expression" dxfId="115" priority="1">
      <formula>AND(S4&gt;=S6,S4&lt;S5)</formula>
    </cfRule>
  </conditionalFormatting>
  <conditionalFormatting sqref="C5">
    <cfRule type="expression" dxfId="114" priority="3">
      <formula>S4&gt;=S5</formula>
    </cfRule>
  </conditionalFormatting>
  <hyperlinks>
    <hyperlink ref="L1" location="'Distribution Dashboard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31105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57150</xdr:rowOff>
                  </from>
                  <to>
                    <xdr:col>9</xdr:col>
                    <xdr:colOff>628650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S30"/>
  <sheetViews>
    <sheetView zoomScale="90" zoomScaleNormal="90" zoomScalePageLayoutView="90" workbookViewId="0">
      <pane ySplit="2" topLeftCell="A3" activePane="bottomLeft" state="frozen"/>
      <selection activeCell="D26" sqref="D26:D30"/>
      <selection pane="bottomLeft" activeCell="I2" sqref="I2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>
        <v>110</v>
      </c>
      <c r="C1" s="124" t="s">
        <v>59</v>
      </c>
      <c r="D1" s="124"/>
      <c r="E1" s="124"/>
      <c r="F1" s="124"/>
      <c r="G1" s="3" t="s">
        <v>10</v>
      </c>
      <c r="I1" s="12" cm="1">
        <f t="array" ref="I1">INDEX(E18:P18,Actual_month)</f>
        <v>46054</v>
      </c>
      <c r="L1" s="15" t="s">
        <v>21</v>
      </c>
      <c r="R1" s="5"/>
    </row>
    <row r="2" spans="1:19" x14ac:dyDescent="0.35">
      <c r="A2" s="3" t="s">
        <v>14</v>
      </c>
      <c r="C2" s="3" t="s">
        <v>15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 t="e">
        <f>INDEX(#REF!,Actual_month)</f>
        <v>#REF!</v>
      </c>
      <c r="K4" s="135"/>
      <c r="L4" s="135"/>
      <c r="M4" s="135"/>
      <c r="N4" s="135"/>
      <c r="O4" s="135"/>
      <c r="P4" s="135"/>
      <c r="Q4" s="136"/>
      <c r="R4" s="3" t="s">
        <v>25</v>
      </c>
      <c r="S4" s="43">
        <f>INDEX(E27:P27,Actual_month)</f>
        <v>97037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43">
        <f>INDEX(E26:P26,Actual_month)</f>
        <v>110287.71152387623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0.9</v>
      </c>
      <c r="S6" s="43">
        <f>+S5*R6</f>
        <v>99258.940371488614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43">
        <f>Budget2526!D64</f>
        <v>13490.984942516672</v>
      </c>
      <c r="F19" s="43">
        <f>Budget2526!E64</f>
        <v>13575.264656221774</v>
      </c>
      <c r="G19" s="43">
        <f>Budget2526!F64</f>
        <v>13659.544369926876</v>
      </c>
      <c r="H19" s="43">
        <f>Budget2526!G64</f>
        <v>13743.824083631978</v>
      </c>
      <c r="I19" s="43">
        <f>Budget2526!H64</f>
        <v>13828.10379733708</v>
      </c>
      <c r="J19" s="43">
        <f>Budget2526!I64</f>
        <v>13912.383511042179</v>
      </c>
      <c r="K19" s="43">
        <f>Budget2526!J64</f>
        <v>13996.663224747281</v>
      </c>
      <c r="L19" s="43">
        <f>Budget2526!K64</f>
        <v>14080.942938452383</v>
      </c>
      <c r="M19" s="43">
        <f>Budget2526!L64</f>
        <v>14165.222652157485</v>
      </c>
      <c r="N19" s="43">
        <f>Budget2526!M64</f>
        <v>14249.502365862587</v>
      </c>
      <c r="O19" s="43">
        <f>Budget2526!N64</f>
        <v>14333.782079567689</v>
      </c>
      <c r="P19" s="43">
        <f>Budget2526!O64</f>
        <v>14418.061793272787</v>
      </c>
      <c r="Q19" s="5"/>
    </row>
    <row r="20" spans="3:17" x14ac:dyDescent="0.35">
      <c r="D20" s="3" t="str">
        <f>'KPI 100'!D20</f>
        <v>Actual 2025/26</v>
      </c>
      <c r="E20" s="43">
        <f>Actuals2526!D64</f>
        <v>10344</v>
      </c>
      <c r="F20" s="43">
        <f>Actuals2526!E64</f>
        <v>12199</v>
      </c>
      <c r="G20" s="43">
        <f>Actuals2526!F64</f>
        <v>12554</v>
      </c>
      <c r="H20" s="43">
        <f>Actuals2526!G64</f>
        <v>12843</v>
      </c>
      <c r="I20" s="43">
        <f>Actuals2526!H64</f>
        <v>10930</v>
      </c>
      <c r="J20" s="43">
        <f>Actuals2526!I64</f>
        <v>9805</v>
      </c>
      <c r="K20" s="43">
        <f>Actuals2526!J64</f>
        <v>16301</v>
      </c>
      <c r="L20" s="43">
        <f>Actuals2526!K64</f>
        <v>12061</v>
      </c>
      <c r="M20" s="43">
        <f>Actuals2526!L64</f>
        <v>0</v>
      </c>
      <c r="N20" s="43">
        <f>Actuals2526!M64</f>
        <v>0</v>
      </c>
      <c r="O20" s="43">
        <f>Actuals2526!N64</f>
        <v>0</v>
      </c>
      <c r="P20" s="43">
        <f>Actuals2526!O64</f>
        <v>0</v>
      </c>
      <c r="Q20" s="5"/>
    </row>
    <row r="21" spans="3:17" x14ac:dyDescent="0.35">
      <c r="D21" s="3" t="str">
        <f>'KPI 100'!D21</f>
        <v>Difference</v>
      </c>
      <c r="E21" s="43">
        <f>IF(E20=0,0,E20-E19)</f>
        <v>-3146.9849425166722</v>
      </c>
      <c r="F21" s="43">
        <f t="shared" ref="F21:P21" si="0">IF(F20=0,0,F20-F19)</f>
        <v>-1376.2646562217742</v>
      </c>
      <c r="G21" s="43">
        <f t="shared" si="0"/>
        <v>-1105.5443699268762</v>
      </c>
      <c r="H21" s="43">
        <f t="shared" si="0"/>
        <v>-900.82408363197828</v>
      </c>
      <c r="I21" s="43">
        <f t="shared" si="0"/>
        <v>-2898.1037973370803</v>
      </c>
      <c r="J21" s="43">
        <f t="shared" si="0"/>
        <v>-4107.3835110421787</v>
      </c>
      <c r="K21" s="43">
        <f t="shared" si="0"/>
        <v>2304.3367752527192</v>
      </c>
      <c r="L21" s="43">
        <f t="shared" si="0"/>
        <v>-2019.9429384523828</v>
      </c>
      <c r="M21" s="43">
        <f t="shared" si="0"/>
        <v>0</v>
      </c>
      <c r="N21" s="43">
        <f t="shared" si="0"/>
        <v>0</v>
      </c>
      <c r="O21" s="43">
        <f t="shared" si="0"/>
        <v>0</v>
      </c>
      <c r="P21" s="43">
        <f t="shared" si="0"/>
        <v>0</v>
      </c>
      <c r="Q21" s="5"/>
    </row>
    <row r="22" spans="3:17" x14ac:dyDescent="0.35">
      <c r="D22" s="3" t="str">
        <f>'KPI 100'!D22</f>
        <v>% realisation</v>
      </c>
      <c r="E22" s="9">
        <f>E20/E19</f>
        <v>0.76673423356963444</v>
      </c>
      <c r="F22" s="9">
        <f t="shared" ref="F22:P22" si="1">F20/F19</f>
        <v>0.89861968137829207</v>
      </c>
      <c r="G22" s="9">
        <f t="shared" si="1"/>
        <v>0.91906433040615432</v>
      </c>
      <c r="H22" s="9">
        <f t="shared" si="1"/>
        <v>0.9344560816443509</v>
      </c>
      <c r="I22" s="9">
        <f t="shared" si="1"/>
        <v>0.79041929104587882</v>
      </c>
      <c r="J22" s="9">
        <f t="shared" si="1"/>
        <v>0.70476780576224252</v>
      </c>
      <c r="K22" s="9">
        <f t="shared" si="1"/>
        <v>1.1646347231659084</v>
      </c>
      <c r="L22" s="9">
        <f t="shared" si="1"/>
        <v>0.856547750581653</v>
      </c>
      <c r="M22" s="9">
        <f t="shared" si="1"/>
        <v>0</v>
      </c>
      <c r="N22" s="9">
        <f t="shared" si="1"/>
        <v>0</v>
      </c>
      <c r="O22" s="9">
        <f t="shared" si="1"/>
        <v>0</v>
      </c>
      <c r="P22" s="9">
        <f t="shared" si="1"/>
        <v>0</v>
      </c>
    </row>
    <row r="23" spans="3:17" x14ac:dyDescent="0.35">
      <c r="D23" s="3" t="str">
        <f>'KPI 100'!D23</f>
        <v>Actual 2024/25</v>
      </c>
      <c r="E23" s="5">
        <f>Actuals2425!D64</f>
        <v>10925</v>
      </c>
      <c r="F23" s="5">
        <f>Actuals2425!E64</f>
        <v>14744</v>
      </c>
      <c r="G23" s="5">
        <f>Actuals2425!F64</f>
        <v>12771</v>
      </c>
      <c r="H23" s="5">
        <f>Actuals2425!G64</f>
        <v>12933</v>
      </c>
      <c r="I23" s="5">
        <f>Actuals2425!H64</f>
        <v>14236</v>
      </c>
      <c r="J23" s="5">
        <f>Actuals2425!I64</f>
        <v>9726</v>
      </c>
      <c r="K23" s="5">
        <f>Actuals2425!J64</f>
        <v>16508</v>
      </c>
      <c r="L23" s="5">
        <f>Actuals2425!K64</f>
        <v>13532</v>
      </c>
      <c r="M23" s="5">
        <f>Actuals2425!L64</f>
        <v>15434</v>
      </c>
      <c r="N23" s="5">
        <f>Actuals2425!M64</f>
        <v>11461</v>
      </c>
      <c r="O23" s="5">
        <f>Actuals2425!N64</f>
        <v>12714</v>
      </c>
      <c r="P23" s="5">
        <f>Actuals2425!O64</f>
        <v>13254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  <c r="Q25" s="11" t="str">
        <f t="shared" ref="Q25" si="3">Q18</f>
        <v>Total</v>
      </c>
    </row>
    <row r="26" spans="3:17" x14ac:dyDescent="0.35">
      <c r="D26" s="3" t="str">
        <f>D19</f>
        <v>Budget 2025/26</v>
      </c>
      <c r="E26" s="43">
        <f>SUM($E19:E19)</f>
        <v>13490.984942516672</v>
      </c>
      <c r="F26" s="43">
        <f>SUM($E19:F19)</f>
        <v>27066.249598738446</v>
      </c>
      <c r="G26" s="43">
        <f>SUM($E19:G19)</f>
        <v>40725.793968665326</v>
      </c>
      <c r="H26" s="43">
        <f>SUM($E19:H19)</f>
        <v>54469.618052297301</v>
      </c>
      <c r="I26" s="43">
        <f>SUM($E19:I19)</f>
        <v>68297.721849634385</v>
      </c>
      <c r="J26" s="43">
        <f>SUM($E19:J19)</f>
        <v>82210.105360676564</v>
      </c>
      <c r="K26" s="43">
        <f>SUM($E19:K19)</f>
        <v>96206.768585423852</v>
      </c>
      <c r="L26" s="43">
        <f>SUM($E19:L19)</f>
        <v>110287.71152387623</v>
      </c>
      <c r="M26" s="43">
        <f>SUM($E19:M19)</f>
        <v>124452.93417603371</v>
      </c>
      <c r="N26" s="43">
        <f>SUM($E19:N19)</f>
        <v>138702.43654189631</v>
      </c>
      <c r="O26" s="43">
        <f>SUM($E19:O19)</f>
        <v>153036.21862146401</v>
      </c>
      <c r="P26" s="43">
        <f>SUM($E19:P19)</f>
        <v>167454.2804147368</v>
      </c>
    </row>
    <row r="27" spans="3:17" x14ac:dyDescent="0.35">
      <c r="D27" s="3" t="str">
        <f t="shared" ref="D27:D30" si="4">D20</f>
        <v>Actual 2025/26</v>
      </c>
      <c r="E27" s="43">
        <f>SUM($E20:E20)</f>
        <v>10344</v>
      </c>
      <c r="F27" s="43">
        <f>SUM($E20:F20)</f>
        <v>22543</v>
      </c>
      <c r="G27" s="43">
        <f>SUM($E20:G20)</f>
        <v>35097</v>
      </c>
      <c r="H27" s="43">
        <f>SUM($E20:H20)</f>
        <v>47940</v>
      </c>
      <c r="I27" s="43">
        <f>SUM($E20:I20)</f>
        <v>58870</v>
      </c>
      <c r="J27" s="43">
        <f>SUM($E20:J20)</f>
        <v>68675</v>
      </c>
      <c r="K27" s="43">
        <f>SUM($E20:K20)</f>
        <v>84976</v>
      </c>
      <c r="L27" s="43">
        <f>SUM($E20:L20)</f>
        <v>97037</v>
      </c>
      <c r="M27" s="43">
        <f>SUM($E20:M20)</f>
        <v>97037</v>
      </c>
      <c r="N27" s="43">
        <f>SUM($E20:N20)</f>
        <v>97037</v>
      </c>
      <c r="O27" s="43">
        <f>SUM($E20:O20)</f>
        <v>97037</v>
      </c>
      <c r="P27" s="43">
        <f>SUM($E20:P20)</f>
        <v>97037</v>
      </c>
    </row>
    <row r="28" spans="3:17" x14ac:dyDescent="0.35">
      <c r="D28" s="3" t="str">
        <f t="shared" si="4"/>
        <v>Difference</v>
      </c>
      <c r="E28" s="43">
        <f>IF(E27=0,0,E27-E26)</f>
        <v>-3146.9849425166722</v>
      </c>
      <c r="F28" s="43">
        <f t="shared" ref="F28:P28" si="5">IF(F27=0,0,F27-F26)</f>
        <v>-4523.2495987384464</v>
      </c>
      <c r="G28" s="43">
        <f t="shared" si="5"/>
        <v>-5628.7939686653262</v>
      </c>
      <c r="H28" s="43">
        <f t="shared" si="5"/>
        <v>-6529.6180522973009</v>
      </c>
      <c r="I28" s="43">
        <f t="shared" si="5"/>
        <v>-9427.7218496343849</v>
      </c>
      <c r="J28" s="43">
        <f t="shared" si="5"/>
        <v>-13535.105360676564</v>
      </c>
      <c r="K28" s="43">
        <f t="shared" si="5"/>
        <v>-11230.768585423852</v>
      </c>
      <c r="L28" s="43">
        <f t="shared" si="5"/>
        <v>-13250.711523876234</v>
      </c>
      <c r="M28" s="43">
        <f t="shared" si="5"/>
        <v>-27415.934176033712</v>
      </c>
      <c r="N28" s="43">
        <f t="shared" si="5"/>
        <v>-41665.436541896313</v>
      </c>
      <c r="O28" s="43">
        <f t="shared" si="5"/>
        <v>-55999.21862146401</v>
      </c>
      <c r="P28" s="43">
        <f t="shared" si="5"/>
        <v>-70417.280414736801</v>
      </c>
    </row>
    <row r="29" spans="3:17" x14ac:dyDescent="0.35">
      <c r="D29" s="3" t="str">
        <f t="shared" si="4"/>
        <v>% realisation</v>
      </c>
      <c r="E29" s="9">
        <f t="shared" ref="E29:P29" si="6">E27/E26</f>
        <v>0.76673423356963444</v>
      </c>
      <c r="F29" s="9">
        <f t="shared" si="6"/>
        <v>0.83288229193935781</v>
      </c>
      <c r="G29" s="9">
        <f t="shared" si="6"/>
        <v>0.86178798692061953</v>
      </c>
      <c r="H29" s="9">
        <f t="shared" si="6"/>
        <v>0.88012366736208625</v>
      </c>
      <c r="I29" s="9">
        <f t="shared" si="6"/>
        <v>0.86196140084451656</v>
      </c>
      <c r="J29" s="9">
        <f t="shared" si="6"/>
        <v>0.83535959111967284</v>
      </c>
      <c r="K29" s="9">
        <f t="shared" si="6"/>
        <v>0.88326425728090185</v>
      </c>
      <c r="L29" s="9">
        <f t="shared" si="6"/>
        <v>0.87985323713052488</v>
      </c>
      <c r="M29" s="9">
        <f t="shared" si="6"/>
        <v>0.77970841461033802</v>
      </c>
      <c r="N29" s="9">
        <f t="shared" si="6"/>
        <v>0.69960559035088832</v>
      </c>
      <c r="O29" s="9">
        <f t="shared" si="6"/>
        <v>0.63407865715776468</v>
      </c>
      <c r="P29" s="9">
        <f t="shared" si="6"/>
        <v>0.5794835447601987</v>
      </c>
    </row>
    <row r="30" spans="3:17" x14ac:dyDescent="0.35">
      <c r="D30" s="3" t="str">
        <f t="shared" si="4"/>
        <v>Actual 2024/25</v>
      </c>
      <c r="E30" s="43">
        <f>SUM($E23:E23)</f>
        <v>10925</v>
      </c>
      <c r="F30" s="43">
        <f>SUM($E23:F23)</f>
        <v>25669</v>
      </c>
      <c r="G30" s="43">
        <f>SUM($E23:G23)</f>
        <v>38440</v>
      </c>
      <c r="H30" s="43">
        <f>SUM($E23:H23)</f>
        <v>51373</v>
      </c>
      <c r="I30" s="43">
        <f>SUM($E23:I23)</f>
        <v>65609</v>
      </c>
      <c r="J30" s="43">
        <f>SUM($E23:J23)</f>
        <v>75335</v>
      </c>
      <c r="K30" s="43">
        <f>SUM($E23:K23)</f>
        <v>91843</v>
      </c>
      <c r="L30" s="43">
        <f>SUM($E23:L23)</f>
        <v>105375</v>
      </c>
      <c r="M30" s="43">
        <f>SUM($E23:M23)</f>
        <v>120809</v>
      </c>
      <c r="N30" s="43">
        <f>SUM($E23:N23)</f>
        <v>132270</v>
      </c>
      <c r="O30" s="43">
        <f>SUM($E23:O23)</f>
        <v>144984</v>
      </c>
      <c r="P30" s="43">
        <f>SUM($E23:P23)</f>
        <v>158238</v>
      </c>
    </row>
  </sheetData>
  <sheetProtection algorithmName="SHA-512" hashValue="hcACp+6jzSw9K1JT6mf5KtaDpMos1FU474YHH5vTnu1ZxLsmpWv0wTD2/0YV4Q7Q4cgYSPxmwnSog8Q5bXYTwg==" saltValue="zu/OvkH6+QJbzfzBhh2big==" spinCount="100000" sheet="1" objects="1" scenarios="1"/>
  <mergeCells count="3">
    <mergeCell ref="C1:F1"/>
    <mergeCell ref="J4:Q8"/>
    <mergeCell ref="J10:Q15"/>
  </mergeCells>
  <conditionalFormatting sqref="C3">
    <cfRule type="expression" dxfId="113" priority="2">
      <formula>S4&lt;S6</formula>
    </cfRule>
  </conditionalFormatting>
  <conditionalFormatting sqref="C4">
    <cfRule type="expression" dxfId="112" priority="1">
      <formula>AND(S4&gt;=S6,S4&lt;S5)</formula>
    </cfRule>
  </conditionalFormatting>
  <conditionalFormatting sqref="C5">
    <cfRule type="expression" dxfId="111" priority="3">
      <formula>S4&gt;=S5</formula>
    </cfRule>
  </conditionalFormatting>
  <hyperlinks>
    <hyperlink ref="L1" location="'Distribution Dashboard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38273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57150</xdr:rowOff>
                  </from>
                  <to>
                    <xdr:col>9</xdr:col>
                    <xdr:colOff>628650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S30"/>
  <sheetViews>
    <sheetView zoomScale="90" zoomScaleNormal="90" zoomScalePageLayoutView="90" workbookViewId="0">
      <pane ySplit="2" topLeftCell="A3" activePane="bottomLeft" state="frozen"/>
      <selection activeCell="D26" sqref="D26:D30"/>
      <selection pane="bottomLeft"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>
        <v>124</v>
      </c>
      <c r="C1" s="124" t="s">
        <v>68</v>
      </c>
      <c r="D1" s="124"/>
      <c r="E1" s="124"/>
      <c r="F1" s="124"/>
      <c r="G1" s="3" t="s">
        <v>10</v>
      </c>
      <c r="I1" s="12">
        <f>INDEX(E$18:P$18,Actual_month)</f>
        <v>46054</v>
      </c>
      <c r="L1" s="15" t="s">
        <v>21</v>
      </c>
      <c r="R1" s="5"/>
    </row>
    <row r="2" spans="1:19" x14ac:dyDescent="0.35">
      <c r="A2" s="3" t="s">
        <v>14</v>
      </c>
      <c r="C2" s="3" t="s">
        <v>1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/>
      <c r="K4" s="135"/>
      <c r="L4" s="135"/>
      <c r="M4" s="135"/>
      <c r="N4" s="135"/>
      <c r="O4" s="135"/>
      <c r="P4" s="135"/>
      <c r="Q4" s="136"/>
      <c r="R4" s="3" t="s">
        <v>25</v>
      </c>
      <c r="S4" s="9">
        <f>INDEX(E27:P27,Actual_month)</f>
        <v>0.20187364802066113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9">
        <f>INDEX(E26:P26,Actual_month)</f>
        <v>0.17602248702799353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1.1000000000000001</v>
      </c>
      <c r="S6" s="9">
        <f>+S5*R6</f>
        <v>0.19362473573079289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9">
        <f>Budget2526!D65</f>
        <v>0.19387752681934928</v>
      </c>
      <c r="F19" s="9">
        <f>Budget2526!E65</f>
        <v>0.18877548584985135</v>
      </c>
      <c r="G19" s="9">
        <f>Budget2526!F65</f>
        <v>0.18367344488035361</v>
      </c>
      <c r="H19" s="9">
        <f>Budget2526!G65</f>
        <v>0.17857140391085607</v>
      </c>
      <c r="I19" s="9">
        <f>Budget2526!H65</f>
        <v>0.17346936294135809</v>
      </c>
      <c r="J19" s="9">
        <f>Budget2526!I65</f>
        <v>0.16836732197186025</v>
      </c>
      <c r="K19" s="9">
        <f>Budget2526!J65</f>
        <v>0.16326528100236259</v>
      </c>
      <c r="L19" s="9">
        <f>Budget2526!K65</f>
        <v>0.1581632400328648</v>
      </c>
      <c r="M19" s="9">
        <f>Budget2526!L65</f>
        <v>0.15306119906336677</v>
      </c>
      <c r="N19" s="9">
        <f>Budget2526!M65</f>
        <v>0.1479591580938692</v>
      </c>
      <c r="O19" s="9">
        <f>Budget2526!N65</f>
        <v>0.14285711712437141</v>
      </c>
      <c r="P19" s="9">
        <f>Budget2526!O65</f>
        <v>0.13775507615487362</v>
      </c>
      <c r="Q19" s="5"/>
    </row>
    <row r="20" spans="3:17" x14ac:dyDescent="0.35">
      <c r="D20" s="3" t="str">
        <f>'KPI 100'!D20</f>
        <v>Actual 2025/26</v>
      </c>
      <c r="E20" s="9">
        <f>Actuals2526!D65</f>
        <v>0.32263767926134501</v>
      </c>
      <c r="F20" s="9">
        <f>Actuals2526!E65</f>
        <v>0.15078315349808563</v>
      </c>
      <c r="G20" s="9">
        <f>Actuals2526!F65</f>
        <v>0.13414718256431479</v>
      </c>
      <c r="H20" s="9">
        <f>Actuals2526!G65</f>
        <v>0.18555393493563321</v>
      </c>
      <c r="I20" s="9">
        <f>Actuals2526!H65</f>
        <v>0.19573215599705665</v>
      </c>
      <c r="J20" s="9">
        <f>Actuals2526!I65</f>
        <v>0.17577336919973099</v>
      </c>
      <c r="K20" s="9">
        <f>Actuals2526!J65</f>
        <v>0.24689304689304689</v>
      </c>
      <c r="L20" s="9">
        <f>Actuals2526!K65</f>
        <v>0.17083734359961503</v>
      </c>
      <c r="M20" s="9" t="e">
        <f>Actuals2526!L65</f>
        <v>#DIV/0!</v>
      </c>
      <c r="N20" s="9" t="e">
        <f>Actuals2526!M65</f>
        <v>#DIV/0!</v>
      </c>
      <c r="O20" s="9" t="e">
        <f>Actuals2526!N65</f>
        <v>#DIV/0!</v>
      </c>
      <c r="P20" s="9" t="e">
        <f>Actuals2526!O65</f>
        <v>#DIV/0!</v>
      </c>
      <c r="Q20" s="5"/>
    </row>
    <row r="21" spans="3:17" x14ac:dyDescent="0.35">
      <c r="D21" s="3" t="str">
        <f>'KPI 100'!D21</f>
        <v>Difference</v>
      </c>
      <c r="E21" s="9">
        <f>IF(E20=0,0,E20-E19)</f>
        <v>0.12876015244199573</v>
      </c>
      <c r="F21" s="9">
        <f t="shared" ref="F21:P21" si="0">IF(F20=0,0,F20-F19)</f>
        <v>-3.7992332351765717E-2</v>
      </c>
      <c r="G21" s="9">
        <f t="shared" si="0"/>
        <v>-4.9526262316038822E-2</v>
      </c>
      <c r="H21" s="9">
        <f t="shared" si="0"/>
        <v>6.9825310247771388E-3</v>
      </c>
      <c r="I21" s="9">
        <f t="shared" si="0"/>
        <v>2.226279305569856E-2</v>
      </c>
      <c r="J21" s="9">
        <f t="shared" si="0"/>
        <v>7.406047227870749E-3</v>
      </c>
      <c r="K21" s="9">
        <f t="shared" si="0"/>
        <v>8.3627765890684297E-2</v>
      </c>
      <c r="L21" s="9">
        <f t="shared" si="0"/>
        <v>1.2674103566750222E-2</v>
      </c>
      <c r="M21" s="9" t="e">
        <f t="shared" si="0"/>
        <v>#DIV/0!</v>
      </c>
      <c r="N21" s="9" t="e">
        <f t="shared" si="0"/>
        <v>#DIV/0!</v>
      </c>
      <c r="O21" s="9" t="e">
        <f t="shared" si="0"/>
        <v>#DIV/0!</v>
      </c>
      <c r="P21" s="9" t="e">
        <f t="shared" si="0"/>
        <v>#DIV/0!</v>
      </c>
      <c r="Q21" s="5"/>
    </row>
    <row r="22" spans="3:17" x14ac:dyDescent="0.35">
      <c r="D22" s="3" t="str">
        <f>'KPI 100'!D22</f>
        <v>% realisation</v>
      </c>
      <c r="E22" s="9">
        <f>E20/E19</f>
        <v>1.664131395496764</v>
      </c>
      <c r="F22" s="9">
        <f t="shared" ref="F22:P22" si="1">F20/F19</f>
        <v>0.79874329455052151</v>
      </c>
      <c r="G22" s="9">
        <f t="shared" si="1"/>
        <v>0.73035698030109564</v>
      </c>
      <c r="H22" s="9">
        <f t="shared" si="1"/>
        <v>1.0391021791387318</v>
      </c>
      <c r="I22" s="9">
        <f t="shared" si="1"/>
        <v>1.1283384724438319</v>
      </c>
      <c r="J22" s="9">
        <f t="shared" si="1"/>
        <v>1.0439874385429053</v>
      </c>
      <c r="K22" s="9">
        <f t="shared" si="1"/>
        <v>1.5122201448909038</v>
      </c>
      <c r="L22" s="9">
        <f t="shared" si="1"/>
        <v>1.0801330547105426</v>
      </c>
      <c r="M22" s="9" t="e">
        <f t="shared" si="1"/>
        <v>#DIV/0!</v>
      </c>
      <c r="N22" s="9" t="e">
        <f t="shared" si="1"/>
        <v>#DIV/0!</v>
      </c>
      <c r="O22" s="9" t="e">
        <f t="shared" si="1"/>
        <v>#DIV/0!</v>
      </c>
      <c r="P22" s="9" t="e">
        <f t="shared" si="1"/>
        <v>#DIV/0!</v>
      </c>
    </row>
    <row r="23" spans="3:17" x14ac:dyDescent="0.35">
      <c r="D23" s="3" t="str">
        <f>'KPI 100'!D23</f>
        <v>Actual 2024/25</v>
      </c>
      <c r="E23" s="9">
        <f>Actuals2425!D65</f>
        <v>0.21249909896922078</v>
      </c>
      <c r="F23" s="9">
        <f>Actuals2425!E65</f>
        <v>0.20164609053497942</v>
      </c>
      <c r="G23" s="9">
        <f>Actuals2425!F65</f>
        <v>0.2019621321002312</v>
      </c>
      <c r="H23" s="9">
        <f>Actuals2425!G65</f>
        <v>0.25779053084648496</v>
      </c>
      <c r="I23" s="9">
        <f>Actuals2425!H65</f>
        <v>0.14158224794983115</v>
      </c>
      <c r="J23" s="9">
        <f>Actuals2425!I65</f>
        <v>0.15345112716511447</v>
      </c>
      <c r="K23" s="9">
        <f>Actuals2425!J65</f>
        <v>0.24212652648976218</v>
      </c>
      <c r="L23" s="9">
        <f>Actuals2425!K65</f>
        <v>9.7144382172404592E-2</v>
      </c>
      <c r="M23" s="9">
        <f>Actuals2425!L65</f>
        <v>0.15642763445561872</v>
      </c>
      <c r="N23" s="9">
        <f>Actuals2425!M65</f>
        <v>0.2095316918408166</v>
      </c>
      <c r="O23" s="9">
        <f>Actuals2425!N65</f>
        <v>9.1922005571030641E-2</v>
      </c>
      <c r="P23" s="9">
        <f>Actuals2425!O65</f>
        <v>0.14688465499485068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9">
        <f>('KPI 103'!E26-'KPI 110'!E26)/'KPI 103'!E26</f>
        <v>0.19387752681934928</v>
      </c>
      <c r="F26" s="9">
        <f>('KPI 103'!F26-'KPI 110'!F26)/'KPI 103'!F26</f>
        <v>0.19132661027344505</v>
      </c>
      <c r="G26" s="9">
        <f>('KPI 103'!G26-'KPI 110'!G26)/'KPI 103'!G26</f>
        <v>0.18877576129891929</v>
      </c>
      <c r="H26" s="9">
        <f>('KPI 103'!H26-'KPI 110'!H26)/'KPI 103'!H26</f>
        <v>0.1862249786407679</v>
      </c>
      <c r="I26" s="9">
        <f>('KPI 103'!I26-'KPI 110'!I26)/'KPI 103'!I26</f>
        <v>0.18367426107175325</v>
      </c>
      <c r="J26" s="9">
        <f>('KPI 103'!J26-'KPI 110'!J26)/'KPI 103'!J26</f>
        <v>0.18112360739165073</v>
      </c>
      <c r="K26" s="9">
        <f>('KPI 103'!K26-'KPI 110'!K26)/'KPI 103'!K26</f>
        <v>0.17857301642651874</v>
      </c>
      <c r="L26" s="9">
        <f>('KPI 103'!L26-'KPI 110'!L26)/'KPI 103'!L26</f>
        <v>0.17602248702799353</v>
      </c>
      <c r="M26" s="9">
        <f>('KPI 103'!M26-'KPI 110'!M26)/'KPI 103'!M26</f>
        <v>0.17347201807260554</v>
      </c>
      <c r="N26" s="9">
        <f>('KPI 103'!N26-'KPI 110'!N26)/'KPI 103'!N26</f>
        <v>0.17092160846111804</v>
      </c>
      <c r="O26" s="9">
        <f>('KPI 103'!O26-'KPI 110'!O26)/'KPI 103'!O26</f>
        <v>0.16837125711788747</v>
      </c>
      <c r="P26" s="9">
        <f>('KPI 103'!P26-'KPI 110'!P26)/'KPI 103'!P26</f>
        <v>0.16582096299024301</v>
      </c>
    </row>
    <row r="27" spans="3:17" x14ac:dyDescent="0.35">
      <c r="D27" s="3" t="str">
        <f t="shared" ref="D27:D30" si="3">D20</f>
        <v>Actual 2025/26</v>
      </c>
      <c r="E27" s="9">
        <f>('KPI 103'!E27-'KPI 110'!E27)/'KPI 103'!E27</f>
        <v>0.32263767926134501</v>
      </c>
      <c r="F27" s="9">
        <f>('KPI 103'!F27-'KPI 110'!F27)/'KPI 103'!F27</f>
        <v>0.23933729248211635</v>
      </c>
      <c r="G27" s="9">
        <f>('KPI 103'!G27-'KPI 110'!G27)/'KPI 103'!G27</f>
        <v>0.20478078622408519</v>
      </c>
      <c r="H27" s="9">
        <f>('KPI 103'!H27-'KPI 110'!H27)/'KPI 103'!H27</f>
        <v>0.19971955128205129</v>
      </c>
      <c r="I27" s="9">
        <f>('KPI 103'!I27-'KPI 110'!I27)/'KPI 103'!I27</f>
        <v>0.19898222984189184</v>
      </c>
      <c r="J27" s="9">
        <f>('KPI 103'!J27-'KPI 110'!J27)/'KPI 103'!J27</f>
        <v>0.19574891673498068</v>
      </c>
      <c r="K27" s="9">
        <f>('KPI 103'!K27-'KPI 110'!K27)/'KPI 103'!K27</f>
        <v>0.20609146540851123</v>
      </c>
      <c r="L27" s="9">
        <f>('KPI 103'!L27-'KPI 110'!L27)/'KPI 103'!L27</f>
        <v>0.20187364802066113</v>
      </c>
      <c r="M27" s="9">
        <f>('KPI 103'!M27-'KPI 110'!M27)/'KPI 103'!M27</f>
        <v>0.20187364802066113</v>
      </c>
      <c r="N27" s="9">
        <f>('KPI 103'!N27-'KPI 110'!N27)/'KPI 103'!N27</f>
        <v>0.20187364802066113</v>
      </c>
      <c r="O27" s="9">
        <f>('KPI 103'!O27-'KPI 110'!O27)/'KPI 103'!O27</f>
        <v>0.20187364802066113</v>
      </c>
      <c r="P27" s="9">
        <f>('KPI 103'!P27-'KPI 110'!P27)/'KPI 103'!P27</f>
        <v>0.20187364802066113</v>
      </c>
    </row>
    <row r="28" spans="3:17" x14ac:dyDescent="0.35">
      <c r="D28" s="3" t="str">
        <f t="shared" si="3"/>
        <v>Difference</v>
      </c>
      <c r="E28" s="9">
        <f>IF(E27=0,0,E27-E26)</f>
        <v>0.12876015244199573</v>
      </c>
      <c r="F28" s="9">
        <f t="shared" ref="F28:P28" si="4">IF(F27=0,0,F27-F26)</f>
        <v>4.8010682208671301E-2</v>
      </c>
      <c r="G28" s="9">
        <f t="shared" si="4"/>
        <v>1.6005024925165895E-2</v>
      </c>
      <c r="H28" s="9">
        <f t="shared" si="4"/>
        <v>1.3494572641283398E-2</v>
      </c>
      <c r="I28" s="9">
        <f t="shared" si="4"/>
        <v>1.5307968770138597E-2</v>
      </c>
      <c r="J28" s="9">
        <f t="shared" si="4"/>
        <v>1.4625309343329951E-2</v>
      </c>
      <c r="K28" s="9">
        <f t="shared" si="4"/>
        <v>2.7518448981992488E-2</v>
      </c>
      <c r="L28" s="9">
        <f t="shared" si="4"/>
        <v>2.5851160992667599E-2</v>
      </c>
      <c r="M28" s="9">
        <f t="shared" si="4"/>
        <v>2.840162994805559E-2</v>
      </c>
      <c r="N28" s="9">
        <f t="shared" si="4"/>
        <v>3.0952039559543093E-2</v>
      </c>
      <c r="O28" s="9">
        <f t="shared" si="4"/>
        <v>3.3502390902773654E-2</v>
      </c>
      <c r="P28" s="9">
        <f t="shared" si="4"/>
        <v>3.6052685030418113E-2</v>
      </c>
    </row>
    <row r="29" spans="3:17" x14ac:dyDescent="0.35">
      <c r="D29" s="3" t="str">
        <f t="shared" si="3"/>
        <v>% realisation</v>
      </c>
      <c r="E29" s="9">
        <f t="shared" ref="E29:P29" si="5">E27/E26</f>
        <v>1.664131395496764</v>
      </c>
      <c r="F29" s="9">
        <f t="shared" si="5"/>
        <v>1.2509357278637518</v>
      </c>
      <c r="G29" s="9">
        <f t="shared" si="5"/>
        <v>1.0847832625070044</v>
      </c>
      <c r="H29" s="9">
        <f t="shared" si="5"/>
        <v>1.0724638162924145</v>
      </c>
      <c r="I29" s="9">
        <f t="shared" si="5"/>
        <v>1.0833430262945687</v>
      </c>
      <c r="J29" s="9">
        <f t="shared" si="5"/>
        <v>1.080747670355886</v>
      </c>
      <c r="K29" s="9">
        <f t="shared" si="5"/>
        <v>1.1541019440264431</v>
      </c>
      <c r="L29" s="9">
        <f t="shared" si="5"/>
        <v>1.1468628322957191</v>
      </c>
      <c r="M29" s="9">
        <f t="shared" si="5"/>
        <v>1.1637245606733433</v>
      </c>
      <c r="N29" s="9">
        <f t="shared" si="5"/>
        <v>1.1810890959792495</v>
      </c>
      <c r="O29" s="9">
        <f t="shared" si="5"/>
        <v>1.1989792763696983</v>
      </c>
      <c r="P29" s="9">
        <f t="shared" si="5"/>
        <v>1.2174193442148775</v>
      </c>
    </row>
    <row r="30" spans="3:17" x14ac:dyDescent="0.35">
      <c r="D30" s="3" t="str">
        <f t="shared" si="3"/>
        <v>Actual 2024/25</v>
      </c>
      <c r="E30" s="9">
        <f>('KPI 103'!E30-'KPI 110'!E30)/'KPI 103'!E30</f>
        <v>0.21249909896922078</v>
      </c>
      <c r="F30" s="9">
        <f>('KPI 103'!F30-'KPI 110'!F30)/'KPI 103'!F30</f>
        <v>0.20630159859002506</v>
      </c>
      <c r="G30" s="9">
        <f>('KPI 103'!G30-'KPI 110'!G30)/'KPI 103'!G30</f>
        <v>0.2048651332119808</v>
      </c>
      <c r="H30" s="9">
        <f>('KPI 103'!H30-'KPI 110'!H30)/'KPI 103'!H30</f>
        <v>0.2188873177332786</v>
      </c>
      <c r="I30" s="9">
        <f>('KPI 103'!I30-'KPI 110'!I30)/'KPI 103'!I30</f>
        <v>0.2033198547715323</v>
      </c>
      <c r="J30" s="9">
        <f>('KPI 103'!J30-'KPI 110'!J30)/'KPI 103'!J30</f>
        <v>0.19721446686984506</v>
      </c>
      <c r="K30" s="9">
        <f>('KPI 103'!K30-'KPI 110'!K30)/'KPI 103'!K30</f>
        <v>0.20567529232685255</v>
      </c>
      <c r="L30" s="9">
        <f>('KPI 103'!L30-'KPI 110'!L30)/'KPI 103'!L30</f>
        <v>0.19322114353964415</v>
      </c>
      <c r="M30" s="9">
        <f>('KPI 103'!M30-'KPI 110'!M30)/'KPI 103'!M30</f>
        <v>0.18870040561957718</v>
      </c>
      <c r="N30" s="9">
        <f>('KPI 103'!N30-'KPI 110'!N30)/'KPI 103'!N30</f>
        <v>0.19054875250142284</v>
      </c>
      <c r="O30" s="9">
        <f>('KPI 103'!O30-'KPI 110'!O30)/'KPI 103'!O30</f>
        <v>0.18276515151515152</v>
      </c>
      <c r="P30" s="9">
        <f>('KPI 103'!P30-'KPI 110'!P30)/'KPI 103'!P30</f>
        <v>0.17987602620449455</v>
      </c>
    </row>
  </sheetData>
  <sheetProtection algorithmName="SHA-512" hashValue="M3yR/wZVMx/r98tTTJbKSKQqOgKuiPpf1dVTB3TY1BX8vzMptjsIV/0dYJItGDnliQ3DAwF8fBQ4gaSrPBF+Nw==" saltValue="7Zbn6hOJVQ6BHOhOHcakIA==" spinCount="100000" sheet="1" objects="1" scenarios="1"/>
  <mergeCells count="3">
    <mergeCell ref="C1:F1"/>
    <mergeCell ref="J4:Q8"/>
    <mergeCell ref="J10:Q15"/>
  </mergeCells>
  <conditionalFormatting sqref="C3">
    <cfRule type="expression" dxfId="110" priority="2">
      <formula>S4&gt;S6</formula>
    </cfRule>
  </conditionalFormatting>
  <conditionalFormatting sqref="C4">
    <cfRule type="expression" dxfId="109" priority="1">
      <formula>AND(S4&gt;S5,S4&lt;=S6)</formula>
    </cfRule>
  </conditionalFormatting>
  <conditionalFormatting sqref="C5">
    <cfRule type="expression" dxfId="108" priority="3">
      <formula>S4&lt;=S5</formula>
    </cfRule>
  </conditionalFormatting>
  <hyperlinks>
    <hyperlink ref="L1" location="'Distribution Dashboard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54657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57150</xdr:rowOff>
                  </from>
                  <to>
                    <xdr:col>9</xdr:col>
                    <xdr:colOff>628650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S30"/>
  <sheetViews>
    <sheetView topLeftCell="E1" workbookViewId="0">
      <selection activeCell="I2" sqref="I2"/>
    </sheetView>
  </sheetViews>
  <sheetFormatPr defaultColWidth="9.1796875" defaultRowHeight="14.5" x14ac:dyDescent="0.35"/>
  <cols>
    <col min="1" max="1" width="9.1796875" style="3"/>
    <col min="2" max="2" width="7.2695312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 t="str">
        <f>'Distribution Dashboard'!A66</f>
        <v>105B</v>
      </c>
      <c r="C1" s="124" t="s">
        <v>198</v>
      </c>
      <c r="D1" s="124"/>
      <c r="E1" s="124"/>
      <c r="F1" s="124"/>
      <c r="G1" s="3" t="s">
        <v>10</v>
      </c>
      <c r="I1" s="12" cm="1">
        <f t="array" ref="I1">INDEX(E18:P18,Actual_month)</f>
        <v>46054</v>
      </c>
      <c r="L1" s="15" t="s">
        <v>21</v>
      </c>
      <c r="R1" s="5"/>
    </row>
    <row r="2" spans="1:19" x14ac:dyDescent="0.35">
      <c r="A2" s="3" t="s">
        <v>14</v>
      </c>
      <c r="C2" s="3" t="s">
        <v>15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25"/>
      <c r="K4" s="126"/>
      <c r="L4" s="126"/>
      <c r="M4" s="126"/>
      <c r="N4" s="126"/>
      <c r="O4" s="126"/>
      <c r="P4" s="126"/>
      <c r="Q4" s="127"/>
      <c r="R4" s="3" t="s">
        <v>25</v>
      </c>
      <c r="S4" s="43">
        <f>INDEX(E27:P27,Actual_month)</f>
        <v>50295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28"/>
      <c r="K5" s="129"/>
      <c r="L5" s="129"/>
      <c r="M5" s="129"/>
      <c r="N5" s="129"/>
      <c r="O5" s="129"/>
      <c r="P5" s="129"/>
      <c r="Q5" s="130"/>
      <c r="R5" s="3" t="s">
        <v>26</v>
      </c>
      <c r="S5" s="43">
        <f>INDEX(E26:P26,Actual_month)</f>
        <v>54323.533461093866</v>
      </c>
    </row>
    <row r="6" spans="1:19" x14ac:dyDescent="0.35">
      <c r="J6" s="128"/>
      <c r="K6" s="129"/>
      <c r="L6" s="129"/>
      <c r="M6" s="129"/>
      <c r="N6" s="129"/>
      <c r="O6" s="129"/>
      <c r="P6" s="129"/>
      <c r="Q6" s="130"/>
      <c r="R6" s="6">
        <v>0.9</v>
      </c>
      <c r="S6" s="43">
        <f>+S5*R6</f>
        <v>48891.180114984483</v>
      </c>
    </row>
    <row r="7" spans="1:19" x14ac:dyDescent="0.35">
      <c r="J7" s="128"/>
      <c r="K7" s="129"/>
      <c r="L7" s="129"/>
      <c r="M7" s="129"/>
      <c r="N7" s="129"/>
      <c r="O7" s="129"/>
      <c r="P7" s="129"/>
      <c r="Q7" s="130"/>
    </row>
    <row r="8" spans="1:19" ht="15" thickBot="1" x14ac:dyDescent="0.4">
      <c r="J8" s="131"/>
      <c r="K8" s="132"/>
      <c r="L8" s="132"/>
      <c r="M8" s="132"/>
      <c r="N8" s="132"/>
      <c r="O8" s="132"/>
      <c r="P8" s="132"/>
      <c r="Q8" s="133"/>
    </row>
    <row r="9" spans="1:19" ht="15" thickBot="1" x14ac:dyDescent="0.4">
      <c r="J9" s="3" t="s">
        <v>13</v>
      </c>
    </row>
    <row r="10" spans="1:19" x14ac:dyDescent="0.35">
      <c r="J10" s="125"/>
      <c r="K10" s="126"/>
      <c r="L10" s="126"/>
      <c r="M10" s="126"/>
      <c r="N10" s="126"/>
      <c r="O10" s="126"/>
      <c r="P10" s="126"/>
      <c r="Q10" s="127"/>
    </row>
    <row r="11" spans="1:19" x14ac:dyDescent="0.35">
      <c r="J11" s="128"/>
      <c r="K11" s="129"/>
      <c r="L11" s="129"/>
      <c r="M11" s="129"/>
      <c r="N11" s="129"/>
      <c r="O11" s="129"/>
      <c r="P11" s="129"/>
      <c r="Q11" s="130"/>
    </row>
    <row r="12" spans="1:19" x14ac:dyDescent="0.35">
      <c r="J12" s="128"/>
      <c r="K12" s="129"/>
      <c r="L12" s="129"/>
      <c r="M12" s="129"/>
      <c r="N12" s="129"/>
      <c r="O12" s="129"/>
      <c r="P12" s="129"/>
      <c r="Q12" s="130"/>
    </row>
    <row r="13" spans="1:19" x14ac:dyDescent="0.35">
      <c r="J13" s="128"/>
      <c r="K13" s="129"/>
      <c r="L13" s="129"/>
      <c r="M13" s="129"/>
      <c r="N13" s="129"/>
      <c r="O13" s="129"/>
      <c r="P13" s="129"/>
      <c r="Q13" s="130"/>
    </row>
    <row r="14" spans="1:19" x14ac:dyDescent="0.35">
      <c r="J14" s="128"/>
      <c r="K14" s="129"/>
      <c r="L14" s="129"/>
      <c r="M14" s="129"/>
      <c r="N14" s="129"/>
      <c r="O14" s="129"/>
      <c r="P14" s="129"/>
      <c r="Q14" s="130"/>
    </row>
    <row r="15" spans="1:19" ht="15" thickBot="1" x14ac:dyDescent="0.4">
      <c r="J15" s="131"/>
      <c r="K15" s="132"/>
      <c r="L15" s="132"/>
      <c r="M15" s="132"/>
      <c r="N15" s="132"/>
      <c r="O15" s="132"/>
      <c r="P15" s="132"/>
      <c r="Q15" s="133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43">
        <f>Budget2526!D75</f>
        <v>6727.3147103346892</v>
      </c>
      <c r="F19" s="43">
        <f>Budget2526!E75</f>
        <v>6745.851911587677</v>
      </c>
      <c r="G19" s="43">
        <f>Budget2526!F75</f>
        <v>6764.1321615361703</v>
      </c>
      <c r="H19" s="43">
        <f>Budget2526!G75</f>
        <v>6782.1607659593155</v>
      </c>
      <c r="I19" s="43">
        <f>Budget2526!H75</f>
        <v>6799.9428855563619</v>
      </c>
      <c r="J19" s="43">
        <f>Budget2526!I75</f>
        <v>6817.4835408717809</v>
      </c>
      <c r="K19" s="43">
        <f>Budget2526!J75</f>
        <v>6834.7876170210957</v>
      </c>
      <c r="L19" s="43">
        <f>Budget2526!K75</f>
        <v>6851.8598682267821</v>
      </c>
      <c r="M19" s="43">
        <f>Budget2526!L75</f>
        <v>6868.7049221730786</v>
      </c>
      <c r="N19" s="43">
        <f>Budget2526!M75</f>
        <v>6885.3272841880735</v>
      </c>
      <c r="O19" s="43">
        <f>Budget2526!N75</f>
        <v>6901.7313412610356</v>
      </c>
      <c r="P19" s="43">
        <f>Budget2526!O75</f>
        <v>6917.9213659024726</v>
      </c>
      <c r="Q19" s="5"/>
    </row>
    <row r="20" spans="3:17" x14ac:dyDescent="0.35">
      <c r="D20" s="3" t="str">
        <f>'KPI 100'!D20</f>
        <v>Actual 2025/26</v>
      </c>
      <c r="E20" s="43">
        <f>Actuals2526!D75</f>
        <v>5972</v>
      </c>
      <c r="F20" s="43">
        <f>Actuals2526!E75</f>
        <v>6247</v>
      </c>
      <c r="G20" s="43">
        <f>Actuals2526!F75</f>
        <v>6155</v>
      </c>
      <c r="H20" s="43">
        <f>Actuals2526!G75</f>
        <v>7067</v>
      </c>
      <c r="I20" s="43">
        <f>Actuals2526!H75</f>
        <v>5512</v>
      </c>
      <c r="J20" s="43">
        <f>Actuals2526!I75</f>
        <v>5035</v>
      </c>
      <c r="K20" s="43">
        <f>Actuals2526!J75</f>
        <v>7698</v>
      </c>
      <c r="L20" s="43">
        <f>Actuals2526!K75</f>
        <v>6609</v>
      </c>
      <c r="M20" s="43">
        <f>Actuals2526!L75</f>
        <v>0</v>
      </c>
      <c r="N20" s="43">
        <f>Actuals2526!M75</f>
        <v>0</v>
      </c>
      <c r="O20" s="43">
        <f>Actuals2526!N75</f>
        <v>0</v>
      </c>
      <c r="P20" s="43">
        <f>Actuals2526!O75</f>
        <v>0</v>
      </c>
      <c r="Q20" s="5"/>
    </row>
    <row r="21" spans="3:17" x14ac:dyDescent="0.35">
      <c r="D21" s="3" t="str">
        <f>'KPI 100'!D21</f>
        <v>Difference</v>
      </c>
      <c r="E21" s="43">
        <f>IF(E20=0,0,E20-E19)</f>
        <v>-755.31471033468915</v>
      </c>
      <c r="F21" s="43">
        <f t="shared" ref="F21:P21" si="0">IF(F20=0,0,F20-F19)</f>
        <v>-498.85191158767702</v>
      </c>
      <c r="G21" s="43">
        <f t="shared" si="0"/>
        <v>-609.13216153617032</v>
      </c>
      <c r="H21" s="43">
        <f t="shared" si="0"/>
        <v>284.83923404068446</v>
      </c>
      <c r="I21" s="43">
        <f t="shared" si="0"/>
        <v>-1287.9428855563619</v>
      </c>
      <c r="J21" s="43">
        <f t="shared" si="0"/>
        <v>-1782.4835408717809</v>
      </c>
      <c r="K21" s="43">
        <f t="shared" si="0"/>
        <v>863.21238297890432</v>
      </c>
      <c r="L21" s="43">
        <f t="shared" si="0"/>
        <v>-242.85986822678205</v>
      </c>
      <c r="M21" s="43">
        <f t="shared" si="0"/>
        <v>0</v>
      </c>
      <c r="N21" s="43">
        <f t="shared" si="0"/>
        <v>0</v>
      </c>
      <c r="O21" s="43">
        <f t="shared" si="0"/>
        <v>0</v>
      </c>
      <c r="P21" s="43">
        <f t="shared" si="0"/>
        <v>0</v>
      </c>
      <c r="Q21" s="5"/>
    </row>
    <row r="22" spans="3:17" x14ac:dyDescent="0.35">
      <c r="D22" s="3" t="str">
        <f>'KPI 100'!D22</f>
        <v>% realisation</v>
      </c>
      <c r="E22" s="9">
        <f>E20/E19</f>
        <v>0.88772418968680722</v>
      </c>
      <c r="F22" s="9">
        <f t="shared" ref="F22:P22" si="1">F20/F19</f>
        <v>0.92605056883463821</v>
      </c>
      <c r="G22" s="9">
        <f t="shared" si="1"/>
        <v>0.90994673862229314</v>
      </c>
      <c r="H22" s="9">
        <f t="shared" si="1"/>
        <v>1.0419983017020675</v>
      </c>
      <c r="I22" s="9">
        <f t="shared" si="1"/>
        <v>0.81059504363013712</v>
      </c>
      <c r="J22" s="9">
        <f t="shared" si="1"/>
        <v>0.73854230374220353</v>
      </c>
      <c r="K22" s="9">
        <f t="shared" si="1"/>
        <v>1.1262968846068009</v>
      </c>
      <c r="L22" s="9">
        <f t="shared" si="1"/>
        <v>0.96455562826774033</v>
      </c>
      <c r="M22" s="9">
        <f t="shared" si="1"/>
        <v>0</v>
      </c>
      <c r="N22" s="9">
        <f t="shared" si="1"/>
        <v>0</v>
      </c>
      <c r="O22" s="9">
        <f t="shared" si="1"/>
        <v>0</v>
      </c>
      <c r="P22" s="9">
        <f t="shared" si="1"/>
        <v>0</v>
      </c>
    </row>
    <row r="23" spans="3:17" x14ac:dyDescent="0.35">
      <c r="D23" s="3" t="str">
        <f>'KPI 100'!D23</f>
        <v>Actual 2024/25</v>
      </c>
      <c r="E23" s="5">
        <f>Actuals2425!D75</f>
        <v>0</v>
      </c>
      <c r="F23" s="5">
        <f>Actuals2425!E75</f>
        <v>6955</v>
      </c>
      <c r="G23" s="5">
        <f>Actuals2425!F75</f>
        <v>7549</v>
      </c>
      <c r="H23" s="5">
        <f>Actuals2425!G75</f>
        <v>5654</v>
      </c>
      <c r="I23" s="5">
        <f>Actuals2425!H75</f>
        <v>7075</v>
      </c>
      <c r="J23" s="5">
        <f>Actuals2425!I75</f>
        <v>4427</v>
      </c>
      <c r="K23" s="5">
        <f>Actuals2425!J75</f>
        <v>8912</v>
      </c>
      <c r="L23" s="5">
        <f>Actuals2425!K75</f>
        <v>6739</v>
      </c>
      <c r="M23" s="5">
        <f>Actuals2425!L75</f>
        <v>7383</v>
      </c>
      <c r="N23" s="5">
        <f>Actuals2425!M75</f>
        <v>5172</v>
      </c>
      <c r="O23" s="5">
        <f>Actuals2425!N75</f>
        <v>5790</v>
      </c>
      <c r="P23" s="5">
        <f>Actuals2425!O75</f>
        <v>7204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43">
        <f>SUM($E19:E19)</f>
        <v>6727.3147103346892</v>
      </c>
      <c r="F26" s="43">
        <f>SUM($E19:F19)</f>
        <v>13473.166621922366</v>
      </c>
      <c r="G26" s="43">
        <f>SUM($E19:G19)</f>
        <v>20237.298783458536</v>
      </c>
      <c r="H26" s="43">
        <f>SUM($E19:H19)</f>
        <v>27019.45954941785</v>
      </c>
      <c r="I26" s="43">
        <f>SUM($E19:I19)</f>
        <v>33819.40243497421</v>
      </c>
      <c r="J26" s="43">
        <f>SUM($E19:J19)</f>
        <v>40636.885975845988</v>
      </c>
      <c r="K26" s="43">
        <f>SUM($E19:K19)</f>
        <v>47471.673592867082</v>
      </c>
      <c r="L26" s="43">
        <f>SUM($E19:L19)</f>
        <v>54323.533461093866</v>
      </c>
      <c r="M26" s="43">
        <f>SUM($E19:M19)</f>
        <v>61192.238383266944</v>
      </c>
      <c r="N26" s="43">
        <f>SUM($E19:N19)</f>
        <v>68077.565667455012</v>
      </c>
      <c r="O26" s="43">
        <f>SUM($E19:O19)</f>
        <v>74979.29700871605</v>
      </c>
      <c r="P26" s="43">
        <f>SUM($E19:P19)</f>
        <v>81897.218374618518</v>
      </c>
    </row>
    <row r="27" spans="3:17" x14ac:dyDescent="0.35">
      <c r="D27" s="3" t="str">
        <f t="shared" ref="D27:D30" si="3">D20</f>
        <v>Actual 2025/26</v>
      </c>
      <c r="E27" s="43">
        <f>SUM($E20:E20)</f>
        <v>5972</v>
      </c>
      <c r="F27" s="43">
        <f>SUM($E20:F20)</f>
        <v>12219</v>
      </c>
      <c r="G27" s="43">
        <f>SUM($E20:G20)</f>
        <v>18374</v>
      </c>
      <c r="H27" s="43">
        <f>SUM($E20:H20)</f>
        <v>25441</v>
      </c>
      <c r="I27" s="43">
        <f>SUM($E20:I20)</f>
        <v>30953</v>
      </c>
      <c r="J27" s="43">
        <f>SUM($E20:J20)</f>
        <v>35988</v>
      </c>
      <c r="K27" s="43">
        <f>SUM($E20:K20)</f>
        <v>43686</v>
      </c>
      <c r="L27" s="43">
        <f>SUM($E20:L20)</f>
        <v>50295</v>
      </c>
      <c r="M27" s="43">
        <f>SUM($E20:M20)</f>
        <v>50295</v>
      </c>
      <c r="N27" s="43">
        <f>SUM($E20:N20)</f>
        <v>50295</v>
      </c>
      <c r="O27" s="43">
        <f>SUM($E20:O20)</f>
        <v>50295</v>
      </c>
      <c r="P27" s="43">
        <f>SUM($E20:P20)</f>
        <v>50295</v>
      </c>
    </row>
    <row r="28" spans="3:17" x14ac:dyDescent="0.35">
      <c r="D28" s="3" t="str">
        <f t="shared" si="3"/>
        <v>Difference</v>
      </c>
      <c r="E28" s="43">
        <f>IF(E27=0,0,E27-E26)</f>
        <v>-755.31471033468915</v>
      </c>
      <c r="F28" s="43">
        <f t="shared" ref="F28:P28" si="4">IF(F27=0,0,F27-F26)</f>
        <v>-1254.1666219223662</v>
      </c>
      <c r="G28" s="43">
        <f t="shared" si="4"/>
        <v>-1863.2987834585365</v>
      </c>
      <c r="H28" s="43">
        <f t="shared" si="4"/>
        <v>-1578.4595494178502</v>
      </c>
      <c r="I28" s="43">
        <f t="shared" si="4"/>
        <v>-2866.4024349742103</v>
      </c>
      <c r="J28" s="43">
        <f t="shared" si="4"/>
        <v>-4648.8859758459876</v>
      </c>
      <c r="K28" s="43">
        <f t="shared" si="4"/>
        <v>-3785.6735928670823</v>
      </c>
      <c r="L28" s="43">
        <f t="shared" si="4"/>
        <v>-4028.5334610938662</v>
      </c>
      <c r="M28" s="43">
        <f t="shared" si="4"/>
        <v>-10897.238383266944</v>
      </c>
      <c r="N28" s="43">
        <f t="shared" si="4"/>
        <v>-17782.565667455012</v>
      </c>
      <c r="O28" s="43">
        <f t="shared" si="4"/>
        <v>-24684.29700871605</v>
      </c>
      <c r="P28" s="43">
        <f t="shared" si="4"/>
        <v>-31602.218374618518</v>
      </c>
    </row>
    <row r="29" spans="3:17" x14ac:dyDescent="0.35">
      <c r="D29" s="3" t="str">
        <f t="shared" si="3"/>
        <v>% realisation</v>
      </c>
      <c r="E29" s="9">
        <f t="shared" ref="E29:P29" si="5">E27/E26</f>
        <v>0.88772418968680722</v>
      </c>
      <c r="F29" s="9">
        <f t="shared" si="5"/>
        <v>0.90691374514127254</v>
      </c>
      <c r="G29" s="9">
        <f t="shared" si="5"/>
        <v>0.90792749549255303</v>
      </c>
      <c r="H29" s="9">
        <f t="shared" si="5"/>
        <v>0.94158063944503068</v>
      </c>
      <c r="I29" s="9">
        <f t="shared" si="5"/>
        <v>0.91524384735994235</v>
      </c>
      <c r="J29" s="9">
        <f t="shared" si="5"/>
        <v>0.88559935476824625</v>
      </c>
      <c r="K29" s="9">
        <f t="shared" si="5"/>
        <v>0.92025405244116143</v>
      </c>
      <c r="L29" s="9">
        <f t="shared" si="5"/>
        <v>0.92584183678001963</v>
      </c>
      <c r="M29" s="9">
        <f t="shared" si="5"/>
        <v>0.82191796425203489</v>
      </c>
      <c r="N29" s="9">
        <f t="shared" si="5"/>
        <v>0.73878963659894648</v>
      </c>
      <c r="O29" s="9">
        <f t="shared" si="5"/>
        <v>0.67078516345856642</v>
      </c>
      <c r="P29" s="9">
        <f t="shared" si="5"/>
        <v>0.61412342199387038</v>
      </c>
    </row>
    <row r="30" spans="3:17" x14ac:dyDescent="0.35">
      <c r="D30" s="3" t="str">
        <f t="shared" si="3"/>
        <v>Actual 2024/25</v>
      </c>
      <c r="E30" s="43">
        <f>SUM($E23:E23)</f>
        <v>0</v>
      </c>
      <c r="F30" s="43">
        <f>SUM($E23:F23)</f>
        <v>6955</v>
      </c>
      <c r="G30" s="43">
        <f>SUM($E23:G23)</f>
        <v>14504</v>
      </c>
      <c r="H30" s="43">
        <f>SUM($E23:H23)</f>
        <v>20158</v>
      </c>
      <c r="I30" s="43">
        <f>SUM($E23:I23)</f>
        <v>27233</v>
      </c>
      <c r="J30" s="43">
        <f>SUM($E23:J23)</f>
        <v>31660</v>
      </c>
      <c r="K30" s="43">
        <f>SUM($E23:K23)</f>
        <v>40572</v>
      </c>
      <c r="L30" s="43">
        <f>SUM($E23:L23)</f>
        <v>47311</v>
      </c>
      <c r="M30" s="43">
        <f>SUM($E23:M23)</f>
        <v>54694</v>
      </c>
      <c r="N30" s="43">
        <f>SUM($E23:N23)</f>
        <v>59866</v>
      </c>
      <c r="O30" s="43">
        <f>SUM($E23:O23)</f>
        <v>65656</v>
      </c>
      <c r="P30" s="43">
        <f>SUM($E23:P23)</f>
        <v>72860</v>
      </c>
    </row>
  </sheetData>
  <sheetProtection algorithmName="SHA-512" hashValue="6LjyRA6X7ktxkaJixgfmYxQnyFZg6tgMwLhu2pc5PfEkS/DoNlkIeMWHhHzzcdOColgS+jsIrDMFqPGY84g0jw==" saltValue="C0Uh4Pq9O2UbPwJwn4VFSg==" spinCount="100000" sheet="1" objects="1" scenarios="1"/>
  <mergeCells count="3">
    <mergeCell ref="C1:F1"/>
    <mergeCell ref="J4:Q8"/>
    <mergeCell ref="J10:Q15"/>
  </mergeCells>
  <conditionalFormatting sqref="C3">
    <cfRule type="expression" dxfId="107" priority="2">
      <formula>S4&lt;S6</formula>
    </cfRule>
  </conditionalFormatting>
  <conditionalFormatting sqref="C4">
    <cfRule type="expression" dxfId="106" priority="1">
      <formula>AND(S4&gt;=S6,S4&lt;S5)</formula>
    </cfRule>
  </conditionalFormatting>
  <conditionalFormatting sqref="C5">
    <cfRule type="expression" dxfId="105" priority="3">
      <formula>S4&gt;=S5</formula>
    </cfRule>
  </conditionalFormatting>
  <hyperlinks>
    <hyperlink ref="L1" location="'Distribution Dashboard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70817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57150</xdr:rowOff>
                  </from>
                  <to>
                    <xdr:col>9</xdr:col>
                    <xdr:colOff>628650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S30"/>
  <sheetViews>
    <sheetView zoomScale="90" zoomScaleNormal="90" zoomScalePageLayoutView="90" workbookViewId="0">
      <pane ySplit="2" topLeftCell="A3" activePane="bottomLeft" state="frozen"/>
      <selection activeCell="D26" sqref="D26:D30"/>
      <selection pane="bottomLeft" activeCell="I2" sqref="I2"/>
    </sheetView>
  </sheetViews>
  <sheetFormatPr defaultColWidth="9.1796875" defaultRowHeight="14.5" x14ac:dyDescent="0.35"/>
  <cols>
    <col min="1" max="1" width="9.1796875" style="3"/>
    <col min="2" max="2" width="7.2695312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>
        <v>105</v>
      </c>
      <c r="C1" s="124" t="s">
        <v>57</v>
      </c>
      <c r="D1" s="124"/>
      <c r="E1" s="124"/>
      <c r="F1" s="124"/>
      <c r="G1" s="3" t="s">
        <v>10</v>
      </c>
      <c r="I1" s="12" cm="1">
        <f t="array" ref="I1">INDEX(E18:P18,Actual_month)</f>
        <v>46054</v>
      </c>
      <c r="L1" s="15" t="s">
        <v>21</v>
      </c>
      <c r="R1" s="5"/>
    </row>
    <row r="2" spans="1:19" x14ac:dyDescent="0.35">
      <c r="A2" s="3" t="s">
        <v>14</v>
      </c>
      <c r="C2" s="3" t="s">
        <v>15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25"/>
      <c r="K4" s="126"/>
      <c r="L4" s="126"/>
      <c r="M4" s="126"/>
      <c r="N4" s="126"/>
      <c r="O4" s="126"/>
      <c r="P4" s="126"/>
      <c r="Q4" s="127"/>
      <c r="R4" s="3" t="s">
        <v>25</v>
      </c>
      <c r="S4" s="43">
        <f>INDEX(E27:P27,Actual_month)</f>
        <v>96736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28"/>
      <c r="K5" s="129"/>
      <c r="L5" s="129"/>
      <c r="M5" s="129"/>
      <c r="N5" s="129"/>
      <c r="O5" s="129"/>
      <c r="P5" s="129"/>
      <c r="Q5" s="130"/>
      <c r="R5" s="3" t="s">
        <v>26</v>
      </c>
      <c r="S5" s="43">
        <f>INDEX(E26:P26,Actual_month)</f>
        <v>101970.15447683597</v>
      </c>
    </row>
    <row r="6" spans="1:19" x14ac:dyDescent="0.35">
      <c r="J6" s="128"/>
      <c r="K6" s="129"/>
      <c r="L6" s="129"/>
      <c r="M6" s="129"/>
      <c r="N6" s="129"/>
      <c r="O6" s="129"/>
      <c r="P6" s="129"/>
      <c r="Q6" s="130"/>
      <c r="R6" s="6">
        <v>0.9</v>
      </c>
      <c r="S6" s="43">
        <f>+S5*R6</f>
        <v>91773.139029152386</v>
      </c>
    </row>
    <row r="7" spans="1:19" x14ac:dyDescent="0.35">
      <c r="J7" s="128"/>
      <c r="K7" s="129"/>
      <c r="L7" s="129"/>
      <c r="M7" s="129"/>
      <c r="N7" s="129"/>
      <c r="O7" s="129"/>
      <c r="P7" s="129"/>
      <c r="Q7" s="130"/>
    </row>
    <row r="8" spans="1:19" ht="15" thickBot="1" x14ac:dyDescent="0.4">
      <c r="J8" s="131"/>
      <c r="K8" s="132"/>
      <c r="L8" s="132"/>
      <c r="M8" s="132"/>
      <c r="N8" s="132"/>
      <c r="O8" s="132"/>
      <c r="P8" s="132"/>
      <c r="Q8" s="133"/>
    </row>
    <row r="9" spans="1:19" ht="15" thickBot="1" x14ac:dyDescent="0.4">
      <c r="J9" s="3" t="s">
        <v>13</v>
      </c>
    </row>
    <row r="10" spans="1:19" x14ac:dyDescent="0.35">
      <c r="J10" s="125"/>
      <c r="K10" s="126"/>
      <c r="L10" s="126"/>
      <c r="M10" s="126"/>
      <c r="N10" s="126"/>
      <c r="O10" s="126"/>
      <c r="P10" s="126"/>
      <c r="Q10" s="127"/>
    </row>
    <row r="11" spans="1:19" x14ac:dyDescent="0.35">
      <c r="J11" s="128"/>
      <c r="K11" s="129"/>
      <c r="L11" s="129"/>
      <c r="M11" s="129"/>
      <c r="N11" s="129"/>
      <c r="O11" s="129"/>
      <c r="P11" s="129"/>
      <c r="Q11" s="130"/>
    </row>
    <row r="12" spans="1:19" x14ac:dyDescent="0.35">
      <c r="J12" s="128"/>
      <c r="K12" s="129"/>
      <c r="L12" s="129"/>
      <c r="M12" s="129"/>
      <c r="N12" s="129"/>
      <c r="O12" s="129"/>
      <c r="P12" s="129"/>
      <c r="Q12" s="130"/>
    </row>
    <row r="13" spans="1:19" x14ac:dyDescent="0.35">
      <c r="J13" s="128"/>
      <c r="K13" s="129"/>
      <c r="L13" s="129"/>
      <c r="M13" s="129"/>
      <c r="N13" s="129"/>
      <c r="O13" s="129"/>
      <c r="P13" s="129"/>
      <c r="Q13" s="130"/>
    </row>
    <row r="14" spans="1:19" x14ac:dyDescent="0.35">
      <c r="J14" s="128"/>
      <c r="K14" s="129"/>
      <c r="L14" s="129"/>
      <c r="M14" s="129"/>
      <c r="N14" s="129"/>
      <c r="O14" s="129"/>
      <c r="P14" s="129"/>
      <c r="Q14" s="130"/>
    </row>
    <row r="15" spans="1:19" ht="15" thickBot="1" x14ac:dyDescent="0.4">
      <c r="J15" s="131"/>
      <c r="K15" s="132"/>
      <c r="L15" s="132"/>
      <c r="M15" s="132"/>
      <c r="N15" s="132"/>
      <c r="O15" s="132"/>
      <c r="P15" s="132"/>
      <c r="Q15" s="133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43">
        <f>Budget2526!D69</f>
        <v>13140.284917666544</v>
      </c>
      <c r="F19" s="43">
        <f>Budget2526!E69</f>
        <v>13023.101552739345</v>
      </c>
      <c r="G19" s="43">
        <f>Budget2526!F69</f>
        <v>12908.309685055561</v>
      </c>
      <c r="H19" s="43">
        <f>Budget2526!G69</f>
        <v>12795.836845001757</v>
      </c>
      <c r="I19" s="43">
        <f>Budget2526!H69</f>
        <v>12685.613461749022</v>
      </c>
      <c r="J19" s="43">
        <f>Budget2526!I69</f>
        <v>12577.572719748818</v>
      </c>
      <c r="K19" s="43">
        <f>Budget2526!J69</f>
        <v>12471.650423670191</v>
      </c>
      <c r="L19" s="43">
        <f>Budget2526!K69</f>
        <v>12367.784871204738</v>
      </c>
      <c r="M19" s="43">
        <f>Budget2526!L69</f>
        <v>12265.916733209771</v>
      </c>
      <c r="N19" s="43">
        <f>Budget2526!M69</f>
        <v>12165.988940700427</v>
      </c>
      <c r="O19" s="43">
        <f>Budget2526!N69</f>
        <v>12067.946578238429</v>
      </c>
      <c r="P19" s="43">
        <f>Budget2526!O69</f>
        <v>11971.736783299082</v>
      </c>
      <c r="Q19" s="5"/>
    </row>
    <row r="20" spans="3:17" x14ac:dyDescent="0.35">
      <c r="D20" s="3" t="str">
        <f>'KPI 100'!D20</f>
        <v>Actual 2025/26</v>
      </c>
      <c r="E20" s="43">
        <f>Actuals2526!D69</f>
        <v>10138</v>
      </c>
      <c r="F20" s="43">
        <f>Actuals2526!E69</f>
        <v>13039</v>
      </c>
      <c r="G20" s="43">
        <f>Actuals2526!F69</f>
        <v>12762</v>
      </c>
      <c r="H20" s="43">
        <f>Actuals2526!G69</f>
        <v>11905</v>
      </c>
      <c r="I20" s="43">
        <f>Actuals2526!H69</f>
        <v>12460</v>
      </c>
      <c r="J20" s="43">
        <f>Actuals2526!I69</f>
        <v>9387</v>
      </c>
      <c r="K20" s="43">
        <f>Actuals2526!J69</f>
        <v>15639</v>
      </c>
      <c r="L20" s="43">
        <f>Actuals2526!K69</f>
        <v>11406</v>
      </c>
      <c r="M20" s="43">
        <f>Actuals2526!L69</f>
        <v>0</v>
      </c>
      <c r="N20" s="43">
        <f>Actuals2526!M69</f>
        <v>0</v>
      </c>
      <c r="O20" s="43">
        <f>Actuals2526!N69</f>
        <v>0</v>
      </c>
      <c r="P20" s="43">
        <f>Actuals2526!O69</f>
        <v>0</v>
      </c>
      <c r="Q20" s="5"/>
    </row>
    <row r="21" spans="3:17" x14ac:dyDescent="0.35">
      <c r="D21" s="3" t="str">
        <f>'KPI 100'!D21</f>
        <v>Difference</v>
      </c>
      <c r="E21" s="43">
        <f>IF(E20=0,0,E20-E19)</f>
        <v>-3002.2849176665441</v>
      </c>
      <c r="F21" s="43">
        <f t="shared" ref="F21:P21" si="0">IF(F20=0,0,F20-F19)</f>
        <v>15.898447260655303</v>
      </c>
      <c r="G21" s="43">
        <f t="shared" si="0"/>
        <v>-146.3096850555612</v>
      </c>
      <c r="H21" s="43">
        <f t="shared" si="0"/>
        <v>-890.83684500175696</v>
      </c>
      <c r="I21" s="43">
        <f t="shared" si="0"/>
        <v>-225.61346174902246</v>
      </c>
      <c r="J21" s="43">
        <f t="shared" si="0"/>
        <v>-3190.5727197488177</v>
      </c>
      <c r="K21" s="43">
        <f t="shared" si="0"/>
        <v>3167.3495763298088</v>
      </c>
      <c r="L21" s="43">
        <f t="shared" si="0"/>
        <v>-961.78487120473801</v>
      </c>
      <c r="M21" s="43">
        <f t="shared" si="0"/>
        <v>0</v>
      </c>
      <c r="N21" s="43">
        <f t="shared" si="0"/>
        <v>0</v>
      </c>
      <c r="O21" s="43">
        <f t="shared" si="0"/>
        <v>0</v>
      </c>
      <c r="P21" s="43">
        <f t="shared" si="0"/>
        <v>0</v>
      </c>
      <c r="Q21" s="5"/>
    </row>
    <row r="22" spans="3:17" x14ac:dyDescent="0.35">
      <c r="D22" s="3" t="str">
        <f>'KPI 100'!D22</f>
        <v>% realisation</v>
      </c>
      <c r="E22" s="9">
        <f>E20/E19</f>
        <v>0.77152056165615546</v>
      </c>
      <c r="F22" s="9">
        <f t="shared" ref="F22:P22" si="1">F20/F19</f>
        <v>1.0012207880892483</v>
      </c>
      <c r="G22" s="9">
        <f t="shared" si="1"/>
        <v>0.98866546522160459</v>
      </c>
      <c r="H22" s="9">
        <f t="shared" si="1"/>
        <v>0.9303807280608043</v>
      </c>
      <c r="I22" s="9">
        <f t="shared" si="1"/>
        <v>0.98221501369016839</v>
      </c>
      <c r="J22" s="9">
        <f t="shared" si="1"/>
        <v>0.74632842195862614</v>
      </c>
      <c r="K22" s="9">
        <f t="shared" si="1"/>
        <v>1.2539639477320847</v>
      </c>
      <c r="L22" s="9">
        <f t="shared" si="1"/>
        <v>0.92223467005445647</v>
      </c>
      <c r="M22" s="9">
        <f t="shared" si="1"/>
        <v>0</v>
      </c>
      <c r="N22" s="9">
        <f t="shared" si="1"/>
        <v>0</v>
      </c>
      <c r="O22" s="9">
        <f t="shared" si="1"/>
        <v>0</v>
      </c>
      <c r="P22" s="9">
        <f t="shared" si="1"/>
        <v>0</v>
      </c>
    </row>
    <row r="23" spans="3:17" x14ac:dyDescent="0.35">
      <c r="D23" s="3" t="str">
        <f>'KPI 100'!D23</f>
        <v>Actual 2024/25</v>
      </c>
      <c r="E23" s="5">
        <f>Actuals2425!D69</f>
        <v>11520</v>
      </c>
      <c r="F23" s="5">
        <f>Actuals2425!E69</f>
        <v>12895</v>
      </c>
      <c r="G23" s="5">
        <f>Actuals2425!F69</f>
        <v>12355</v>
      </c>
      <c r="H23" s="5">
        <f>Actuals2425!G69</f>
        <v>13424</v>
      </c>
      <c r="I23" s="5">
        <f>Actuals2425!H69</f>
        <v>13622</v>
      </c>
      <c r="J23" s="5">
        <f>Actuals2425!I69</f>
        <v>10061</v>
      </c>
      <c r="K23" s="5">
        <f>Actuals2425!J69</f>
        <v>18043</v>
      </c>
      <c r="L23" s="5">
        <f>Actuals2425!K69</f>
        <v>13219</v>
      </c>
      <c r="M23" s="5">
        <f>Actuals2425!L69</f>
        <v>13964</v>
      </c>
      <c r="N23" s="5">
        <f>Actuals2425!M69</f>
        <v>10907</v>
      </c>
      <c r="O23" s="5">
        <f>Actuals2425!N69</f>
        <v>11166</v>
      </c>
      <c r="P23" s="5">
        <f>Actuals2425!O69</f>
        <v>12006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43">
        <f>SUM($E19:E19)</f>
        <v>13140.284917666544</v>
      </c>
      <c r="F26" s="43">
        <f>SUM($E19:F19)</f>
        <v>26163.386470405887</v>
      </c>
      <c r="G26" s="43">
        <f>SUM($E19:G19)</f>
        <v>39071.696155461446</v>
      </c>
      <c r="H26" s="43">
        <f>SUM($E19:H19)</f>
        <v>51867.533000463205</v>
      </c>
      <c r="I26" s="43">
        <f>SUM($E19:I19)</f>
        <v>64553.146462212229</v>
      </c>
      <c r="J26" s="43">
        <f>SUM($E19:J19)</f>
        <v>77130.719181961045</v>
      </c>
      <c r="K26" s="43">
        <f>SUM($E19:K19)</f>
        <v>89602.369605631233</v>
      </c>
      <c r="L26" s="43">
        <f>SUM($E19:L19)</f>
        <v>101970.15447683597</v>
      </c>
      <c r="M26" s="43">
        <f>SUM($E19:M19)</f>
        <v>114236.07121004575</v>
      </c>
      <c r="N26" s="43">
        <f>SUM($E19:N19)</f>
        <v>126402.06015074617</v>
      </c>
      <c r="O26" s="43">
        <f>SUM($E19:O19)</f>
        <v>138470.00672898459</v>
      </c>
      <c r="P26" s="43">
        <f>SUM($E19:P19)</f>
        <v>150441.74351228366</v>
      </c>
    </row>
    <row r="27" spans="3:17" x14ac:dyDescent="0.35">
      <c r="D27" s="3" t="str">
        <f t="shared" ref="D27:D30" si="3">D20</f>
        <v>Actual 2025/26</v>
      </c>
      <c r="E27" s="43">
        <f>SUM($E20:E20)</f>
        <v>10138</v>
      </c>
      <c r="F27" s="43">
        <f>SUM($E20:F20)</f>
        <v>23177</v>
      </c>
      <c r="G27" s="43">
        <f>SUM($E20:G20)</f>
        <v>35939</v>
      </c>
      <c r="H27" s="43">
        <f>SUM($E20:H20)</f>
        <v>47844</v>
      </c>
      <c r="I27" s="43">
        <f>SUM($E20:I20)</f>
        <v>60304</v>
      </c>
      <c r="J27" s="43">
        <f>SUM($E20:J20)</f>
        <v>69691</v>
      </c>
      <c r="K27" s="43">
        <f>SUM($E20:K20)</f>
        <v>85330</v>
      </c>
      <c r="L27" s="43">
        <f>SUM($E20:L20)</f>
        <v>96736</v>
      </c>
      <c r="M27" s="43">
        <f>SUM($E20:M20)</f>
        <v>96736</v>
      </c>
      <c r="N27" s="43">
        <f>SUM($E20:N20)</f>
        <v>96736</v>
      </c>
      <c r="O27" s="43">
        <f>SUM($E20:O20)</f>
        <v>96736</v>
      </c>
      <c r="P27" s="43">
        <f>SUM($E20:P20)</f>
        <v>96736</v>
      </c>
    </row>
    <row r="28" spans="3:17" x14ac:dyDescent="0.35">
      <c r="D28" s="3" t="str">
        <f t="shared" si="3"/>
        <v>Difference</v>
      </c>
      <c r="E28" s="43">
        <f>IF(E27=0,0,E27-E26)</f>
        <v>-3002.2849176665441</v>
      </c>
      <c r="F28" s="43">
        <f t="shared" ref="F28:P28" si="4">IF(F27=0,0,F27-F26)</f>
        <v>-2986.3864704058869</v>
      </c>
      <c r="G28" s="43">
        <f t="shared" si="4"/>
        <v>-3132.6961554614463</v>
      </c>
      <c r="H28" s="43">
        <f t="shared" si="4"/>
        <v>-4023.5330004632051</v>
      </c>
      <c r="I28" s="43">
        <f t="shared" si="4"/>
        <v>-4249.1464622122294</v>
      </c>
      <c r="J28" s="43">
        <f t="shared" si="4"/>
        <v>-7439.7191819610453</v>
      </c>
      <c r="K28" s="43">
        <f t="shared" si="4"/>
        <v>-4272.3696056312328</v>
      </c>
      <c r="L28" s="43">
        <f t="shared" si="4"/>
        <v>-5234.1544768359745</v>
      </c>
      <c r="M28" s="43">
        <f t="shared" si="4"/>
        <v>-17500.071210045746</v>
      </c>
      <c r="N28" s="43">
        <f t="shared" si="4"/>
        <v>-29666.060150746169</v>
      </c>
      <c r="O28" s="43">
        <f t="shared" si="4"/>
        <v>-41734.00672898459</v>
      </c>
      <c r="P28" s="43">
        <f t="shared" si="4"/>
        <v>-53705.743512283661</v>
      </c>
    </row>
    <row r="29" spans="3:17" x14ac:dyDescent="0.35">
      <c r="D29" s="3" t="str">
        <f t="shared" si="3"/>
        <v>% realisation</v>
      </c>
      <c r="E29" s="9">
        <f t="shared" ref="E29:P29" si="5">E27/E26</f>
        <v>0.77152056165615546</v>
      </c>
      <c r="F29" s="9">
        <f t="shared" si="5"/>
        <v>0.8858562719400308</v>
      </c>
      <c r="G29" s="9">
        <f t="shared" si="5"/>
        <v>0.91982185408596451</v>
      </c>
      <c r="H29" s="9">
        <f t="shared" si="5"/>
        <v>0.92242675200250468</v>
      </c>
      <c r="I29" s="9">
        <f t="shared" si="5"/>
        <v>0.93417599768433335</v>
      </c>
      <c r="J29" s="9">
        <f t="shared" si="5"/>
        <v>0.90354401902554782</v>
      </c>
      <c r="K29" s="9">
        <f t="shared" si="5"/>
        <v>0.95231856451525443</v>
      </c>
      <c r="L29" s="9">
        <f t="shared" si="5"/>
        <v>0.94866974063450116</v>
      </c>
      <c r="M29" s="9">
        <f t="shared" si="5"/>
        <v>0.84680783377197577</v>
      </c>
      <c r="N29" s="9">
        <f t="shared" si="5"/>
        <v>0.76530398226605922</v>
      </c>
      <c r="O29" s="9">
        <f t="shared" si="5"/>
        <v>0.69860616233906192</v>
      </c>
      <c r="P29" s="9">
        <f t="shared" si="5"/>
        <v>0.64301302113067738</v>
      </c>
    </row>
    <row r="30" spans="3:17" x14ac:dyDescent="0.35">
      <c r="D30" s="3" t="str">
        <f t="shared" si="3"/>
        <v>Actual 2024/25</v>
      </c>
      <c r="E30" s="43">
        <f>SUM($E23:E23)</f>
        <v>11520</v>
      </c>
      <c r="F30" s="43">
        <f>SUM($E23:F23)</f>
        <v>24415</v>
      </c>
      <c r="G30" s="43">
        <f>SUM($E23:G23)</f>
        <v>36770</v>
      </c>
      <c r="H30" s="43">
        <f>SUM($E23:H23)</f>
        <v>50194</v>
      </c>
      <c r="I30" s="43">
        <f>SUM($E23:I23)</f>
        <v>63816</v>
      </c>
      <c r="J30" s="43">
        <f>SUM($E23:J23)</f>
        <v>73877</v>
      </c>
      <c r="K30" s="43">
        <f>SUM($E23:K23)</f>
        <v>91920</v>
      </c>
      <c r="L30" s="43">
        <f>SUM($E23:L23)</f>
        <v>105139</v>
      </c>
      <c r="M30" s="43">
        <f>SUM($E23:M23)</f>
        <v>119103</v>
      </c>
      <c r="N30" s="43">
        <f>SUM($E23:N23)</f>
        <v>130010</v>
      </c>
      <c r="O30" s="43">
        <f>SUM($E23:O23)</f>
        <v>141176</v>
      </c>
      <c r="P30" s="43">
        <f>SUM($E23:P23)</f>
        <v>153182</v>
      </c>
    </row>
  </sheetData>
  <sheetProtection algorithmName="SHA-512" hashValue="eVfX73w7HmKq/SYgSJsTZDMAu3K6jhvF+RnLHlCmEp4gVzsJD/Gg1zWPnDjf988TtJGWU1xzu0ERVRmIjHfRJA==" saltValue="YxoooDBRopgQs3WAPcf/zg==" spinCount="100000" sheet="1" objects="1" scenarios="1"/>
  <mergeCells count="3">
    <mergeCell ref="C1:F1"/>
    <mergeCell ref="J4:Q8"/>
    <mergeCell ref="J10:Q15"/>
  </mergeCells>
  <conditionalFormatting sqref="C3">
    <cfRule type="expression" dxfId="104" priority="2">
      <formula>S4&lt;S6</formula>
    </cfRule>
  </conditionalFormatting>
  <conditionalFormatting sqref="C4">
    <cfRule type="expression" dxfId="103" priority="1">
      <formula>AND(S4&gt;=S6,S4&lt;S5)</formula>
    </cfRule>
  </conditionalFormatting>
  <conditionalFormatting sqref="C5">
    <cfRule type="expression" dxfId="102" priority="3">
      <formula>S4&gt;=S5</formula>
    </cfRule>
  </conditionalFormatting>
  <hyperlinks>
    <hyperlink ref="L1" location="'Distribution Dashboard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33153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57150</xdr:rowOff>
                  </from>
                  <to>
                    <xdr:col>9</xdr:col>
                    <xdr:colOff>628650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S30"/>
  <sheetViews>
    <sheetView workbookViewId="0">
      <selection activeCell="I2" sqref="I2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 t="str">
        <f>'Distribution Dashboard'!A67</f>
        <v>112B</v>
      </c>
      <c r="C1" s="124" t="s">
        <v>199</v>
      </c>
      <c r="D1" s="124"/>
      <c r="E1" s="124"/>
      <c r="F1" s="124"/>
      <c r="G1" s="3" t="s">
        <v>10</v>
      </c>
      <c r="I1" s="12" cm="1">
        <f t="array" ref="I1">INDEX(E18:P18,Actual_month)</f>
        <v>46054</v>
      </c>
      <c r="L1" s="15" t="s">
        <v>21</v>
      </c>
      <c r="R1" s="5"/>
    </row>
    <row r="2" spans="1:19" x14ac:dyDescent="0.35">
      <c r="A2" s="3" t="s">
        <v>14</v>
      </c>
      <c r="C2" s="3" t="s">
        <v>15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 t="e">
        <f>INDEX(#REF!,Actual_month)</f>
        <v>#REF!</v>
      </c>
      <c r="K4" s="135"/>
      <c r="L4" s="135"/>
      <c r="M4" s="135"/>
      <c r="N4" s="135"/>
      <c r="O4" s="135"/>
      <c r="P4" s="135"/>
      <c r="Q4" s="136"/>
      <c r="R4" s="3" t="s">
        <v>25</v>
      </c>
      <c r="S4" s="43">
        <f>INDEX(E27:P27,Actual_month)</f>
        <v>44878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43">
        <f>INDEX(E26:P26,Actual_month)</f>
        <v>47144.896020092638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0.9</v>
      </c>
      <c r="S6" s="43">
        <f>+S5*R6</f>
        <v>42430.406418083374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43">
        <f>Budget2526!D76</f>
        <v>5697.6238542942338</v>
      </c>
      <c r="F19" s="43">
        <f>Budget2526!E76</f>
        <v>5753.4776109277609</v>
      </c>
      <c r="G19" s="43">
        <f>Budget2526!F76</f>
        <v>5809.331367561289</v>
      </c>
      <c r="H19" s="43">
        <f>Budget2526!G76</f>
        <v>5865.1851241948152</v>
      </c>
      <c r="I19" s="43">
        <f>Budget2526!H76</f>
        <v>5921.0388808283433</v>
      </c>
      <c r="J19" s="43">
        <f>Budget2526!I76</f>
        <v>5976.8926374618704</v>
      </c>
      <c r="K19" s="43">
        <f>Budget2526!J76</f>
        <v>6032.7463940953985</v>
      </c>
      <c r="L19" s="43">
        <f>Budget2526!K76</f>
        <v>6088.6001507289257</v>
      </c>
      <c r="M19" s="43">
        <f>Budget2526!L76</f>
        <v>6144.4539073624528</v>
      </c>
      <c r="N19" s="43">
        <f>Budget2526!M76</f>
        <v>6200.30766399598</v>
      </c>
      <c r="O19" s="43">
        <f>Budget2526!N76</f>
        <v>6256.161420629508</v>
      </c>
      <c r="P19" s="43">
        <f>Budget2526!O76</f>
        <v>6312.0151772630352</v>
      </c>
      <c r="Q19" s="5"/>
    </row>
    <row r="20" spans="3:17" x14ac:dyDescent="0.35">
      <c r="D20" s="3" t="str">
        <f>'KPI 100'!D20</f>
        <v>Actual 2025/26</v>
      </c>
      <c r="E20" s="43">
        <f>Actuals2526!D76</f>
        <v>5299</v>
      </c>
      <c r="F20" s="43">
        <f>Actuals2526!E76</f>
        <v>6062</v>
      </c>
      <c r="G20" s="43">
        <f>Actuals2526!F76</f>
        <v>5511</v>
      </c>
      <c r="H20" s="43">
        <f>Actuals2526!G76</f>
        <v>6280</v>
      </c>
      <c r="I20" s="43">
        <f>Actuals2526!H76</f>
        <v>4988</v>
      </c>
      <c r="J20" s="43">
        <f>Actuals2526!I76</f>
        <v>4740</v>
      </c>
      <c r="K20" s="43">
        <f>Actuals2526!J76</f>
        <v>6578</v>
      </c>
      <c r="L20" s="43">
        <f>Actuals2526!K76</f>
        <v>5420</v>
      </c>
      <c r="M20" s="43">
        <f>Actuals2526!L76</f>
        <v>0</v>
      </c>
      <c r="N20" s="43">
        <f>Actuals2526!M76</f>
        <v>0</v>
      </c>
      <c r="O20" s="43">
        <f>Actuals2526!N76</f>
        <v>0</v>
      </c>
      <c r="P20" s="43">
        <f>Actuals2526!O76</f>
        <v>0</v>
      </c>
      <c r="Q20" s="5"/>
    </row>
    <row r="21" spans="3:17" x14ac:dyDescent="0.35">
      <c r="D21" s="3" t="str">
        <f>'KPI 100'!D21</f>
        <v>Difference</v>
      </c>
      <c r="E21" s="43">
        <f>IF(E20=0,0,E20-E19)</f>
        <v>-398.62385429423375</v>
      </c>
      <c r="F21" s="43">
        <f t="shared" ref="F21:P21" si="0">IF(F20=0,0,F20-F19)</f>
        <v>308.52238907223909</v>
      </c>
      <c r="G21" s="43">
        <f t="shared" si="0"/>
        <v>-298.33136756128897</v>
      </c>
      <c r="H21" s="43">
        <f t="shared" si="0"/>
        <v>414.81487580518478</v>
      </c>
      <c r="I21" s="43">
        <f t="shared" si="0"/>
        <v>-933.03888082834328</v>
      </c>
      <c r="J21" s="43">
        <f t="shared" si="0"/>
        <v>-1236.8926374618704</v>
      </c>
      <c r="K21" s="43">
        <f t="shared" si="0"/>
        <v>545.2536059046015</v>
      </c>
      <c r="L21" s="43">
        <f t="shared" si="0"/>
        <v>-668.60015072892566</v>
      </c>
      <c r="M21" s="43">
        <f t="shared" si="0"/>
        <v>0</v>
      </c>
      <c r="N21" s="43">
        <f t="shared" si="0"/>
        <v>0</v>
      </c>
      <c r="O21" s="43">
        <f t="shared" si="0"/>
        <v>0</v>
      </c>
      <c r="P21" s="43">
        <f t="shared" si="0"/>
        <v>0</v>
      </c>
      <c r="Q21" s="5"/>
    </row>
    <row r="22" spans="3:17" x14ac:dyDescent="0.35">
      <c r="D22" s="3" t="str">
        <f>'KPI 100'!D22</f>
        <v>% realisation</v>
      </c>
      <c r="E22" s="9">
        <f>E20/E19</f>
        <v>0.93003682508914742</v>
      </c>
      <c r="F22" s="9">
        <f t="shared" ref="F22:P22" si="1">F20/F19</f>
        <v>1.0536236359877811</v>
      </c>
      <c r="G22" s="9">
        <f t="shared" si="1"/>
        <v>0.94864617824572017</v>
      </c>
      <c r="H22" s="9">
        <f t="shared" si="1"/>
        <v>1.0707249416721747</v>
      </c>
      <c r="I22" s="9">
        <f t="shared" si="1"/>
        <v>0.84241973417039739</v>
      </c>
      <c r="J22" s="9">
        <f t="shared" si="1"/>
        <v>0.79305423194164559</v>
      </c>
      <c r="K22" s="9">
        <f t="shared" si="1"/>
        <v>1.0903823184807293</v>
      </c>
      <c r="L22" s="9">
        <f t="shared" si="1"/>
        <v>0.89018819857157461</v>
      </c>
      <c r="M22" s="9">
        <f t="shared" si="1"/>
        <v>0</v>
      </c>
      <c r="N22" s="9">
        <f t="shared" si="1"/>
        <v>0</v>
      </c>
      <c r="O22" s="9">
        <f t="shared" si="1"/>
        <v>0</v>
      </c>
      <c r="P22" s="9">
        <f t="shared" si="1"/>
        <v>0</v>
      </c>
    </row>
    <row r="23" spans="3:17" x14ac:dyDescent="0.35">
      <c r="D23" s="3" t="str">
        <f>'KPI 100'!D23</f>
        <v>Actual 2024/25</v>
      </c>
      <c r="E23" s="5">
        <f>Actuals2425!D76</f>
        <v>0</v>
      </c>
      <c r="F23" s="5">
        <f>Actuals2425!E76</f>
        <v>5621</v>
      </c>
      <c r="G23" s="5">
        <f>Actuals2425!F76</f>
        <v>5975</v>
      </c>
      <c r="H23" s="5">
        <f>Actuals2425!G76</f>
        <v>4906</v>
      </c>
      <c r="I23" s="5">
        <f>Actuals2425!H76</f>
        <v>6607</v>
      </c>
      <c r="J23" s="5">
        <f>Actuals2425!I76</f>
        <v>4156</v>
      </c>
      <c r="K23" s="5">
        <f>Actuals2425!J76</f>
        <v>6448</v>
      </c>
      <c r="L23" s="5">
        <f>Actuals2425!K76</f>
        <v>5728</v>
      </c>
      <c r="M23" s="5">
        <f>Actuals2425!L76</f>
        <v>6684</v>
      </c>
      <c r="N23" s="5">
        <f>Actuals2425!M76</f>
        <v>4887</v>
      </c>
      <c r="O23" s="5">
        <f>Actuals2425!N76</f>
        <v>5510</v>
      </c>
      <c r="P23" s="5">
        <f>Actuals2425!O76</f>
        <v>6078</v>
      </c>
      <c r="Q23" s="5">
        <f>Actual2122!P60</f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43">
        <f>SUM($E19:E19)</f>
        <v>5697.6238542942338</v>
      </c>
      <c r="F26" s="43">
        <f>SUM($E19:F19)</f>
        <v>11451.101465221995</v>
      </c>
      <c r="G26" s="43">
        <f>SUM($E19:G19)</f>
        <v>17260.432832783285</v>
      </c>
      <c r="H26" s="43">
        <f>SUM($E19:H19)</f>
        <v>23125.617956978102</v>
      </c>
      <c r="I26" s="43">
        <f>SUM($E19:I19)</f>
        <v>29046.656837806444</v>
      </c>
      <c r="J26" s="43">
        <f>SUM($E19:J19)</f>
        <v>35023.549475268315</v>
      </c>
      <c r="K26" s="43">
        <f>SUM($E19:K19)</f>
        <v>41056.295869363712</v>
      </c>
      <c r="L26" s="43">
        <f>SUM($E19:L19)</f>
        <v>47144.896020092638</v>
      </c>
      <c r="M26" s="43">
        <f>SUM($E19:M19)</f>
        <v>53289.349927455092</v>
      </c>
      <c r="N26" s="43">
        <f>SUM($E19:N19)</f>
        <v>59489.657591451076</v>
      </c>
      <c r="O26" s="43">
        <f>SUM($E19:O19)</f>
        <v>65745.819012080581</v>
      </c>
      <c r="P26" s="43">
        <f>SUM($E19:P19)</f>
        <v>72057.834189343615</v>
      </c>
    </row>
    <row r="27" spans="3:17" x14ac:dyDescent="0.35">
      <c r="D27" s="3" t="str">
        <f t="shared" ref="D27:D30" si="3">D20</f>
        <v>Actual 2025/26</v>
      </c>
      <c r="E27" s="43">
        <f>SUM($E20:E20)</f>
        <v>5299</v>
      </c>
      <c r="F27" s="43">
        <f>SUM($E20:F20)</f>
        <v>11361</v>
      </c>
      <c r="G27" s="43">
        <f>SUM($E20:G20)</f>
        <v>16872</v>
      </c>
      <c r="H27" s="43">
        <f>SUM($E20:H20)</f>
        <v>23152</v>
      </c>
      <c r="I27" s="43">
        <f>SUM($E20:I20)</f>
        <v>28140</v>
      </c>
      <c r="J27" s="43">
        <f>SUM($E20:J20)</f>
        <v>32880</v>
      </c>
      <c r="K27" s="43">
        <f>SUM($E20:K20)</f>
        <v>39458</v>
      </c>
      <c r="L27" s="43">
        <f>SUM($E20:L20)</f>
        <v>44878</v>
      </c>
      <c r="M27" s="43">
        <f>SUM($E20:M20)</f>
        <v>44878</v>
      </c>
      <c r="N27" s="43">
        <f>SUM($E20:N20)</f>
        <v>44878</v>
      </c>
      <c r="O27" s="43">
        <f>SUM($E20:O20)</f>
        <v>44878</v>
      </c>
      <c r="P27" s="43">
        <f>SUM($E20:P20)</f>
        <v>44878</v>
      </c>
    </row>
    <row r="28" spans="3:17" x14ac:dyDescent="0.35">
      <c r="D28" s="3" t="str">
        <f t="shared" si="3"/>
        <v>Difference</v>
      </c>
      <c r="E28" s="43">
        <f>IF(E27=0,0,E27-E26)</f>
        <v>-398.62385429423375</v>
      </c>
      <c r="F28" s="43">
        <f t="shared" ref="F28:P28" si="4">IF(F27=0,0,F27-F26)</f>
        <v>-90.101465221994658</v>
      </c>
      <c r="G28" s="43">
        <f t="shared" si="4"/>
        <v>-388.43283278328454</v>
      </c>
      <c r="H28" s="43">
        <f t="shared" si="4"/>
        <v>26.382043021898426</v>
      </c>
      <c r="I28" s="43">
        <f t="shared" si="4"/>
        <v>-906.65683780644395</v>
      </c>
      <c r="J28" s="43">
        <f t="shared" si="4"/>
        <v>-2143.5494752683153</v>
      </c>
      <c r="K28" s="43">
        <f t="shared" si="4"/>
        <v>-1598.295869363712</v>
      </c>
      <c r="L28" s="43">
        <f t="shared" si="4"/>
        <v>-2266.8960200926376</v>
      </c>
      <c r="M28" s="43">
        <f t="shared" si="4"/>
        <v>-8411.3499274550923</v>
      </c>
      <c r="N28" s="43">
        <f t="shared" si="4"/>
        <v>-14611.657591451076</v>
      </c>
      <c r="O28" s="43">
        <f t="shared" si="4"/>
        <v>-20867.819012080581</v>
      </c>
      <c r="P28" s="43">
        <f t="shared" si="4"/>
        <v>-27179.834189343615</v>
      </c>
    </row>
    <row r="29" spans="3:17" x14ac:dyDescent="0.35">
      <c r="D29" s="3" t="str">
        <f t="shared" si="3"/>
        <v>% realisation</v>
      </c>
      <c r="E29" s="9">
        <f t="shared" ref="E29:P29" si="5">E27/E26</f>
        <v>0.93003682508914742</v>
      </c>
      <c r="F29" s="9">
        <f t="shared" si="5"/>
        <v>0.99213163331967313</v>
      </c>
      <c r="G29" s="9">
        <f t="shared" si="5"/>
        <v>0.97749576522521953</v>
      </c>
      <c r="H29" s="9">
        <f t="shared" si="5"/>
        <v>1.0011408146182721</v>
      </c>
      <c r="I29" s="9">
        <f t="shared" si="5"/>
        <v>0.96878618965104579</v>
      </c>
      <c r="J29" s="9">
        <f t="shared" si="5"/>
        <v>0.93879690929721527</v>
      </c>
      <c r="K29" s="9">
        <f t="shared" si="5"/>
        <v>0.96107062667198961</v>
      </c>
      <c r="L29" s="9">
        <f t="shared" si="5"/>
        <v>0.95191640640958231</v>
      </c>
      <c r="M29" s="9">
        <f t="shared" si="5"/>
        <v>0.84215701751089478</v>
      </c>
      <c r="N29" s="9">
        <f t="shared" si="5"/>
        <v>0.75438322923628942</v>
      </c>
      <c r="O29" s="9">
        <f t="shared" si="5"/>
        <v>0.68259853895429934</v>
      </c>
      <c r="P29" s="9">
        <f t="shared" si="5"/>
        <v>0.62280528557208359</v>
      </c>
    </row>
    <row r="30" spans="3:17" x14ac:dyDescent="0.35">
      <c r="D30" s="3" t="str">
        <f t="shared" si="3"/>
        <v>Actual 2024/25</v>
      </c>
      <c r="E30" s="43">
        <f>SUM($E23:E23)</f>
        <v>0</v>
      </c>
      <c r="F30" s="43">
        <f>SUM($E23:F23)</f>
        <v>5621</v>
      </c>
      <c r="G30" s="43">
        <f>SUM($E23:G23)</f>
        <v>11596</v>
      </c>
      <c r="H30" s="43">
        <f>SUM($E23:H23)</f>
        <v>16502</v>
      </c>
      <c r="I30" s="43">
        <f>SUM($E23:I23)</f>
        <v>23109</v>
      </c>
      <c r="J30" s="43">
        <f>SUM($E23:J23)</f>
        <v>27265</v>
      </c>
      <c r="K30" s="43">
        <f>SUM($E23:K23)</f>
        <v>33713</v>
      </c>
      <c r="L30" s="43">
        <f>SUM($E23:L23)</f>
        <v>39441</v>
      </c>
      <c r="M30" s="43">
        <f>SUM($E23:M23)</f>
        <v>46125</v>
      </c>
      <c r="N30" s="43">
        <f>SUM($E23:N23)</f>
        <v>51012</v>
      </c>
      <c r="O30" s="43">
        <f>SUM($E23:O23)</f>
        <v>56522</v>
      </c>
      <c r="P30" s="43">
        <f>SUM($E23:P23)</f>
        <v>62600</v>
      </c>
    </row>
  </sheetData>
  <sheetProtection algorithmName="SHA-512" hashValue="YA5ryJxDBRs6HUqUesAdrVsF71//YUHBVX4/v3dflk3lTb+j5sSIzly1Yp5o0JXSZsP7IN7dKP4HY4xmPFNaYg==" saltValue="9iD4WlMmzlCEAL5ui5bsuw==" spinCount="100000" sheet="1" objects="1" scenarios="1"/>
  <mergeCells count="3">
    <mergeCell ref="C1:F1"/>
    <mergeCell ref="J4:Q8"/>
    <mergeCell ref="J10:Q15"/>
  </mergeCells>
  <conditionalFormatting sqref="C3">
    <cfRule type="expression" dxfId="101" priority="2">
      <formula>S4&lt;S6</formula>
    </cfRule>
  </conditionalFormatting>
  <conditionalFormatting sqref="C4">
    <cfRule type="expression" dxfId="100" priority="1">
      <formula>AND(S4&gt;=S6,S4&lt;S5)</formula>
    </cfRule>
  </conditionalFormatting>
  <conditionalFormatting sqref="C5">
    <cfRule type="expression" dxfId="99" priority="3">
      <formula>S4&gt;=S5</formula>
    </cfRule>
  </conditionalFormatting>
  <hyperlinks>
    <hyperlink ref="L1" location="'Distribution Dashboard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71841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57150</xdr:rowOff>
                  </from>
                  <to>
                    <xdr:col>9</xdr:col>
                    <xdr:colOff>628650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S30"/>
  <sheetViews>
    <sheetView zoomScale="90" zoomScaleNormal="90" zoomScalePageLayoutView="90" workbookViewId="0">
      <pane ySplit="2" topLeftCell="A3" activePane="bottomLeft" state="frozen"/>
      <selection activeCell="D26" sqref="D26:D30"/>
      <selection pane="bottomLeft" activeCell="I2" sqref="I2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>
        <v>112</v>
      </c>
      <c r="C1" s="124" t="s">
        <v>66</v>
      </c>
      <c r="D1" s="124"/>
      <c r="E1" s="124"/>
      <c r="F1" s="124"/>
      <c r="G1" s="3" t="s">
        <v>10</v>
      </c>
      <c r="I1" s="12" cm="1">
        <f t="array" ref="I1">INDEX(E18:P18,Actual_month)</f>
        <v>46054</v>
      </c>
      <c r="L1" s="15" t="s">
        <v>21</v>
      </c>
      <c r="R1" s="5"/>
    </row>
    <row r="2" spans="1:19" x14ac:dyDescent="0.35">
      <c r="A2" s="3" t="s">
        <v>14</v>
      </c>
      <c r="C2" s="3" t="s">
        <v>15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 t="e">
        <f>INDEX(#REF!,Actual_month)</f>
        <v>#REF!</v>
      </c>
      <c r="K4" s="135"/>
      <c r="L4" s="135"/>
      <c r="M4" s="135"/>
      <c r="N4" s="135"/>
      <c r="O4" s="135"/>
      <c r="P4" s="135"/>
      <c r="Q4" s="136"/>
      <c r="R4" s="3" t="s">
        <v>25</v>
      </c>
      <c r="S4" s="43">
        <f>INDEX(E27:P27,Actual_month)</f>
        <v>82306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43">
        <f>INDEX(E26:P26,Actual_month)</f>
        <v>86236.369726028264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0.9</v>
      </c>
      <c r="S6" s="43">
        <f>+S5*R6</f>
        <v>77612.732753425444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43">
        <f>Budget2526!D70</f>
        <v>10726.763520129374</v>
      </c>
      <c r="F19" s="43">
        <f>Budget2526!E70</f>
        <v>10741.844290307705</v>
      </c>
      <c r="G19" s="43">
        <f>Budget2526!F70</f>
        <v>10756.925060486035</v>
      </c>
      <c r="H19" s="43">
        <f>Budget2526!G70</f>
        <v>10772.005830664366</v>
      </c>
      <c r="I19" s="43">
        <f>Budget2526!H70</f>
        <v>10787.086600842696</v>
      </c>
      <c r="J19" s="43">
        <f>Budget2526!I70</f>
        <v>10802.167371021029</v>
      </c>
      <c r="K19" s="43">
        <f>Budget2526!J70</f>
        <v>10817.248141199361</v>
      </c>
      <c r="L19" s="43">
        <f>Budget2526!K70</f>
        <v>10832.328911377692</v>
      </c>
      <c r="M19" s="43">
        <f>Budget2526!L70</f>
        <v>10847.409681556022</v>
      </c>
      <c r="N19" s="43">
        <f>Budget2526!M70</f>
        <v>10862.490451734353</v>
      </c>
      <c r="O19" s="43">
        <f>Budget2526!N70</f>
        <v>10877.571221912684</v>
      </c>
      <c r="P19" s="43">
        <f>Budget2526!O70</f>
        <v>10892.651992091016</v>
      </c>
      <c r="Q19" s="5"/>
    </row>
    <row r="20" spans="3:17" x14ac:dyDescent="0.35">
      <c r="D20" s="3" t="str">
        <f>'KPI 100'!D20</f>
        <v>Actual 2025/26</v>
      </c>
      <c r="E20" s="43">
        <f>Actuals2526!D70</f>
        <v>9053</v>
      </c>
      <c r="F20" s="43">
        <f>Actuals2526!E70</f>
        <v>10669</v>
      </c>
      <c r="G20" s="43">
        <f>Actuals2526!F70</f>
        <v>10732</v>
      </c>
      <c r="H20" s="43">
        <f>Actuals2526!G70</f>
        <v>11020</v>
      </c>
      <c r="I20" s="43">
        <f>Actuals2526!H70</f>
        <v>9629</v>
      </c>
      <c r="J20" s="43">
        <f>Actuals2526!I70</f>
        <v>7701</v>
      </c>
      <c r="K20" s="43">
        <f>Actuals2526!J70</f>
        <v>13327</v>
      </c>
      <c r="L20" s="43">
        <f>Actuals2526!K70</f>
        <v>10175</v>
      </c>
      <c r="M20" s="43">
        <f>Actuals2526!L70</f>
        <v>0</v>
      </c>
      <c r="N20" s="43">
        <f>Actuals2526!M70</f>
        <v>0</v>
      </c>
      <c r="O20" s="43">
        <f>Actuals2526!N70</f>
        <v>0</v>
      </c>
      <c r="P20" s="43">
        <f>Actuals2526!O70</f>
        <v>0</v>
      </c>
      <c r="Q20" s="5"/>
    </row>
    <row r="21" spans="3:17" x14ac:dyDescent="0.35">
      <c r="D21" s="3" t="str">
        <f>'KPI 100'!D21</f>
        <v>Difference</v>
      </c>
      <c r="E21" s="43">
        <f>IF(E20=0,0,E20-E19)</f>
        <v>-1673.7635201293742</v>
      </c>
      <c r="F21" s="43">
        <f t="shared" ref="F21:P21" si="0">IF(F20=0,0,F20-F19)</f>
        <v>-72.844290307704796</v>
      </c>
      <c r="G21" s="43">
        <f t="shared" si="0"/>
        <v>-24.925060486035363</v>
      </c>
      <c r="H21" s="43">
        <f t="shared" si="0"/>
        <v>247.99416933563407</v>
      </c>
      <c r="I21" s="43">
        <f t="shared" si="0"/>
        <v>-1158.0866008426965</v>
      </c>
      <c r="J21" s="43">
        <f t="shared" si="0"/>
        <v>-3101.1673710210289</v>
      </c>
      <c r="K21" s="43">
        <f t="shared" si="0"/>
        <v>2509.7518588006387</v>
      </c>
      <c r="L21" s="43">
        <f t="shared" si="0"/>
        <v>-657.32891137769184</v>
      </c>
      <c r="M21" s="43">
        <f t="shared" si="0"/>
        <v>0</v>
      </c>
      <c r="N21" s="43">
        <f t="shared" si="0"/>
        <v>0</v>
      </c>
      <c r="O21" s="43">
        <f t="shared" si="0"/>
        <v>0</v>
      </c>
      <c r="P21" s="43">
        <f t="shared" si="0"/>
        <v>0</v>
      </c>
      <c r="Q21" s="5"/>
    </row>
    <row r="22" spans="3:17" x14ac:dyDescent="0.35">
      <c r="D22" s="3" t="str">
        <f>'KPI 100'!D22</f>
        <v>% realisation</v>
      </c>
      <c r="E22" s="9">
        <f>E20/E19</f>
        <v>0.84396379047711245</v>
      </c>
      <c r="F22" s="9">
        <f t="shared" ref="F22:P22" si="1">F20/F19</f>
        <v>0.99321864213080879</v>
      </c>
      <c r="G22" s="9">
        <f t="shared" si="1"/>
        <v>0.99768288239009917</v>
      </c>
      <c r="H22" s="9">
        <f t="shared" si="1"/>
        <v>1.0230220975771918</v>
      </c>
      <c r="I22" s="9">
        <f t="shared" si="1"/>
        <v>0.89264139209263182</v>
      </c>
      <c r="J22" s="9">
        <f t="shared" si="1"/>
        <v>0.71291248649409655</v>
      </c>
      <c r="K22" s="9">
        <f t="shared" si="1"/>
        <v>1.2320138935559604</v>
      </c>
      <c r="L22" s="9">
        <f t="shared" si="1"/>
        <v>0.93931785890592101</v>
      </c>
      <c r="M22" s="9">
        <f t="shared" si="1"/>
        <v>0</v>
      </c>
      <c r="N22" s="9">
        <f t="shared" si="1"/>
        <v>0</v>
      </c>
      <c r="O22" s="9">
        <f t="shared" si="1"/>
        <v>0</v>
      </c>
      <c r="P22" s="9">
        <f t="shared" si="1"/>
        <v>0</v>
      </c>
    </row>
    <row r="23" spans="3:17" x14ac:dyDescent="0.35">
      <c r="D23" s="3" t="str">
        <f>'KPI 100'!D23</f>
        <v>Actual 2024/25</v>
      </c>
      <c r="E23" s="5">
        <f>Actuals2425!D70</f>
        <v>9865</v>
      </c>
      <c r="F23" s="5">
        <f>Actuals2425!E70</f>
        <v>11182</v>
      </c>
      <c r="G23" s="5">
        <f>Actuals2425!F70</f>
        <v>9917</v>
      </c>
      <c r="H23" s="5">
        <f>Actuals2425!G70</f>
        <v>10893</v>
      </c>
      <c r="I23" s="5">
        <f>Actuals2425!H70</f>
        <v>10729</v>
      </c>
      <c r="J23" s="5">
        <f>Actuals2425!I70</f>
        <v>7857</v>
      </c>
      <c r="K23" s="5">
        <f>Actuals2425!J70</f>
        <v>13498</v>
      </c>
      <c r="L23" s="5">
        <f>Actuals2425!K70</f>
        <v>10409</v>
      </c>
      <c r="M23" s="5">
        <f>Actuals2425!L70</f>
        <v>12309</v>
      </c>
      <c r="N23" s="5">
        <f>Actuals2425!M70</f>
        <v>9620</v>
      </c>
      <c r="O23" s="5">
        <f>Actuals2425!N70</f>
        <v>10093</v>
      </c>
      <c r="P23" s="5">
        <f>Actuals2425!O70</f>
        <v>10844</v>
      </c>
      <c r="Q23" s="5">
        <f>Actual2122!P60</f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43">
        <f>SUM($E19:E19)</f>
        <v>10726.763520129374</v>
      </c>
      <c r="F26" s="43">
        <f>SUM($E19:F19)</f>
        <v>21468.607810437079</v>
      </c>
      <c r="G26" s="43">
        <f>SUM($E19:G19)</f>
        <v>32225.532870923114</v>
      </c>
      <c r="H26" s="43">
        <f>SUM($E19:H19)</f>
        <v>42997.53870158748</v>
      </c>
      <c r="I26" s="43">
        <f>SUM($E19:I19)</f>
        <v>53784.625302430177</v>
      </c>
      <c r="J26" s="43">
        <f>SUM($E19:J19)</f>
        <v>64586.792673451208</v>
      </c>
      <c r="K26" s="43">
        <f>SUM($E19:K19)</f>
        <v>75404.040814650565</v>
      </c>
      <c r="L26" s="43">
        <f>SUM($E19:L19)</f>
        <v>86236.369726028264</v>
      </c>
      <c r="M26" s="43">
        <f>SUM($E19:M19)</f>
        <v>97083.779407584283</v>
      </c>
      <c r="N26" s="43">
        <f>SUM($E19:N19)</f>
        <v>107946.26985931864</v>
      </c>
      <c r="O26" s="43">
        <f>SUM($E19:O19)</f>
        <v>118823.84108123132</v>
      </c>
      <c r="P26" s="43">
        <f>SUM($E19:P19)</f>
        <v>129716.49307332234</v>
      </c>
    </row>
    <row r="27" spans="3:17" x14ac:dyDescent="0.35">
      <c r="D27" s="3" t="str">
        <f t="shared" ref="D27:D30" si="3">D20</f>
        <v>Actual 2025/26</v>
      </c>
      <c r="E27" s="43">
        <f>SUM($E20:E20)</f>
        <v>9053</v>
      </c>
      <c r="F27" s="43">
        <f>SUM($E20:F20)</f>
        <v>19722</v>
      </c>
      <c r="G27" s="43">
        <f>SUM($E20:G20)</f>
        <v>30454</v>
      </c>
      <c r="H27" s="43">
        <f>SUM($E20:H20)</f>
        <v>41474</v>
      </c>
      <c r="I27" s="43">
        <f>SUM($E20:I20)</f>
        <v>51103</v>
      </c>
      <c r="J27" s="43">
        <f>SUM($E20:J20)</f>
        <v>58804</v>
      </c>
      <c r="K27" s="43">
        <f>SUM($E20:K20)</f>
        <v>72131</v>
      </c>
      <c r="L27" s="43">
        <f>SUM($E20:L20)</f>
        <v>82306</v>
      </c>
      <c r="M27" s="43">
        <f>SUM($E20:M20)</f>
        <v>82306</v>
      </c>
      <c r="N27" s="43">
        <f>SUM($E20:N20)</f>
        <v>82306</v>
      </c>
      <c r="O27" s="43">
        <f>SUM($E20:O20)</f>
        <v>82306</v>
      </c>
      <c r="P27" s="43">
        <f>SUM($E20:P20)</f>
        <v>82306</v>
      </c>
    </row>
    <row r="28" spans="3:17" x14ac:dyDescent="0.35">
      <c r="D28" s="3" t="str">
        <f t="shared" si="3"/>
        <v>Difference</v>
      </c>
      <c r="E28" s="43">
        <f>IF(E27=0,0,E27-E26)</f>
        <v>-1673.7635201293742</v>
      </c>
      <c r="F28" s="43">
        <f t="shared" ref="F28:P28" si="4">IF(F27=0,0,F27-F26)</f>
        <v>-1746.607810437079</v>
      </c>
      <c r="G28" s="43">
        <f t="shared" si="4"/>
        <v>-1771.5328709231144</v>
      </c>
      <c r="H28" s="43">
        <f t="shared" si="4"/>
        <v>-1523.5387015874803</v>
      </c>
      <c r="I28" s="43">
        <f t="shared" si="4"/>
        <v>-2681.6253024301768</v>
      </c>
      <c r="J28" s="43">
        <f t="shared" si="4"/>
        <v>-5782.7926734512075</v>
      </c>
      <c r="K28" s="43">
        <f t="shared" si="4"/>
        <v>-3273.0408146505652</v>
      </c>
      <c r="L28" s="43">
        <f t="shared" si="4"/>
        <v>-3930.3697260282643</v>
      </c>
      <c r="M28" s="43">
        <f t="shared" si="4"/>
        <v>-14777.779407584283</v>
      </c>
      <c r="N28" s="43">
        <f t="shared" si="4"/>
        <v>-25640.269859318636</v>
      </c>
      <c r="O28" s="43">
        <f t="shared" si="4"/>
        <v>-36517.841081231323</v>
      </c>
      <c r="P28" s="43">
        <f t="shared" si="4"/>
        <v>-47410.493073322345</v>
      </c>
    </row>
    <row r="29" spans="3:17" x14ac:dyDescent="0.35">
      <c r="D29" s="3" t="str">
        <f t="shared" si="3"/>
        <v>% realisation</v>
      </c>
      <c r="E29" s="9">
        <f t="shared" ref="E29:P29" si="5">E27/E26</f>
        <v>0.84396379047711245</v>
      </c>
      <c r="F29" s="9">
        <f t="shared" si="5"/>
        <v>0.91864363884890776</v>
      </c>
      <c r="G29" s="9">
        <f t="shared" si="5"/>
        <v>0.94502704181746655</v>
      </c>
      <c r="H29" s="9">
        <f t="shared" si="5"/>
        <v>0.96456683922860842</v>
      </c>
      <c r="I29" s="9">
        <f t="shared" si="5"/>
        <v>0.9501414151841453</v>
      </c>
      <c r="J29" s="9">
        <f t="shared" si="5"/>
        <v>0.91046478027344035</v>
      </c>
      <c r="K29" s="9">
        <f t="shared" si="5"/>
        <v>0.9565932968672598</v>
      </c>
      <c r="L29" s="9">
        <f t="shared" si="5"/>
        <v>0.95442329334461784</v>
      </c>
      <c r="M29" s="9">
        <f t="shared" si="5"/>
        <v>0.84778322910624315</v>
      </c>
      <c r="N29" s="9">
        <f t="shared" si="5"/>
        <v>0.76247192336766789</v>
      </c>
      <c r="O29" s="9">
        <f t="shared" si="5"/>
        <v>0.69267244057304378</v>
      </c>
      <c r="P29" s="9">
        <f t="shared" si="5"/>
        <v>0.63450682368876921</v>
      </c>
    </row>
    <row r="30" spans="3:17" x14ac:dyDescent="0.35">
      <c r="D30" s="3" t="str">
        <f t="shared" si="3"/>
        <v>Actual 2024/25</v>
      </c>
      <c r="E30" s="43">
        <f>SUM($E23:E23)</f>
        <v>9865</v>
      </c>
      <c r="F30" s="43">
        <f>SUM($E23:F23)</f>
        <v>21047</v>
      </c>
      <c r="G30" s="43">
        <f>SUM($E23:G23)</f>
        <v>30964</v>
      </c>
      <c r="H30" s="43">
        <f>SUM($E23:H23)</f>
        <v>41857</v>
      </c>
      <c r="I30" s="43">
        <f>SUM($E23:I23)</f>
        <v>52586</v>
      </c>
      <c r="J30" s="43">
        <f>SUM($E23:J23)</f>
        <v>60443</v>
      </c>
      <c r="K30" s="43">
        <f>SUM($E23:K23)</f>
        <v>73941</v>
      </c>
      <c r="L30" s="43">
        <f>SUM($E23:L23)</f>
        <v>84350</v>
      </c>
      <c r="M30" s="43">
        <f>SUM($E23:M23)</f>
        <v>96659</v>
      </c>
      <c r="N30" s="43">
        <f>SUM($E23:N23)</f>
        <v>106279</v>
      </c>
      <c r="O30" s="43">
        <f>SUM($E23:O23)</f>
        <v>116372</v>
      </c>
      <c r="P30" s="43">
        <f>SUM($E23:P23)</f>
        <v>127216</v>
      </c>
    </row>
  </sheetData>
  <mergeCells count="3">
    <mergeCell ref="C1:F1"/>
    <mergeCell ref="J4:Q8"/>
    <mergeCell ref="J10:Q15"/>
  </mergeCells>
  <conditionalFormatting sqref="C3">
    <cfRule type="expression" dxfId="98" priority="2">
      <formula>S4&lt;S6</formula>
    </cfRule>
  </conditionalFormatting>
  <conditionalFormatting sqref="C4">
    <cfRule type="expression" dxfId="97" priority="1">
      <formula>AND(S4&gt;=S6,S4&lt;S5)</formula>
    </cfRule>
  </conditionalFormatting>
  <conditionalFormatting sqref="C5">
    <cfRule type="expression" dxfId="96" priority="3">
      <formula>S4&gt;=S5</formula>
    </cfRule>
  </conditionalFormatting>
  <hyperlinks>
    <hyperlink ref="L1" location="'Distribution Dashboard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40321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57150</xdr:rowOff>
                  </from>
                  <to>
                    <xdr:col>9</xdr:col>
                    <xdr:colOff>628650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S30"/>
  <sheetViews>
    <sheetView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customHeight="1" x14ac:dyDescent="0.5">
      <c r="A1" s="4" t="s">
        <v>4</v>
      </c>
      <c r="B1" s="4" t="str">
        <f>'Distribution Dashboard'!A68</f>
        <v>126B</v>
      </c>
      <c r="C1" s="124" t="s">
        <v>200</v>
      </c>
      <c r="D1" s="124"/>
      <c r="E1" s="124"/>
      <c r="F1" s="124"/>
      <c r="G1" s="3" t="s">
        <v>10</v>
      </c>
      <c r="I1" s="12">
        <f>INDEX(E$18:P$18,Actual_month)</f>
        <v>46054</v>
      </c>
      <c r="L1" s="15" t="s">
        <v>21</v>
      </c>
      <c r="R1" s="5"/>
    </row>
    <row r="2" spans="1:19" x14ac:dyDescent="0.35">
      <c r="A2" s="3" t="s">
        <v>14</v>
      </c>
      <c r="C2" s="3" t="s">
        <v>1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/>
      <c r="K4" s="135"/>
      <c r="L4" s="135"/>
      <c r="M4" s="135"/>
      <c r="N4" s="135"/>
      <c r="O4" s="135"/>
      <c r="P4" s="135"/>
      <c r="Q4" s="136"/>
      <c r="R4" s="3" t="s">
        <v>25</v>
      </c>
      <c r="S4" s="9">
        <f>INDEX(E27:P27,Actual_month)</f>
        <v>0.10770454319514862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9">
        <f>INDEX(E26:P26,Actual_month)</f>
        <v>0.13214599610208563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1.1000000000000001</v>
      </c>
      <c r="S6" s="9">
        <f>+S5*R6</f>
        <v>0.1453605957122942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75">
        <f>Budget2526!D77</f>
        <v>0.15306119906336707</v>
      </c>
      <c r="F19" s="75">
        <f>Budget2526!E77</f>
        <v>0.14710881793228617</v>
      </c>
      <c r="G19" s="75">
        <f>Budget2526!F77</f>
        <v>0.1411564368012054</v>
      </c>
      <c r="H19" s="75">
        <f>Budget2526!G77</f>
        <v>0.13520405567012492</v>
      </c>
      <c r="I19" s="75">
        <f>Budget2526!H77</f>
        <v>0.12925167453904401</v>
      </c>
      <c r="J19" s="75">
        <f>Budget2526!I77</f>
        <v>0.12329929340796332</v>
      </c>
      <c r="K19" s="75">
        <f>Budget2526!J77</f>
        <v>0.11734691227688249</v>
      </c>
      <c r="L19" s="75">
        <f>Budget2526!K77</f>
        <v>0.11139453114580161</v>
      </c>
      <c r="M19" s="75">
        <f>Budget2526!L77</f>
        <v>0.10544215001472092</v>
      </c>
      <c r="N19" s="75">
        <f>Budget2526!M77</f>
        <v>9.9489768883640209E-2</v>
      </c>
      <c r="O19" s="75">
        <f>Budget2526!N77</f>
        <v>9.3537387752559722E-2</v>
      </c>
      <c r="P19" s="75">
        <f>Budget2526!O77</f>
        <v>8.7585006621478764E-2</v>
      </c>
      <c r="Q19" s="5"/>
    </row>
    <row r="20" spans="3:17" x14ac:dyDescent="0.35">
      <c r="D20" s="3" t="str">
        <f>'KPI 100'!D20</f>
        <v>Actual 2025/26</v>
      </c>
      <c r="E20" s="9">
        <f>Actuals2526!D77</f>
        <v>0.11269256530475552</v>
      </c>
      <c r="F20" s="9">
        <f>Actuals2526!E77</f>
        <v>2.9614214823115097E-2</v>
      </c>
      <c r="G20" s="9">
        <f>Actuals2526!F77</f>
        <v>0.10463038180341186</v>
      </c>
      <c r="H20" s="9">
        <f>Actuals2526!G77</f>
        <v>0.11136267157209566</v>
      </c>
      <c r="I20" s="9">
        <f>Actuals2526!H77</f>
        <v>9.5065312046444125E-2</v>
      </c>
      <c r="J20" s="9">
        <f>Actuals2526!I77</f>
        <v>5.8589870903674283E-2</v>
      </c>
      <c r="K20" s="9">
        <f>Actuals2526!J77</f>
        <v>0.14549233567160302</v>
      </c>
      <c r="L20" s="9">
        <f>Actuals2526!K77</f>
        <v>0.17990618853079135</v>
      </c>
      <c r="M20" s="9" t="e">
        <f>Actuals2526!L77</f>
        <v>#DIV/0!</v>
      </c>
      <c r="N20" s="9" t="e">
        <f>Actuals2526!M77</f>
        <v>#DIV/0!</v>
      </c>
      <c r="O20" s="9" t="e">
        <f>Actuals2526!N77</f>
        <v>#DIV/0!</v>
      </c>
      <c r="P20" s="9" t="e">
        <f>Actuals2526!O77</f>
        <v>#DIV/0!</v>
      </c>
      <c r="Q20" s="5"/>
    </row>
    <row r="21" spans="3:17" x14ac:dyDescent="0.35">
      <c r="D21" s="3" t="str">
        <f>'KPI 100'!D21</f>
        <v>Difference</v>
      </c>
      <c r="E21" s="9">
        <f>IF(E20=0,0,E20-E19)</f>
        <v>-4.036863375861155E-2</v>
      </c>
      <c r="F21" s="9">
        <f t="shared" ref="F21:P21" si="0">IF(F20=0,0,F20-F19)</f>
        <v>-0.11749460310917106</v>
      </c>
      <c r="G21" s="9">
        <f t="shared" si="0"/>
        <v>-3.6526054997793544E-2</v>
      </c>
      <c r="H21" s="9">
        <f t="shared" si="0"/>
        <v>-2.3841384098029259E-2</v>
      </c>
      <c r="I21" s="9">
        <f t="shared" si="0"/>
        <v>-3.4186362492599889E-2</v>
      </c>
      <c r="J21" s="9">
        <f t="shared" si="0"/>
        <v>-6.4709422504289044E-2</v>
      </c>
      <c r="K21" s="9">
        <f t="shared" si="0"/>
        <v>2.8145423394720537E-2</v>
      </c>
      <c r="L21" s="9">
        <f t="shared" si="0"/>
        <v>6.8511657384989738E-2</v>
      </c>
      <c r="M21" s="9" t="e">
        <f t="shared" si="0"/>
        <v>#DIV/0!</v>
      </c>
      <c r="N21" s="9" t="e">
        <f t="shared" si="0"/>
        <v>#DIV/0!</v>
      </c>
      <c r="O21" s="9" t="e">
        <f t="shared" si="0"/>
        <v>#DIV/0!</v>
      </c>
      <c r="P21" s="9" t="e">
        <f t="shared" si="0"/>
        <v>#DIV/0!</v>
      </c>
      <c r="Q21" s="5"/>
    </row>
    <row r="22" spans="3:17" x14ac:dyDescent="0.35">
      <c r="D22" s="3" t="str">
        <f>'KPI 100'!D22</f>
        <v>% realisation</v>
      </c>
      <c r="E22" s="9">
        <f t="shared" ref="E22:P22" si="1">E20/E19</f>
        <v>0.73625821563112803</v>
      </c>
      <c r="F22" s="9">
        <f t="shared" si="1"/>
        <v>0.20130822366301962</v>
      </c>
      <c r="G22" s="9">
        <f t="shared" si="1"/>
        <v>0.74123705708699472</v>
      </c>
      <c r="H22" s="9">
        <f t="shared" si="1"/>
        <v>0.82366369130081263</v>
      </c>
      <c r="I22" s="9">
        <f t="shared" si="1"/>
        <v>0.73550545774729625</v>
      </c>
      <c r="J22" s="9">
        <f t="shared" si="1"/>
        <v>0.47518415786712237</v>
      </c>
      <c r="K22" s="9">
        <f t="shared" si="1"/>
        <v>1.2398480100465774</v>
      </c>
      <c r="L22" s="9">
        <f t="shared" si="1"/>
        <v>1.6150360945037461</v>
      </c>
      <c r="M22" s="9" t="e">
        <f t="shared" si="1"/>
        <v>#DIV/0!</v>
      </c>
      <c r="N22" s="9" t="e">
        <f t="shared" si="1"/>
        <v>#DIV/0!</v>
      </c>
      <c r="O22" s="9" t="e">
        <f t="shared" si="1"/>
        <v>#DIV/0!</v>
      </c>
      <c r="P22" s="9" t="e">
        <f t="shared" si="1"/>
        <v>#DIV/0!</v>
      </c>
    </row>
    <row r="23" spans="3:17" x14ac:dyDescent="0.35">
      <c r="D23" s="3" t="str">
        <f>'KPI 100'!D23</f>
        <v>Actual 2024/25</v>
      </c>
      <c r="E23" s="9" t="e">
        <f>Actuals2425!D77</f>
        <v>#DIV/0!</v>
      </c>
      <c r="F23" s="9">
        <f>Actuals2425!E77</f>
        <v>0.19180445722501796</v>
      </c>
      <c r="G23" s="9">
        <f>Actuals2425!F77</f>
        <v>0.20850443767386409</v>
      </c>
      <c r="H23" s="9">
        <f>Actuals2425!G77</f>
        <v>0.13229571984435798</v>
      </c>
      <c r="I23" s="9">
        <f>Actuals2425!H77</f>
        <v>6.6148409893992927E-2</v>
      </c>
      <c r="J23" s="9">
        <f>Actuals2425!I77</f>
        <v>6.1215269934492882E-2</v>
      </c>
      <c r="K23" s="9">
        <f>Actuals2425!J77</f>
        <v>0.27648114901256732</v>
      </c>
      <c r="L23" s="9">
        <f>Actuals2425!K77</f>
        <v>0.15002225849532572</v>
      </c>
      <c r="M23" s="9">
        <f>Actuals2425!L77</f>
        <v>9.4676960585127992E-2</v>
      </c>
      <c r="N23" s="9">
        <f>Actuals2425!M77</f>
        <v>5.5104408352668215E-2</v>
      </c>
      <c r="O23" s="9">
        <f>Actuals2425!N77</f>
        <v>4.8359240069084632E-2</v>
      </c>
      <c r="P23" s="9">
        <f>Actuals2425!O77</f>
        <v>0.15630205441421433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9">
        <f>('KPI 105B'!E26-'KPI 112B'!E26)/'KPI 105B'!E26</f>
        <v>0.15306119906336707</v>
      </c>
      <c r="F26" s="9">
        <f>('KPI 105B'!F26-'KPI 112B'!F26)/'KPI 105B'!F26</f>
        <v>0.15008091367401652</v>
      </c>
      <c r="G26" s="9">
        <f>('KPI 105B'!G26-'KPI 112B'!G26)/'KPI 105B'!G26</f>
        <v>0.14709798884367256</v>
      </c>
      <c r="H26" s="9">
        <f>('KPI 105B'!H26-'KPI 112B'!H26)/'KPI 105B'!H26</f>
        <v>0.14411248993778056</v>
      </c>
      <c r="I26" s="9">
        <f>('KPI 105B'!I26-'KPI 112B'!I26)/'KPI 105B'!I26</f>
        <v>0.14112448043233458</v>
      </c>
      <c r="J26" s="9">
        <f>('KPI 105B'!J26-'KPI 112B'!J26)/'KPI 105B'!J26</f>
        <v>0.13813402197978858</v>
      </c>
      <c r="K26" s="9">
        <f>('KPI 105B'!K26-'KPI 112B'!K26)/'KPI 105B'!K26</f>
        <v>0.13514117447225035</v>
      </c>
      <c r="L26" s="9">
        <f>('KPI 105B'!L26-'KPI 112B'!L26)/'KPI 105B'!L26</f>
        <v>0.13214599610208563</v>
      </c>
      <c r="M26" s="9">
        <f>('KPI 105B'!M26-'KPI 112B'!M26)/'KPI 105B'!M26</f>
        <v>0.12914854342005735</v>
      </c>
      <c r="N26" s="9">
        <f>('KPI 105B'!N26-'KPI 112B'!N26)/'KPI 105B'!N26</f>
        <v>0.12614887139111453</v>
      </c>
      <c r="O26" s="9">
        <f>('KPI 105B'!O26-'KPI 112B'!O26)/'KPI 105B'!O26</f>
        <v>0.12314703344794115</v>
      </c>
      <c r="P26" s="9">
        <f>('KPI 105B'!P26-'KPI 112B'!P26)/'KPI 105B'!P26</f>
        <v>0.1201430815423679</v>
      </c>
    </row>
    <row r="27" spans="3:17" x14ac:dyDescent="0.35">
      <c r="D27" s="3" t="str">
        <f t="shared" ref="D27:D30" si="3">D20</f>
        <v>Actual 2025/26</v>
      </c>
      <c r="E27" s="9">
        <f>('KPI 105B'!E27-'KPI 112B'!E27)/'KPI 105B'!E27</f>
        <v>0.11269256530475552</v>
      </c>
      <c r="F27" s="9">
        <f>('KPI 105B'!F27-'KPI 112B'!F27)/'KPI 105B'!F27</f>
        <v>7.021851215320403E-2</v>
      </c>
      <c r="G27" s="9">
        <f>('KPI 105B'!G27-'KPI 112B'!G27)/'KPI 105B'!G27</f>
        <v>8.1745945357570474E-2</v>
      </c>
      <c r="H27" s="9">
        <f>('KPI 105B'!H27-'KPI 112B'!H27)/'KPI 105B'!H27</f>
        <v>8.997287842459023E-2</v>
      </c>
      <c r="I27" s="9">
        <f>('KPI 105B'!I27-'KPI 112B'!I27)/'KPI 105B'!I27</f>
        <v>9.0879720867121122E-2</v>
      </c>
      <c r="J27" s="9">
        <f>('KPI 105B'!J27-'KPI 112B'!J27)/'KPI 105B'!J27</f>
        <v>8.6362120706902301E-2</v>
      </c>
      <c r="K27" s="9">
        <f>('KPI 105B'!K27-'KPI 112B'!K27)/'KPI 105B'!K27</f>
        <v>9.6781577622121501E-2</v>
      </c>
      <c r="L27" s="9">
        <f>('KPI 105B'!L27-'KPI 112B'!L27)/'KPI 105B'!L27</f>
        <v>0.10770454319514862</v>
      </c>
      <c r="M27" s="9">
        <f>('KPI 105B'!M27-'KPI 112B'!M27)/'KPI 105B'!M27</f>
        <v>0.10770454319514862</v>
      </c>
      <c r="N27" s="9">
        <f>('KPI 105B'!N27-'KPI 112B'!N27)/'KPI 105B'!N27</f>
        <v>0.10770454319514862</v>
      </c>
      <c r="O27" s="9">
        <f>('KPI 105B'!O27-'KPI 112B'!O27)/'KPI 105B'!O27</f>
        <v>0.10770454319514862</v>
      </c>
      <c r="P27" s="9">
        <f>('KPI 105B'!P27-'KPI 112B'!P27)/'KPI 105B'!P27</f>
        <v>0.10770454319514862</v>
      </c>
    </row>
    <row r="28" spans="3:17" x14ac:dyDescent="0.35">
      <c r="D28" s="3" t="str">
        <f t="shared" si="3"/>
        <v>Difference</v>
      </c>
      <c r="E28" s="9">
        <f>IF(E27=0,0,E27-E26)</f>
        <v>-4.036863375861155E-2</v>
      </c>
      <c r="F28" s="9">
        <f t="shared" ref="F28:P28" si="4">IF(F27=0,0,F27-F26)</f>
        <v>-7.986240152081249E-2</v>
      </c>
      <c r="G28" s="9">
        <f t="shared" si="4"/>
        <v>-6.5352043486102088E-2</v>
      </c>
      <c r="H28" s="9">
        <f t="shared" si="4"/>
        <v>-5.4139611513190328E-2</v>
      </c>
      <c r="I28" s="9">
        <f t="shared" si="4"/>
        <v>-5.0244759565213459E-2</v>
      </c>
      <c r="J28" s="9">
        <f t="shared" si="4"/>
        <v>-5.1771901272886278E-2</v>
      </c>
      <c r="K28" s="9">
        <f t="shared" si="4"/>
        <v>-3.8359596850128852E-2</v>
      </c>
      <c r="L28" s="9">
        <f t="shared" si="4"/>
        <v>-2.4441452906937014E-2</v>
      </c>
      <c r="M28" s="9">
        <f t="shared" si="4"/>
        <v>-2.1444000224908735E-2</v>
      </c>
      <c r="N28" s="9">
        <f t="shared" si="4"/>
        <v>-1.8444328195965906E-2</v>
      </c>
      <c r="O28" s="9">
        <f t="shared" si="4"/>
        <v>-1.5442490252792526E-2</v>
      </c>
      <c r="P28" s="9">
        <f t="shared" si="4"/>
        <v>-1.243853834721928E-2</v>
      </c>
    </row>
    <row r="29" spans="3:17" x14ac:dyDescent="0.35">
      <c r="D29" s="3" t="str">
        <f t="shared" si="3"/>
        <v>% realisation</v>
      </c>
      <c r="E29" s="9">
        <f t="shared" ref="E29:P29" si="5">E27/E26</f>
        <v>0.73625821563112803</v>
      </c>
      <c r="F29" s="9">
        <f>F27/F26</f>
        <v>0.46787103325958063</v>
      </c>
      <c r="G29" s="9">
        <f t="shared" si="5"/>
        <v>0.55572442560343538</v>
      </c>
      <c r="H29" s="9">
        <f t="shared" si="5"/>
        <v>0.62432394626888565</v>
      </c>
      <c r="I29" s="9">
        <f t="shared" si="5"/>
        <v>0.64396850630529345</v>
      </c>
      <c r="J29" s="9">
        <f t="shared" si="5"/>
        <v>0.62520528591818303</v>
      </c>
      <c r="K29" s="9">
        <f t="shared" si="5"/>
        <v>0.71615166880168302</v>
      </c>
      <c r="L29" s="9">
        <f t="shared" si="5"/>
        <v>0.81504204722135154</v>
      </c>
      <c r="M29" s="9">
        <f t="shared" si="5"/>
        <v>0.83395863664399339</v>
      </c>
      <c r="N29" s="9">
        <f t="shared" si="5"/>
        <v>0.85378919373142281</v>
      </c>
      <c r="O29" s="9">
        <f t="shared" si="5"/>
        <v>0.87460119971691686</v>
      </c>
      <c r="P29" s="9">
        <f t="shared" si="5"/>
        <v>0.89646895861554132</v>
      </c>
    </row>
    <row r="30" spans="3:17" x14ac:dyDescent="0.35">
      <c r="D30" s="3" t="str">
        <f t="shared" si="3"/>
        <v>Actual 2024/25</v>
      </c>
      <c r="E30" s="9" t="e">
        <f>E23</f>
        <v>#DIV/0!</v>
      </c>
      <c r="F30" s="9">
        <f t="shared" ref="F30:P30" si="6">F23</f>
        <v>0.19180445722501796</v>
      </c>
      <c r="G30" s="9">
        <f t="shared" si="6"/>
        <v>0.20850443767386409</v>
      </c>
      <c r="H30" s="9">
        <f t="shared" si="6"/>
        <v>0.13229571984435798</v>
      </c>
      <c r="I30" s="9">
        <f t="shared" si="6"/>
        <v>6.6148409893992927E-2</v>
      </c>
      <c r="J30" s="9">
        <f t="shared" si="6"/>
        <v>6.1215269934492882E-2</v>
      </c>
      <c r="K30" s="9">
        <f t="shared" si="6"/>
        <v>0.27648114901256732</v>
      </c>
      <c r="L30" s="9">
        <f t="shared" si="6"/>
        <v>0.15002225849532572</v>
      </c>
      <c r="M30" s="9">
        <f t="shared" si="6"/>
        <v>9.4676960585127992E-2</v>
      </c>
      <c r="N30" s="9">
        <f t="shared" si="6"/>
        <v>5.5104408352668215E-2</v>
      </c>
      <c r="O30" s="9">
        <f t="shared" si="6"/>
        <v>4.8359240069084632E-2</v>
      </c>
      <c r="P30" s="9">
        <f t="shared" si="6"/>
        <v>0.15630205441421433</v>
      </c>
    </row>
  </sheetData>
  <sheetProtection algorithmName="SHA-512" hashValue="Kjbb5Yosh+7Te7ktomq488sPnqeT4wStGnJtR2XeZNtWiKbYOmKX1DXyVziIwHaaLoZ+naj2dh7q0c1TQN0JNA==" saltValue="fLpXLdq7/6qVv1BwIN5w6A==" spinCount="100000" sheet="1" objects="1" scenarios="1"/>
  <mergeCells count="3">
    <mergeCell ref="C1:F1"/>
    <mergeCell ref="J4:Q8"/>
    <mergeCell ref="J10:Q15"/>
  </mergeCells>
  <conditionalFormatting sqref="C3">
    <cfRule type="expression" dxfId="95" priority="2">
      <formula>S4&gt;S6</formula>
    </cfRule>
  </conditionalFormatting>
  <conditionalFormatting sqref="C4">
    <cfRule type="expression" dxfId="94" priority="1">
      <formula>AND(S4&gt;S5,S4&lt;=S6)</formula>
    </cfRule>
  </conditionalFormatting>
  <conditionalFormatting sqref="C5">
    <cfRule type="expression" dxfId="93" priority="3">
      <formula>S4&lt;=S5</formula>
    </cfRule>
  </conditionalFormatting>
  <hyperlinks>
    <hyperlink ref="L1" location="'Distribution Dashboard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72865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57150</xdr:rowOff>
                  </from>
                  <to>
                    <xdr:col>9</xdr:col>
                    <xdr:colOff>628650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S30"/>
  <sheetViews>
    <sheetView zoomScale="90" zoomScaleNormal="90" zoomScalePageLayoutView="90" workbookViewId="0">
      <pane ySplit="2" topLeftCell="A3" activePane="bottomLeft" state="frozen"/>
      <selection activeCell="D26" sqref="D26:D30"/>
      <selection pane="bottomLeft" activeCell="Q35" sqref="Q35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customHeight="1" x14ac:dyDescent="0.5">
      <c r="A1" s="4" t="s">
        <v>4</v>
      </c>
      <c r="B1" s="4">
        <v>126</v>
      </c>
      <c r="C1" s="124" t="s">
        <v>75</v>
      </c>
      <c r="D1" s="124"/>
      <c r="E1" s="124"/>
      <c r="F1" s="124"/>
      <c r="G1" s="3" t="s">
        <v>10</v>
      </c>
      <c r="I1" s="12">
        <f>INDEX(E$18:P$18,Actual_month)</f>
        <v>46054</v>
      </c>
      <c r="L1" s="15" t="s">
        <v>21</v>
      </c>
      <c r="R1" s="5"/>
    </row>
    <row r="2" spans="1:19" x14ac:dyDescent="0.35">
      <c r="A2" s="3" t="s">
        <v>14</v>
      </c>
      <c r="C2" s="3" t="s">
        <v>1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/>
      <c r="K4" s="135"/>
      <c r="L4" s="135"/>
      <c r="M4" s="135"/>
      <c r="N4" s="135"/>
      <c r="O4" s="135"/>
      <c r="P4" s="135"/>
      <c r="Q4" s="136"/>
      <c r="R4" s="3" t="s">
        <v>25</v>
      </c>
      <c r="S4" s="9">
        <f>INDEX(E27:P27,Actual_month)</f>
        <v>0.14916887198147535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9">
        <f>INDEX(E26:P26,Actual_month)</f>
        <v>0.15429793974061176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1.1000000000000001</v>
      </c>
      <c r="S6" s="9">
        <f>+S5*R6</f>
        <v>0.16972773371467295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9">
        <f>Budget2526!D71</f>
        <v>0.18367344488035375</v>
      </c>
      <c r="F19" s="9">
        <f>Budget2526!E71</f>
        <v>0.17517004326452393</v>
      </c>
      <c r="G19" s="9">
        <f>Budget2526!F71</f>
        <v>0.16666664164869435</v>
      </c>
      <c r="H19" s="9">
        <f>Budget2526!G71</f>
        <v>0.158163240032865</v>
      </c>
      <c r="I19" s="9">
        <f>Budget2526!H71</f>
        <v>0.14965983841703526</v>
      </c>
      <c r="J19" s="9">
        <f>Budget2526!I71</f>
        <v>0.14115643680120538</v>
      </c>
      <c r="K19" s="9">
        <f>Budget2526!J71</f>
        <v>0.13265303518537588</v>
      </c>
      <c r="L19" s="9">
        <f>Budget2526!K71</f>
        <v>0.12414963356954627</v>
      </c>
      <c r="M19" s="9">
        <f>Budget2526!L71</f>
        <v>0.11564623195371643</v>
      </c>
      <c r="N19" s="9">
        <f>Budget2526!M71</f>
        <v>0.10714283033788685</v>
      </c>
      <c r="O19" s="9">
        <f>Budget2526!N71</f>
        <v>9.8639428722057332E-2</v>
      </c>
      <c r="P19" s="9">
        <f>Budget2526!O71</f>
        <v>9.0136027106227451E-2</v>
      </c>
      <c r="Q19" s="5"/>
    </row>
    <row r="20" spans="3:17" x14ac:dyDescent="0.35">
      <c r="D20" s="3" t="str">
        <f>'KPI 100'!D20</f>
        <v>Actual 2025/26</v>
      </c>
      <c r="E20" s="9">
        <f>Actuals2526!D71</f>
        <v>0.10702308147563622</v>
      </c>
      <c r="F20" s="9">
        <f>Actuals2526!E71</f>
        <v>0.18176240509241506</v>
      </c>
      <c r="G20" s="9">
        <f>Actuals2526!F71</f>
        <v>0.15906597711957374</v>
      </c>
      <c r="H20" s="9">
        <f>Actuals2526!G71</f>
        <v>7.4338513229735406E-2</v>
      </c>
      <c r="I20" s="9">
        <f>Actuals2526!H71</f>
        <v>0.22720706260032103</v>
      </c>
      <c r="J20" s="9">
        <f>Actuals2526!I71</f>
        <v>0.17961009907318631</v>
      </c>
      <c r="K20" s="9">
        <f>Actuals2526!J71</f>
        <v>0.14783553935673635</v>
      </c>
      <c r="L20" s="9">
        <f>Actuals2526!K71</f>
        <v>0.10792565316500087</v>
      </c>
      <c r="M20" s="9" t="e">
        <f>Actuals2526!L71</f>
        <v>#DIV/0!</v>
      </c>
      <c r="N20" s="9" t="e">
        <f>Actuals2526!M71</f>
        <v>#DIV/0!</v>
      </c>
      <c r="O20" s="9" t="e">
        <f>Actuals2526!N71</f>
        <v>#DIV/0!</v>
      </c>
      <c r="P20" s="9" t="e">
        <f>Actuals2526!O71</f>
        <v>#DIV/0!</v>
      </c>
      <c r="Q20" s="5"/>
    </row>
    <row r="21" spans="3:17" x14ac:dyDescent="0.35">
      <c r="D21" s="3" t="str">
        <f>'KPI 100'!D21</f>
        <v>Difference</v>
      </c>
      <c r="E21" s="9">
        <f>IF(E20=0,0,E20-E19)</f>
        <v>-7.6650363404717536E-2</v>
      </c>
      <c r="F21" s="9">
        <f t="shared" ref="F21:P21" si="0">IF(F20=0,0,F20-F19)</f>
        <v>6.5923618278911356E-3</v>
      </c>
      <c r="G21" s="9">
        <f t="shared" si="0"/>
        <v>-7.6006645291206154E-3</v>
      </c>
      <c r="H21" s="9">
        <f t="shared" si="0"/>
        <v>-8.3824726803129593E-2</v>
      </c>
      <c r="I21" s="9">
        <f t="shared" si="0"/>
        <v>7.7547224183285773E-2</v>
      </c>
      <c r="J21" s="9">
        <f t="shared" si="0"/>
        <v>3.8453662271980937E-2</v>
      </c>
      <c r="K21" s="9">
        <f t="shared" si="0"/>
        <v>1.5182504171360467E-2</v>
      </c>
      <c r="L21" s="9">
        <f t="shared" si="0"/>
        <v>-1.6223980404545396E-2</v>
      </c>
      <c r="M21" s="9" t="e">
        <f t="shared" si="0"/>
        <v>#DIV/0!</v>
      </c>
      <c r="N21" s="9" t="e">
        <f t="shared" si="0"/>
        <v>#DIV/0!</v>
      </c>
      <c r="O21" s="9" t="e">
        <f t="shared" si="0"/>
        <v>#DIV/0!</v>
      </c>
      <c r="P21" s="9" t="e">
        <f t="shared" si="0"/>
        <v>#DIV/0!</v>
      </c>
      <c r="Q21" s="5"/>
    </row>
    <row r="22" spans="3:17" x14ac:dyDescent="0.35">
      <c r="D22" s="3" t="str">
        <f>'KPI 100'!D22</f>
        <v>% realisation</v>
      </c>
      <c r="E22" s="9">
        <f t="shared" ref="E22:P22" si="1">E20/E19</f>
        <v>0.58268129911404365</v>
      </c>
      <c r="F22" s="9">
        <f t="shared" si="1"/>
        <v>1.0376340709006735</v>
      </c>
      <c r="G22" s="9">
        <f t="shared" si="1"/>
        <v>0.9543960059797596</v>
      </c>
      <c r="H22" s="9">
        <f t="shared" si="1"/>
        <v>0.47001132004053842</v>
      </c>
      <c r="I22" s="9">
        <f t="shared" si="1"/>
        <v>1.5181565408830406</v>
      </c>
      <c r="J22" s="9">
        <f t="shared" si="1"/>
        <v>1.2724187656148924</v>
      </c>
      <c r="K22" s="9">
        <f t="shared" si="1"/>
        <v>1.1144527462198184</v>
      </c>
      <c r="L22" s="9">
        <f t="shared" si="1"/>
        <v>0.86931914385831011</v>
      </c>
      <c r="M22" s="9" t="e">
        <f t="shared" si="1"/>
        <v>#DIV/0!</v>
      </c>
      <c r="N22" s="9" t="e">
        <f t="shared" si="1"/>
        <v>#DIV/0!</v>
      </c>
      <c r="O22" s="9" t="e">
        <f t="shared" si="1"/>
        <v>#DIV/0!</v>
      </c>
      <c r="P22" s="9" t="e">
        <f t="shared" si="1"/>
        <v>#DIV/0!</v>
      </c>
    </row>
    <row r="23" spans="3:17" x14ac:dyDescent="0.35">
      <c r="D23" s="3" t="str">
        <f>'KPI 100'!D23</f>
        <v>Actual 2024/25</v>
      </c>
      <c r="E23" s="9">
        <f>Actuals2425!D71</f>
        <v>0.14366319444444445</v>
      </c>
      <c r="F23" s="9">
        <f>Actuals2425!E71</f>
        <v>0.13284218689414501</v>
      </c>
      <c r="G23" s="9">
        <f>Actuals2425!F71</f>
        <v>0.19732901659247268</v>
      </c>
      <c r="H23" s="9">
        <f>Actuals2425!G71</f>
        <v>0.18854290822407629</v>
      </c>
      <c r="I23" s="9">
        <f>Actuals2425!H71</f>
        <v>0.21237703714579356</v>
      </c>
      <c r="J23" s="9">
        <f>Actuals2425!I71</f>
        <v>0.21906371136069974</v>
      </c>
      <c r="K23" s="9">
        <f>Actuals2425!J71</f>
        <v>0.25189824308596132</v>
      </c>
      <c r="L23" s="9">
        <f>Actuals2425!K71</f>
        <v>0.2125728118617142</v>
      </c>
      <c r="M23" s="9">
        <f>Actuals2425!L71</f>
        <v>0.1185190489830994</v>
      </c>
      <c r="N23" s="9">
        <f>Actuals2425!M71</f>
        <v>0.11799761620977355</v>
      </c>
      <c r="O23" s="9">
        <f>Actuals2425!N71</f>
        <v>9.609528927100125E-2</v>
      </c>
      <c r="P23" s="9">
        <f>Actuals2425!O71</f>
        <v>9.6784940862901889E-2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9">
        <f>('KPI 105'!E26-'KPI 112'!E26)/'KPI 105'!E26</f>
        <v>0.18367344488035375</v>
      </c>
      <c r="F26" s="9">
        <f>('KPI 105'!F26-'KPI 112'!F26)/'KPI 105'!F26</f>
        <v>0.1794407870433439</v>
      </c>
      <c r="G26" s="9">
        <f>('KPI 105'!G26-'KPI 112'!G26)/'KPI 105'!G26</f>
        <v>0.17522052939033655</v>
      </c>
      <c r="H26" s="9">
        <f>('KPI 105'!H26-'KPI 112'!H26)/'KPI 105'!H26</f>
        <v>0.17101245780855842</v>
      </c>
      <c r="I26" s="9">
        <f>('KPI 105'!I26-'KPI 112'!I26)/'KPI 105'!I26</f>
        <v>0.16681636372420158</v>
      </c>
      <c r="J26" s="9">
        <f>('KPI 105'!J26-'KPI 112'!J26)/'KPI 105'!J26</f>
        <v>0.16263204390610103</v>
      </c>
      <c r="K26" s="9">
        <f>('KPI 105'!K26-'KPI 112'!K26)/'KPI 105'!K26</f>
        <v>0.15845930027824115</v>
      </c>
      <c r="L26" s="9">
        <f>('KPI 105'!L26-'KPI 112'!L26)/'KPI 105'!L26</f>
        <v>0.15429793974061176</v>
      </c>
      <c r="M26" s="9">
        <f>('KPI 105'!M26-'KPI 112'!M26)/'KPI 105'!M26</f>
        <v>0.15014777399796569</v>
      </c>
      <c r="N26" s="9">
        <f>('KPI 105'!N26-'KPI 112'!N26)/'KPI 105'!N26</f>
        <v>0.14600861939605489</v>
      </c>
      <c r="O26" s="9">
        <f>('KPI 105'!O26-'KPI 112'!O26)/'KPI 105'!O26</f>
        <v>0.14188029676495223</v>
      </c>
      <c r="P26" s="9">
        <f>('KPI 105'!P26-'KPI 112'!P26)/'KPI 105'!P26</f>
        <v>0.13776263126908714</v>
      </c>
    </row>
    <row r="27" spans="3:17" x14ac:dyDescent="0.35">
      <c r="D27" s="3" t="str">
        <f t="shared" ref="D27:D30" si="3">D20</f>
        <v>Actual 2025/26</v>
      </c>
      <c r="E27" s="9">
        <f>('KPI 105'!E27-'KPI 112'!E27)/'KPI 105'!E27</f>
        <v>0.10702308147563622</v>
      </c>
      <c r="F27" s="9">
        <f>('KPI 105'!F27-'KPI 112'!F27)/'KPI 105'!F27</f>
        <v>0.14907019890408596</v>
      </c>
      <c r="G27" s="9">
        <f>('KPI 105'!G27-'KPI 112'!G27)/'KPI 105'!G27</f>
        <v>0.15261971674225772</v>
      </c>
      <c r="H27" s="9">
        <f>('KPI 105'!H27-'KPI 112'!H27)/'KPI 105'!H27</f>
        <v>0.13314104171891983</v>
      </c>
      <c r="I27" s="9">
        <f>('KPI 105'!I27-'KPI 112'!I27)/'KPI 105'!I27</f>
        <v>0.15257694348633591</v>
      </c>
      <c r="J27" s="9">
        <f>('KPI 105'!J27-'KPI 112'!J27)/'KPI 105'!J27</f>
        <v>0.15621816303396421</v>
      </c>
      <c r="K27" s="9">
        <f>('KPI 105'!K27-'KPI 112'!K27)/'KPI 105'!K27</f>
        <v>0.1546818235087308</v>
      </c>
      <c r="L27" s="9">
        <f>('KPI 105'!L27-'KPI 112'!L27)/'KPI 105'!L27</f>
        <v>0.14916887198147535</v>
      </c>
      <c r="M27" s="9">
        <f>('KPI 105'!M27-'KPI 112'!M27)/'KPI 105'!M27</f>
        <v>0.14916887198147535</v>
      </c>
      <c r="N27" s="9">
        <f>('KPI 105'!N27-'KPI 112'!N27)/'KPI 105'!N27</f>
        <v>0.14916887198147535</v>
      </c>
      <c r="O27" s="9">
        <f>('KPI 105'!O27-'KPI 112'!O27)/'KPI 105'!O27</f>
        <v>0.14916887198147535</v>
      </c>
      <c r="P27" s="9">
        <f>('KPI 105'!P27-'KPI 112'!P27)/'KPI 105'!P27</f>
        <v>0.14916887198147535</v>
      </c>
    </row>
    <row r="28" spans="3:17" x14ac:dyDescent="0.35">
      <c r="D28" s="3" t="str">
        <f t="shared" si="3"/>
        <v>Difference</v>
      </c>
      <c r="E28" s="9">
        <f>IF(E27=0,0,E27-E26)</f>
        <v>-7.6650363404717536E-2</v>
      </c>
      <c r="F28" s="9">
        <f t="shared" ref="F28:P28" si="4">IF(F27=0,0,F27-F26)</f>
        <v>-3.0370588139257942E-2</v>
      </c>
      <c r="G28" s="9">
        <f t="shared" si="4"/>
        <v>-2.2600812648078838E-2</v>
      </c>
      <c r="H28" s="9">
        <f t="shared" si="4"/>
        <v>-3.7871416089638593E-2</v>
      </c>
      <c r="I28" s="9">
        <f t="shared" si="4"/>
        <v>-1.4239420237865674E-2</v>
      </c>
      <c r="J28" s="9">
        <f t="shared" si="4"/>
        <v>-6.4138808721368179E-3</v>
      </c>
      <c r="K28" s="9">
        <f t="shared" si="4"/>
        <v>-3.7774767695103462E-3</v>
      </c>
      <c r="L28" s="9">
        <f t="shared" si="4"/>
        <v>-5.1290677591364076E-3</v>
      </c>
      <c r="M28" s="9">
        <f t="shared" si="4"/>
        <v>-9.7890201649034059E-4</v>
      </c>
      <c r="N28" s="9">
        <f t="shared" si="4"/>
        <v>3.1602525854204644E-3</v>
      </c>
      <c r="O28" s="9">
        <f t="shared" si="4"/>
        <v>7.2885752165231243E-3</v>
      </c>
      <c r="P28" s="9">
        <f t="shared" si="4"/>
        <v>1.1406240712388216E-2</v>
      </c>
    </row>
    <row r="29" spans="3:17" x14ac:dyDescent="0.35">
      <c r="D29" s="3" t="str">
        <f t="shared" si="3"/>
        <v>% realisation</v>
      </c>
      <c r="E29" s="9">
        <f t="shared" ref="E29:P29" si="5">E27/E26</f>
        <v>0.58268129911404365</v>
      </c>
      <c r="F29" s="9">
        <f>F27/F26</f>
        <v>0.83074869075378088</v>
      </c>
      <c r="G29" s="9">
        <f t="shared" si="5"/>
        <v>0.8710150418634377</v>
      </c>
      <c r="H29" s="9">
        <f t="shared" si="5"/>
        <v>0.77854586399761516</v>
      </c>
      <c r="I29" s="9">
        <f t="shared" si="5"/>
        <v>0.9146401472855038</v>
      </c>
      <c r="J29" s="9">
        <f t="shared" si="5"/>
        <v>0.96056201030197963</v>
      </c>
      <c r="K29" s="9">
        <f t="shared" si="5"/>
        <v>0.97616121765729491</v>
      </c>
      <c r="L29" s="9">
        <f t="shared" si="5"/>
        <v>0.96675867631311985</v>
      </c>
      <c r="M29" s="9">
        <f t="shared" si="5"/>
        <v>0.9934804093965216</v>
      </c>
      <c r="N29" s="9">
        <f t="shared" si="5"/>
        <v>1.0216442878406249</v>
      </c>
      <c r="O29" s="9">
        <f t="shared" si="5"/>
        <v>1.0513712994877493</v>
      </c>
      <c r="P29" s="9">
        <f t="shared" si="5"/>
        <v>1.0827963331370232</v>
      </c>
    </row>
    <row r="30" spans="3:17" x14ac:dyDescent="0.35">
      <c r="D30" s="3" t="str">
        <f t="shared" si="3"/>
        <v>Actual 2024/25</v>
      </c>
      <c r="E30" s="9">
        <f>E23</f>
        <v>0.14366319444444445</v>
      </c>
      <c r="F30" s="9">
        <f t="shared" ref="F30:P30" si="6">F23</f>
        <v>0.13284218689414501</v>
      </c>
      <c r="G30" s="9">
        <f t="shared" si="6"/>
        <v>0.19732901659247268</v>
      </c>
      <c r="H30" s="9">
        <f t="shared" si="6"/>
        <v>0.18854290822407629</v>
      </c>
      <c r="I30" s="9">
        <f t="shared" si="6"/>
        <v>0.21237703714579356</v>
      </c>
      <c r="J30" s="9">
        <f t="shared" si="6"/>
        <v>0.21906371136069974</v>
      </c>
      <c r="K30" s="9">
        <f t="shared" si="6"/>
        <v>0.25189824308596132</v>
      </c>
      <c r="L30" s="9">
        <f t="shared" si="6"/>
        <v>0.2125728118617142</v>
      </c>
      <c r="M30" s="9">
        <f t="shared" si="6"/>
        <v>0.1185190489830994</v>
      </c>
      <c r="N30" s="9">
        <f t="shared" si="6"/>
        <v>0.11799761620977355</v>
      </c>
      <c r="O30" s="9">
        <f t="shared" si="6"/>
        <v>9.609528927100125E-2</v>
      </c>
      <c r="P30" s="9">
        <f t="shared" si="6"/>
        <v>9.6784940862901889E-2</v>
      </c>
    </row>
  </sheetData>
  <sheetProtection algorithmName="SHA-512" hashValue="/ce9AWFzLQij5VTgjgjBF5oeT3Oc67rt0oU7ew/9FuZA7t/dtB72iYuM0oO8IUfXzQm9MNb0Vfr8Q5La05laQg==" saltValue="jlQUsA/LiG6GIaYUU9xzrw==" spinCount="100000" sheet="1" objects="1" scenarios="1"/>
  <mergeCells count="3">
    <mergeCell ref="C1:F1"/>
    <mergeCell ref="J4:Q8"/>
    <mergeCell ref="J10:Q15"/>
  </mergeCells>
  <conditionalFormatting sqref="C3">
    <cfRule type="expression" dxfId="92" priority="2">
      <formula>S4&gt;S6</formula>
    </cfRule>
  </conditionalFormatting>
  <conditionalFormatting sqref="C4">
    <cfRule type="expression" dxfId="91" priority="1">
      <formula>AND(S4&gt;S5,S4&lt;=S6)</formula>
    </cfRule>
  </conditionalFormatting>
  <conditionalFormatting sqref="C5">
    <cfRule type="expression" dxfId="90" priority="3">
      <formula>S4&lt;=S5</formula>
    </cfRule>
  </conditionalFormatting>
  <hyperlinks>
    <hyperlink ref="L1" location="'Distribution Dashboard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56705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57150</xdr:rowOff>
                  </from>
                  <to>
                    <xdr:col>9</xdr:col>
                    <xdr:colOff>628650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S30"/>
  <sheetViews>
    <sheetView zoomScale="90" zoomScaleNormal="90" zoomScalePageLayoutView="90" workbookViewId="0">
      <pane ySplit="2" topLeftCell="A3" activePane="bottomLeft" state="frozen"/>
      <selection activeCell="D26" sqref="D26:D30"/>
      <selection pane="bottomLeft" activeCell="T33" sqref="T33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>
        <v>106</v>
      </c>
      <c r="C1" s="124" t="s">
        <v>118</v>
      </c>
      <c r="D1" s="124"/>
      <c r="E1" s="124"/>
      <c r="F1" s="124"/>
      <c r="G1" s="3" t="s">
        <v>10</v>
      </c>
      <c r="I1" s="12" cm="1">
        <f t="array" ref="I1">INDEX(E18:P18,Actual_month)</f>
        <v>46054</v>
      </c>
      <c r="L1" s="15" t="s">
        <v>21</v>
      </c>
      <c r="R1" s="5"/>
    </row>
    <row r="2" spans="1:19" x14ac:dyDescent="0.35">
      <c r="A2" s="3" t="s">
        <v>14</v>
      </c>
      <c r="C2" s="3" t="s">
        <v>15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/>
      <c r="K4" s="135"/>
      <c r="L4" s="135"/>
      <c r="M4" s="135"/>
      <c r="N4" s="135"/>
      <c r="O4" s="135"/>
      <c r="P4" s="135"/>
      <c r="Q4" s="136"/>
      <c r="R4" s="3" t="s">
        <v>25</v>
      </c>
      <c r="S4" s="43">
        <f>INDEX(E27:P27,Actual_month)</f>
        <v>70353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43">
        <f>INDEX(E26:P26,Actual_month)</f>
        <v>71834.911627477544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0.9</v>
      </c>
      <c r="S6" s="43">
        <f>+S5*R6</f>
        <v>64651.420464729788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43">
        <f>Budget2526!D79</f>
        <v>8583.3921470690166</v>
      </c>
      <c r="F19" s="43">
        <f>Budget2526!E79</f>
        <v>8528.5362794830289</v>
      </c>
      <c r="G19" s="43">
        <f>Budget2526!F79</f>
        <v>8474.5581057784184</v>
      </c>
      <c r="H19" s="43">
        <f>Budget2526!G79</f>
        <v>8896.2257437637745</v>
      </c>
      <c r="I19" s="43">
        <f>Budget2526!H79</f>
        <v>9075.7276869559464</v>
      </c>
      <c r="J19" s="43">
        <f>Budget2526!I79</f>
        <v>9252.4249122857436</v>
      </c>
      <c r="K19" s="43">
        <f>Budget2526!J79</f>
        <v>9426.3826457499617</v>
      </c>
      <c r="L19" s="43">
        <f>Budget2526!K79</f>
        <v>9597.6641063916541</v>
      </c>
      <c r="M19" s="43">
        <f>Budget2526!L79</f>
        <v>9766.330582901408</v>
      </c>
      <c r="N19" s="43">
        <f>Budget2526!M79</f>
        <v>9932.4415067367754</v>
      </c>
      <c r="O19" s="43">
        <f>Budget2526!N79</f>
        <v>10096.054521943039</v>
      </c>
      <c r="P19" s="43">
        <f>Budget2526!O79</f>
        <v>10257.225551847716</v>
      </c>
      <c r="Q19" s="5"/>
    </row>
    <row r="20" spans="3:17" x14ac:dyDescent="0.35">
      <c r="D20" s="3" t="str">
        <f>'KPI 100'!D20</f>
        <v>Actual 2025/26</v>
      </c>
      <c r="E20" s="43">
        <f>Actuals2526!D79</f>
        <v>8027</v>
      </c>
      <c r="F20" s="43">
        <f>Actuals2526!E79</f>
        <v>9917</v>
      </c>
      <c r="G20" s="43">
        <f>Actuals2526!F79</f>
        <v>6087</v>
      </c>
      <c r="H20" s="43">
        <f>Actuals2526!G79</f>
        <v>9083</v>
      </c>
      <c r="I20" s="43">
        <f>Actuals2526!H79</f>
        <v>7482</v>
      </c>
      <c r="J20" s="43">
        <f>Actuals2526!I79</f>
        <v>8871</v>
      </c>
      <c r="K20" s="43">
        <f>Actuals2526!J79</f>
        <v>11774</v>
      </c>
      <c r="L20" s="43">
        <f>Actuals2526!K79</f>
        <v>9112</v>
      </c>
      <c r="M20" s="43">
        <f>Actuals2526!L79</f>
        <v>0</v>
      </c>
      <c r="N20" s="43">
        <f>Actuals2526!M79</f>
        <v>0</v>
      </c>
      <c r="O20" s="43">
        <f>Actuals2526!N79</f>
        <v>0</v>
      </c>
      <c r="P20" s="43">
        <f>Actuals2526!O79</f>
        <v>0</v>
      </c>
      <c r="Q20" s="5"/>
    </row>
    <row r="21" spans="3:17" x14ac:dyDescent="0.35">
      <c r="D21" s="3" t="str">
        <f>'KPI 100'!D21</f>
        <v>Difference</v>
      </c>
      <c r="E21" s="43">
        <f>IF(E20=0,0,E20-E19)</f>
        <v>-556.39214706901657</v>
      </c>
      <c r="F21" s="43">
        <f t="shared" ref="F21:P21" si="0">IF(F20=0,0,F20-F19)</f>
        <v>1388.4637205169711</v>
      </c>
      <c r="G21" s="43">
        <f t="shared" si="0"/>
        <v>-2387.5581057784184</v>
      </c>
      <c r="H21" s="43">
        <f t="shared" si="0"/>
        <v>186.77425623622548</v>
      </c>
      <c r="I21" s="43">
        <f t="shared" si="0"/>
        <v>-1593.7276869559464</v>
      </c>
      <c r="J21" s="43">
        <f t="shared" si="0"/>
        <v>-381.42491228574363</v>
      </c>
      <c r="K21" s="43">
        <f t="shared" si="0"/>
        <v>2347.6173542500383</v>
      </c>
      <c r="L21" s="43">
        <f t="shared" si="0"/>
        <v>-485.66410639165406</v>
      </c>
      <c r="M21" s="43">
        <f t="shared" si="0"/>
        <v>0</v>
      </c>
      <c r="N21" s="43">
        <f t="shared" si="0"/>
        <v>0</v>
      </c>
      <c r="O21" s="43">
        <f t="shared" si="0"/>
        <v>0</v>
      </c>
      <c r="P21" s="43">
        <f t="shared" si="0"/>
        <v>0</v>
      </c>
      <c r="Q21" s="5"/>
    </row>
    <row r="22" spans="3:17" x14ac:dyDescent="0.35">
      <c r="D22" s="3" t="str">
        <f>'KPI 100'!D22</f>
        <v>% realisation</v>
      </c>
      <c r="E22" s="9">
        <f>E20/E19</f>
        <v>0.93517805809920862</v>
      </c>
      <c r="F22" s="9">
        <f t="shared" ref="F22:P22" si="1">F20/F19</f>
        <v>1.1628021122284697</v>
      </c>
      <c r="G22" s="9">
        <f t="shared" si="1"/>
        <v>0.71826753961950529</v>
      </c>
      <c r="H22" s="9">
        <f t="shared" si="1"/>
        <v>1.0209947748197772</v>
      </c>
      <c r="I22" s="9">
        <f t="shared" si="1"/>
        <v>0.82439670493347605</v>
      </c>
      <c r="J22" s="9">
        <f t="shared" si="1"/>
        <v>0.9587756814130669</v>
      </c>
      <c r="K22" s="9">
        <f t="shared" si="1"/>
        <v>1.2490475341894274</v>
      </c>
      <c r="L22" s="9">
        <f t="shared" si="1"/>
        <v>0.94939767624622107</v>
      </c>
      <c r="M22" s="9">
        <f t="shared" si="1"/>
        <v>0</v>
      </c>
      <c r="N22" s="9">
        <f t="shared" si="1"/>
        <v>0</v>
      </c>
      <c r="O22" s="9">
        <f t="shared" si="1"/>
        <v>0</v>
      </c>
      <c r="P22" s="9">
        <f t="shared" si="1"/>
        <v>0</v>
      </c>
    </row>
    <row r="23" spans="3:17" x14ac:dyDescent="0.35">
      <c r="D23" s="3" t="str">
        <f>'KPI 100'!D23</f>
        <v>Actual 2024/25</v>
      </c>
      <c r="E23" s="5">
        <f>Actuals2425!D79</f>
        <v>8393</v>
      </c>
      <c r="F23" s="5">
        <f>Actuals2425!E79</f>
        <v>7436</v>
      </c>
      <c r="G23" s="5">
        <f>Actuals2425!F79</f>
        <v>8426</v>
      </c>
      <c r="H23" s="5">
        <f>Actuals2425!G79</f>
        <v>8209</v>
      </c>
      <c r="I23" s="5">
        <f>Actuals2425!H79</f>
        <v>8907</v>
      </c>
      <c r="J23" s="5">
        <f>Actuals2425!I79</f>
        <v>5744</v>
      </c>
      <c r="K23" s="5">
        <f>Actuals2425!J79</f>
        <v>10707</v>
      </c>
      <c r="L23" s="5">
        <f>Actuals2425!K79</f>
        <v>9801</v>
      </c>
      <c r="M23" s="5">
        <f>Actuals2425!L79</f>
        <v>9857</v>
      </c>
      <c r="N23" s="5">
        <f>Actuals2425!M79</f>
        <v>7721</v>
      </c>
      <c r="O23" s="5">
        <f>Actuals2425!N79</f>
        <v>8447</v>
      </c>
      <c r="P23" s="5">
        <f>Actuals2425!O79</f>
        <v>8408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43">
        <f>SUM($E19:E19)</f>
        <v>8583.3921470690166</v>
      </c>
      <c r="F26" s="43">
        <f>SUM($E19:F19)</f>
        <v>17111.928426552047</v>
      </c>
      <c r="G26" s="43">
        <f>SUM($E19:G19)</f>
        <v>25586.486532330466</v>
      </c>
      <c r="H26" s="43">
        <f>SUM($E19:H19)</f>
        <v>34482.712276094244</v>
      </c>
      <c r="I26" s="43">
        <f>SUM($E19:I19)</f>
        <v>43558.439963050187</v>
      </c>
      <c r="J26" s="43">
        <f>SUM($E19:J19)</f>
        <v>52810.86487533593</v>
      </c>
      <c r="K26" s="43">
        <f>SUM($E19:K19)</f>
        <v>62237.24752108589</v>
      </c>
      <c r="L26" s="43">
        <f>SUM($E19:L19)</f>
        <v>71834.911627477544</v>
      </c>
      <c r="M26" s="43">
        <f>SUM($E19:M19)</f>
        <v>81601.242210378958</v>
      </c>
      <c r="N26" s="43">
        <f>SUM($E19:N19)</f>
        <v>91533.683717115739</v>
      </c>
      <c r="O26" s="43">
        <f>SUM($E19:O19)</f>
        <v>101629.73823905877</v>
      </c>
      <c r="P26" s="43">
        <f>SUM($E19:P19)</f>
        <v>111886.96379090649</v>
      </c>
    </row>
    <row r="27" spans="3:17" x14ac:dyDescent="0.35">
      <c r="D27" s="3" t="str">
        <f t="shared" ref="D27:D30" si="3">D20</f>
        <v>Actual 2025/26</v>
      </c>
      <c r="E27" s="43">
        <f>SUM($E20:E20)</f>
        <v>8027</v>
      </c>
      <c r="F27" s="43">
        <f>SUM($E20:F20)</f>
        <v>17944</v>
      </c>
      <c r="G27" s="43">
        <f>SUM($E20:G20)</f>
        <v>24031</v>
      </c>
      <c r="H27" s="43">
        <f>SUM($E20:H20)</f>
        <v>33114</v>
      </c>
      <c r="I27" s="43">
        <f>SUM($E20:I20)</f>
        <v>40596</v>
      </c>
      <c r="J27" s="43">
        <f>SUM($E20:J20)</f>
        <v>49467</v>
      </c>
      <c r="K27" s="43">
        <f>SUM($E20:K20)</f>
        <v>61241</v>
      </c>
      <c r="L27" s="43">
        <f>SUM($E20:L20)</f>
        <v>70353</v>
      </c>
      <c r="M27" s="43">
        <f>SUM($E20:M20)</f>
        <v>70353</v>
      </c>
      <c r="N27" s="43">
        <f>SUM($E20:N20)</f>
        <v>70353</v>
      </c>
      <c r="O27" s="43">
        <f>SUM($E20:O20)</f>
        <v>70353</v>
      </c>
      <c r="P27" s="43">
        <f>SUM($E20:P20)</f>
        <v>70353</v>
      </c>
    </row>
    <row r="28" spans="3:17" x14ac:dyDescent="0.35">
      <c r="D28" s="3" t="str">
        <f t="shared" si="3"/>
        <v>Difference</v>
      </c>
      <c r="E28" s="43">
        <f>IF(E27=0,0,E27-E26)</f>
        <v>-556.39214706901657</v>
      </c>
      <c r="F28" s="43">
        <f t="shared" ref="F28:P28" si="4">IF(F27=0,0,F27-F26)</f>
        <v>832.07157344795269</v>
      </c>
      <c r="G28" s="43">
        <f t="shared" si="4"/>
        <v>-1555.4865323304657</v>
      </c>
      <c r="H28" s="43">
        <f t="shared" si="4"/>
        <v>-1368.7122760942439</v>
      </c>
      <c r="I28" s="43">
        <f t="shared" si="4"/>
        <v>-2962.4399630501866</v>
      </c>
      <c r="J28" s="43">
        <f t="shared" si="4"/>
        <v>-3343.8648753359303</v>
      </c>
      <c r="K28" s="43">
        <f t="shared" si="4"/>
        <v>-996.24752108589018</v>
      </c>
      <c r="L28" s="43">
        <f t="shared" si="4"/>
        <v>-1481.9116274775442</v>
      </c>
      <c r="M28" s="43">
        <f t="shared" si="4"/>
        <v>-11248.242210378958</v>
      </c>
      <c r="N28" s="43">
        <f t="shared" si="4"/>
        <v>-21180.683717115739</v>
      </c>
      <c r="O28" s="43">
        <f t="shared" si="4"/>
        <v>-31276.738239058774</v>
      </c>
      <c r="P28" s="43">
        <f t="shared" si="4"/>
        <v>-41533.963790906491</v>
      </c>
    </row>
    <row r="29" spans="3:17" x14ac:dyDescent="0.35">
      <c r="D29" s="3" t="str">
        <f t="shared" si="3"/>
        <v>% realisation</v>
      </c>
      <c r="E29" s="9">
        <f t="shared" ref="E29:P29" si="5">E27/E26</f>
        <v>0.93517805809920862</v>
      </c>
      <c r="F29" s="9">
        <f t="shared" si="5"/>
        <v>1.0486252368936311</v>
      </c>
      <c r="G29" s="9">
        <f t="shared" si="5"/>
        <v>0.93920671639050601</v>
      </c>
      <c r="H29" s="9">
        <f t="shared" si="5"/>
        <v>0.96030729064653286</v>
      </c>
      <c r="I29" s="9">
        <f t="shared" si="5"/>
        <v>0.93198930068287178</v>
      </c>
      <c r="J29" s="9">
        <f t="shared" si="5"/>
        <v>0.9366822550013264</v>
      </c>
      <c r="K29" s="9">
        <f t="shared" si="5"/>
        <v>0.98399274452572216</v>
      </c>
      <c r="L29" s="9">
        <f t="shared" si="5"/>
        <v>0.97937059301802354</v>
      </c>
      <c r="M29" s="9">
        <f t="shared" si="5"/>
        <v>0.86215599290290856</v>
      </c>
      <c r="N29" s="9">
        <f t="shared" si="5"/>
        <v>0.76860230183049871</v>
      </c>
      <c r="O29" s="9">
        <f t="shared" si="5"/>
        <v>0.69224816691460922</v>
      </c>
      <c r="P29" s="9">
        <f t="shared" si="5"/>
        <v>0.6287863895518262</v>
      </c>
    </row>
    <row r="30" spans="3:17" x14ac:dyDescent="0.35">
      <c r="D30" s="3" t="str">
        <f t="shared" si="3"/>
        <v>Actual 2024/25</v>
      </c>
      <c r="E30" s="43">
        <f>SUM($E23:E23)</f>
        <v>8393</v>
      </c>
      <c r="F30" s="43">
        <f>SUM($E23:F23)</f>
        <v>15829</v>
      </c>
      <c r="G30" s="43">
        <f>SUM($E23:G23)</f>
        <v>24255</v>
      </c>
      <c r="H30" s="43">
        <f>SUM($E23:H23)</f>
        <v>32464</v>
      </c>
      <c r="I30" s="43">
        <f>SUM($E23:I23)</f>
        <v>41371</v>
      </c>
      <c r="J30" s="43">
        <f>SUM($E23:J23)</f>
        <v>47115</v>
      </c>
      <c r="K30" s="43">
        <f>SUM($E23:K23)</f>
        <v>57822</v>
      </c>
      <c r="L30" s="43">
        <f>SUM($E23:L23)</f>
        <v>67623</v>
      </c>
      <c r="M30" s="43">
        <f>SUM($E23:M23)</f>
        <v>77480</v>
      </c>
      <c r="N30" s="43">
        <f>SUM($E23:N23)</f>
        <v>85201</v>
      </c>
      <c r="O30" s="43">
        <f>SUM($E23:O23)</f>
        <v>93648</v>
      </c>
      <c r="P30" s="43">
        <f>SUM($E23:P23)</f>
        <v>102056</v>
      </c>
    </row>
  </sheetData>
  <sheetProtection algorithmName="SHA-512" hashValue="kR0hhP3uNAVpB9/H74DnWf+Ymbur+r86OXYY8LwgHTlfOTVySV0p1fC8d4BBJ3HICkz3qVZ2aBIEUgsfURgWxQ==" saltValue="O088mBIEtIrod98ze58ZWw==" spinCount="100000" sheet="1" objects="1" scenarios="1"/>
  <mergeCells count="3">
    <mergeCell ref="C1:F1"/>
    <mergeCell ref="J4:Q8"/>
    <mergeCell ref="J10:Q15"/>
  </mergeCells>
  <conditionalFormatting sqref="C3">
    <cfRule type="expression" dxfId="89" priority="2">
      <formula>S4&lt;S6</formula>
    </cfRule>
  </conditionalFormatting>
  <conditionalFormatting sqref="C4">
    <cfRule type="expression" dxfId="88" priority="1">
      <formula>AND(S4&gt;=S6,S4&lt;S5)</formula>
    </cfRule>
  </conditionalFormatting>
  <conditionalFormatting sqref="C5">
    <cfRule type="expression" dxfId="87" priority="3">
      <formula>S4&gt;=S5</formula>
    </cfRule>
  </conditionalFormatting>
  <hyperlinks>
    <hyperlink ref="L1" location="'Distribution Dashboard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34177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57150</xdr:rowOff>
                  </from>
                  <to>
                    <xdr:col>9</xdr:col>
                    <xdr:colOff>628650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S30"/>
  <sheetViews>
    <sheetView zoomScale="90" zoomScaleNormal="90" zoomScalePageLayoutView="90" workbookViewId="0">
      <pane ySplit="2" topLeftCell="A3" activePane="bottomLeft" state="frozen"/>
      <selection activeCell="D26" sqref="D26:D30"/>
      <selection pane="bottomLeft" activeCell="S34" sqref="S34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>
        <v>113</v>
      </c>
      <c r="C1" s="124" t="s">
        <v>119</v>
      </c>
      <c r="D1" s="124"/>
      <c r="E1" s="124"/>
      <c r="F1" s="124"/>
      <c r="G1" s="3" t="s">
        <v>10</v>
      </c>
      <c r="I1" s="12" cm="1">
        <f t="array" ref="I1">INDEX(E18:P18,Actual_month)</f>
        <v>46054</v>
      </c>
      <c r="L1" s="15" t="s">
        <v>21</v>
      </c>
      <c r="R1" s="5"/>
    </row>
    <row r="2" spans="1:19" x14ac:dyDescent="0.35">
      <c r="A2" s="3" t="s">
        <v>14</v>
      </c>
      <c r="C2" s="3" t="s">
        <v>15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 t="e">
        <f>INDEX(#REF!,Actual_month)</f>
        <v>#REF!</v>
      </c>
      <c r="K4" s="135"/>
      <c r="L4" s="135"/>
      <c r="M4" s="135"/>
      <c r="N4" s="135"/>
      <c r="O4" s="135"/>
      <c r="P4" s="135"/>
      <c r="Q4" s="136"/>
      <c r="R4" s="3" t="s">
        <v>25</v>
      </c>
      <c r="S4" s="43">
        <f>INDEX(E27:P27,Actual_month)</f>
        <v>50827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43">
        <f>INDEX(E26:P26,Actual_month)</f>
        <v>61865.086481984479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0.9</v>
      </c>
      <c r="S6" s="43">
        <f>+S5*R6</f>
        <v>55678.577833786032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43">
        <f>Budget2526!D80</f>
        <v>7182.0222162243208</v>
      </c>
      <c r="F19" s="43">
        <f>Budget2526!E80</f>
        <v>7194.1396626180831</v>
      </c>
      <c r="G19" s="43">
        <f>Budget2526!F80</f>
        <v>7206.2571090118454</v>
      </c>
      <c r="H19" s="43">
        <f>Budget2526!G80</f>
        <v>7625.3365807220634</v>
      </c>
      <c r="I19" s="43">
        <f>Budget2526!H80</f>
        <v>7840.9350397740527</v>
      </c>
      <c r="J19" s="43">
        <f>Budget2526!I80</f>
        <v>8056.5334988260438</v>
      </c>
      <c r="K19" s="43">
        <f>Budget2526!J80</f>
        <v>8272.1319578780349</v>
      </c>
      <c r="L19" s="43">
        <f>Budget2526!K80</f>
        <v>8487.7304169300241</v>
      </c>
      <c r="M19" s="43">
        <f>Budget2526!L80</f>
        <v>8703.3288759820134</v>
      </c>
      <c r="N19" s="43">
        <f>Budget2526!M80</f>
        <v>8918.9273350340027</v>
      </c>
      <c r="O19" s="43">
        <f>Budget2526!N80</f>
        <v>9134.5257940859919</v>
      </c>
      <c r="P19" s="43">
        <f>Budget2526!O80</f>
        <v>9350.124253137983</v>
      </c>
      <c r="Q19" s="5"/>
    </row>
    <row r="20" spans="3:17" x14ac:dyDescent="0.35">
      <c r="D20" s="3" t="str">
        <f>'KPI 100'!D20</f>
        <v>Actual 2025/26</v>
      </c>
      <c r="E20" s="43">
        <f>Actuals2526!D80</f>
        <v>5788</v>
      </c>
      <c r="F20" s="43">
        <f>Actuals2526!E80</f>
        <v>6705</v>
      </c>
      <c r="G20" s="43">
        <f>Actuals2526!F80</f>
        <v>4755</v>
      </c>
      <c r="H20" s="43">
        <f>Actuals2526!G80</f>
        <v>6241</v>
      </c>
      <c r="I20" s="43">
        <f>Actuals2526!H80</f>
        <v>5183</v>
      </c>
      <c r="J20" s="43">
        <f>Actuals2526!I80</f>
        <v>6161</v>
      </c>
      <c r="K20" s="43">
        <f>Actuals2526!J80</f>
        <v>8813</v>
      </c>
      <c r="L20" s="43">
        <f>Actuals2526!K80</f>
        <v>7181</v>
      </c>
      <c r="M20" s="43">
        <f>Actuals2526!L80</f>
        <v>0</v>
      </c>
      <c r="N20" s="43">
        <f>Actuals2526!M80</f>
        <v>0</v>
      </c>
      <c r="O20" s="43">
        <f>Actuals2526!N80</f>
        <v>0</v>
      </c>
      <c r="P20" s="43">
        <f>Actuals2526!O80</f>
        <v>0</v>
      </c>
      <c r="Q20" s="5"/>
    </row>
    <row r="21" spans="3:17" x14ac:dyDescent="0.35">
      <c r="D21" s="3" t="str">
        <f>'KPI 100'!D21</f>
        <v>Difference</v>
      </c>
      <c r="E21" s="43">
        <f>IF(E20=0,0,E20-E19)</f>
        <v>-1394.0222162243208</v>
      </c>
      <c r="F21" s="43">
        <f t="shared" ref="F21:P21" si="0">IF(F20=0,0,F20-F19)</f>
        <v>-489.13966261808309</v>
      </c>
      <c r="G21" s="43">
        <f t="shared" si="0"/>
        <v>-2451.2571090118454</v>
      </c>
      <c r="H21" s="43">
        <f t="shared" si="0"/>
        <v>-1384.3365807220634</v>
      </c>
      <c r="I21" s="43">
        <f t="shared" si="0"/>
        <v>-2657.9350397740527</v>
      </c>
      <c r="J21" s="43">
        <f t="shared" si="0"/>
        <v>-1895.5334988260438</v>
      </c>
      <c r="K21" s="43">
        <f t="shared" si="0"/>
        <v>540.86804212196512</v>
      </c>
      <c r="L21" s="43">
        <f t="shared" si="0"/>
        <v>-1306.7304169300241</v>
      </c>
      <c r="M21" s="43">
        <f t="shared" si="0"/>
        <v>0</v>
      </c>
      <c r="N21" s="43">
        <f t="shared" si="0"/>
        <v>0</v>
      </c>
      <c r="O21" s="43">
        <f t="shared" si="0"/>
        <v>0</v>
      </c>
      <c r="P21" s="43">
        <f t="shared" si="0"/>
        <v>0</v>
      </c>
      <c r="Q21" s="5"/>
    </row>
    <row r="22" spans="3:17" x14ac:dyDescent="0.35">
      <c r="D22" s="3" t="str">
        <f>'KPI 100'!D22</f>
        <v>% realisation</v>
      </c>
      <c r="E22" s="9">
        <f>E20/E19</f>
        <v>0.80590115509874105</v>
      </c>
      <c r="F22" s="9">
        <f t="shared" ref="F22:P22" si="1">F20/F19</f>
        <v>0.93200859511252854</v>
      </c>
      <c r="G22" s="9">
        <f t="shared" si="1"/>
        <v>0.65984323457646199</v>
      </c>
      <c r="H22" s="9">
        <f t="shared" si="1"/>
        <v>0.81845567522594831</v>
      </c>
      <c r="I22" s="9">
        <f t="shared" si="1"/>
        <v>0.66101810226824109</v>
      </c>
      <c r="J22" s="9">
        <f t="shared" si="1"/>
        <v>0.76472095609082358</v>
      </c>
      <c r="K22" s="9">
        <f t="shared" si="1"/>
        <v>1.0653843585760094</v>
      </c>
      <c r="L22" s="9">
        <f t="shared" si="1"/>
        <v>0.84604477843410786</v>
      </c>
      <c r="M22" s="9">
        <f t="shared" si="1"/>
        <v>0</v>
      </c>
      <c r="N22" s="9">
        <f t="shared" si="1"/>
        <v>0</v>
      </c>
      <c r="O22" s="9">
        <f t="shared" si="1"/>
        <v>0</v>
      </c>
      <c r="P22" s="9">
        <f t="shared" si="1"/>
        <v>0</v>
      </c>
    </row>
    <row r="23" spans="3:17" x14ac:dyDescent="0.35">
      <c r="D23" s="3" t="str">
        <f>'KPI 100'!D23</f>
        <v>Actual 2024/25</v>
      </c>
      <c r="E23" s="5">
        <f>Actuals2425!D80</f>
        <v>6588</v>
      </c>
      <c r="F23" s="5">
        <f>Actuals2425!E80</f>
        <v>6870</v>
      </c>
      <c r="G23" s="5">
        <f>Actuals2425!F80</f>
        <v>6726</v>
      </c>
      <c r="H23" s="5">
        <f>Actuals2425!G80</f>
        <v>6973</v>
      </c>
      <c r="I23" s="5">
        <f>Actuals2425!H80</f>
        <v>7456</v>
      </c>
      <c r="J23" s="5">
        <f>Actuals2425!I80</f>
        <v>4906</v>
      </c>
      <c r="K23" s="5">
        <f>Actuals2425!J80</f>
        <v>7952</v>
      </c>
      <c r="L23" s="5">
        <f>Actuals2425!K80</f>
        <v>8379</v>
      </c>
      <c r="M23" s="5">
        <f>Actuals2425!L80</f>
        <v>8691</v>
      </c>
      <c r="N23" s="5">
        <f>Actuals2425!M80</f>
        <v>6181</v>
      </c>
      <c r="O23" s="5">
        <f>Actuals2425!N80</f>
        <v>6833</v>
      </c>
      <c r="P23" s="5">
        <f>Actuals2425!O80</f>
        <v>6893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43">
        <f>SUM($E19:E19)</f>
        <v>7182.0222162243208</v>
      </c>
      <c r="F26" s="43">
        <f>SUM($E19:F19)</f>
        <v>14376.161878842404</v>
      </c>
      <c r="G26" s="43">
        <f>SUM($E19:G19)</f>
        <v>21582.418987854249</v>
      </c>
      <c r="H26" s="43">
        <f>SUM($E19:H19)</f>
        <v>29207.755568576315</v>
      </c>
      <c r="I26" s="43">
        <f>SUM($E19:I19)</f>
        <v>37048.690608350371</v>
      </c>
      <c r="J26" s="43">
        <f>SUM($E19:J19)</f>
        <v>45105.224107176415</v>
      </c>
      <c r="K26" s="43">
        <f>SUM($E19:K19)</f>
        <v>53377.356065054453</v>
      </c>
      <c r="L26" s="43">
        <f>SUM($E19:L19)</f>
        <v>61865.086481984479</v>
      </c>
      <c r="M26" s="43">
        <f>SUM($E19:M19)</f>
        <v>70568.4153579665</v>
      </c>
      <c r="N26" s="43">
        <f>SUM($E19:N19)</f>
        <v>79487.342693000508</v>
      </c>
      <c r="O26" s="43">
        <f>SUM($E19:O19)</f>
        <v>88621.868487086496</v>
      </c>
      <c r="P26" s="43">
        <f>SUM($E19:P19)</f>
        <v>97971.992740224479</v>
      </c>
    </row>
    <row r="27" spans="3:17" x14ac:dyDescent="0.35">
      <c r="D27" s="3" t="str">
        <f t="shared" ref="D27:D30" si="3">D20</f>
        <v>Actual 2025/26</v>
      </c>
      <c r="E27" s="43">
        <f>SUM($E20:E20)</f>
        <v>5788</v>
      </c>
      <c r="F27" s="43">
        <f>SUM($E20:F20)</f>
        <v>12493</v>
      </c>
      <c r="G27" s="43">
        <f>SUM($E20:G20)</f>
        <v>17248</v>
      </c>
      <c r="H27" s="43">
        <f>SUM($E20:H20)</f>
        <v>23489</v>
      </c>
      <c r="I27" s="43">
        <f>SUM($E20:I20)</f>
        <v>28672</v>
      </c>
      <c r="J27" s="43">
        <f>SUM($E20:J20)</f>
        <v>34833</v>
      </c>
      <c r="K27" s="43">
        <f>SUM($E20:K20)</f>
        <v>43646</v>
      </c>
      <c r="L27" s="43">
        <f>SUM($E20:L20)</f>
        <v>50827</v>
      </c>
      <c r="M27" s="43">
        <f>SUM($E20:M20)</f>
        <v>50827</v>
      </c>
      <c r="N27" s="43">
        <f>SUM($E20:N20)</f>
        <v>50827</v>
      </c>
      <c r="O27" s="43">
        <f>SUM($E20:O20)</f>
        <v>50827</v>
      </c>
      <c r="P27" s="43">
        <f>SUM($E20:P20)</f>
        <v>50827</v>
      </c>
    </row>
    <row r="28" spans="3:17" x14ac:dyDescent="0.35">
      <c r="D28" s="3" t="str">
        <f t="shared" si="3"/>
        <v>Difference</v>
      </c>
      <c r="E28" s="43">
        <f>IF(E27=0,0,E27-E26)</f>
        <v>-1394.0222162243208</v>
      </c>
      <c r="F28" s="43">
        <f t="shared" ref="F28:P28" si="4">IF(F27=0,0,F27-F26)</f>
        <v>-1883.1618788424039</v>
      </c>
      <c r="G28" s="43">
        <f t="shared" si="4"/>
        <v>-4334.4189878542493</v>
      </c>
      <c r="H28" s="43">
        <f t="shared" si="4"/>
        <v>-5718.7555685763145</v>
      </c>
      <c r="I28" s="43">
        <f t="shared" si="4"/>
        <v>-8376.6906083503709</v>
      </c>
      <c r="J28" s="43">
        <f t="shared" si="4"/>
        <v>-10272.224107176415</v>
      </c>
      <c r="K28" s="43">
        <f t="shared" si="4"/>
        <v>-9731.3560650544532</v>
      </c>
      <c r="L28" s="43">
        <f t="shared" si="4"/>
        <v>-11038.086481984479</v>
      </c>
      <c r="M28" s="43">
        <f t="shared" si="4"/>
        <v>-19741.4153579665</v>
      </c>
      <c r="N28" s="43">
        <f t="shared" si="4"/>
        <v>-28660.342693000508</v>
      </c>
      <c r="O28" s="43">
        <f t="shared" si="4"/>
        <v>-37794.868487086496</v>
      </c>
      <c r="P28" s="43">
        <f t="shared" si="4"/>
        <v>-47144.992740224479</v>
      </c>
    </row>
    <row r="29" spans="3:17" x14ac:dyDescent="0.35">
      <c r="D29" s="3" t="str">
        <f t="shared" si="3"/>
        <v>% realisation</v>
      </c>
      <c r="E29" s="9">
        <f t="shared" ref="E29:P29" si="5">E27/E26</f>
        <v>0.80590115509874105</v>
      </c>
      <c r="F29" s="9">
        <f t="shared" si="5"/>
        <v>0.86900802211931971</v>
      </c>
      <c r="G29" s="9">
        <f t="shared" si="5"/>
        <v>0.79916899072835657</v>
      </c>
      <c r="H29" s="9">
        <f t="shared" si="5"/>
        <v>0.80420421024308553</v>
      </c>
      <c r="I29" s="9">
        <f t="shared" si="5"/>
        <v>0.77390049497559421</v>
      </c>
      <c r="J29" s="9">
        <f t="shared" si="5"/>
        <v>0.77226087863418769</v>
      </c>
      <c r="K29" s="9">
        <f t="shared" si="5"/>
        <v>0.81768755924901526</v>
      </c>
      <c r="L29" s="9">
        <f t="shared" si="5"/>
        <v>0.82157809663453973</v>
      </c>
      <c r="M29" s="9">
        <f t="shared" si="5"/>
        <v>0.72025140060428061</v>
      </c>
      <c r="N29" s="9">
        <f t="shared" si="5"/>
        <v>0.63943513870260149</v>
      </c>
      <c r="O29" s="9">
        <f t="shared" si="5"/>
        <v>0.57352661219737466</v>
      </c>
      <c r="P29" s="9">
        <f t="shared" si="5"/>
        <v>0.51879112160930763</v>
      </c>
    </row>
    <row r="30" spans="3:17" x14ac:dyDescent="0.35">
      <c r="D30" s="3" t="str">
        <f t="shared" si="3"/>
        <v>Actual 2024/25</v>
      </c>
      <c r="E30" s="43">
        <f>SUM($E23:E23)</f>
        <v>6588</v>
      </c>
      <c r="F30" s="43">
        <f>SUM($E23:F23)</f>
        <v>13458</v>
      </c>
      <c r="G30" s="43">
        <f>SUM($E23:G23)</f>
        <v>20184</v>
      </c>
      <c r="H30" s="43">
        <f>SUM($E23:H23)</f>
        <v>27157</v>
      </c>
      <c r="I30" s="43">
        <f>SUM($E23:I23)</f>
        <v>34613</v>
      </c>
      <c r="J30" s="43">
        <f>SUM($E23:J23)</f>
        <v>39519</v>
      </c>
      <c r="K30" s="43">
        <f>SUM($E23:K23)</f>
        <v>47471</v>
      </c>
      <c r="L30" s="43">
        <f>SUM($E23:L23)</f>
        <v>55850</v>
      </c>
      <c r="M30" s="43">
        <f>SUM($E23:M23)</f>
        <v>64541</v>
      </c>
      <c r="N30" s="43">
        <f>SUM($E23:N23)</f>
        <v>70722</v>
      </c>
      <c r="O30" s="43">
        <f>SUM($E23:O23)</f>
        <v>77555</v>
      </c>
      <c r="P30" s="43">
        <f>SUM($E23:P23)</f>
        <v>84448</v>
      </c>
    </row>
  </sheetData>
  <sheetProtection algorithmName="SHA-512" hashValue="iVxOqdVG8/eF5zpTA87+xnW8PcMNX/uOc3A7jDkWQeLyO3cSJlE9IT3doFGHtq/4nhiGeEuTcm8CVOSnhnE/1A==" saltValue="csWw+YS8r24c0bboPgbHOg==" spinCount="100000" sheet="1" objects="1" scenarios="1"/>
  <mergeCells count="3">
    <mergeCell ref="C1:F1"/>
    <mergeCell ref="J4:Q8"/>
    <mergeCell ref="J10:Q15"/>
  </mergeCells>
  <conditionalFormatting sqref="C3">
    <cfRule type="expression" dxfId="86" priority="2">
      <formula>S4&lt;S6</formula>
    </cfRule>
  </conditionalFormatting>
  <conditionalFormatting sqref="C4">
    <cfRule type="expression" dxfId="85" priority="1">
      <formula>AND(S4&gt;=S6,S4&lt;S5)</formula>
    </cfRule>
  </conditionalFormatting>
  <conditionalFormatting sqref="C5">
    <cfRule type="expression" dxfId="84" priority="3">
      <formula>S4&gt;=S5</formula>
    </cfRule>
  </conditionalFormatting>
  <hyperlinks>
    <hyperlink ref="L1" location="'Distribution Dashboard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42369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57150</xdr:rowOff>
                  </from>
                  <to>
                    <xdr:col>9</xdr:col>
                    <xdr:colOff>628650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S30"/>
  <sheetViews>
    <sheetView zoomScale="90" zoomScaleNormal="90" zoomScalePageLayoutView="90" workbookViewId="0">
      <pane ySplit="2" topLeftCell="A3" activePane="bottomLeft" state="frozen"/>
      <selection activeCell="D26" sqref="D26:D30"/>
      <selection pane="bottomLeft" activeCell="U35" sqref="U35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>
        <v>127</v>
      </c>
      <c r="C1" s="124" t="s">
        <v>120</v>
      </c>
      <c r="D1" s="124"/>
      <c r="E1" s="124"/>
      <c r="F1" s="124"/>
      <c r="G1" s="3" t="s">
        <v>10</v>
      </c>
      <c r="I1" s="12">
        <f>INDEX(E$18:P$18,Actual_month)</f>
        <v>46054</v>
      </c>
      <c r="L1" s="15" t="s">
        <v>21</v>
      </c>
      <c r="R1" s="5"/>
    </row>
    <row r="2" spans="1:19" x14ac:dyDescent="0.35">
      <c r="A2" s="3" t="s">
        <v>14</v>
      </c>
      <c r="C2" s="3" t="s">
        <v>1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/>
      <c r="K4" s="135"/>
      <c r="L4" s="135"/>
      <c r="M4" s="135"/>
      <c r="N4" s="135"/>
      <c r="O4" s="135"/>
      <c r="P4" s="135"/>
      <c r="Q4" s="136"/>
      <c r="R4" s="3" t="s">
        <v>25</v>
      </c>
      <c r="S4" s="9">
        <f>INDEX(E27:P27,Actual_month)</f>
        <v>0.27754324620129917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9">
        <f>INDEX(E26:P26,Actual_month)</f>
        <v>0.13878801991425449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1.1000000000000001</v>
      </c>
      <c r="S6" s="9">
        <f>+S5*R6</f>
        <v>0.15266682190567996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9">
        <f>Budget2526!D81</f>
        <v>0.16326528100236265</v>
      </c>
      <c r="F19" s="9">
        <f>Budget2526!E81</f>
        <v>0.1564625597096988</v>
      </c>
      <c r="G19" s="9">
        <f>Budget2526!F81</f>
        <v>0.14965983841703509</v>
      </c>
      <c r="H19" s="9">
        <f>Budget2526!G81</f>
        <v>0.14285711712437157</v>
      </c>
      <c r="I19" s="9">
        <f>Budget2526!H81</f>
        <v>0.13605439583170775</v>
      </c>
      <c r="J19" s="9">
        <f>Budget2526!I81</f>
        <v>0.12925167453904401</v>
      </c>
      <c r="K19" s="9">
        <f>Budget2526!J81</f>
        <v>0.12244895324638021</v>
      </c>
      <c r="L19" s="9">
        <f>Budget2526!K81</f>
        <v>0.11564623195371665</v>
      </c>
      <c r="M19" s="9">
        <f>Budget2526!L81</f>
        <v>0.10884351066105272</v>
      </c>
      <c r="N19" s="9">
        <f>Budget2526!M81</f>
        <v>0.10204078936838912</v>
      </c>
      <c r="O19" s="9">
        <f>Budget2526!N81</f>
        <v>9.5238068075725435E-2</v>
      </c>
      <c r="P19" s="9">
        <f>Budget2526!O81</f>
        <v>8.8435346783061572E-2</v>
      </c>
      <c r="Q19" s="5"/>
    </row>
    <row r="20" spans="3:17" x14ac:dyDescent="0.35">
      <c r="D20" s="3" t="str">
        <f>'KPI 100'!D20</f>
        <v>Actual 2025/26</v>
      </c>
      <c r="E20" s="9">
        <f>Actuals2526!D81</f>
        <v>0.27893359910302729</v>
      </c>
      <c r="F20" s="9">
        <f>Actuals2526!E81</f>
        <v>0.32388827266310377</v>
      </c>
      <c r="G20" s="9">
        <f>Actuals2526!F81</f>
        <v>0.21882700837851157</v>
      </c>
      <c r="H20" s="9">
        <f>Actuals2526!G81</f>
        <v>0.31289221622811847</v>
      </c>
      <c r="I20" s="9">
        <f>Actuals2526!H81</f>
        <v>0.30727078321304463</v>
      </c>
      <c r="J20" s="9">
        <f>Actuals2526!I81</f>
        <v>0.30548979821891559</v>
      </c>
      <c r="K20" s="9">
        <f>Actuals2526!J81</f>
        <v>0.25148632580261593</v>
      </c>
      <c r="L20" s="9">
        <f>Actuals2526!K81</f>
        <v>0.21191834942932397</v>
      </c>
      <c r="M20" s="9" t="e">
        <f>Actuals2526!L81</f>
        <v>#DIV/0!</v>
      </c>
      <c r="N20" s="9" t="e">
        <f>Actuals2526!M81</f>
        <v>#DIV/0!</v>
      </c>
      <c r="O20" s="9" t="e">
        <f>Actuals2526!N81</f>
        <v>#DIV/0!</v>
      </c>
      <c r="P20" s="9" t="e">
        <f>Actuals2526!O81</f>
        <v>#DIV/0!</v>
      </c>
      <c r="Q20" s="5"/>
    </row>
    <row r="21" spans="3:17" x14ac:dyDescent="0.35">
      <c r="D21" s="3" t="str">
        <f>'KPI 100'!D21</f>
        <v>Difference</v>
      </c>
      <c r="E21" s="9">
        <f>IF(E20=0,0,E20-E19)</f>
        <v>0.11566831810066464</v>
      </c>
      <c r="F21" s="9">
        <f t="shared" ref="F21:P21" si="0">IF(F20=0,0,F20-F19)</f>
        <v>0.16742571295340497</v>
      </c>
      <c r="G21" s="9">
        <f t="shared" si="0"/>
        <v>6.9167169961476482E-2</v>
      </c>
      <c r="H21" s="9">
        <f t="shared" si="0"/>
        <v>0.1700350991037469</v>
      </c>
      <c r="I21" s="9">
        <f t="shared" si="0"/>
        <v>0.17121638738133688</v>
      </c>
      <c r="J21" s="9">
        <f t="shared" si="0"/>
        <v>0.17623812367987157</v>
      </c>
      <c r="K21" s="9">
        <f t="shared" si="0"/>
        <v>0.12903737255623571</v>
      </c>
      <c r="L21" s="9">
        <f t="shared" si="0"/>
        <v>9.6272117475607322E-2</v>
      </c>
      <c r="M21" s="9" t="e">
        <f t="shared" si="0"/>
        <v>#DIV/0!</v>
      </c>
      <c r="N21" s="9" t="e">
        <f t="shared" si="0"/>
        <v>#DIV/0!</v>
      </c>
      <c r="O21" s="9" t="e">
        <f t="shared" si="0"/>
        <v>#DIV/0!</v>
      </c>
      <c r="P21" s="9" t="e">
        <f t="shared" si="0"/>
        <v>#DIV/0!</v>
      </c>
      <c r="Q21" s="5"/>
    </row>
    <row r="22" spans="3:17" x14ac:dyDescent="0.35">
      <c r="D22" s="3" t="str">
        <f>'KPI 100'!D22</f>
        <v>% realisation</v>
      </c>
      <c r="E22" s="9">
        <f>E20/E19</f>
        <v>1.7084685573719178</v>
      </c>
      <c r="F22" s="9">
        <f t="shared" ref="F22:P22" si="1">F20/F19</f>
        <v>2.0700688603334068</v>
      </c>
      <c r="G22" s="9">
        <f t="shared" si="1"/>
        <v>1.4621625326678389</v>
      </c>
      <c r="H22" s="9">
        <f t="shared" si="1"/>
        <v>2.1902459081245085</v>
      </c>
      <c r="I22" s="9">
        <f t="shared" si="1"/>
        <v>2.2584406871581177</v>
      </c>
      <c r="J22" s="9">
        <f t="shared" si="1"/>
        <v>2.3635268116130597</v>
      </c>
      <c r="K22" s="9">
        <f t="shared" si="1"/>
        <v>2.0538054359403048</v>
      </c>
      <c r="L22" s="9">
        <f t="shared" si="1"/>
        <v>1.8324708539932097</v>
      </c>
      <c r="M22" s="9" t="e">
        <f t="shared" si="1"/>
        <v>#DIV/0!</v>
      </c>
      <c r="N22" s="9" t="e">
        <f t="shared" si="1"/>
        <v>#DIV/0!</v>
      </c>
      <c r="O22" s="9" t="e">
        <f t="shared" si="1"/>
        <v>#DIV/0!</v>
      </c>
      <c r="P22" s="9" t="e">
        <f t="shared" si="1"/>
        <v>#DIV/0!</v>
      </c>
    </row>
    <row r="23" spans="3:17" x14ac:dyDescent="0.35">
      <c r="D23" s="3" t="str">
        <f>'KPI 100'!D23</f>
        <v>Actual 2024/25</v>
      </c>
      <c r="E23" s="9">
        <f>Actuals2425!D81</f>
        <v>0.21506016918860957</v>
      </c>
      <c r="F23" s="9">
        <f>Actuals2425!E81</f>
        <v>7.6116191500806882E-2</v>
      </c>
      <c r="G23" s="9">
        <f>Actuals2425!F81</f>
        <v>0.20175646807500594</v>
      </c>
      <c r="H23" s="9">
        <f>Actuals2425!G81</f>
        <v>0.15056645145571934</v>
      </c>
      <c r="I23" s="9">
        <f>Actuals2425!H81</f>
        <v>0.16290557988099247</v>
      </c>
      <c r="J23" s="9">
        <f>Actuals2425!I81</f>
        <v>0.14589136490250695</v>
      </c>
      <c r="K23" s="9">
        <f>Actuals2425!J81</f>
        <v>0.2573083029793593</v>
      </c>
      <c r="L23" s="9">
        <f>Actuals2425!K81</f>
        <v>0.14508723599632692</v>
      </c>
      <c r="M23" s="9">
        <f>Actuals2425!L81</f>
        <v>0.11829156944303541</v>
      </c>
      <c r="N23" s="9">
        <f>Actuals2425!M81</f>
        <v>0.19945602901178605</v>
      </c>
      <c r="O23" s="9">
        <f>Actuals2425!N81</f>
        <v>0.19107375399550136</v>
      </c>
      <c r="P23" s="9">
        <f>Actuals2425!O81</f>
        <v>0.18018553758325404</v>
      </c>
      <c r="Q23" s="5"/>
    </row>
    <row r="24" spans="3:17" x14ac:dyDescent="0.35">
      <c r="G24" s="3" t="s">
        <v>29</v>
      </c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9">
        <f>('KPI 106'!E26-'KPI 113'!E26)/'KPI 106'!E26</f>
        <v>0.16326528100236265</v>
      </c>
      <c r="F26" s="9">
        <f>('KPI 106'!F26-'KPI 113'!F26)/'KPI 106'!F26</f>
        <v>0.15987482412938564</v>
      </c>
      <c r="G26" s="9">
        <f>('KPI 106'!G26-'KPI 113'!G26)/'KPI 106'!G26</f>
        <v>0.15649149559541023</v>
      </c>
      <c r="H26" s="9">
        <f>('KPI 106'!H26-'KPI 113'!H26)/'KPI 106'!H26</f>
        <v>0.15297395011397891</v>
      </c>
      <c r="I26" s="9">
        <f>('KPI 106'!I26-'KPI 113'!I26)/'KPI 106'!I26</f>
        <v>0.1494486340700428</v>
      </c>
      <c r="J26" s="9">
        <f>('KPI 106'!J26-'KPI 113'!J26)/'KPI 106'!J26</f>
        <v>0.14591014152768123</v>
      </c>
      <c r="K26" s="9">
        <f>('KPI 106'!K26-'KPI 113'!K26)/'KPI 106'!K26</f>
        <v>0.14235673666367907</v>
      </c>
      <c r="L26" s="9">
        <f>('KPI 106'!L26-'KPI 113'!L26)/'KPI 106'!L26</f>
        <v>0.13878801991425449</v>
      </c>
      <c r="M26" s="9">
        <f>('KPI 106'!M26-'KPI 113'!M26)/'KPI 106'!M26</f>
        <v>0.13520415319130005</v>
      </c>
      <c r="N26" s="9">
        <f>('KPI 106'!N26-'KPI 113'!N26)/'KPI 106'!N26</f>
        <v>0.13160555256734088</v>
      </c>
      <c r="O26" s="9">
        <f>('KPI 106'!O26-'KPI 113'!O26)/'KPI 106'!O26</f>
        <v>0.12799275071804758</v>
      </c>
      <c r="P26" s="9">
        <f>('KPI 106'!P26-'KPI 113'!P26)/'KPI 106'!P26</f>
        <v>0.12436632990315301</v>
      </c>
    </row>
    <row r="27" spans="3:17" x14ac:dyDescent="0.35">
      <c r="D27" s="3" t="str">
        <f t="shared" ref="D27:D30" si="3">D20</f>
        <v>Actual 2025/26</v>
      </c>
      <c r="E27" s="9">
        <f>('KPI 106'!E27-'KPI 113'!E27)/'KPI 106'!E27</f>
        <v>0.27893359910302729</v>
      </c>
      <c r="F27" s="9">
        <f>('KPI 106'!F27-'KPI 113'!F27)/'KPI 106'!F27</f>
        <v>0.30377842175657599</v>
      </c>
      <c r="G27" s="9">
        <f>('KPI 106'!G27-'KPI 113'!G27)/'KPI 106'!G27</f>
        <v>0.28226041363239152</v>
      </c>
      <c r="H27" s="9">
        <f>('KPI 106'!H27-'KPI 113'!H27)/'KPI 106'!H27</f>
        <v>0.2906625596424473</v>
      </c>
      <c r="I27" s="9">
        <f>('KPI 106'!I27-'KPI 113'!I27)/'KPI 106'!I27</f>
        <v>0.29372351955857717</v>
      </c>
      <c r="J27" s="9">
        <f>('KPI 106'!J27-'KPI 113'!J27)/'KPI 106'!J27</f>
        <v>0.29583358602704835</v>
      </c>
      <c r="K27" s="9">
        <f>('KPI 106'!K27-'KPI 113'!K27)/'KPI 106'!K27</f>
        <v>0.287307522738035</v>
      </c>
      <c r="L27" s="9">
        <f>('KPI 106'!L27-'KPI 113'!L27)/'KPI 106'!L27</f>
        <v>0.27754324620129917</v>
      </c>
      <c r="M27" s="9">
        <f>('KPI 106'!M27-'KPI 113'!M27)/'KPI 106'!M27</f>
        <v>0.27754324620129917</v>
      </c>
      <c r="N27" s="9">
        <f>('KPI 106'!N27-'KPI 113'!N27)/'KPI 106'!N27</f>
        <v>0.27754324620129917</v>
      </c>
      <c r="O27" s="9">
        <f>('KPI 106'!O27-'KPI 113'!O27)/'KPI 106'!O27</f>
        <v>0.27754324620129917</v>
      </c>
      <c r="P27" s="9">
        <f>('KPI 106'!P27-'KPI 113'!P27)/'KPI 106'!P27</f>
        <v>0.27754324620129917</v>
      </c>
    </row>
    <row r="28" spans="3:17" x14ac:dyDescent="0.35">
      <c r="D28" s="3" t="str">
        <f t="shared" si="3"/>
        <v>Difference</v>
      </c>
      <c r="E28" s="9">
        <f>IF(E27=0,0,E27-E26)</f>
        <v>0.11566831810066464</v>
      </c>
      <c r="F28" s="9">
        <f t="shared" ref="F28:P28" si="4">IF(F27=0,0,F27-F26)</f>
        <v>0.14390359762719035</v>
      </c>
      <c r="G28" s="9">
        <f t="shared" si="4"/>
        <v>0.12576891803698129</v>
      </c>
      <c r="H28" s="9">
        <f t="shared" si="4"/>
        <v>0.1376886095284684</v>
      </c>
      <c r="I28" s="9">
        <f t="shared" si="4"/>
        <v>0.14427488548853437</v>
      </c>
      <c r="J28" s="9">
        <f t="shared" si="4"/>
        <v>0.14992344449936712</v>
      </c>
      <c r="K28" s="9">
        <f t="shared" si="4"/>
        <v>0.14495078607435594</v>
      </c>
      <c r="L28" s="9">
        <f t="shared" si="4"/>
        <v>0.13875522628704468</v>
      </c>
      <c r="M28" s="9">
        <f t="shared" si="4"/>
        <v>0.14233909300999911</v>
      </c>
      <c r="N28" s="9">
        <f t="shared" si="4"/>
        <v>0.14593769363395828</v>
      </c>
      <c r="O28" s="9">
        <f t="shared" si="4"/>
        <v>0.14955049548325158</v>
      </c>
      <c r="P28" s="9">
        <f t="shared" si="4"/>
        <v>0.15317691629814617</v>
      </c>
    </row>
    <row r="29" spans="3:17" x14ac:dyDescent="0.35">
      <c r="D29" s="3" t="str">
        <f t="shared" si="3"/>
        <v>% realisation</v>
      </c>
      <c r="E29" s="9">
        <f t="shared" ref="E29:P29" si="5">E27/E26</f>
        <v>1.7084685573719178</v>
      </c>
      <c r="F29" s="9">
        <f t="shared" si="5"/>
        <v>1.9001016789906215</v>
      </c>
      <c r="G29" s="9">
        <f t="shared" si="5"/>
        <v>1.8036789319346884</v>
      </c>
      <c r="H29" s="9">
        <f t="shared" si="5"/>
        <v>1.9000788005139333</v>
      </c>
      <c r="I29" s="9">
        <f t="shared" si="5"/>
        <v>1.9653810915455834</v>
      </c>
      <c r="J29" s="9">
        <f t="shared" si="5"/>
        <v>2.0275053051807541</v>
      </c>
      <c r="K29" s="9">
        <f t="shared" si="5"/>
        <v>2.0182221753003891</v>
      </c>
      <c r="L29" s="9">
        <f t="shared" si="5"/>
        <v>1.9997637142800215</v>
      </c>
      <c r="M29" s="9">
        <f t="shared" si="5"/>
        <v>2.0527716024270632</v>
      </c>
      <c r="N29" s="9">
        <f t="shared" si="5"/>
        <v>2.1089022521240799</v>
      </c>
      <c r="O29" s="9">
        <f t="shared" si="5"/>
        <v>2.1684294199809262</v>
      </c>
      <c r="P29" s="9">
        <f t="shared" si="5"/>
        <v>2.2316590544838673</v>
      </c>
    </row>
    <row r="30" spans="3:17" x14ac:dyDescent="0.35">
      <c r="D30" s="3" t="str">
        <f t="shared" si="3"/>
        <v>Actual 2024/25</v>
      </c>
      <c r="E30" s="9">
        <f>('KPI 106'!E30-'KPI 113'!E30)/'KPI 106'!E30</f>
        <v>0.21506016918860957</v>
      </c>
      <c r="F30" s="9">
        <f>('KPI 106'!F30-'KPI 113'!F30)/'KPI 106'!F30</f>
        <v>0.14978836313096217</v>
      </c>
      <c r="G30" s="9">
        <f>('KPI 106'!G30-'KPI 113'!G30)/'KPI 106'!G30</f>
        <v>0.16784168212739642</v>
      </c>
      <c r="H30" s="9">
        <f>('KPI 106'!H30-'KPI 113'!H30)/'KPI 106'!H30</f>
        <v>0.1634733859043864</v>
      </c>
      <c r="I30" s="9">
        <f>('KPI 106'!I30-'KPI 113'!I30)/'KPI 106'!I30</f>
        <v>0.16335113968722051</v>
      </c>
      <c r="J30" s="9">
        <f>('KPI 106'!J30-'KPI 113'!J30)/'KPI 106'!J30</f>
        <v>0.16122254059216809</v>
      </c>
      <c r="K30" s="9">
        <f>('KPI 106'!K30-'KPI 113'!K30)/'KPI 106'!K30</f>
        <v>0.17901490782055274</v>
      </c>
      <c r="L30" s="9">
        <f>('KPI 106'!L30-'KPI 113'!L30)/'KPI 106'!L30</f>
        <v>0.17409757035328216</v>
      </c>
      <c r="M30" s="9">
        <f>('KPI 106'!M30-'KPI 113'!M30)/'KPI 106'!M30</f>
        <v>0.16699793495095508</v>
      </c>
      <c r="N30" s="9">
        <f>('KPI 106'!N30-'KPI 113'!N30)/'KPI 106'!N30</f>
        <v>0.16993931996103331</v>
      </c>
      <c r="O30" s="9">
        <f>('KPI 106'!O30-'KPI 113'!O30)/'KPI 106'!O30</f>
        <v>0.17184563471723902</v>
      </c>
      <c r="P30" s="9">
        <f>('KPI 106'!P30-'KPI 113'!P30)/'KPI 106'!P30</f>
        <v>0.17253272713020304</v>
      </c>
    </row>
  </sheetData>
  <sheetProtection algorithmName="SHA-512" hashValue="QhFjAf1I/ELlGk3uAmMbHLn2VNK2K2w3b40iWAIpmYleFLgeGC763LfHKQXTsDnctWnM8v3wbO8L0FtyBCgj7w==" saltValue="YvL+aVp2YBDHZA/c3Xyq2Q==" spinCount="100000" sheet="1" objects="1" scenarios="1"/>
  <mergeCells count="3">
    <mergeCell ref="C1:F1"/>
    <mergeCell ref="J4:Q8"/>
    <mergeCell ref="J10:Q15"/>
  </mergeCells>
  <conditionalFormatting sqref="C3">
    <cfRule type="expression" dxfId="83" priority="2">
      <formula>S4&gt;S6</formula>
    </cfRule>
  </conditionalFormatting>
  <conditionalFormatting sqref="C4">
    <cfRule type="expression" dxfId="82" priority="1">
      <formula>AND(S4&gt;S5,S4&lt;=S6)</formula>
    </cfRule>
  </conditionalFormatting>
  <conditionalFormatting sqref="C5">
    <cfRule type="expression" dxfId="81" priority="3">
      <formula>S4&lt;=S5</formula>
    </cfRule>
  </conditionalFormatting>
  <hyperlinks>
    <hyperlink ref="L1" location="'Distribution Dashboard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57729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57150</xdr:rowOff>
                  </from>
                  <to>
                    <xdr:col>9</xdr:col>
                    <xdr:colOff>628650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S30"/>
  <sheetViews>
    <sheetView zoomScale="90" zoomScaleNormal="90" zoomScalePageLayoutView="90" workbookViewId="0">
      <pane ySplit="2" topLeftCell="A3" activePane="bottomLeft" state="frozen"/>
      <selection activeCell="D26" sqref="D26:D30"/>
      <selection pane="bottomLeft" activeCell="S14" sqref="S14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 t="s">
        <v>53</v>
      </c>
      <c r="C1" s="124" t="s">
        <v>121</v>
      </c>
      <c r="D1" s="124"/>
      <c r="E1" s="124"/>
      <c r="F1" s="124"/>
      <c r="G1" s="3" t="s">
        <v>10</v>
      </c>
      <c r="I1" s="12" cm="1">
        <f t="array" ref="I1">INDEX(E18:P18,Actual_month)</f>
        <v>46054</v>
      </c>
      <c r="L1" s="15" t="s">
        <v>21</v>
      </c>
      <c r="R1" s="5"/>
    </row>
    <row r="2" spans="1:19" x14ac:dyDescent="0.35">
      <c r="A2" s="3" t="s">
        <v>14</v>
      </c>
      <c r="C2" s="3" t="s">
        <v>15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25"/>
      <c r="K4" s="126"/>
      <c r="L4" s="126"/>
      <c r="M4" s="126"/>
      <c r="N4" s="126"/>
      <c r="O4" s="126"/>
      <c r="P4" s="126"/>
      <c r="Q4" s="127"/>
      <c r="R4" s="3" t="s">
        <v>25</v>
      </c>
      <c r="S4" s="43">
        <f>INDEX(E27:P27,Actual_month)</f>
        <v>283207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28"/>
      <c r="K5" s="129"/>
      <c r="L5" s="129"/>
      <c r="M5" s="129"/>
      <c r="N5" s="129"/>
      <c r="O5" s="129"/>
      <c r="P5" s="129"/>
      <c r="Q5" s="130"/>
      <c r="R5" s="3" t="s">
        <v>26</v>
      </c>
      <c r="S5" s="43">
        <f>INDEX(E26:P26,Actual_month)</f>
        <v>313078.8333308404</v>
      </c>
    </row>
    <row r="6" spans="1:19" x14ac:dyDescent="0.35">
      <c r="J6" s="128"/>
      <c r="K6" s="129"/>
      <c r="L6" s="129"/>
      <c r="M6" s="129"/>
      <c r="N6" s="129"/>
      <c r="O6" s="129"/>
      <c r="P6" s="129"/>
      <c r="Q6" s="130"/>
      <c r="R6" s="6">
        <v>0.9</v>
      </c>
      <c r="S6" s="43">
        <f>+S5*R6</f>
        <v>281770.94999775634</v>
      </c>
    </row>
    <row r="7" spans="1:19" x14ac:dyDescent="0.35">
      <c r="J7" s="128"/>
      <c r="K7" s="129"/>
      <c r="L7" s="129"/>
      <c r="M7" s="129"/>
      <c r="N7" s="129"/>
      <c r="O7" s="129"/>
      <c r="P7" s="129"/>
      <c r="Q7" s="130"/>
    </row>
    <row r="8" spans="1:19" ht="15" thickBot="1" x14ac:dyDescent="0.4">
      <c r="J8" s="131"/>
      <c r="K8" s="132"/>
      <c r="L8" s="132"/>
      <c r="M8" s="132"/>
      <c r="N8" s="132"/>
      <c r="O8" s="132"/>
      <c r="P8" s="132"/>
      <c r="Q8" s="133"/>
    </row>
    <row r="9" spans="1:19" ht="15" thickBot="1" x14ac:dyDescent="0.4">
      <c r="J9" s="3" t="s">
        <v>13</v>
      </c>
    </row>
    <row r="10" spans="1:19" x14ac:dyDescent="0.35">
      <c r="J10" s="125"/>
      <c r="K10" s="126"/>
      <c r="L10" s="126"/>
      <c r="M10" s="126"/>
      <c r="N10" s="126"/>
      <c r="O10" s="126"/>
      <c r="P10" s="126"/>
      <c r="Q10" s="127"/>
    </row>
    <row r="11" spans="1:19" x14ac:dyDescent="0.35">
      <c r="J11" s="128"/>
      <c r="K11" s="129"/>
      <c r="L11" s="129"/>
      <c r="M11" s="129"/>
      <c r="N11" s="129"/>
      <c r="O11" s="129"/>
      <c r="P11" s="129"/>
      <c r="Q11" s="130"/>
    </row>
    <row r="12" spans="1:19" x14ac:dyDescent="0.35">
      <c r="J12" s="128"/>
      <c r="K12" s="129"/>
      <c r="L12" s="129"/>
      <c r="M12" s="129"/>
      <c r="N12" s="129"/>
      <c r="O12" s="129"/>
      <c r="P12" s="129"/>
      <c r="Q12" s="130"/>
    </row>
    <row r="13" spans="1:19" x14ac:dyDescent="0.35">
      <c r="J13" s="128"/>
      <c r="K13" s="129"/>
      <c r="L13" s="129"/>
      <c r="M13" s="129"/>
      <c r="N13" s="129"/>
      <c r="O13" s="129"/>
      <c r="P13" s="129"/>
      <c r="Q13" s="130"/>
    </row>
    <row r="14" spans="1:19" x14ac:dyDescent="0.35">
      <c r="J14" s="128"/>
      <c r="K14" s="129"/>
      <c r="L14" s="129"/>
      <c r="M14" s="129"/>
      <c r="N14" s="129"/>
      <c r="O14" s="129"/>
      <c r="P14" s="129"/>
      <c r="Q14" s="130"/>
    </row>
    <row r="15" spans="1:19" ht="15" thickBot="1" x14ac:dyDescent="0.4">
      <c r="J15" s="131"/>
      <c r="K15" s="132"/>
      <c r="L15" s="132"/>
      <c r="M15" s="132"/>
      <c r="N15" s="132"/>
      <c r="O15" s="132"/>
      <c r="P15" s="132"/>
      <c r="Q15" s="133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11"/>
    </row>
    <row r="19" spans="3:17" x14ac:dyDescent="0.35">
      <c r="D19" s="3" t="str">
        <f>'KPI 100'!D19</f>
        <v>Budget 2025/26</v>
      </c>
      <c r="E19" s="43">
        <f>Budget2526!D85</f>
        <v>37441.323412949765</v>
      </c>
      <c r="F19" s="43">
        <f>Budget2526!E85</f>
        <v>37396.341247205135</v>
      </c>
      <c r="G19" s="43">
        <f>Budget2526!F85</f>
        <v>37600.018677644017</v>
      </c>
      <c r="H19" s="43">
        <f>Budget2526!G85</f>
        <v>38478.289201780179</v>
      </c>
      <c r="I19" s="43">
        <f>Budget2526!H85</f>
        <v>39346.347277961257</v>
      </c>
      <c r="J19" s="43">
        <f>Budget2526!I85</f>
        <v>40204.37000066047</v>
      </c>
      <c r="K19" s="43">
        <f>Budget2526!J85</f>
        <v>40941.646510183913</v>
      </c>
      <c r="L19" s="43">
        <f>Budget2526!K85</f>
        <v>41670.497002455661</v>
      </c>
      <c r="M19" s="43">
        <f>Budget2526!L85</f>
        <v>42191.338933168903</v>
      </c>
      <c r="N19" s="43">
        <f>Budget2526!M85</f>
        <v>42597.291149144236</v>
      </c>
      <c r="O19" s="43">
        <f>Budget2526!N85</f>
        <v>42998.682104265914</v>
      </c>
      <c r="P19" s="43">
        <f>Budget2526!O85</f>
        <v>43356.312483520574</v>
      </c>
      <c r="Q19" s="5"/>
    </row>
    <row r="20" spans="3:17" x14ac:dyDescent="0.35">
      <c r="D20" s="3" t="str">
        <f>'KPI 100'!D20</f>
        <v>Actual 2025/26</v>
      </c>
      <c r="E20" s="43">
        <f>Actuals2526!D85</f>
        <v>30234</v>
      </c>
      <c r="F20" s="43">
        <f>Actuals2526!E85</f>
        <v>40128</v>
      </c>
      <c r="G20" s="43">
        <f>Actuals2526!F85</f>
        <v>29291</v>
      </c>
      <c r="H20" s="43">
        <f>Actuals2526!G85</f>
        <v>44330</v>
      </c>
      <c r="I20" s="43">
        <f>Actuals2526!H85</f>
        <v>27402</v>
      </c>
      <c r="J20" s="43">
        <f>Actuals2526!I85</f>
        <v>31274</v>
      </c>
      <c r="K20" s="43">
        <f>Actuals2526!J85</f>
        <v>43487</v>
      </c>
      <c r="L20" s="43">
        <f>Actuals2526!K85</f>
        <v>37061</v>
      </c>
      <c r="M20" s="43">
        <f>Actuals2526!L85</f>
        <v>0</v>
      </c>
      <c r="N20" s="43">
        <f>Actuals2526!M85</f>
        <v>0</v>
      </c>
      <c r="O20" s="43">
        <f>Actuals2526!N85</f>
        <v>0</v>
      </c>
      <c r="P20" s="43">
        <f>Actuals2526!O85</f>
        <v>0</v>
      </c>
      <c r="Q20" s="5"/>
    </row>
    <row r="21" spans="3:17" x14ac:dyDescent="0.35">
      <c r="D21" s="3" t="str">
        <f>'KPI 100'!D21</f>
        <v>Difference</v>
      </c>
      <c r="E21" s="43">
        <f>IF(E20=0,0,E20-E19)</f>
        <v>-7207.323412949765</v>
      </c>
      <c r="F21" s="43">
        <f t="shared" ref="F21:P21" si="0">IF(F20=0,0,F20-F19)</f>
        <v>2731.658752794865</v>
      </c>
      <c r="G21" s="43">
        <f t="shared" si="0"/>
        <v>-8309.0186776440169</v>
      </c>
      <c r="H21" s="43">
        <f t="shared" si="0"/>
        <v>5851.7107982198213</v>
      </c>
      <c r="I21" s="43">
        <f t="shared" si="0"/>
        <v>-11944.347277961257</v>
      </c>
      <c r="J21" s="43">
        <f t="shared" si="0"/>
        <v>-8930.3700006604704</v>
      </c>
      <c r="K21" s="43">
        <f t="shared" si="0"/>
        <v>2545.3534898160869</v>
      </c>
      <c r="L21" s="43">
        <f t="shared" si="0"/>
        <v>-4609.4970024556605</v>
      </c>
      <c r="M21" s="43">
        <f t="shared" si="0"/>
        <v>0</v>
      </c>
      <c r="N21" s="43">
        <f t="shared" si="0"/>
        <v>0</v>
      </c>
      <c r="O21" s="43">
        <f t="shared" si="0"/>
        <v>0</v>
      </c>
      <c r="P21" s="43">
        <f t="shared" si="0"/>
        <v>0</v>
      </c>
      <c r="Q21" s="5"/>
    </row>
    <row r="22" spans="3:17" x14ac:dyDescent="0.35">
      <c r="D22" s="3" t="str">
        <f>'KPI 100'!D22</f>
        <v>% realisation</v>
      </c>
      <c r="E22" s="9">
        <f>E20/E19</f>
        <v>0.80750350799680914</v>
      </c>
      <c r="F22" s="9">
        <f t="shared" ref="F22:P22" si="1">F20/F19</f>
        <v>1.0730461500160533</v>
      </c>
      <c r="G22" s="9">
        <f t="shared" si="1"/>
        <v>0.77901557047405556</v>
      </c>
      <c r="H22" s="9">
        <f t="shared" si="1"/>
        <v>1.152078247749879</v>
      </c>
      <c r="I22" s="9">
        <f t="shared" si="1"/>
        <v>0.69643059383427075</v>
      </c>
      <c r="J22" s="9">
        <f t="shared" si="1"/>
        <v>0.77787563887921229</v>
      </c>
      <c r="K22" s="9">
        <f t="shared" si="1"/>
        <v>1.0621702766444177</v>
      </c>
      <c r="L22" s="9">
        <f t="shared" si="1"/>
        <v>0.88938224081694972</v>
      </c>
      <c r="M22" s="9">
        <f t="shared" si="1"/>
        <v>0</v>
      </c>
      <c r="N22" s="9">
        <f t="shared" si="1"/>
        <v>0</v>
      </c>
      <c r="O22" s="9">
        <f t="shared" si="1"/>
        <v>0</v>
      </c>
      <c r="P22" s="9">
        <f t="shared" si="1"/>
        <v>0</v>
      </c>
    </row>
    <row r="23" spans="3:17" x14ac:dyDescent="0.35">
      <c r="D23" s="3" t="str">
        <f>'KPI 100'!D23</f>
        <v>Actual 2024/25</v>
      </c>
      <c r="E23" s="5">
        <f>Actuals2425!D85</f>
        <v>32348</v>
      </c>
      <c r="F23" s="5">
        <f>Actuals2425!E85</f>
        <v>31918</v>
      </c>
      <c r="G23" s="5">
        <f>Actuals2425!F85</f>
        <v>33901</v>
      </c>
      <c r="H23" s="5">
        <f>Actuals2425!G85</f>
        <v>35361</v>
      </c>
      <c r="I23" s="5">
        <f>Actuals2425!H85</f>
        <v>40547</v>
      </c>
      <c r="J23" s="5">
        <f>Actuals2425!I85</f>
        <v>26277</v>
      </c>
      <c r="K23" s="5">
        <f>Actuals2425!J85</f>
        <v>48222</v>
      </c>
      <c r="L23" s="5">
        <f>Actuals2425!K85</f>
        <v>39376</v>
      </c>
      <c r="M23" s="5">
        <f>Actuals2425!L85</f>
        <v>33139</v>
      </c>
      <c r="N23" s="5">
        <f>Actuals2425!M85</f>
        <v>31995</v>
      </c>
      <c r="O23" s="5">
        <f>Actuals2425!N85</f>
        <v>35998</v>
      </c>
      <c r="P23" s="5">
        <f>Actuals2425!O85</f>
        <v>40515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43">
        <f>SUM($E19:E19)</f>
        <v>37441.323412949765</v>
      </c>
      <c r="F26" s="43">
        <f>SUM($E19:F19)</f>
        <v>74837.6646601549</v>
      </c>
      <c r="G26" s="43">
        <f>SUM($E19:G19)</f>
        <v>112437.68333779892</v>
      </c>
      <c r="H26" s="43">
        <f>SUM($E19:H19)</f>
        <v>150915.97253957909</v>
      </c>
      <c r="I26" s="43">
        <f>SUM($E19:I19)</f>
        <v>190262.31981754035</v>
      </c>
      <c r="J26" s="43">
        <f>SUM($E19:J19)</f>
        <v>230466.68981820083</v>
      </c>
      <c r="K26" s="43">
        <f>SUM($E19:K19)</f>
        <v>271408.33632838476</v>
      </c>
      <c r="L26" s="43">
        <f>SUM($E19:L19)</f>
        <v>313078.8333308404</v>
      </c>
      <c r="M26" s="43">
        <f>SUM($E19:M19)</f>
        <v>355270.17226400931</v>
      </c>
      <c r="N26" s="43">
        <f>SUM($E19:N19)</f>
        <v>397867.46341315354</v>
      </c>
      <c r="O26" s="43">
        <f>SUM($E19:O19)</f>
        <v>440866.14551741944</v>
      </c>
      <c r="P26" s="43">
        <f>SUM($E19:P19)</f>
        <v>484222.45800094004</v>
      </c>
    </row>
    <row r="27" spans="3:17" x14ac:dyDescent="0.35">
      <c r="D27" s="3" t="str">
        <f t="shared" ref="D27:D30" si="3">D20</f>
        <v>Actual 2025/26</v>
      </c>
      <c r="E27" s="43">
        <f>SUM($E20:E20)</f>
        <v>30234</v>
      </c>
      <c r="F27" s="43">
        <f>SUM($E20:F20)</f>
        <v>70362</v>
      </c>
      <c r="G27" s="43">
        <f>SUM($E20:G20)</f>
        <v>99653</v>
      </c>
      <c r="H27" s="43">
        <f>SUM($E20:H20)</f>
        <v>143983</v>
      </c>
      <c r="I27" s="43">
        <f>SUM($E20:I20)</f>
        <v>171385</v>
      </c>
      <c r="J27" s="43">
        <f>SUM($E20:J20)</f>
        <v>202659</v>
      </c>
      <c r="K27" s="43">
        <f>SUM($E20:K20)</f>
        <v>246146</v>
      </c>
      <c r="L27" s="43">
        <f>SUM($E20:L20)</f>
        <v>283207</v>
      </c>
      <c r="M27" s="43">
        <f>SUM($E20:M20)</f>
        <v>283207</v>
      </c>
      <c r="N27" s="43">
        <f>SUM($E20:N20)</f>
        <v>283207</v>
      </c>
      <c r="O27" s="43">
        <f>SUM($E20:O20)</f>
        <v>283207</v>
      </c>
      <c r="P27" s="43">
        <f>SUM($E20:P20)</f>
        <v>283207</v>
      </c>
    </row>
    <row r="28" spans="3:17" x14ac:dyDescent="0.35">
      <c r="D28" s="3" t="str">
        <f t="shared" si="3"/>
        <v>Difference</v>
      </c>
      <c r="E28" s="43">
        <f>IF(E27=0,0,E27-E26)</f>
        <v>-7207.323412949765</v>
      </c>
      <c r="F28" s="43">
        <f t="shared" ref="F28:P28" si="4">IF(F27=0,0,F27-F26)</f>
        <v>-4475.6646601549</v>
      </c>
      <c r="G28" s="43">
        <f t="shared" si="4"/>
        <v>-12784.683337798924</v>
      </c>
      <c r="H28" s="43">
        <f t="shared" si="4"/>
        <v>-6932.9725395790883</v>
      </c>
      <c r="I28" s="43">
        <f t="shared" si="4"/>
        <v>-18877.319817540352</v>
      </c>
      <c r="J28" s="43">
        <f t="shared" si="4"/>
        <v>-27807.68981820083</v>
      </c>
      <c r="K28" s="43">
        <f t="shared" si="4"/>
        <v>-25262.336328384758</v>
      </c>
      <c r="L28" s="43">
        <f t="shared" si="4"/>
        <v>-29871.833330840396</v>
      </c>
      <c r="M28" s="43">
        <f t="shared" si="4"/>
        <v>-72063.172264009307</v>
      </c>
      <c r="N28" s="43">
        <f t="shared" si="4"/>
        <v>-114660.46341315354</v>
      </c>
      <c r="O28" s="43">
        <f t="shared" si="4"/>
        <v>-157659.14551741944</v>
      </c>
      <c r="P28" s="43">
        <f t="shared" si="4"/>
        <v>-201015.45800094004</v>
      </c>
    </row>
    <row r="29" spans="3:17" x14ac:dyDescent="0.35">
      <c r="D29" s="3" t="str">
        <f t="shared" si="3"/>
        <v>% realisation</v>
      </c>
      <c r="E29" s="9">
        <f t="shared" ref="E29:P29" si="5">E27/E26</f>
        <v>0.80750350799680914</v>
      </c>
      <c r="F29" s="9">
        <f t="shared" si="5"/>
        <v>0.9401950250521669</v>
      </c>
      <c r="G29" s="9">
        <f t="shared" si="5"/>
        <v>0.88629538640182026</v>
      </c>
      <c r="H29" s="9">
        <f t="shared" si="5"/>
        <v>0.95406071058674158</v>
      </c>
      <c r="I29" s="9">
        <f t="shared" si="5"/>
        <v>0.90078266765777104</v>
      </c>
      <c r="J29" s="9">
        <f t="shared" si="5"/>
        <v>0.87934182662086058</v>
      </c>
      <c r="K29" s="9">
        <f t="shared" si="5"/>
        <v>0.90692129552786049</v>
      </c>
      <c r="L29" s="9">
        <f t="shared" si="5"/>
        <v>0.90458686391208731</v>
      </c>
      <c r="M29" s="9">
        <f t="shared" si="5"/>
        <v>0.79715952002168777</v>
      </c>
      <c r="N29" s="9">
        <f t="shared" si="5"/>
        <v>0.71181241504513826</v>
      </c>
      <c r="O29" s="9">
        <f t="shared" si="5"/>
        <v>0.6423877244364411</v>
      </c>
      <c r="P29" s="9">
        <f t="shared" si="5"/>
        <v>0.58486960966079393</v>
      </c>
    </row>
    <row r="30" spans="3:17" x14ac:dyDescent="0.35">
      <c r="D30" s="3" t="str">
        <f t="shared" si="3"/>
        <v>Actual 2024/25</v>
      </c>
      <c r="E30" s="43">
        <f>SUM($E23:E23)</f>
        <v>32348</v>
      </c>
      <c r="F30" s="43">
        <f>SUM($E23:F23)</f>
        <v>64266</v>
      </c>
      <c r="G30" s="43">
        <f>SUM($E23:G23)</f>
        <v>98167</v>
      </c>
      <c r="H30" s="43">
        <f>SUM($E23:H23)</f>
        <v>133528</v>
      </c>
      <c r="I30" s="43">
        <f>SUM($E23:I23)</f>
        <v>174075</v>
      </c>
      <c r="J30" s="43">
        <f>SUM($E23:J23)</f>
        <v>200352</v>
      </c>
      <c r="K30" s="43">
        <f>SUM($E23:K23)</f>
        <v>248574</v>
      </c>
      <c r="L30" s="43">
        <f>SUM($E23:L23)</f>
        <v>287950</v>
      </c>
      <c r="M30" s="43">
        <f>SUM($E23:M23)</f>
        <v>321089</v>
      </c>
      <c r="N30" s="43">
        <f>SUM($E23:N23)</f>
        <v>353084</v>
      </c>
      <c r="O30" s="43">
        <f>SUM($E23:O23)</f>
        <v>389082</v>
      </c>
      <c r="P30" s="43">
        <f>SUM($E23:P23)</f>
        <v>429597</v>
      </c>
    </row>
  </sheetData>
  <sheetProtection algorithmName="SHA-512" hashValue="iZGU/WMtwRS8ewUnhdGKKJeXXyOt2ys58GZVGwy8LqszNFwnRW7yEBd6eQPF/vkPZDg2yvZ2sRixBBQB3RcLSw==" saltValue="ufZJtUzmdhRdojQ/RccIiA==" spinCount="100000" sheet="1" objects="1" scenarios="1"/>
  <mergeCells count="3">
    <mergeCell ref="C1:F1"/>
    <mergeCell ref="J4:Q8"/>
    <mergeCell ref="J10:Q15"/>
  </mergeCells>
  <conditionalFormatting sqref="C3">
    <cfRule type="expression" dxfId="80" priority="2">
      <formula>S4&lt;S6</formula>
    </cfRule>
  </conditionalFormatting>
  <conditionalFormatting sqref="C4">
    <cfRule type="expression" dxfId="79" priority="1">
      <formula>AND(S4&gt;=S6,S4&lt;S5)</formula>
    </cfRule>
  </conditionalFormatting>
  <conditionalFormatting sqref="C5">
    <cfRule type="expression" dxfId="78" priority="3">
      <formula>S4&gt;=S5</formula>
    </cfRule>
  </conditionalFormatting>
  <hyperlinks>
    <hyperlink ref="L1" location="'Distribution Dashboard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43425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57150</xdr:rowOff>
                  </from>
                  <to>
                    <xdr:col>9</xdr:col>
                    <xdr:colOff>628650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S30"/>
  <sheetViews>
    <sheetView zoomScale="90" zoomScaleNormal="90" zoomScalePageLayoutView="90" workbookViewId="0">
      <pane ySplit="2" topLeftCell="A3" activePane="bottomLeft" state="frozen"/>
      <selection activeCell="D26" sqref="D26:D30"/>
      <selection pane="bottomLeft" activeCell="I2" sqref="I2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 t="s">
        <v>62</v>
      </c>
      <c r="C1" s="124" t="s">
        <v>122</v>
      </c>
      <c r="D1" s="124"/>
      <c r="E1" s="124"/>
      <c r="F1" s="124"/>
      <c r="G1" s="3" t="s">
        <v>10</v>
      </c>
      <c r="I1" s="12" cm="1">
        <f t="array" ref="I1">INDEX(E18:P18,Actual_month)</f>
        <v>46054</v>
      </c>
      <c r="L1" s="15" t="s">
        <v>21</v>
      </c>
      <c r="R1" s="5"/>
    </row>
    <row r="2" spans="1:19" x14ac:dyDescent="0.35">
      <c r="A2" s="3" t="s">
        <v>14</v>
      </c>
      <c r="C2" s="3" t="s">
        <v>15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 t="e">
        <f>INDEX(#REF!,Actual_month)</f>
        <v>#REF!</v>
      </c>
      <c r="K4" s="135"/>
      <c r="L4" s="135"/>
      <c r="M4" s="135"/>
      <c r="N4" s="135"/>
      <c r="O4" s="135"/>
      <c r="P4" s="135"/>
      <c r="Q4" s="136"/>
      <c r="R4" s="3" t="s">
        <v>25</v>
      </c>
      <c r="S4" s="43">
        <f>INDEX(E27:P27,Actual_month)</f>
        <v>200670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43">
        <f>INDEX(E26:P26,Actual_month)</f>
        <v>228405.72897862166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0.9</v>
      </c>
      <c r="S6" s="43">
        <f>+S5*R6</f>
        <v>205565.15608075951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43">
        <f>Budget2526!D86</f>
        <v>26743.803240712103</v>
      </c>
      <c r="F19" s="43">
        <f>Budget2526!E86</f>
        <v>26870.671175652296</v>
      </c>
      <c r="G19" s="43">
        <f>Budget2526!F86</f>
        <v>27176.885064189766</v>
      </c>
      <c r="H19" s="43">
        <f>Budget2526!G86</f>
        <v>27975.287631972518</v>
      </c>
      <c r="I19" s="43">
        <f>Budget2526!H86</f>
        <v>28773.69019975527</v>
      </c>
      <c r="J19" s="43">
        <f>Budget2526!I86</f>
        <v>29572.092767538026</v>
      </c>
      <c r="K19" s="43">
        <f>Budget2526!J86</f>
        <v>30288.463888779897</v>
      </c>
      <c r="L19" s="43">
        <f>Budget2526!K86</f>
        <v>31004.835010021769</v>
      </c>
      <c r="M19" s="43">
        <f>Budget2526!L86</f>
        <v>31571.751169932581</v>
      </c>
      <c r="N19" s="43">
        <f>Budget2526!M86</f>
        <v>32056.635883302512</v>
      </c>
      <c r="O19" s="43">
        <f>Budget2526!N86</f>
        <v>32541.520596672442</v>
      </c>
      <c r="P19" s="43">
        <f>Budget2526!O86</f>
        <v>32996.514317776164</v>
      </c>
      <c r="Q19" s="5"/>
    </row>
    <row r="20" spans="3:17" x14ac:dyDescent="0.35">
      <c r="D20" s="3" t="str">
        <f>'KPI 100'!D20</f>
        <v>Actual 2025/26</v>
      </c>
      <c r="E20" s="43">
        <f>Actuals2526!D86</f>
        <v>21124</v>
      </c>
      <c r="F20" s="43">
        <f>Actuals2526!E86</f>
        <v>28413</v>
      </c>
      <c r="G20" s="43">
        <f>Actuals2526!F86</f>
        <v>21139</v>
      </c>
      <c r="H20" s="43">
        <f>Actuals2526!G86</f>
        <v>27997</v>
      </c>
      <c r="I20" s="43">
        <f>Actuals2526!H86</f>
        <v>19635</v>
      </c>
      <c r="J20" s="43">
        <f>Actuals2526!I86</f>
        <v>22759</v>
      </c>
      <c r="K20" s="43">
        <f>Actuals2526!J86</f>
        <v>32803</v>
      </c>
      <c r="L20" s="43">
        <f>Actuals2526!K86</f>
        <v>26800</v>
      </c>
      <c r="M20" s="43">
        <f>Actuals2526!L86</f>
        <v>0</v>
      </c>
      <c r="N20" s="43">
        <f>Actuals2526!M86</f>
        <v>0</v>
      </c>
      <c r="O20" s="43">
        <f>Actuals2526!N86</f>
        <v>0</v>
      </c>
      <c r="P20" s="43">
        <f>Actuals2526!O86</f>
        <v>0</v>
      </c>
      <c r="Q20" s="5"/>
    </row>
    <row r="21" spans="3:17" x14ac:dyDescent="0.35">
      <c r="D21" s="3" t="str">
        <f>'KPI 100'!D21</f>
        <v>Difference</v>
      </c>
      <c r="E21" s="43">
        <f>IF(E20=0,0,E20-E19)</f>
        <v>-5619.8032407121027</v>
      </c>
      <c r="F21" s="43">
        <f t="shared" ref="F21:P21" si="0">IF(F20=0,0,F20-F19)</f>
        <v>1542.3288243477036</v>
      </c>
      <c r="G21" s="43">
        <f t="shared" si="0"/>
        <v>-6037.8850641897661</v>
      </c>
      <c r="H21" s="43">
        <f t="shared" si="0"/>
        <v>21.712368027481716</v>
      </c>
      <c r="I21" s="43">
        <f t="shared" si="0"/>
        <v>-9138.6901997552704</v>
      </c>
      <c r="J21" s="43">
        <f t="shared" si="0"/>
        <v>-6813.0927675380262</v>
      </c>
      <c r="K21" s="43">
        <f t="shared" si="0"/>
        <v>2514.5361112201026</v>
      </c>
      <c r="L21" s="43">
        <f t="shared" si="0"/>
        <v>-4204.8350100217685</v>
      </c>
      <c r="M21" s="43">
        <f t="shared" si="0"/>
        <v>0</v>
      </c>
      <c r="N21" s="43">
        <f t="shared" si="0"/>
        <v>0</v>
      </c>
      <c r="O21" s="43">
        <f t="shared" si="0"/>
        <v>0</v>
      </c>
      <c r="P21" s="43">
        <f t="shared" si="0"/>
        <v>0</v>
      </c>
      <c r="Q21" s="5"/>
    </row>
    <row r="22" spans="3:17" x14ac:dyDescent="0.35">
      <c r="D22" s="3" t="str">
        <f>'KPI 100'!D22</f>
        <v>% realisation</v>
      </c>
      <c r="E22" s="9">
        <f>E20/E19</f>
        <v>0.78986521886471728</v>
      </c>
      <c r="F22" s="9">
        <f t="shared" ref="F22:P22" si="1">F20/F19</f>
        <v>1.0573982247881184</v>
      </c>
      <c r="G22" s="9">
        <f t="shared" si="1"/>
        <v>0.77783012843713573</v>
      </c>
      <c r="H22" s="9">
        <f t="shared" si="1"/>
        <v>1.0007761267127302</v>
      </c>
      <c r="I22" s="9">
        <f t="shared" si="1"/>
        <v>0.68239422415714346</v>
      </c>
      <c r="J22" s="9">
        <f t="shared" si="1"/>
        <v>0.76961073329862817</v>
      </c>
      <c r="K22" s="9">
        <f t="shared" si="1"/>
        <v>1.0830195984997308</v>
      </c>
      <c r="L22" s="9">
        <f t="shared" si="1"/>
        <v>0.86438131315123501</v>
      </c>
      <c r="M22" s="9">
        <f t="shared" si="1"/>
        <v>0</v>
      </c>
      <c r="N22" s="9">
        <f t="shared" si="1"/>
        <v>0</v>
      </c>
      <c r="O22" s="9">
        <f t="shared" si="1"/>
        <v>0</v>
      </c>
      <c r="P22" s="9">
        <f t="shared" si="1"/>
        <v>0</v>
      </c>
    </row>
    <row r="23" spans="3:17" x14ac:dyDescent="0.35">
      <c r="D23" s="3" t="str">
        <f>'KPI 100'!D23</f>
        <v>Actual 2024/25</v>
      </c>
      <c r="E23" s="5">
        <f>Actuals2425!D86</f>
        <v>26728</v>
      </c>
      <c r="F23" s="5">
        <f>Actuals2425!E86</f>
        <v>24225</v>
      </c>
      <c r="G23" s="5">
        <f>Actuals2425!F86</f>
        <v>27308</v>
      </c>
      <c r="H23" s="5">
        <f>Actuals2425!G86</f>
        <v>26535</v>
      </c>
      <c r="I23" s="5">
        <f>Actuals2425!H86</f>
        <v>30367</v>
      </c>
      <c r="J23" s="5">
        <f>Actuals2425!I86</f>
        <v>18026</v>
      </c>
      <c r="K23" s="5">
        <f>Actuals2425!J86</f>
        <v>31140</v>
      </c>
      <c r="L23" s="5">
        <f>Actuals2425!K86</f>
        <v>28691</v>
      </c>
      <c r="M23" s="5">
        <f>Actuals2425!L86</f>
        <v>26588</v>
      </c>
      <c r="N23" s="5">
        <f>Actuals2425!M86</f>
        <v>22538</v>
      </c>
      <c r="O23" s="5">
        <f>Actuals2425!N86</f>
        <v>23286</v>
      </c>
      <c r="P23" s="5">
        <f>Actuals2425!O86</f>
        <v>28109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43">
        <f>SUM($E19:E19)</f>
        <v>26743.803240712103</v>
      </c>
      <c r="F26" s="43">
        <f>SUM($E19:F19)</f>
        <v>53614.474416364399</v>
      </c>
      <c r="G26" s="43">
        <f>SUM($E19:G19)</f>
        <v>80791.359480554165</v>
      </c>
      <c r="H26" s="43">
        <f>SUM($E19:H19)</f>
        <v>108766.64711252668</v>
      </c>
      <c r="I26" s="43">
        <f>SUM($E19:I19)</f>
        <v>137540.33731228195</v>
      </c>
      <c r="J26" s="43">
        <f>SUM($E19:J19)</f>
        <v>167112.43007981998</v>
      </c>
      <c r="K26" s="43">
        <f>SUM($E19:K19)</f>
        <v>197400.89396859988</v>
      </c>
      <c r="L26" s="43">
        <f>SUM($E19:L19)</f>
        <v>228405.72897862166</v>
      </c>
      <c r="M26" s="43">
        <f>SUM($E19:M19)</f>
        <v>259977.48014855423</v>
      </c>
      <c r="N26" s="43">
        <f>SUM($E19:N19)</f>
        <v>292034.11603185674</v>
      </c>
      <c r="O26" s="43">
        <f>SUM($E19:O19)</f>
        <v>324575.63662852917</v>
      </c>
      <c r="P26" s="43">
        <f>SUM($E19:P19)</f>
        <v>357572.15094630537</v>
      </c>
    </row>
    <row r="27" spans="3:17" x14ac:dyDescent="0.35">
      <c r="D27" s="3" t="str">
        <f t="shared" ref="D27:D30" si="3">D20</f>
        <v>Actual 2025/26</v>
      </c>
      <c r="E27" s="43">
        <f>SUM($E20:E20)</f>
        <v>21124</v>
      </c>
      <c r="F27" s="43">
        <f>SUM($E20:F20)</f>
        <v>49537</v>
      </c>
      <c r="G27" s="43">
        <f>SUM($E20:G20)</f>
        <v>70676</v>
      </c>
      <c r="H27" s="43">
        <f>SUM($E20:H20)</f>
        <v>98673</v>
      </c>
      <c r="I27" s="43">
        <f>SUM($E20:I20)</f>
        <v>118308</v>
      </c>
      <c r="J27" s="43">
        <f>SUM($E20:J20)</f>
        <v>141067</v>
      </c>
      <c r="K27" s="43">
        <f>SUM($E20:K20)</f>
        <v>173870</v>
      </c>
      <c r="L27" s="43">
        <f>SUM($E20:L20)</f>
        <v>200670</v>
      </c>
      <c r="M27" s="43">
        <f>SUM($E20:M20)</f>
        <v>200670</v>
      </c>
      <c r="N27" s="43">
        <f>SUM($E20:N20)</f>
        <v>200670</v>
      </c>
      <c r="O27" s="43">
        <f>SUM($E20:O20)</f>
        <v>200670</v>
      </c>
      <c r="P27" s="43">
        <f>SUM($E20:P20)</f>
        <v>200670</v>
      </c>
    </row>
    <row r="28" spans="3:17" x14ac:dyDescent="0.35">
      <c r="D28" s="3" t="str">
        <f t="shared" si="3"/>
        <v>Difference</v>
      </c>
      <c r="E28" s="43">
        <f>IF(E27=0,0,E27-E26)</f>
        <v>-5619.8032407121027</v>
      </c>
      <c r="F28" s="43">
        <f t="shared" ref="F28:P28" si="4">IF(F27=0,0,F27-F26)</f>
        <v>-4077.4744163643991</v>
      </c>
      <c r="G28" s="43">
        <f t="shared" si="4"/>
        <v>-10115.359480554165</v>
      </c>
      <c r="H28" s="43">
        <f t="shared" si="4"/>
        <v>-10093.647112526683</v>
      </c>
      <c r="I28" s="43">
        <f t="shared" si="4"/>
        <v>-19232.337312281947</v>
      </c>
      <c r="J28" s="43">
        <f t="shared" si="4"/>
        <v>-26045.430079819984</v>
      </c>
      <c r="K28" s="43">
        <f t="shared" si="4"/>
        <v>-23530.893968599878</v>
      </c>
      <c r="L28" s="43">
        <f t="shared" si="4"/>
        <v>-27735.728978621657</v>
      </c>
      <c r="M28" s="43">
        <f t="shared" si="4"/>
        <v>-59307.480148554227</v>
      </c>
      <c r="N28" s="43">
        <f t="shared" si="4"/>
        <v>-91364.116031856742</v>
      </c>
      <c r="O28" s="43">
        <f t="shared" si="4"/>
        <v>-123905.63662852917</v>
      </c>
      <c r="P28" s="43">
        <f t="shared" si="4"/>
        <v>-156902.15094630537</v>
      </c>
    </row>
    <row r="29" spans="3:17" x14ac:dyDescent="0.35">
      <c r="D29" s="3" t="str">
        <f t="shared" si="3"/>
        <v>% realisation</v>
      </c>
      <c r="E29" s="9">
        <f t="shared" ref="E29:P29" si="5">E27/E26</f>
        <v>0.78986521886471728</v>
      </c>
      <c r="F29" s="9">
        <f t="shared" si="5"/>
        <v>0.92394825351267718</v>
      </c>
      <c r="G29" s="9">
        <f t="shared" si="5"/>
        <v>0.87479651851892837</v>
      </c>
      <c r="H29" s="9">
        <f t="shared" si="5"/>
        <v>0.90719905981762861</v>
      </c>
      <c r="I29" s="9">
        <f t="shared" si="5"/>
        <v>0.86016947691050516</v>
      </c>
      <c r="J29" s="9">
        <f t="shared" si="5"/>
        <v>0.84414426821882982</v>
      </c>
      <c r="K29" s="9">
        <f t="shared" si="5"/>
        <v>0.88079641639139239</v>
      </c>
      <c r="L29" s="9">
        <f t="shared" si="5"/>
        <v>0.87856815543703959</v>
      </c>
      <c r="M29" s="9">
        <f t="shared" si="5"/>
        <v>0.77187454807752875</v>
      </c>
      <c r="N29" s="9">
        <f t="shared" si="5"/>
        <v>0.6871457442256842</v>
      </c>
      <c r="O29" s="9">
        <f t="shared" si="5"/>
        <v>0.61825342802812744</v>
      </c>
      <c r="P29" s="9">
        <f t="shared" si="5"/>
        <v>0.561201423178321</v>
      </c>
    </row>
    <row r="30" spans="3:17" x14ac:dyDescent="0.35">
      <c r="D30" s="3" t="str">
        <f t="shared" si="3"/>
        <v>Actual 2024/25</v>
      </c>
      <c r="E30" s="43">
        <f>SUM($E23:E23)</f>
        <v>26728</v>
      </c>
      <c r="F30" s="43">
        <f>SUM($E23:F23)</f>
        <v>50953</v>
      </c>
      <c r="G30" s="43">
        <f>SUM($E23:G23)</f>
        <v>78261</v>
      </c>
      <c r="H30" s="43">
        <f>SUM($E23:H23)</f>
        <v>104796</v>
      </c>
      <c r="I30" s="43">
        <f>SUM($E23:I23)</f>
        <v>135163</v>
      </c>
      <c r="J30" s="43">
        <f>SUM($E23:J23)</f>
        <v>153189</v>
      </c>
      <c r="K30" s="43">
        <f>SUM($E23:K23)</f>
        <v>184329</v>
      </c>
      <c r="L30" s="43">
        <f>SUM($E23:L23)</f>
        <v>213020</v>
      </c>
      <c r="M30" s="43">
        <f>SUM($E23:M23)</f>
        <v>239608</v>
      </c>
      <c r="N30" s="43">
        <f>SUM($E23:N23)</f>
        <v>262146</v>
      </c>
      <c r="O30" s="43">
        <f>SUM($E23:O23)</f>
        <v>285432</v>
      </c>
      <c r="P30" s="43">
        <f>SUM($E23:P23)</f>
        <v>313541</v>
      </c>
    </row>
  </sheetData>
  <sheetProtection algorithmName="SHA-512" hashValue="ywyVTt4+aPCoxmPmWWSL2oqfXziSErPsTJDk2EKl6gJPzfsNEX6GXeFB1CE09MNpaWP0XaARtEL9YS6yJ96KSw==" saltValue="OzCPu2SKuo/Qyx1TBkobJA==" spinCount="100000" sheet="1" objects="1" scenarios="1"/>
  <mergeCells count="3">
    <mergeCell ref="C1:F1"/>
    <mergeCell ref="J4:Q8"/>
    <mergeCell ref="J10:Q15"/>
  </mergeCells>
  <conditionalFormatting sqref="C3">
    <cfRule type="expression" dxfId="77" priority="2">
      <formula>S4&lt;S6</formula>
    </cfRule>
  </conditionalFormatting>
  <conditionalFormatting sqref="C4">
    <cfRule type="expression" dxfId="76" priority="1">
      <formula>AND(S4&gt;=S6,S4&lt;S5)</formula>
    </cfRule>
  </conditionalFormatting>
  <conditionalFormatting sqref="C5">
    <cfRule type="expression" dxfId="75" priority="3">
      <formula>S4&gt;=S5</formula>
    </cfRule>
  </conditionalFormatting>
  <hyperlinks>
    <hyperlink ref="L1" location="'Distribution Dashboard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46497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57150</xdr:rowOff>
                  </from>
                  <to>
                    <xdr:col>9</xdr:col>
                    <xdr:colOff>628650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S30"/>
  <sheetViews>
    <sheetView zoomScale="90" zoomScaleNormal="90" zoomScalePageLayoutView="90" workbookViewId="0">
      <pane ySplit="2" topLeftCell="A3" activePane="bottomLeft" state="frozen"/>
      <selection activeCell="D26" sqref="D26:D30"/>
      <selection pane="bottomLeft"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 t="s">
        <v>71</v>
      </c>
      <c r="C1" s="124" t="s">
        <v>123</v>
      </c>
      <c r="D1" s="124"/>
      <c r="E1" s="124"/>
      <c r="F1" s="124"/>
      <c r="G1" s="3" t="s">
        <v>10</v>
      </c>
      <c r="I1" s="12">
        <f>INDEX(E$18:P$18,Actual_month)</f>
        <v>46054</v>
      </c>
      <c r="L1" s="15" t="s">
        <v>21</v>
      </c>
      <c r="R1" s="5"/>
    </row>
    <row r="2" spans="1:19" x14ac:dyDescent="0.35">
      <c r="A2" s="3" t="s">
        <v>14</v>
      </c>
      <c r="C2" s="3" t="s">
        <v>1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/>
      <c r="K4" s="135"/>
      <c r="L4" s="135"/>
      <c r="M4" s="135"/>
      <c r="N4" s="135"/>
      <c r="O4" s="135"/>
      <c r="P4" s="135"/>
      <c r="Q4" s="136"/>
      <c r="R4" s="3" t="s">
        <v>25</v>
      </c>
      <c r="S4" s="9">
        <f>INDEX(E27:P27,Actual_month)</f>
        <v>0.29143700544124967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9">
        <f>INDEX(E26:P26,Actual_month)</f>
        <v>0.27045298288416059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1.1000000000000001</v>
      </c>
      <c r="S6" s="9">
        <f>+S5*R6</f>
        <v>0.29749828117257665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9">
        <f>Budget2526!D87</f>
        <v>0.28571426427030966</v>
      </c>
      <c r="F19" s="9">
        <f>Budget2526!E87</f>
        <v>0.28146256346239457</v>
      </c>
      <c r="G19" s="9">
        <f>Budget2526!F87</f>
        <v>0.27721086265447981</v>
      </c>
      <c r="H19" s="9">
        <f>Budget2526!G87</f>
        <v>0.27295916184656527</v>
      </c>
      <c r="I19" s="9">
        <f>Budget2526!H87</f>
        <v>0.26870746103865051</v>
      </c>
      <c r="J19" s="9">
        <f>Budget2526!I87</f>
        <v>0.26445576023073558</v>
      </c>
      <c r="K19" s="9">
        <f>Budget2526!J87</f>
        <v>0.26020405942282071</v>
      </c>
      <c r="L19" s="9">
        <f>Budget2526!K87</f>
        <v>0.25595235861490589</v>
      </c>
      <c r="M19" s="9">
        <f>Budget2526!L87</f>
        <v>0.25170065780699097</v>
      </c>
      <c r="N19" s="9">
        <f>Budget2526!M87</f>
        <v>0.24744895699907626</v>
      </c>
      <c r="O19" s="9">
        <f>Budget2526!N87</f>
        <v>0.24319725619116156</v>
      </c>
      <c r="P19" s="9">
        <f>Budget2526!O87</f>
        <v>0.23894555538324658</v>
      </c>
      <c r="Q19" s="5"/>
    </row>
    <row r="20" spans="3:17" x14ac:dyDescent="0.35">
      <c r="D20" s="3" t="str">
        <f>'KPI 100'!D20</f>
        <v>Actual 2025/26</v>
      </c>
      <c r="E20" s="9">
        <f>Actuals2526!D87</f>
        <v>0.30131639875636701</v>
      </c>
      <c r="F20" s="9">
        <f>Actuals2526!E87</f>
        <v>0.29194078947368424</v>
      </c>
      <c r="G20" s="9">
        <f>Actuals2526!F87</f>
        <v>0.27831074391451299</v>
      </c>
      <c r="H20" s="9">
        <f>Actuals2526!G87</f>
        <v>0.36844123618317165</v>
      </c>
      <c r="I20" s="9">
        <f>Actuals2526!H87</f>
        <v>0.28344646376176924</v>
      </c>
      <c r="J20" s="9">
        <f>Actuals2526!I87</f>
        <v>0.27227089595190895</v>
      </c>
      <c r="K20" s="9">
        <f>Actuals2526!J87</f>
        <v>0.24568261779382344</v>
      </c>
      <c r="L20" s="9">
        <f>Actuals2526!K87</f>
        <v>0.2768678664903807</v>
      </c>
      <c r="M20" s="9" t="e">
        <f>Actuals2526!L87</f>
        <v>#DIV/0!</v>
      </c>
      <c r="N20" s="9" t="e">
        <f>Actuals2526!M87</f>
        <v>#DIV/0!</v>
      </c>
      <c r="O20" s="9" t="e">
        <f>Actuals2526!N87</f>
        <v>#DIV/0!</v>
      </c>
      <c r="P20" s="9" t="e">
        <f>Actuals2526!O87</f>
        <v>#DIV/0!</v>
      </c>
      <c r="Q20" s="5"/>
    </row>
    <row r="21" spans="3:17" x14ac:dyDescent="0.35">
      <c r="D21" s="3" t="str">
        <f>'KPI 100'!D21</f>
        <v>Difference</v>
      </c>
      <c r="E21" s="9">
        <f>IF(E20=0,0,E20-E19)</f>
        <v>1.5602134486057351E-2</v>
      </c>
      <c r="F21" s="9">
        <f t="shared" ref="F21:P21" si="0">IF(F20=0,0,F20-F19)</f>
        <v>1.0478226011289671E-2</v>
      </c>
      <c r="G21" s="9">
        <f t="shared" si="0"/>
        <v>1.0998812600331864E-3</v>
      </c>
      <c r="H21" s="9">
        <f t="shared" si="0"/>
        <v>9.5482074336606382E-2</v>
      </c>
      <c r="I21" s="9">
        <f t="shared" si="0"/>
        <v>1.4739002723118733E-2</v>
      </c>
      <c r="J21" s="9">
        <f t="shared" si="0"/>
        <v>7.8151357211733719E-3</v>
      </c>
      <c r="K21" s="9">
        <f t="shared" si="0"/>
        <v>-1.4521441628997267E-2</v>
      </c>
      <c r="L21" s="9">
        <f t="shared" si="0"/>
        <v>2.0915507875474804E-2</v>
      </c>
      <c r="M21" s="9" t="e">
        <f t="shared" si="0"/>
        <v>#DIV/0!</v>
      </c>
      <c r="N21" s="9" t="e">
        <f t="shared" si="0"/>
        <v>#DIV/0!</v>
      </c>
      <c r="O21" s="9" t="e">
        <f t="shared" si="0"/>
        <v>#DIV/0!</v>
      </c>
      <c r="P21" s="9" t="e">
        <f t="shared" si="0"/>
        <v>#DIV/0!</v>
      </c>
      <c r="Q21" s="5"/>
    </row>
    <row r="22" spans="3:17" x14ac:dyDescent="0.35">
      <c r="D22" s="3" t="str">
        <f>'KPI 100'!D22</f>
        <v>% realisation</v>
      </c>
      <c r="E22" s="9">
        <f>E20/E19</f>
        <v>1.0546074747997056</v>
      </c>
      <c r="F22" s="9">
        <f t="shared" ref="F22:P22" si="1">F20/F19</f>
        <v>1.0372277786515991</v>
      </c>
      <c r="G22" s="9">
        <f t="shared" si="1"/>
        <v>1.003967670132047</v>
      </c>
      <c r="H22" s="9">
        <f t="shared" si="1"/>
        <v>1.3498035152609327</v>
      </c>
      <c r="I22" s="9">
        <f t="shared" si="1"/>
        <v>1.0548514829701685</v>
      </c>
      <c r="J22" s="9">
        <f t="shared" si="1"/>
        <v>1.0295517696962044</v>
      </c>
      <c r="K22" s="9">
        <f t="shared" si="1"/>
        <v>0.94419210191720904</v>
      </c>
      <c r="L22" s="9">
        <f t="shared" si="1"/>
        <v>1.0817164099938743</v>
      </c>
      <c r="M22" s="9" t="e">
        <f t="shared" si="1"/>
        <v>#DIV/0!</v>
      </c>
      <c r="N22" s="9" t="e">
        <f t="shared" si="1"/>
        <v>#DIV/0!</v>
      </c>
      <c r="O22" s="9" t="e">
        <f t="shared" si="1"/>
        <v>#DIV/0!</v>
      </c>
      <c r="P22" s="9" t="e">
        <f t="shared" si="1"/>
        <v>#DIV/0!</v>
      </c>
    </row>
    <row r="23" spans="3:17" x14ac:dyDescent="0.35">
      <c r="D23" s="3" t="str">
        <f>'KPI 100'!D23</f>
        <v>Actual 2024/25</v>
      </c>
      <c r="E23" s="9">
        <f>Actuals2425!D87</f>
        <v>0.17373562507728454</v>
      </c>
      <c r="F23" s="9">
        <f>Actuals2425!E87</f>
        <v>0.24102387367629552</v>
      </c>
      <c r="G23" s="9">
        <f>Actuals2425!F87</f>
        <v>0.19447803899589983</v>
      </c>
      <c r="H23" s="9">
        <f>Actuals2425!G87</f>
        <v>0.24959701365911596</v>
      </c>
      <c r="I23" s="9">
        <f>Actuals2425!H87</f>
        <v>0.25106666337830175</v>
      </c>
      <c r="J23" s="9">
        <f>Actuals2425!I87</f>
        <v>0.31400083723408306</v>
      </c>
      <c r="K23" s="9">
        <f>Actuals2425!J87</f>
        <v>0.35423665546845839</v>
      </c>
      <c r="L23" s="9">
        <f>Actuals2425!K87</f>
        <v>0.27135818772856563</v>
      </c>
      <c r="M23" s="9">
        <f>Actuals2425!L87</f>
        <v>0.19768248891034731</v>
      </c>
      <c r="N23" s="9">
        <f>Actuals2425!M87</f>
        <v>0.29557743397405845</v>
      </c>
      <c r="O23" s="9">
        <f>Actuals2425!N87</f>
        <v>0.35313072948497137</v>
      </c>
      <c r="P23" s="9">
        <f>Actuals2425!O87</f>
        <v>0.30620757744045413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9">
        <f>('KPI 103 (3)'!E26-'KPI 110 (3)'!E26)/'KPI 103 (3)'!E26</f>
        <v>0.28571426427030966</v>
      </c>
      <c r="F26" s="9">
        <f>('KPI 103 (3)'!F26-'KPI 110 (3)'!F26)/'KPI 103 (3)'!F26</f>
        <v>0.28358969163678566</v>
      </c>
      <c r="G26" s="9">
        <f>('KPI 103 (3)'!G26-'KPI 110 (3)'!G26)/'KPI 103 (3)'!G26</f>
        <v>0.2814565625847078</v>
      </c>
      <c r="H26" s="9">
        <f>('KPI 103 (3)'!H26-'KPI 110 (3)'!H26)/'KPI 103 (3)'!H26</f>
        <v>0.27929002290329713</v>
      </c>
      <c r="I26" s="9">
        <f>('KPI 103 (3)'!I26-'KPI 110 (3)'!I26)/'KPI 103 (3)'!I26</f>
        <v>0.27710154357320071</v>
      </c>
      <c r="J26" s="9">
        <f>('KPI 103 (3)'!J26-'KPI 110 (3)'!J26)/'KPI 103 (3)'!J26</f>
        <v>0.27489551652065913</v>
      </c>
      <c r="K26" s="9">
        <f>('KPI 103 (3)'!K26-'KPI 110 (3)'!K26)/'KPI 103 (3)'!K26</f>
        <v>0.27267932651206833</v>
      </c>
      <c r="L26" s="9">
        <f>('KPI 103 (3)'!L26-'KPI 110 (3)'!L26)/'KPI 103 (3)'!L26</f>
        <v>0.27045298288416059</v>
      </c>
      <c r="M26" s="9">
        <f>('KPI 103 (3)'!M26-'KPI 110 (3)'!M26)/'KPI 103 (3)'!M26</f>
        <v>0.26822598561592986</v>
      </c>
      <c r="N26" s="9">
        <f>('KPI 103 (3)'!N26-'KPI 110 (3)'!N26)/'KPI 103 (3)'!N26</f>
        <v>0.26600151335168953</v>
      </c>
      <c r="O26" s="9">
        <f>('KPI 103 (3)'!O26-'KPI 110 (3)'!O26)/'KPI 103 (3)'!O26</f>
        <v>0.26377736206622698</v>
      </c>
      <c r="P26" s="9">
        <f>('KPI 103 (3)'!P26-'KPI 110 (3)'!P26)/'KPI 103 (3)'!P26</f>
        <v>0.26155397165488098</v>
      </c>
    </row>
    <row r="27" spans="3:17" x14ac:dyDescent="0.35">
      <c r="D27" s="3" t="str">
        <f t="shared" ref="D27:D30" si="3">D20</f>
        <v>Actual 2025/26</v>
      </c>
      <c r="E27" s="9">
        <f>('KPI 103 (3)'!E27-'KPI 110 (3)'!E27)/'KPI 103 (3)'!E27</f>
        <v>0.30131639875636701</v>
      </c>
      <c r="F27" s="9">
        <f>('KPI 103 (3)'!F27-'KPI 110 (3)'!F27)/'KPI 103 (3)'!F27</f>
        <v>0.29596941530939996</v>
      </c>
      <c r="G27" s="9">
        <f>('KPI 103 (3)'!G27-'KPI 110 (3)'!G27)/'KPI 103 (3)'!G27</f>
        <v>0.29077900314089894</v>
      </c>
      <c r="H27" s="9">
        <f>('KPI 103 (3)'!H27-'KPI 110 (3)'!H27)/'KPI 103 (3)'!H27</f>
        <v>0.31468992867213491</v>
      </c>
      <c r="I27" s="9">
        <f>('KPI 103 (3)'!I27-'KPI 110 (3)'!I27)/'KPI 103 (3)'!I27</f>
        <v>0.30969454736412172</v>
      </c>
      <c r="J27" s="9">
        <f>('KPI 103 (3)'!J27-'KPI 110 (3)'!J27)/'KPI 103 (3)'!J27</f>
        <v>0.30391939168751447</v>
      </c>
      <c r="K27" s="9">
        <f>('KPI 103 (3)'!K27-'KPI 110 (3)'!K27)/'KPI 103 (3)'!K27</f>
        <v>0.29363060947567704</v>
      </c>
      <c r="L27" s="9">
        <f>('KPI 103 (3)'!L27-'KPI 110 (3)'!L27)/'KPI 103 (3)'!L27</f>
        <v>0.29143700544124967</v>
      </c>
      <c r="M27" s="9">
        <f>('KPI 103 (3)'!M27-'KPI 110 (3)'!M27)/'KPI 103 (3)'!M27</f>
        <v>0.29143700544124967</v>
      </c>
      <c r="N27" s="9">
        <f>('KPI 103 (3)'!N27-'KPI 110 (3)'!N27)/'KPI 103 (3)'!N27</f>
        <v>0.29143700544124967</v>
      </c>
      <c r="O27" s="9">
        <f>('KPI 103 (3)'!O27-'KPI 110 (3)'!O27)/'KPI 103 (3)'!O27</f>
        <v>0.29143700544124967</v>
      </c>
      <c r="P27" s="9">
        <f>('KPI 103 (3)'!P27-'KPI 110 (3)'!P27)/'KPI 103 (3)'!P27</f>
        <v>0.29143700544124967</v>
      </c>
    </row>
    <row r="28" spans="3:17" x14ac:dyDescent="0.35">
      <c r="D28" s="3" t="str">
        <f t="shared" si="3"/>
        <v>Difference</v>
      </c>
      <c r="E28" s="9">
        <f>IF(E27=0,0,E27-E26)</f>
        <v>1.5602134486057351E-2</v>
      </c>
      <c r="F28" s="9">
        <f t="shared" ref="F28:P28" si="4">IF(F27=0,0,F27-F26)</f>
        <v>1.2379723672614307E-2</v>
      </c>
      <c r="G28" s="9">
        <f t="shared" si="4"/>
        <v>9.3224405561911361E-3</v>
      </c>
      <c r="H28" s="9">
        <f t="shared" si="4"/>
        <v>3.5399905768837781E-2</v>
      </c>
      <c r="I28" s="9">
        <f t="shared" si="4"/>
        <v>3.2593003790921005E-2</v>
      </c>
      <c r="J28" s="9">
        <f t="shared" si="4"/>
        <v>2.902387516685534E-2</v>
      </c>
      <c r="K28" s="9">
        <f t="shared" si="4"/>
        <v>2.0951282963608708E-2</v>
      </c>
      <c r="L28" s="9">
        <f t="shared" si="4"/>
        <v>2.0984022557089088E-2</v>
      </c>
      <c r="M28" s="9">
        <f t="shared" si="4"/>
        <v>2.3211019825319812E-2</v>
      </c>
      <c r="N28" s="9">
        <f t="shared" si="4"/>
        <v>2.5435492089560141E-2</v>
      </c>
      <c r="O28" s="9">
        <f t="shared" si="4"/>
        <v>2.7659643375022691E-2</v>
      </c>
      <c r="P28" s="9">
        <f t="shared" si="4"/>
        <v>2.9883033786368696E-2</v>
      </c>
    </row>
    <row r="29" spans="3:17" x14ac:dyDescent="0.35">
      <c r="D29" s="3" t="str">
        <f t="shared" si="3"/>
        <v>% realisation</v>
      </c>
      <c r="E29" s="9">
        <f t="shared" ref="E29:P29" si="5">E27/E26</f>
        <v>1.0546074747997056</v>
      </c>
      <c r="F29" s="9">
        <f t="shared" si="5"/>
        <v>1.043653644817492</v>
      </c>
      <c r="G29" s="9">
        <f t="shared" si="5"/>
        <v>1.0331221289373398</v>
      </c>
      <c r="H29" s="9">
        <f t="shared" si="5"/>
        <v>1.1267496253566309</v>
      </c>
      <c r="I29" s="9">
        <f t="shared" si="5"/>
        <v>1.1176211556624225</v>
      </c>
      <c r="J29" s="9">
        <f t="shared" si="5"/>
        <v>1.1055814788622575</v>
      </c>
      <c r="K29" s="9">
        <f t="shared" si="5"/>
        <v>1.0768348786525312</v>
      </c>
      <c r="L29" s="9">
        <f t="shared" si="5"/>
        <v>1.0775884308367081</v>
      </c>
      <c r="M29" s="9">
        <f t="shared" si="5"/>
        <v>1.0865353137654434</v>
      </c>
      <c r="N29" s="9">
        <f t="shared" si="5"/>
        <v>1.0956216066933837</v>
      </c>
      <c r="O29" s="9">
        <f t="shared" si="5"/>
        <v>1.1048598073707256</v>
      </c>
      <c r="P29" s="9">
        <f t="shared" si="5"/>
        <v>1.1142518830713808</v>
      </c>
    </row>
    <row r="30" spans="3:17" x14ac:dyDescent="0.35">
      <c r="D30" s="3" t="str">
        <f t="shared" si="3"/>
        <v>Actual 2024/25</v>
      </c>
      <c r="E30" s="9">
        <f>('KPI 103 (3)'!E30-'KPI 110 (3)'!E30)/'KPI 103 (3)'!E30</f>
        <v>0.17373562507728454</v>
      </c>
      <c r="F30" s="9">
        <f>('KPI 103 (3)'!F30-'KPI 110 (3)'!F30)/'KPI 103 (3)'!F30</f>
        <v>0.20715463853359475</v>
      </c>
      <c r="G30" s="9">
        <f>('KPI 103 (3)'!G30-'KPI 110 (3)'!G30)/'KPI 103 (3)'!G30</f>
        <v>0.2027769005877739</v>
      </c>
      <c r="H30" s="9">
        <f>('KPI 103 (3)'!H30-'KPI 110 (3)'!H30)/'KPI 103 (3)'!H30</f>
        <v>0.21517584326882752</v>
      </c>
      <c r="I30" s="9">
        <f>('KPI 103 (3)'!I30-'KPI 110 (3)'!I30)/'KPI 103 (3)'!I30</f>
        <v>0.2235358322562114</v>
      </c>
      <c r="J30" s="9">
        <f>('KPI 103 (3)'!J30-'KPI 110 (3)'!J30)/'KPI 103 (3)'!J30</f>
        <v>0.23540069477719214</v>
      </c>
      <c r="K30" s="9">
        <f>('KPI 103 (3)'!K30-'KPI 110 (3)'!K30)/'KPI 103 (3)'!K30</f>
        <v>0.25845422288734943</v>
      </c>
      <c r="L30" s="9">
        <f>('KPI 103 (3)'!L30-'KPI 110 (3)'!L30)/'KPI 103 (3)'!L30</f>
        <v>0.26021878798402498</v>
      </c>
      <c r="M30" s="9">
        <f>('KPI 103 (3)'!M30-'KPI 110 (3)'!M30)/'KPI 103 (3)'!M30</f>
        <v>0.25376453257508041</v>
      </c>
      <c r="N30" s="9">
        <f>('KPI 103 (3)'!N30-'KPI 110 (3)'!N30)/'KPI 103 (3)'!N30</f>
        <v>0.25755344337324831</v>
      </c>
      <c r="O30" s="9">
        <f>('KPI 103 (3)'!O30-'KPI 110 (3)'!O30)/'KPI 103 (3)'!O30</f>
        <v>0.26639628664394654</v>
      </c>
      <c r="P30" s="9">
        <f>('KPI 103 (3)'!P30-'KPI 110 (3)'!P30)/'KPI 103 (3)'!P30</f>
        <v>0.27015086231980207</v>
      </c>
    </row>
  </sheetData>
  <sheetProtection algorithmName="SHA-512" hashValue="rrxEJVK0z7ZuG9uG001jOqh12zRWwipM+PAoxLdlT2vQXdR3DP9fGMuQu4qlrsUazmhdLpUDMevyzBlZyuKppA==" saltValue="L3lqjUZWzGGrVXfStODqFA==" spinCount="100000" sheet="1" objects="1" scenarios="1"/>
  <mergeCells count="3">
    <mergeCell ref="C1:F1"/>
    <mergeCell ref="J4:Q8"/>
    <mergeCell ref="J10:Q15"/>
  </mergeCells>
  <conditionalFormatting sqref="C3">
    <cfRule type="expression" dxfId="74" priority="2">
      <formula>S4&gt;S6</formula>
    </cfRule>
  </conditionalFormatting>
  <conditionalFormatting sqref="C4">
    <cfRule type="expression" dxfId="73" priority="1">
      <formula>AND(S4&gt;S5,S4&lt;=S6)</formula>
    </cfRule>
  </conditionalFormatting>
  <conditionalFormatting sqref="C5">
    <cfRule type="expression" dxfId="72" priority="3">
      <formula>S4&lt;=S5</formula>
    </cfRule>
  </conditionalFormatting>
  <hyperlinks>
    <hyperlink ref="L1" location="'Distribution Dashboard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52641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57150</xdr:rowOff>
                  </from>
                  <to>
                    <xdr:col>9</xdr:col>
                    <xdr:colOff>628650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S30"/>
  <sheetViews>
    <sheetView zoomScale="90" zoomScaleNormal="90" zoomScalePageLayoutView="90" workbookViewId="0">
      <pane ySplit="2" topLeftCell="A3" activePane="bottomLeft" state="frozen"/>
      <selection activeCell="D26" sqref="D26:D30"/>
      <selection pane="bottomLeft" activeCell="I2" sqref="I2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 t="s">
        <v>52</v>
      </c>
      <c r="C1" s="124" t="s">
        <v>51</v>
      </c>
      <c r="D1" s="124"/>
      <c r="E1" s="124"/>
      <c r="F1" s="124"/>
      <c r="G1" s="3" t="s">
        <v>10</v>
      </c>
      <c r="I1" s="12" cm="1">
        <f t="array" ref="I1">INDEX(E18:P18,Actual_month)</f>
        <v>46054</v>
      </c>
      <c r="L1" s="15" t="s">
        <v>21</v>
      </c>
      <c r="R1" s="5"/>
    </row>
    <row r="2" spans="1:19" x14ac:dyDescent="0.35">
      <c r="A2" s="3" t="s">
        <v>14</v>
      </c>
      <c r="C2" s="3" t="s">
        <v>15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25"/>
      <c r="K4" s="126"/>
      <c r="L4" s="126"/>
      <c r="M4" s="126"/>
      <c r="N4" s="126"/>
      <c r="O4" s="126"/>
      <c r="P4" s="126"/>
      <c r="Q4" s="127"/>
      <c r="R4" s="3" t="s">
        <v>25</v>
      </c>
      <c r="S4" s="43">
        <f>INDEX(E27:P27,Actual_month)</f>
        <v>15740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28"/>
      <c r="K5" s="129"/>
      <c r="L5" s="129"/>
      <c r="M5" s="129"/>
      <c r="N5" s="129"/>
      <c r="O5" s="129"/>
      <c r="P5" s="129"/>
      <c r="Q5" s="130"/>
      <c r="R5" s="3" t="s">
        <v>26</v>
      </c>
      <c r="S5" s="43">
        <f>INDEX(E26:P26,Actual_month)</f>
        <v>16627.510716998582</v>
      </c>
    </row>
    <row r="6" spans="1:19" x14ac:dyDescent="0.35">
      <c r="J6" s="128"/>
      <c r="K6" s="129"/>
      <c r="L6" s="129"/>
      <c r="M6" s="129"/>
      <c r="N6" s="129"/>
      <c r="O6" s="129"/>
      <c r="P6" s="129"/>
      <c r="Q6" s="130"/>
      <c r="R6" s="6">
        <v>0.9</v>
      </c>
      <c r="S6" s="43">
        <f>+S5*R6</f>
        <v>14964.759645298724</v>
      </c>
    </row>
    <row r="7" spans="1:19" x14ac:dyDescent="0.35">
      <c r="J7" s="128"/>
      <c r="K7" s="129"/>
      <c r="L7" s="129"/>
      <c r="M7" s="129"/>
      <c r="N7" s="129"/>
      <c r="O7" s="129"/>
      <c r="P7" s="129"/>
      <c r="Q7" s="130"/>
    </row>
    <row r="8" spans="1:19" ht="15" thickBot="1" x14ac:dyDescent="0.4">
      <c r="J8" s="131"/>
      <c r="K8" s="132"/>
      <c r="L8" s="132"/>
      <c r="M8" s="132"/>
      <c r="N8" s="132"/>
      <c r="O8" s="132"/>
      <c r="P8" s="132"/>
      <c r="Q8" s="133"/>
    </row>
    <row r="9" spans="1:19" ht="15" thickBot="1" x14ac:dyDescent="0.4">
      <c r="J9" s="3" t="s">
        <v>13</v>
      </c>
    </row>
    <row r="10" spans="1:19" x14ac:dyDescent="0.35">
      <c r="J10" s="125"/>
      <c r="K10" s="126"/>
      <c r="L10" s="126"/>
      <c r="M10" s="126"/>
      <c r="N10" s="126"/>
      <c r="O10" s="126"/>
      <c r="P10" s="126"/>
      <c r="Q10" s="127"/>
    </row>
    <row r="11" spans="1:19" x14ac:dyDescent="0.35">
      <c r="J11" s="128"/>
      <c r="K11" s="129"/>
      <c r="L11" s="129"/>
      <c r="M11" s="129"/>
      <c r="N11" s="129"/>
      <c r="O11" s="129"/>
      <c r="P11" s="129"/>
      <c r="Q11" s="130"/>
    </row>
    <row r="12" spans="1:19" x14ac:dyDescent="0.35">
      <c r="J12" s="128"/>
      <c r="K12" s="129"/>
      <c r="L12" s="129"/>
      <c r="M12" s="129"/>
      <c r="N12" s="129"/>
      <c r="O12" s="129"/>
      <c r="P12" s="129"/>
      <c r="Q12" s="130"/>
    </row>
    <row r="13" spans="1:19" x14ac:dyDescent="0.35">
      <c r="J13" s="128"/>
      <c r="K13" s="129"/>
      <c r="L13" s="129"/>
      <c r="M13" s="129"/>
      <c r="N13" s="129"/>
      <c r="O13" s="129"/>
      <c r="P13" s="129"/>
      <c r="Q13" s="130"/>
    </row>
    <row r="14" spans="1:19" x14ac:dyDescent="0.35">
      <c r="J14" s="128"/>
      <c r="K14" s="129"/>
      <c r="L14" s="129"/>
      <c r="M14" s="129"/>
      <c r="N14" s="129"/>
      <c r="O14" s="129"/>
      <c r="P14" s="129"/>
      <c r="Q14" s="130"/>
    </row>
    <row r="15" spans="1:19" ht="15" thickBot="1" x14ac:dyDescent="0.4">
      <c r="J15" s="131"/>
      <c r="K15" s="132"/>
      <c r="L15" s="132"/>
      <c r="M15" s="132"/>
      <c r="N15" s="132"/>
      <c r="O15" s="132"/>
      <c r="P15" s="132"/>
      <c r="Q15" s="133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43">
        <f>Budget2526!D91</f>
        <v>2074.3636828755289</v>
      </c>
      <c r="F19" s="43">
        <f>Budget2526!E91</f>
        <v>2075.5506500953534</v>
      </c>
      <c r="G19" s="43">
        <f>Budget2526!F91</f>
        <v>2076.7260933615876</v>
      </c>
      <c r="H19" s="43">
        <f>Budget2526!G91</f>
        <v>2077.8901796880523</v>
      </c>
      <c r="I19" s="43">
        <f>Budget2526!H91</f>
        <v>2079.043072876761</v>
      </c>
      <c r="J19" s="43">
        <f>Budget2526!I91</f>
        <v>2080.184933594765</v>
      </c>
      <c r="K19" s="43">
        <f>Budget2526!J91</f>
        <v>2081.315919448788</v>
      </c>
      <c r="L19" s="43">
        <f>Budget2526!K91</f>
        <v>2082.4361850577488</v>
      </c>
      <c r="M19" s="43">
        <f>Budget2526!L91</f>
        <v>2083.5458821232291</v>
      </c>
      <c r="N19" s="43">
        <f>Budget2526!M91</f>
        <v>2084.645159497954</v>
      </c>
      <c r="O19" s="43">
        <f>Budget2526!N91</f>
        <v>2085.7341632523544</v>
      </c>
      <c r="P19" s="43">
        <f>Budget2526!O91</f>
        <v>2086.8130367392714</v>
      </c>
      <c r="Q19" s="5"/>
    </row>
    <row r="20" spans="3:17" x14ac:dyDescent="0.35">
      <c r="D20" s="3" t="str">
        <f>'KPI 100'!D20</f>
        <v>Actual 2025/26</v>
      </c>
      <c r="E20" s="43">
        <f>Actuals2526!D91</f>
        <v>2107</v>
      </c>
      <c r="F20" s="43">
        <f>Actuals2526!E91</f>
        <v>1948</v>
      </c>
      <c r="G20" s="43">
        <f>Actuals2526!F91</f>
        <v>1925</v>
      </c>
      <c r="H20" s="43">
        <f>Actuals2526!G91</f>
        <v>2550</v>
      </c>
      <c r="I20" s="43">
        <f>Actuals2526!H91</f>
        <v>872</v>
      </c>
      <c r="J20" s="43">
        <f>Actuals2526!I91</f>
        <v>1669</v>
      </c>
      <c r="K20" s="43">
        <f>Actuals2526!J91</f>
        <v>2696</v>
      </c>
      <c r="L20" s="43">
        <f>Actuals2526!K91</f>
        <v>1973</v>
      </c>
      <c r="M20" s="43">
        <f>Actuals2526!L91</f>
        <v>0</v>
      </c>
      <c r="N20" s="43">
        <f>Actuals2526!M91</f>
        <v>0</v>
      </c>
      <c r="O20" s="43">
        <f>Actuals2526!N91</f>
        <v>0</v>
      </c>
      <c r="P20" s="43">
        <f>Actuals2526!O91</f>
        <v>0</v>
      </c>
      <c r="Q20" s="5"/>
    </row>
    <row r="21" spans="3:17" x14ac:dyDescent="0.35">
      <c r="D21" s="3" t="str">
        <f>'KPI 100'!D21</f>
        <v>Difference</v>
      </c>
      <c r="E21" s="43">
        <f>IF(E20=0,0,E20-E19)</f>
        <v>32.636317124471134</v>
      </c>
      <c r="F21" s="43">
        <f t="shared" ref="F21:P21" si="0">IF(F20=0,0,F20-F19)</f>
        <v>-127.55065009535338</v>
      </c>
      <c r="G21" s="43">
        <f t="shared" si="0"/>
        <v>-151.72609336158757</v>
      </c>
      <c r="H21" s="43">
        <f t="shared" si="0"/>
        <v>472.10982031194771</v>
      </c>
      <c r="I21" s="43">
        <f t="shared" si="0"/>
        <v>-1207.043072876761</v>
      </c>
      <c r="J21" s="43">
        <f t="shared" si="0"/>
        <v>-411.18493359476497</v>
      </c>
      <c r="K21" s="43">
        <f t="shared" si="0"/>
        <v>614.68408055121199</v>
      </c>
      <c r="L21" s="43">
        <f t="shared" si="0"/>
        <v>-109.43618505774884</v>
      </c>
      <c r="M21" s="43">
        <f t="shared" si="0"/>
        <v>0</v>
      </c>
      <c r="N21" s="43">
        <f t="shared" si="0"/>
        <v>0</v>
      </c>
      <c r="O21" s="43">
        <f t="shared" si="0"/>
        <v>0</v>
      </c>
      <c r="P21" s="43">
        <f t="shared" si="0"/>
        <v>0</v>
      </c>
      <c r="Q21" s="5"/>
    </row>
    <row r="22" spans="3:17" x14ac:dyDescent="0.35">
      <c r="D22" s="3" t="str">
        <f>'KPI 100'!D22</f>
        <v>% realisation</v>
      </c>
      <c r="E22" s="9">
        <f>E20/E19</f>
        <v>1.0157331703181527</v>
      </c>
      <c r="F22" s="9">
        <f t="shared" ref="F22:P22" si="1">F20/F19</f>
        <v>0.93854611541785615</v>
      </c>
      <c r="G22" s="9">
        <f t="shared" si="1"/>
        <v>0.92693976646867804</v>
      </c>
      <c r="H22" s="9">
        <f t="shared" si="1"/>
        <v>1.2272063388753414</v>
      </c>
      <c r="I22" s="9">
        <f t="shared" si="1"/>
        <v>0.41942372978036391</v>
      </c>
      <c r="J22" s="9">
        <f t="shared" si="1"/>
        <v>0.80233251046377074</v>
      </c>
      <c r="K22" s="9">
        <f t="shared" si="1"/>
        <v>1.2953343482396482</v>
      </c>
      <c r="L22" s="9">
        <f t="shared" si="1"/>
        <v>0.9474480006431919</v>
      </c>
      <c r="M22" s="9">
        <f t="shared" si="1"/>
        <v>0</v>
      </c>
      <c r="N22" s="9">
        <f t="shared" si="1"/>
        <v>0</v>
      </c>
      <c r="O22" s="9">
        <f t="shared" si="1"/>
        <v>0</v>
      </c>
      <c r="P22" s="9">
        <f t="shared" si="1"/>
        <v>0</v>
      </c>
    </row>
    <row r="23" spans="3:17" x14ac:dyDescent="0.35">
      <c r="D23" s="3" t="str">
        <f>'KPI 100'!D23</f>
        <v>Actual 2024/25</v>
      </c>
      <c r="E23" s="5">
        <f>Actuals2425!D91</f>
        <v>1944</v>
      </c>
      <c r="F23" s="5">
        <f>Actuals2425!E91</f>
        <v>2475</v>
      </c>
      <c r="G23" s="5">
        <f>Actuals2425!F91</f>
        <v>2100</v>
      </c>
      <c r="H23" s="5">
        <f>Actuals2425!G91</f>
        <v>1950</v>
      </c>
      <c r="I23" s="5">
        <f>Actuals2425!H91</f>
        <v>2110</v>
      </c>
      <c r="J23" s="5">
        <f>Actuals2425!I91</f>
        <v>1210</v>
      </c>
      <c r="K23" s="5">
        <f>Actuals2425!J91</f>
        <v>3100</v>
      </c>
      <c r="L23" s="5">
        <f>Actuals2425!K91</f>
        <v>2146</v>
      </c>
      <c r="M23" s="5">
        <f>Actuals2425!L91</f>
        <v>2470</v>
      </c>
      <c r="N23" s="5">
        <f>Actuals2425!M91</f>
        <v>1856</v>
      </c>
      <c r="O23" s="5">
        <f>Actuals2425!N91</f>
        <v>2483</v>
      </c>
      <c r="P23" s="5">
        <f>Actuals2425!O91</f>
        <v>2328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43">
        <f>SUM($E19:E19)</f>
        <v>2074.3636828755289</v>
      </c>
      <c r="F26" s="43">
        <f>SUM($E19:F19)</f>
        <v>4149.9143329708822</v>
      </c>
      <c r="G26" s="43">
        <f>SUM($E19:G19)</f>
        <v>6226.6404263324694</v>
      </c>
      <c r="H26" s="43">
        <f>SUM($E19:H19)</f>
        <v>8304.5306060205221</v>
      </c>
      <c r="I26" s="43">
        <f>SUM($E19:I19)</f>
        <v>10383.573678897283</v>
      </c>
      <c r="J26" s="43">
        <f>SUM($E19:J19)</f>
        <v>12463.758612492047</v>
      </c>
      <c r="K26" s="43">
        <f>SUM($E19:K19)</f>
        <v>14545.074531940834</v>
      </c>
      <c r="L26" s="43">
        <f>SUM($E19:L19)</f>
        <v>16627.510716998582</v>
      </c>
      <c r="M26" s="43">
        <f>SUM($E19:M19)</f>
        <v>18711.05659912181</v>
      </c>
      <c r="N26" s="43">
        <f>SUM($E19:N19)</f>
        <v>20795.701758619765</v>
      </c>
      <c r="O26" s="43">
        <f>SUM($E19:O19)</f>
        <v>22881.435921872118</v>
      </c>
      <c r="P26" s="43">
        <f>SUM($E19:P19)</f>
        <v>24968.248958611388</v>
      </c>
    </row>
    <row r="27" spans="3:17" x14ac:dyDescent="0.35">
      <c r="D27" s="3" t="str">
        <f t="shared" ref="D27:D30" si="3">D20</f>
        <v>Actual 2025/26</v>
      </c>
      <c r="E27" s="43">
        <f>SUM($E20:E20)</f>
        <v>2107</v>
      </c>
      <c r="F27" s="43">
        <f>SUM($E20:F20)</f>
        <v>4055</v>
      </c>
      <c r="G27" s="43">
        <f>SUM($E20:G20)</f>
        <v>5980</v>
      </c>
      <c r="H27" s="43">
        <f>SUM($E20:H20)</f>
        <v>8530</v>
      </c>
      <c r="I27" s="43">
        <f>SUM($E20:I20)</f>
        <v>9402</v>
      </c>
      <c r="J27" s="43">
        <f>SUM($E20:J20)</f>
        <v>11071</v>
      </c>
      <c r="K27" s="43">
        <f>SUM($E20:K20)</f>
        <v>13767</v>
      </c>
      <c r="L27" s="43">
        <f>SUM($E20:L20)</f>
        <v>15740</v>
      </c>
      <c r="M27" s="43">
        <f>SUM($E20:M20)</f>
        <v>15740</v>
      </c>
      <c r="N27" s="43">
        <f>SUM($E20:N20)</f>
        <v>15740</v>
      </c>
      <c r="O27" s="43">
        <f>SUM($E20:O20)</f>
        <v>15740</v>
      </c>
      <c r="P27" s="43">
        <f>SUM($E20:P20)</f>
        <v>15740</v>
      </c>
    </row>
    <row r="28" spans="3:17" x14ac:dyDescent="0.35">
      <c r="D28" s="3" t="str">
        <f t="shared" si="3"/>
        <v>Difference</v>
      </c>
      <c r="E28" s="43">
        <f>IF(E27=0,0,E27-E26)</f>
        <v>32.636317124471134</v>
      </c>
      <c r="F28" s="43">
        <f t="shared" ref="F28:P28" si="4">IF(F27=0,0,F27-F26)</f>
        <v>-94.914332970882242</v>
      </c>
      <c r="G28" s="43">
        <f t="shared" si="4"/>
        <v>-246.64042633246936</v>
      </c>
      <c r="H28" s="43">
        <f t="shared" si="4"/>
        <v>225.4693939794779</v>
      </c>
      <c r="I28" s="43">
        <f t="shared" si="4"/>
        <v>-981.57367889728266</v>
      </c>
      <c r="J28" s="43">
        <f t="shared" si="4"/>
        <v>-1392.7586124920472</v>
      </c>
      <c r="K28" s="43">
        <f t="shared" si="4"/>
        <v>-778.07453194083428</v>
      </c>
      <c r="L28" s="43">
        <f t="shared" si="4"/>
        <v>-887.51071699858221</v>
      </c>
      <c r="M28" s="43">
        <f t="shared" si="4"/>
        <v>-2971.05659912181</v>
      </c>
      <c r="N28" s="43">
        <f t="shared" si="4"/>
        <v>-5055.7017586197653</v>
      </c>
      <c r="O28" s="43">
        <f t="shared" si="4"/>
        <v>-7141.4359218721183</v>
      </c>
      <c r="P28" s="43">
        <f t="shared" si="4"/>
        <v>-9228.2489586113879</v>
      </c>
    </row>
    <row r="29" spans="3:17" x14ac:dyDescent="0.35">
      <c r="D29" s="3" t="str">
        <f t="shared" si="3"/>
        <v>% realisation</v>
      </c>
      <c r="E29" s="9">
        <f t="shared" ref="E29:P29" si="5">E27/E26</f>
        <v>1.0157331703181527</v>
      </c>
      <c r="F29" s="9">
        <f t="shared" si="5"/>
        <v>0.9771286042661671</v>
      </c>
      <c r="G29" s="9">
        <f t="shared" si="5"/>
        <v>0.96038948623250719</v>
      </c>
      <c r="H29" s="9">
        <f t="shared" si="5"/>
        <v>1.0271501671408159</v>
      </c>
      <c r="I29" s="9">
        <f t="shared" si="5"/>
        <v>0.9054686075091708</v>
      </c>
      <c r="J29" s="9">
        <f t="shared" si="5"/>
        <v>0.88825532844513477</v>
      </c>
      <c r="K29" s="9">
        <f t="shared" si="5"/>
        <v>0.94650597834805239</v>
      </c>
      <c r="L29" s="9">
        <f t="shared" si="5"/>
        <v>0.94662395760230877</v>
      </c>
      <c r="M29" s="9">
        <f t="shared" si="5"/>
        <v>0.84121385217437405</v>
      </c>
      <c r="N29" s="9">
        <f t="shared" si="5"/>
        <v>0.7568871771050385</v>
      </c>
      <c r="O29" s="9">
        <f t="shared" si="5"/>
        <v>0.68789389152602542</v>
      </c>
      <c r="P29" s="9">
        <f t="shared" si="5"/>
        <v>0.6304006350662158</v>
      </c>
    </row>
    <row r="30" spans="3:17" x14ac:dyDescent="0.35">
      <c r="D30" s="3" t="str">
        <f t="shared" si="3"/>
        <v>Actual 2024/25</v>
      </c>
      <c r="E30" s="43">
        <f>SUM($E23:E23)</f>
        <v>1944</v>
      </c>
      <c r="F30" s="43">
        <f>SUM($E23:F23)</f>
        <v>4419</v>
      </c>
      <c r="G30" s="43">
        <f>SUM($E23:G23)</f>
        <v>6519</v>
      </c>
      <c r="H30" s="43">
        <f>SUM($E23:H23)</f>
        <v>8469</v>
      </c>
      <c r="I30" s="43">
        <f>SUM($E23:I23)</f>
        <v>10579</v>
      </c>
      <c r="J30" s="43">
        <f>SUM($E23:J23)</f>
        <v>11789</v>
      </c>
      <c r="K30" s="43">
        <f>SUM($E23:K23)</f>
        <v>14889</v>
      </c>
      <c r="L30" s="43">
        <f>SUM($E23:L23)</f>
        <v>17035</v>
      </c>
      <c r="M30" s="43">
        <f>SUM($E23:M23)</f>
        <v>19505</v>
      </c>
      <c r="N30" s="43">
        <f>SUM($E23:N23)</f>
        <v>21361</v>
      </c>
      <c r="O30" s="43">
        <f>SUM($E23:O23)</f>
        <v>23844</v>
      </c>
      <c r="P30" s="43">
        <f>SUM($E23:P23)</f>
        <v>26172</v>
      </c>
    </row>
  </sheetData>
  <sheetProtection algorithmName="SHA-512" hashValue="xSimij3B9x1QTm9HTpUoDzBxPrgcPzuUTbuM7UX/BC/DsU9y/1Wp9fbsfBxABKmoTvCNmVh/59u8XdRFim/sEg==" saltValue="ydo4O+3+c3piyHEYNnZFFA==" spinCount="100000" sheet="1" objects="1" scenarios="1"/>
  <mergeCells count="3">
    <mergeCell ref="C1:F1"/>
    <mergeCell ref="J4:Q8"/>
    <mergeCell ref="J10:Q15"/>
  </mergeCells>
  <conditionalFormatting sqref="C3">
    <cfRule type="expression" dxfId="71" priority="2">
      <formula>S4&lt;S6</formula>
    </cfRule>
  </conditionalFormatting>
  <conditionalFormatting sqref="C4">
    <cfRule type="expression" dxfId="70" priority="1">
      <formula>AND(S4&gt;=S6,S4&lt;S5)</formula>
    </cfRule>
  </conditionalFormatting>
  <conditionalFormatting sqref="C5">
    <cfRule type="expression" dxfId="69" priority="3">
      <formula>S4&gt;=S5</formula>
    </cfRule>
  </conditionalFormatting>
  <hyperlinks>
    <hyperlink ref="L1" location="'Distribution Dashboard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42401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57150</xdr:rowOff>
                  </from>
                  <to>
                    <xdr:col>9</xdr:col>
                    <xdr:colOff>628650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S30"/>
  <sheetViews>
    <sheetView zoomScale="90" zoomScaleNormal="90" zoomScalePageLayoutView="90" workbookViewId="0">
      <pane ySplit="2" topLeftCell="A3" activePane="bottomLeft" state="frozen"/>
      <selection activeCell="D26" sqref="D26:D30"/>
      <selection pane="bottomLeft" activeCell="I2" sqref="I2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 t="s">
        <v>60</v>
      </c>
      <c r="C1" s="124" t="s">
        <v>61</v>
      </c>
      <c r="D1" s="124"/>
      <c r="E1" s="124"/>
      <c r="F1" s="124"/>
      <c r="G1" s="3" t="s">
        <v>10</v>
      </c>
      <c r="I1" s="12" cm="1">
        <f t="array" ref="I1">INDEX(E18:P18,Actual_month)</f>
        <v>46054</v>
      </c>
      <c r="L1" s="15" t="s">
        <v>21</v>
      </c>
      <c r="R1" s="5"/>
    </row>
    <row r="2" spans="1:19" x14ac:dyDescent="0.35">
      <c r="A2" s="3" t="s">
        <v>14</v>
      </c>
      <c r="C2" s="3" t="s">
        <v>15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 t="e">
        <f>INDEX(#REF!,Actual_month)</f>
        <v>#REF!</v>
      </c>
      <c r="K4" s="135"/>
      <c r="L4" s="135"/>
      <c r="M4" s="135"/>
      <c r="N4" s="135"/>
      <c r="O4" s="135"/>
      <c r="P4" s="135"/>
      <c r="Q4" s="136"/>
      <c r="R4" s="3" t="s">
        <v>25</v>
      </c>
      <c r="S4" s="43">
        <f>INDEX(E27:P27,Actual_month)</f>
        <v>12025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43">
        <f>INDEX(E26:P26,Actual_month)</f>
        <v>14669.460072267388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0.9</v>
      </c>
      <c r="S6" s="43">
        <f>+S5*R6</f>
        <v>13202.514065040648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43">
        <f>Budget2526!D92</f>
        <v>1799.1930442637758</v>
      </c>
      <c r="F19" s="43">
        <f>Budget2526!E92</f>
        <v>1809.0471770551037</v>
      </c>
      <c r="G19" s="43">
        <f>Budget2526!F92</f>
        <v>1818.9013098464316</v>
      </c>
      <c r="H19" s="43">
        <f>Budget2526!G92</f>
        <v>1828.7554426377596</v>
      </c>
      <c r="I19" s="43">
        <f>Budget2526!H92</f>
        <v>1838.6095754290875</v>
      </c>
      <c r="J19" s="43">
        <f>Budget2526!I92</f>
        <v>1848.4637082204154</v>
      </c>
      <c r="K19" s="43">
        <f>Budget2526!J92</f>
        <v>1858.3178410117434</v>
      </c>
      <c r="L19" s="43">
        <f>Budget2526!K92</f>
        <v>1868.1719738030713</v>
      </c>
      <c r="M19" s="43">
        <f>Budget2526!L92</f>
        <v>1878.0261065943992</v>
      </c>
      <c r="N19" s="43">
        <f>Budget2526!M92</f>
        <v>1887.8802393857272</v>
      </c>
      <c r="O19" s="43">
        <f>Budget2526!N92</f>
        <v>1897.7343721770551</v>
      </c>
      <c r="P19" s="43">
        <f>Budget2526!O92</f>
        <v>1907.5885049683829</v>
      </c>
      <c r="Q19" s="5"/>
    </row>
    <row r="20" spans="3:17" x14ac:dyDescent="0.35">
      <c r="D20" s="3" t="str">
        <f>'KPI 100'!D20</f>
        <v>Actual 2025/26</v>
      </c>
      <c r="E20" s="43">
        <f>Actuals2526!D92</f>
        <v>1822</v>
      </c>
      <c r="F20" s="43">
        <f>Actuals2526!E92</f>
        <v>1673</v>
      </c>
      <c r="G20" s="43">
        <f>Actuals2526!F92</f>
        <v>1626</v>
      </c>
      <c r="H20" s="43">
        <f>Actuals2526!G92</f>
        <v>1739</v>
      </c>
      <c r="I20" s="43">
        <f>Actuals2526!H92</f>
        <v>652</v>
      </c>
      <c r="J20" s="43">
        <f>Actuals2526!I92</f>
        <v>1172</v>
      </c>
      <c r="K20" s="43">
        <f>Actuals2526!J92</f>
        <v>1766</v>
      </c>
      <c r="L20" s="43">
        <f>Actuals2526!K92</f>
        <v>1575</v>
      </c>
      <c r="M20" s="43">
        <f>Actuals2526!L92</f>
        <v>0</v>
      </c>
      <c r="N20" s="43">
        <f>Actuals2526!M92</f>
        <v>0</v>
      </c>
      <c r="O20" s="43">
        <f>Actuals2526!N92</f>
        <v>0</v>
      </c>
      <c r="P20" s="43">
        <f>Actuals2526!O92</f>
        <v>0</v>
      </c>
      <c r="Q20" s="5"/>
    </row>
    <row r="21" spans="3:17" x14ac:dyDescent="0.35">
      <c r="D21" s="3" t="str">
        <f>'KPI 100'!D21</f>
        <v>Difference</v>
      </c>
      <c r="E21" s="43">
        <f>IF(E20=0,0,E20-E19)</f>
        <v>22.806955736224154</v>
      </c>
      <c r="F21" s="43">
        <f t="shared" ref="F21:P21" si="0">IF(F20=0,0,F20-F19)</f>
        <v>-136.0471770551037</v>
      </c>
      <c r="G21" s="43">
        <f t="shared" si="0"/>
        <v>-192.90130984643156</v>
      </c>
      <c r="H21" s="43">
        <f t="shared" si="0"/>
        <v>-89.755442637759643</v>
      </c>
      <c r="I21" s="43">
        <f t="shared" si="0"/>
        <v>-1186.6095754290875</v>
      </c>
      <c r="J21" s="43">
        <f t="shared" si="0"/>
        <v>-676.46370822041536</v>
      </c>
      <c r="K21" s="43">
        <f t="shared" si="0"/>
        <v>-92.31784101174344</v>
      </c>
      <c r="L21" s="43">
        <f t="shared" si="0"/>
        <v>-293.1719738030713</v>
      </c>
      <c r="M21" s="43">
        <f t="shared" si="0"/>
        <v>0</v>
      </c>
      <c r="N21" s="43">
        <f t="shared" si="0"/>
        <v>0</v>
      </c>
      <c r="O21" s="43">
        <f t="shared" si="0"/>
        <v>0</v>
      </c>
      <c r="P21" s="43">
        <f t="shared" si="0"/>
        <v>0</v>
      </c>
      <c r="Q21" s="5"/>
    </row>
    <row r="22" spans="3:17" x14ac:dyDescent="0.35">
      <c r="D22" s="3" t="str">
        <f>'KPI 100'!D22</f>
        <v>% realisation</v>
      </c>
      <c r="E22" s="9">
        <f>E20/E19</f>
        <v>1.0126762138220453</v>
      </c>
      <c r="F22" s="9">
        <f t="shared" ref="F22:P22" si="1">F20/F19</f>
        <v>0.92479622489637281</v>
      </c>
      <c r="G22" s="9">
        <f t="shared" si="1"/>
        <v>0.89394624721958216</v>
      </c>
      <c r="H22" s="9">
        <f t="shared" si="1"/>
        <v>0.95091993136693109</v>
      </c>
      <c r="I22" s="9">
        <f t="shared" si="1"/>
        <v>0.35461579702033197</v>
      </c>
      <c r="J22" s="9">
        <f t="shared" si="1"/>
        <v>0.63404003810728204</v>
      </c>
      <c r="K22" s="9">
        <f t="shared" si="1"/>
        <v>0.95032182386976283</v>
      </c>
      <c r="L22" s="9">
        <f t="shared" si="1"/>
        <v>0.84307013598632685</v>
      </c>
      <c r="M22" s="9">
        <f t="shared" si="1"/>
        <v>0</v>
      </c>
      <c r="N22" s="9">
        <f t="shared" si="1"/>
        <v>0</v>
      </c>
      <c r="O22" s="9">
        <f t="shared" si="1"/>
        <v>0</v>
      </c>
      <c r="P22" s="9">
        <f t="shared" si="1"/>
        <v>0</v>
      </c>
    </row>
    <row r="23" spans="3:17" x14ac:dyDescent="0.35">
      <c r="D23" s="3" t="str">
        <f>'KPI 100'!D23</f>
        <v>Actual 2024/25</v>
      </c>
      <c r="E23" s="5">
        <f>Actuals2425!D92</f>
        <v>1669</v>
      </c>
      <c r="F23" s="5">
        <f>Actuals2425!E92</f>
        <v>2107</v>
      </c>
      <c r="G23" s="5">
        <f>Actuals2425!F92</f>
        <v>1833</v>
      </c>
      <c r="H23" s="5">
        <f>Actuals2425!G92</f>
        <v>1662</v>
      </c>
      <c r="I23" s="5">
        <f>Actuals2425!H92</f>
        <v>1795</v>
      </c>
      <c r="J23" s="5">
        <f>Actuals2425!I92</f>
        <v>1023</v>
      </c>
      <c r="K23" s="5">
        <f>Actuals2425!J92</f>
        <v>2526</v>
      </c>
      <c r="L23" s="5">
        <f>Actuals2425!K92</f>
        <v>1808</v>
      </c>
      <c r="M23" s="5">
        <f>Actuals2425!L92</f>
        <v>2118</v>
      </c>
      <c r="N23" s="5">
        <f>Actuals2425!M92</f>
        <v>1486</v>
      </c>
      <c r="O23" s="5">
        <f>Actuals2425!N92</f>
        <v>1589</v>
      </c>
      <c r="P23" s="5">
        <f>Actuals2425!O92</f>
        <v>2031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43">
        <f>SUM($E19:E19)</f>
        <v>1799.1930442637758</v>
      </c>
      <c r="F26" s="43">
        <f>SUM($E19:F19)</f>
        <v>3608.2402213188798</v>
      </c>
      <c r="G26" s="43">
        <f>SUM($E19:G19)</f>
        <v>5427.1415311653109</v>
      </c>
      <c r="H26" s="43">
        <f>SUM($E19:H19)</f>
        <v>7255.8969738030701</v>
      </c>
      <c r="I26" s="43">
        <f>SUM($E19:I19)</f>
        <v>9094.5065492321573</v>
      </c>
      <c r="J26" s="43">
        <f>SUM($E19:J19)</f>
        <v>10942.970257452573</v>
      </c>
      <c r="K26" s="43">
        <f>SUM($E19:K19)</f>
        <v>12801.288098464316</v>
      </c>
      <c r="L26" s="43">
        <f>SUM($E19:L19)</f>
        <v>14669.460072267388</v>
      </c>
      <c r="M26" s="43">
        <f>SUM($E19:M19)</f>
        <v>16547.486178861785</v>
      </c>
      <c r="N26" s="43">
        <f>SUM($E19:N19)</f>
        <v>18435.366418247511</v>
      </c>
      <c r="O26" s="43">
        <f>SUM($E19:O19)</f>
        <v>20333.100790424567</v>
      </c>
      <c r="P26" s="43">
        <f>SUM($E19:P19)</f>
        <v>22240.689295392949</v>
      </c>
    </row>
    <row r="27" spans="3:17" x14ac:dyDescent="0.35">
      <c r="D27" s="3" t="str">
        <f t="shared" ref="D27:D30" si="3">D20</f>
        <v>Actual 2025/26</v>
      </c>
      <c r="E27" s="43">
        <f>SUM($E20:E20)</f>
        <v>1822</v>
      </c>
      <c r="F27" s="43">
        <f>SUM($E20:F20)</f>
        <v>3495</v>
      </c>
      <c r="G27" s="43">
        <f>SUM($E20:G20)</f>
        <v>5121</v>
      </c>
      <c r="H27" s="43">
        <f>SUM($E20:H20)</f>
        <v>6860</v>
      </c>
      <c r="I27" s="43">
        <f>SUM($E20:I20)</f>
        <v>7512</v>
      </c>
      <c r="J27" s="43">
        <f>SUM($E20:J20)</f>
        <v>8684</v>
      </c>
      <c r="K27" s="43">
        <f>SUM($E20:K20)</f>
        <v>10450</v>
      </c>
      <c r="L27" s="43">
        <f>SUM($E20:L20)</f>
        <v>12025</v>
      </c>
      <c r="M27" s="43">
        <f>SUM($E20:M20)</f>
        <v>12025</v>
      </c>
      <c r="N27" s="43">
        <f>SUM($E20:N20)</f>
        <v>12025</v>
      </c>
      <c r="O27" s="43">
        <f>SUM($E20:O20)</f>
        <v>12025</v>
      </c>
      <c r="P27" s="43">
        <f>SUM($E20:P20)</f>
        <v>12025</v>
      </c>
    </row>
    <row r="28" spans="3:17" x14ac:dyDescent="0.35">
      <c r="D28" s="3" t="str">
        <f t="shared" si="3"/>
        <v>Difference</v>
      </c>
      <c r="E28" s="43">
        <f>IF(E27=0,0,E27-E26)</f>
        <v>22.806955736224154</v>
      </c>
      <c r="F28" s="43">
        <f t="shared" ref="F28:P28" si="4">IF(F27=0,0,F27-F26)</f>
        <v>-113.24022131887978</v>
      </c>
      <c r="G28" s="43">
        <f t="shared" si="4"/>
        <v>-306.14153116531088</v>
      </c>
      <c r="H28" s="43">
        <f t="shared" si="4"/>
        <v>-395.89697380307007</v>
      </c>
      <c r="I28" s="43">
        <f t="shared" si="4"/>
        <v>-1582.5065492321573</v>
      </c>
      <c r="J28" s="43">
        <f t="shared" si="4"/>
        <v>-2258.9702574525727</v>
      </c>
      <c r="K28" s="43">
        <f t="shared" si="4"/>
        <v>-2351.2880984643161</v>
      </c>
      <c r="L28" s="43">
        <f t="shared" si="4"/>
        <v>-2644.4600722673877</v>
      </c>
      <c r="M28" s="43">
        <f t="shared" si="4"/>
        <v>-4522.4861788617854</v>
      </c>
      <c r="N28" s="43">
        <f t="shared" si="4"/>
        <v>-6410.3664182475113</v>
      </c>
      <c r="O28" s="43">
        <f t="shared" si="4"/>
        <v>-8308.1007904245671</v>
      </c>
      <c r="P28" s="43">
        <f t="shared" si="4"/>
        <v>-10215.689295392949</v>
      </c>
    </row>
    <row r="29" spans="3:17" x14ac:dyDescent="0.35">
      <c r="D29" s="3" t="str">
        <f t="shared" si="3"/>
        <v>% realisation</v>
      </c>
      <c r="E29" s="9">
        <f t="shared" ref="E29:P29" si="5">E27/E26</f>
        <v>1.0126762138220453</v>
      </c>
      <c r="F29" s="9">
        <f t="shared" si="5"/>
        <v>0.9686162188842603</v>
      </c>
      <c r="G29" s="9">
        <f t="shared" si="5"/>
        <v>0.94359064907238999</v>
      </c>
      <c r="H29" s="9">
        <f t="shared" si="5"/>
        <v>0.94543790034058783</v>
      </c>
      <c r="I29" s="9">
        <f t="shared" si="5"/>
        <v>0.82599313765233728</v>
      </c>
      <c r="J29" s="9">
        <f t="shared" si="5"/>
        <v>0.79356882050244726</v>
      </c>
      <c r="K29" s="9">
        <f t="shared" si="5"/>
        <v>0.81632410110773268</v>
      </c>
      <c r="L29" s="9">
        <f t="shared" si="5"/>
        <v>0.81973023824736813</v>
      </c>
      <c r="M29" s="9">
        <f t="shared" si="5"/>
        <v>0.72669648247605523</v>
      </c>
      <c r="N29" s="9">
        <f t="shared" si="5"/>
        <v>0.6522788713381652</v>
      </c>
      <c r="O29" s="9">
        <f t="shared" si="5"/>
        <v>0.59140020619299305</v>
      </c>
      <c r="P29" s="9">
        <f t="shared" si="5"/>
        <v>0.54067568861235427</v>
      </c>
    </row>
    <row r="30" spans="3:17" x14ac:dyDescent="0.35">
      <c r="D30" s="3" t="str">
        <f t="shared" si="3"/>
        <v>Actual 2024/25</v>
      </c>
      <c r="E30" s="43">
        <f>SUM($E23:E23)</f>
        <v>1669</v>
      </c>
      <c r="F30" s="43">
        <f>SUM($E23:F23)</f>
        <v>3776</v>
      </c>
      <c r="G30" s="43">
        <f>SUM($E23:G23)</f>
        <v>5609</v>
      </c>
      <c r="H30" s="43">
        <f>SUM($E23:H23)</f>
        <v>7271</v>
      </c>
      <c r="I30" s="43">
        <f>SUM($E23:I23)</f>
        <v>9066</v>
      </c>
      <c r="J30" s="43">
        <f>SUM($E23:J23)</f>
        <v>10089</v>
      </c>
      <c r="K30" s="43">
        <f>SUM($E23:K23)</f>
        <v>12615</v>
      </c>
      <c r="L30" s="43">
        <f>SUM($E23:L23)</f>
        <v>14423</v>
      </c>
      <c r="M30" s="43">
        <f>SUM($E23:M23)</f>
        <v>16541</v>
      </c>
      <c r="N30" s="43">
        <f>SUM($E23:N23)</f>
        <v>18027</v>
      </c>
      <c r="O30" s="43">
        <f>SUM($E23:O23)</f>
        <v>19616</v>
      </c>
      <c r="P30" s="43">
        <f>SUM($E23:P23)</f>
        <v>21647</v>
      </c>
    </row>
  </sheetData>
  <sheetProtection algorithmName="SHA-512" hashValue="hP/OIli0INiIMkWWcsDrn5aN53rzYJQLeEO2ezWlbv1enO4UkINBFBSnUHz7VQRad0b/zpdtnaSsNy1KXKn0Pw==" saltValue="chbYIg/62oe7ZXaJOL4dwg==" spinCount="100000" sheet="1" objects="1" scenarios="1"/>
  <mergeCells count="3">
    <mergeCell ref="C1:F1"/>
    <mergeCell ref="J4:Q8"/>
    <mergeCell ref="J10:Q15"/>
  </mergeCells>
  <conditionalFormatting sqref="C3">
    <cfRule type="expression" dxfId="68" priority="2">
      <formula>S4&lt;S6</formula>
    </cfRule>
  </conditionalFormatting>
  <conditionalFormatting sqref="C4">
    <cfRule type="expression" dxfId="67" priority="1">
      <formula>AND(S4&gt;=S6,S4&lt;S5)</formula>
    </cfRule>
  </conditionalFormatting>
  <conditionalFormatting sqref="C5">
    <cfRule type="expression" dxfId="66" priority="3">
      <formula>S4&gt;=S5</formula>
    </cfRule>
  </conditionalFormatting>
  <hyperlinks>
    <hyperlink ref="L1" location="'Distribution Dashboard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45473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57150</xdr:rowOff>
                  </from>
                  <to>
                    <xdr:col>9</xdr:col>
                    <xdr:colOff>628650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S30"/>
  <sheetViews>
    <sheetView zoomScale="90" zoomScaleNormal="90" zoomScalePageLayoutView="90" workbookViewId="0">
      <pane ySplit="2" topLeftCell="A3" activePane="bottomLeft" state="frozen"/>
      <selection activeCell="D26" sqref="D26:D30"/>
      <selection pane="bottomLeft" activeCell="J36" sqref="J36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 t="s">
        <v>69</v>
      </c>
      <c r="C1" s="124" t="s">
        <v>70</v>
      </c>
      <c r="D1" s="124"/>
      <c r="E1" s="124"/>
      <c r="F1" s="124"/>
      <c r="G1" s="3" t="s">
        <v>10</v>
      </c>
      <c r="I1" s="12">
        <f>INDEX(E$18:P$18,Actual_month)</f>
        <v>46054</v>
      </c>
      <c r="L1" s="15" t="s">
        <v>21</v>
      </c>
      <c r="R1" s="5"/>
    </row>
    <row r="2" spans="1:19" x14ac:dyDescent="0.35">
      <c r="A2" s="3" t="s">
        <v>14</v>
      </c>
      <c r="C2" s="3" t="s">
        <v>1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/>
      <c r="K4" s="135"/>
      <c r="L4" s="135"/>
      <c r="M4" s="135"/>
      <c r="N4" s="135"/>
      <c r="O4" s="135"/>
      <c r="P4" s="135"/>
      <c r="Q4" s="136"/>
      <c r="R4" s="3" t="s">
        <v>25</v>
      </c>
      <c r="S4" s="9">
        <f>INDEX(E27:P27,Actual_month)</f>
        <v>0.23602287166454891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9">
        <f>INDEX(E26:P26,Actual_month)</f>
        <v>0.11775969825293492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1.1000000000000001</v>
      </c>
      <c r="S6" s="9">
        <f>+S5*R6</f>
        <v>0.12953566807822842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9">
        <f>Budget2526!D93</f>
        <v>0.13265303518537569</v>
      </c>
      <c r="F19" s="9">
        <f>Budget2526!E93</f>
        <v>0.12840133437746082</v>
      </c>
      <c r="G19" s="9">
        <f>Budget2526!F93</f>
        <v>0.12414963356954607</v>
      </c>
      <c r="H19" s="9">
        <f>Budget2526!G93</f>
        <v>0.11989793276163158</v>
      </c>
      <c r="I19" s="9">
        <f>Budget2526!H93</f>
        <v>0.11564623195371655</v>
      </c>
      <c r="J19" s="9">
        <f>Budget2526!I93</f>
        <v>0.11139453114580176</v>
      </c>
      <c r="K19" s="9">
        <f>Budget2526!J93</f>
        <v>0.10714283033788689</v>
      </c>
      <c r="L19" s="9">
        <f>Budget2526!K93</f>
        <v>0.10289112952997198</v>
      </c>
      <c r="M19" s="9">
        <f>Budget2526!L93</f>
        <v>9.8639428722057165E-2</v>
      </c>
      <c r="N19" s="9">
        <f>Budget2526!M93</f>
        <v>9.4387727914142336E-2</v>
      </c>
      <c r="O19" s="9">
        <f>Budget2526!N93</f>
        <v>9.0136027106227673E-2</v>
      </c>
      <c r="P19" s="9">
        <f>Budget2526!O93</f>
        <v>8.5884326298312733E-2</v>
      </c>
      <c r="Q19" s="5"/>
    </row>
    <row r="20" spans="3:17" x14ac:dyDescent="0.35">
      <c r="D20" s="3" t="str">
        <f>'KPI 100'!D20</f>
        <v>Actual 2025/26</v>
      </c>
      <c r="E20" s="9">
        <f>Actuals2526!D93</f>
        <v>0.13526340768865686</v>
      </c>
      <c r="F20" s="9">
        <f>Actuals2526!E93</f>
        <v>0.14117043121149897</v>
      </c>
      <c r="G20" s="9">
        <f>Actuals2526!F93</f>
        <v>0.15532467532467534</v>
      </c>
      <c r="H20" s="9">
        <f>Actuals2526!G93</f>
        <v>0.31803921568627452</v>
      </c>
      <c r="I20" s="9">
        <f>Actuals2526!H93</f>
        <v>0.25229357798165136</v>
      </c>
      <c r="J20" s="9">
        <f>Actuals2526!I93</f>
        <v>0.29778310365488314</v>
      </c>
      <c r="K20" s="9">
        <f>Actuals2526!J93</f>
        <v>0.34495548961424333</v>
      </c>
      <c r="L20" s="9">
        <f>Actuals2526!K93</f>
        <v>0.20172326406487581</v>
      </c>
      <c r="M20" s="9" t="e">
        <f>Actuals2526!L93</f>
        <v>#DIV/0!</v>
      </c>
      <c r="N20" s="9" t="e">
        <f>Actuals2526!M93</f>
        <v>#DIV/0!</v>
      </c>
      <c r="O20" s="9" t="e">
        <f>Actuals2526!N93</f>
        <v>#DIV/0!</v>
      </c>
      <c r="P20" s="9" t="e">
        <f>Actuals2526!O93</f>
        <v>#DIV/0!</v>
      </c>
      <c r="Q20" s="5"/>
    </row>
    <row r="21" spans="3:17" x14ac:dyDescent="0.35">
      <c r="D21" s="3" t="str">
        <f>'KPI 100'!D21</f>
        <v>Difference</v>
      </c>
      <c r="E21" s="9">
        <f>IF(E20=0,0,E20-E19)</f>
        <v>2.6103725032811664E-3</v>
      </c>
      <c r="F21" s="9">
        <f t="shared" ref="F21:P21" si="0">IF(F20=0,0,F20-F19)</f>
        <v>1.2769096834038152E-2</v>
      </c>
      <c r="G21" s="9">
        <f t="shared" si="0"/>
        <v>3.1175041755129265E-2</v>
      </c>
      <c r="H21" s="9">
        <f t="shared" si="0"/>
        <v>0.19814128292464295</v>
      </c>
      <c r="I21" s="9">
        <f t="shared" si="0"/>
        <v>0.13664734602793482</v>
      </c>
      <c r="J21" s="9">
        <f t="shared" si="0"/>
        <v>0.18638857250908136</v>
      </c>
      <c r="K21" s="9">
        <f t="shared" si="0"/>
        <v>0.23781265927635642</v>
      </c>
      <c r="L21" s="9">
        <f t="shared" si="0"/>
        <v>9.8832134534903832E-2</v>
      </c>
      <c r="M21" s="9" t="e">
        <f t="shared" si="0"/>
        <v>#DIV/0!</v>
      </c>
      <c r="N21" s="9" t="e">
        <f t="shared" si="0"/>
        <v>#DIV/0!</v>
      </c>
      <c r="O21" s="9" t="e">
        <f t="shared" si="0"/>
        <v>#DIV/0!</v>
      </c>
      <c r="P21" s="9" t="e">
        <f t="shared" si="0"/>
        <v>#DIV/0!</v>
      </c>
      <c r="Q21" s="5"/>
    </row>
    <row r="22" spans="3:17" x14ac:dyDescent="0.35">
      <c r="D22" s="3" t="str">
        <f>'KPI 100'!D22</f>
        <v>% realisation</v>
      </c>
      <c r="E22" s="9">
        <f>E20/E19</f>
        <v>1.0196781965797714</v>
      </c>
      <c r="F22" s="9">
        <f t="shared" ref="F22:P22" si="1">F20/F19</f>
        <v>1.0994467611722858</v>
      </c>
      <c r="G22" s="9">
        <f t="shared" si="1"/>
        <v>1.2511086086908638</v>
      </c>
      <c r="H22" s="9">
        <f t="shared" si="1"/>
        <v>2.6525829792125486</v>
      </c>
      <c r="I22" s="9">
        <f t="shared" si="1"/>
        <v>2.1815979104500633</v>
      </c>
      <c r="J22" s="9">
        <f t="shared" si="1"/>
        <v>2.6732291127032224</v>
      </c>
      <c r="K22" s="9">
        <f t="shared" si="1"/>
        <v>3.2195853752079131</v>
      </c>
      <c r="L22" s="9">
        <f t="shared" si="1"/>
        <v>1.9605505837713078</v>
      </c>
      <c r="M22" s="9" t="e">
        <f t="shared" si="1"/>
        <v>#DIV/0!</v>
      </c>
      <c r="N22" s="9" t="e">
        <f t="shared" si="1"/>
        <v>#DIV/0!</v>
      </c>
      <c r="O22" s="9" t="e">
        <f t="shared" si="1"/>
        <v>#DIV/0!</v>
      </c>
      <c r="P22" s="9" t="e">
        <f t="shared" si="1"/>
        <v>#DIV/0!</v>
      </c>
    </row>
    <row r="23" spans="3:17" x14ac:dyDescent="0.35">
      <c r="D23" s="3" t="str">
        <f>'KPI 100'!D23</f>
        <v>Actual 2024/25</v>
      </c>
      <c r="E23" s="9">
        <f>Actuals2425!D93</f>
        <v>0.14146090534979425</v>
      </c>
      <c r="F23" s="9">
        <f>Actuals2425!E93</f>
        <v>0.1486868686868687</v>
      </c>
      <c r="G23" s="9">
        <f>Actuals2425!F93</f>
        <v>0.12714285714285714</v>
      </c>
      <c r="H23" s="9">
        <f>Actuals2425!G93</f>
        <v>0.14769230769230771</v>
      </c>
      <c r="I23" s="9">
        <f>Actuals2425!H93</f>
        <v>0.14928909952606634</v>
      </c>
      <c r="J23" s="9">
        <f>Actuals2425!I93</f>
        <v>0.15454545454545454</v>
      </c>
      <c r="K23" s="9">
        <f>Actuals2425!J93</f>
        <v>0.18516129032258064</v>
      </c>
      <c r="L23" s="9">
        <f>Actuals2425!K93</f>
        <v>0.15750232991612301</v>
      </c>
      <c r="M23" s="9">
        <f>Actuals2425!L93</f>
        <v>0.14251012145748987</v>
      </c>
      <c r="N23" s="9">
        <f>Actuals2425!M93</f>
        <v>0.19935344827586207</v>
      </c>
      <c r="O23" s="9">
        <f>Actuals2425!N93</f>
        <v>0.36004832863471609</v>
      </c>
      <c r="P23" s="9">
        <f>Actuals2425!O93</f>
        <v>0.12757731958762886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9">
        <f>('KPI 103 (2)'!E26-'KPI 110 (2)'!E26)/'KPI 103 (2)'!E26</f>
        <v>0.13265303518537569</v>
      </c>
      <c r="F26" s="9">
        <f>('KPI 103 (2)'!F26-'KPI 110 (2)'!F26)/'KPI 103 (2)'!F26</f>
        <v>0.13052657674121754</v>
      </c>
      <c r="G26" s="9">
        <f>('KPI 103 (2)'!G26-'KPI 110 (2)'!G26)/'KPI 103 (2)'!G26</f>
        <v>0.1283997212663954</v>
      </c>
      <c r="H26" s="9">
        <f>('KPI 103 (2)'!H26-'KPI 110 (2)'!H26)/'KPI 103 (2)'!H26</f>
        <v>0.12627247486537357</v>
      </c>
      <c r="I26" s="9">
        <f>('KPI 103 (2)'!I26-'KPI 110 (2)'!I26)/'KPI 103 (2)'!I26</f>
        <v>0.12414484353155975</v>
      </c>
      <c r="J26" s="9">
        <f>('KPI 103 (2)'!J26-'KPI 110 (2)'!J26)/'KPI 103 (2)'!J26</f>
        <v>0.12201683314977188</v>
      </c>
      <c r="K26" s="9">
        <f>('KPI 103 (2)'!K26-'KPI 110 (2)'!K26)/'KPI 103 (2)'!K26</f>
        <v>0.11988844949863825</v>
      </c>
      <c r="L26" s="9">
        <f>('KPI 103 (2)'!L26-'KPI 110 (2)'!L26)/'KPI 103 (2)'!L26</f>
        <v>0.11775969825293492</v>
      </c>
      <c r="M26" s="9">
        <f>('KPI 103 (2)'!M26-'KPI 110 (2)'!M26)/'KPI 103 (2)'!M26</f>
        <v>0.11563058498586179</v>
      </c>
      <c r="N26" s="9">
        <f>('KPI 103 (2)'!N26-'KPI 110 (2)'!N26)/'KPI 103 (2)'!N26</f>
        <v>0.11350111517125894</v>
      </c>
      <c r="O26" s="9">
        <f>('KPI 103 (2)'!O26-'KPI 110 (2)'!O26)/'KPI 103 (2)'!O26</f>
        <v>0.11137129418576502</v>
      </c>
      <c r="P26" s="9">
        <f>('KPI 103 (2)'!P26-'KPI 110 (2)'!P26)/'KPI 103 (2)'!P26</f>
        <v>0.10924112731092106</v>
      </c>
    </row>
    <row r="27" spans="3:17" x14ac:dyDescent="0.35">
      <c r="D27" s="3" t="str">
        <f t="shared" ref="D27:D30" si="3">D20</f>
        <v>Actual 2025/26</v>
      </c>
      <c r="E27" s="9">
        <f>('KPI 103 (2)'!E27-'KPI 110 (2)'!E27)/'KPI 103 (2)'!E27</f>
        <v>0.13526340768865686</v>
      </c>
      <c r="F27" s="9">
        <f>('KPI 103 (2)'!F27-'KPI 110 (2)'!F27)/'KPI 103 (2)'!F27</f>
        <v>0.13810110974106041</v>
      </c>
      <c r="G27" s="9">
        <f>('KPI 103 (2)'!G27-'KPI 110 (2)'!G27)/'KPI 103 (2)'!G27</f>
        <v>0.14364548494983279</v>
      </c>
      <c r="H27" s="9">
        <f>('KPI 103 (2)'!H27-'KPI 110 (2)'!H27)/'KPI 103 (2)'!H27</f>
        <v>0.19577960140679954</v>
      </c>
      <c r="I27" s="9">
        <f>('KPI 103 (2)'!I27-'KPI 110 (2)'!I27)/'KPI 103 (2)'!I27</f>
        <v>0.20102105934907466</v>
      </c>
      <c r="J27" s="9">
        <f>('KPI 103 (2)'!J27-'KPI 110 (2)'!J27)/'KPI 103 (2)'!J27</f>
        <v>0.21560834612952759</v>
      </c>
      <c r="K27" s="9">
        <f>('KPI 103 (2)'!K27-'KPI 110 (2)'!K27)/'KPI 103 (2)'!K27</f>
        <v>0.24093847606595481</v>
      </c>
      <c r="L27" s="9">
        <f>('KPI 103 (2)'!L27-'KPI 110 (2)'!L27)/'KPI 103 (2)'!L27</f>
        <v>0.23602287166454891</v>
      </c>
      <c r="M27" s="9">
        <f>('KPI 103 (2)'!M27-'KPI 110 (2)'!M27)/'KPI 103 (2)'!M27</f>
        <v>0.23602287166454891</v>
      </c>
      <c r="N27" s="9">
        <f>('KPI 103 (2)'!N27-'KPI 110 (2)'!N27)/'KPI 103 (2)'!N27</f>
        <v>0.23602287166454891</v>
      </c>
      <c r="O27" s="9">
        <f>('KPI 103 (2)'!O27-'KPI 110 (2)'!O27)/'KPI 103 (2)'!O27</f>
        <v>0.23602287166454891</v>
      </c>
      <c r="P27" s="9">
        <f>('KPI 103 (2)'!P27-'KPI 110 (2)'!P27)/'KPI 103 (2)'!P27</f>
        <v>0.23602287166454891</v>
      </c>
    </row>
    <row r="28" spans="3:17" x14ac:dyDescent="0.35">
      <c r="D28" s="3" t="str">
        <f t="shared" si="3"/>
        <v>Difference</v>
      </c>
      <c r="E28" s="9">
        <f>IF(E27=0,0,E27-E26)</f>
        <v>2.6103725032811664E-3</v>
      </c>
      <c r="F28" s="9">
        <f t="shared" ref="F28:P28" si="4">IF(F27=0,0,F27-F26)</f>
        <v>7.5745329998428701E-3</v>
      </c>
      <c r="G28" s="9">
        <f t="shared" si="4"/>
        <v>1.5245763683437386E-2</v>
      </c>
      <c r="H28" s="9">
        <f t="shared" si="4"/>
        <v>6.9507126541425962E-2</v>
      </c>
      <c r="I28" s="9">
        <f t="shared" si="4"/>
        <v>7.6876215817514915E-2</v>
      </c>
      <c r="J28" s="9">
        <f t="shared" si="4"/>
        <v>9.3591512979755709E-2</v>
      </c>
      <c r="K28" s="9">
        <f t="shared" si="4"/>
        <v>0.12105002656731656</v>
      </c>
      <c r="L28" s="9">
        <f t="shared" si="4"/>
        <v>0.11826317341161399</v>
      </c>
      <c r="M28" s="9">
        <f t="shared" si="4"/>
        <v>0.12039228667868712</v>
      </c>
      <c r="N28" s="9">
        <f t="shared" si="4"/>
        <v>0.12252175649328997</v>
      </c>
      <c r="O28" s="9">
        <f t="shared" si="4"/>
        <v>0.12465157747878389</v>
      </c>
      <c r="P28" s="9">
        <f t="shared" si="4"/>
        <v>0.12678174435362785</v>
      </c>
    </row>
    <row r="29" spans="3:17" x14ac:dyDescent="0.35">
      <c r="D29" s="3" t="str">
        <f t="shared" si="3"/>
        <v>% realisation</v>
      </c>
      <c r="E29" s="9">
        <f t="shared" ref="E29:P29" si="5">E27/E26</f>
        <v>1.0196781965797714</v>
      </c>
      <c r="F29" s="9">
        <f t="shared" si="5"/>
        <v>1.0580305803534569</v>
      </c>
      <c r="G29" s="9">
        <f t="shared" si="5"/>
        <v>1.1187367350417099</v>
      </c>
      <c r="H29" s="9">
        <f t="shared" si="5"/>
        <v>1.55045350632061</v>
      </c>
      <c r="I29" s="9">
        <f t="shared" si="5"/>
        <v>1.6192461453138942</v>
      </c>
      <c r="J29" s="9">
        <f t="shared" si="5"/>
        <v>1.7670377157295587</v>
      </c>
      <c r="K29" s="9">
        <f t="shared" si="5"/>
        <v>2.0096888155075483</v>
      </c>
      <c r="L29" s="9">
        <f t="shared" si="5"/>
        <v>2.0042754453870768</v>
      </c>
      <c r="M29" s="9">
        <f t="shared" si="5"/>
        <v>2.0411802957963721</v>
      </c>
      <c r="N29" s="9">
        <f t="shared" si="5"/>
        <v>2.0794762351754872</v>
      </c>
      <c r="O29" s="9">
        <f t="shared" si="5"/>
        <v>2.1192433237856392</v>
      </c>
      <c r="P29" s="9">
        <f t="shared" si="5"/>
        <v>2.1605678875208132</v>
      </c>
    </row>
    <row r="30" spans="3:17" x14ac:dyDescent="0.35">
      <c r="D30" s="3" t="str">
        <f t="shared" si="3"/>
        <v>Actual 2024/25</v>
      </c>
      <c r="E30" s="9">
        <f>('KPI 103 (2)'!E30-'KPI 110 (2)'!E30)/'KPI 103 (2)'!E30</f>
        <v>0.14146090534979425</v>
      </c>
      <c r="F30" s="9">
        <f>('KPI 103 (2)'!F30-'KPI 110 (2)'!F30)/'KPI 103 (2)'!F30</f>
        <v>0.14550803349174021</v>
      </c>
      <c r="G30" s="9">
        <f>('KPI 103 (2)'!G30-'KPI 110 (2)'!G30)/'KPI 103 (2)'!G30</f>
        <v>0.13959196195735543</v>
      </c>
      <c r="H30" s="9">
        <f>('KPI 103 (2)'!H30-'KPI 110 (2)'!H30)/'KPI 103 (2)'!H30</f>
        <v>0.14145707875782265</v>
      </c>
      <c r="I30" s="9">
        <f>('KPI 103 (2)'!I30-'KPI 110 (2)'!I30)/'KPI 103 (2)'!I30</f>
        <v>0.14301918895925891</v>
      </c>
      <c r="J30" s="9">
        <f>('KPI 103 (2)'!J30-'KPI 110 (2)'!J30)/'KPI 103 (2)'!J30</f>
        <v>0.14420222241072186</v>
      </c>
      <c r="K30" s="9">
        <f>('KPI 103 (2)'!K30-'KPI 110 (2)'!K30)/'KPI 103 (2)'!K30</f>
        <v>0.15273020350594399</v>
      </c>
      <c r="L30" s="9">
        <f>('KPI 103 (2)'!L30-'KPI 110 (2)'!L30)/'KPI 103 (2)'!L30</f>
        <v>0.15333137657763429</v>
      </c>
      <c r="M30" s="9">
        <f>('KPI 103 (2)'!M30-'KPI 110 (2)'!M30)/'KPI 103 (2)'!M30</f>
        <v>0.15196103563188926</v>
      </c>
      <c r="N30" s="9">
        <f>('KPI 103 (2)'!N30-'KPI 110 (2)'!N30)/'KPI 103 (2)'!N30</f>
        <v>0.15607883526052152</v>
      </c>
      <c r="O30" s="9">
        <f>('KPI 103 (2)'!O30-'KPI 110 (2)'!O30)/'KPI 103 (2)'!O30</f>
        <v>0.17731924173796343</v>
      </c>
      <c r="P30" s="9">
        <f>('KPI 103 (2)'!P30-'KPI 110 (2)'!P30)/'KPI 103 (2)'!P30</f>
        <v>0.1728946966223445</v>
      </c>
    </row>
  </sheetData>
  <sheetProtection algorithmName="SHA-512" hashValue="cV77yOMSIBflpCagfkGMsJ6w5sECavaBNfklHdrnVM2IOsyPaIrQwMexPboks1S4m+imRRlRBfLCdYJXhB8AMA==" saltValue="inQC7771Guahz1iBK+mZxw==" spinCount="100000" sheet="1" objects="1" scenarios="1"/>
  <mergeCells count="3">
    <mergeCell ref="C1:F1"/>
    <mergeCell ref="J4:Q8"/>
    <mergeCell ref="J10:Q15"/>
  </mergeCells>
  <conditionalFormatting sqref="C3">
    <cfRule type="expression" dxfId="65" priority="2">
      <formula>S4&gt;S6</formula>
    </cfRule>
  </conditionalFormatting>
  <conditionalFormatting sqref="C4">
    <cfRule type="expression" dxfId="64" priority="1">
      <formula>AND(S4&gt;S5,S4&lt;=S6)</formula>
    </cfRule>
  </conditionalFormatting>
  <conditionalFormatting sqref="C5">
    <cfRule type="expression" dxfId="63" priority="3">
      <formula>S4&lt;=S5</formula>
    </cfRule>
  </conditionalFormatting>
  <hyperlinks>
    <hyperlink ref="L1" location="'Distribution Dashboard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51617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57150</xdr:rowOff>
                  </from>
                  <to>
                    <xdr:col>9</xdr:col>
                    <xdr:colOff>628650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S30"/>
  <sheetViews>
    <sheetView zoomScale="90" zoomScaleNormal="90" zoomScalePageLayoutView="90" workbookViewId="0">
      <pane ySplit="2" topLeftCell="A3" activePane="bottomLeft" state="frozen"/>
      <selection activeCell="D26" sqref="D26:D30"/>
      <selection pane="bottomLeft" activeCell="K38" sqref="K38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 t="s">
        <v>54</v>
      </c>
      <c r="C1" s="124" t="s">
        <v>55</v>
      </c>
      <c r="D1" s="124"/>
      <c r="E1" s="124"/>
      <c r="F1" s="124"/>
      <c r="G1" s="3" t="s">
        <v>10</v>
      </c>
      <c r="I1" s="12" cm="1">
        <f t="array" ref="I1">INDEX(E18:P18,Actual_month)</f>
        <v>46054</v>
      </c>
      <c r="L1" s="15" t="s">
        <v>21</v>
      </c>
      <c r="R1" s="5"/>
    </row>
    <row r="2" spans="1:19" x14ac:dyDescent="0.35">
      <c r="A2" s="3" t="s">
        <v>14</v>
      </c>
      <c r="C2" s="3" t="s">
        <v>15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25"/>
      <c r="K4" s="126"/>
      <c r="L4" s="126"/>
      <c r="M4" s="126"/>
      <c r="N4" s="126"/>
      <c r="O4" s="126"/>
      <c r="P4" s="126"/>
      <c r="Q4" s="127"/>
      <c r="R4" s="3" t="s">
        <v>25</v>
      </c>
      <c r="S4" s="43">
        <f>INDEX(E27:P27,Actual_month)</f>
        <v>318051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28"/>
      <c r="K5" s="129"/>
      <c r="L5" s="129"/>
      <c r="M5" s="129"/>
      <c r="N5" s="129"/>
      <c r="O5" s="129"/>
      <c r="P5" s="129"/>
      <c r="Q5" s="130"/>
      <c r="R5" s="3" t="s">
        <v>26</v>
      </c>
      <c r="S5" s="43">
        <f>INDEX(E26:P26,Actual_month)</f>
        <v>280869.81114699761</v>
      </c>
    </row>
    <row r="6" spans="1:19" x14ac:dyDescent="0.35">
      <c r="J6" s="128"/>
      <c r="K6" s="129"/>
      <c r="L6" s="129"/>
      <c r="M6" s="129"/>
      <c r="N6" s="129"/>
      <c r="O6" s="129"/>
      <c r="P6" s="129"/>
      <c r="Q6" s="130"/>
      <c r="R6" s="6">
        <v>0.9</v>
      </c>
      <c r="S6" s="43">
        <f>+S5*R6</f>
        <v>252782.83003229785</v>
      </c>
    </row>
    <row r="7" spans="1:19" x14ac:dyDescent="0.35">
      <c r="J7" s="128"/>
      <c r="K7" s="129"/>
      <c r="L7" s="129"/>
      <c r="M7" s="129"/>
      <c r="N7" s="129"/>
      <c r="O7" s="129"/>
      <c r="P7" s="129"/>
      <c r="Q7" s="130"/>
    </row>
    <row r="8" spans="1:19" ht="15" thickBot="1" x14ac:dyDescent="0.4">
      <c r="J8" s="131"/>
      <c r="K8" s="132"/>
      <c r="L8" s="132"/>
      <c r="M8" s="132"/>
      <c r="N8" s="132"/>
      <c r="O8" s="132"/>
      <c r="P8" s="132"/>
      <c r="Q8" s="133"/>
    </row>
    <row r="9" spans="1:19" ht="15" thickBot="1" x14ac:dyDescent="0.4">
      <c r="J9" s="3" t="s">
        <v>13</v>
      </c>
    </row>
    <row r="10" spans="1:19" x14ac:dyDescent="0.35">
      <c r="J10" s="125"/>
      <c r="K10" s="126"/>
      <c r="L10" s="126"/>
      <c r="M10" s="126"/>
      <c r="N10" s="126"/>
      <c r="O10" s="126"/>
      <c r="P10" s="126"/>
      <c r="Q10" s="127"/>
    </row>
    <row r="11" spans="1:19" x14ac:dyDescent="0.35">
      <c r="J11" s="128"/>
      <c r="K11" s="129"/>
      <c r="L11" s="129"/>
      <c r="M11" s="129"/>
      <c r="N11" s="129"/>
      <c r="O11" s="129"/>
      <c r="P11" s="129"/>
      <c r="Q11" s="130"/>
    </row>
    <row r="12" spans="1:19" x14ac:dyDescent="0.35">
      <c r="J12" s="128"/>
      <c r="K12" s="129"/>
      <c r="L12" s="129"/>
      <c r="M12" s="129"/>
      <c r="N12" s="129"/>
      <c r="O12" s="129"/>
      <c r="P12" s="129"/>
      <c r="Q12" s="130"/>
    </row>
    <row r="13" spans="1:19" x14ac:dyDescent="0.35">
      <c r="J13" s="128"/>
      <c r="K13" s="129"/>
      <c r="L13" s="129"/>
      <c r="M13" s="129"/>
      <c r="N13" s="129"/>
      <c r="O13" s="129"/>
      <c r="P13" s="129"/>
      <c r="Q13" s="130"/>
    </row>
    <row r="14" spans="1:19" x14ac:dyDescent="0.35">
      <c r="J14" s="128"/>
      <c r="K14" s="129"/>
      <c r="L14" s="129"/>
      <c r="M14" s="129"/>
      <c r="N14" s="129"/>
      <c r="O14" s="129"/>
      <c r="P14" s="129"/>
      <c r="Q14" s="130"/>
    </row>
    <row r="15" spans="1:19" ht="15" thickBot="1" x14ac:dyDescent="0.4">
      <c r="J15" s="131"/>
      <c r="K15" s="132"/>
      <c r="L15" s="132"/>
      <c r="M15" s="132"/>
      <c r="N15" s="132"/>
      <c r="O15" s="132"/>
      <c r="P15" s="132"/>
      <c r="Q15" s="133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43">
        <f>Budget2526!D97</f>
        <v>34865.767725852042</v>
      </c>
      <c r="F19" s="43">
        <f>Budget2526!E97</f>
        <v>34921.453222474214</v>
      </c>
      <c r="G19" s="43">
        <f>Budget2526!F97</f>
        <v>34976.56464181163</v>
      </c>
      <c r="H19" s="43">
        <f>Budget2526!G97</f>
        <v>35031.110815822518</v>
      </c>
      <c r="I19" s="43">
        <f>Budget2526!H97</f>
        <v>35085.100396221031</v>
      </c>
      <c r="J19" s="43">
        <f>Budget2526!I97</f>
        <v>35138.541859052049</v>
      </c>
      <c r="K19" s="43">
        <f>Budget2526!J97</f>
        <v>35366.100322783524</v>
      </c>
      <c r="L19" s="43">
        <f>Budget2526!K97</f>
        <v>35485.172162980591</v>
      </c>
      <c r="M19" s="43">
        <f>Budget2526!L97</f>
        <v>35603.053284775684</v>
      </c>
      <c r="N19" s="43">
        <f>Budget2526!M97</f>
        <v>35667.190014423868</v>
      </c>
      <c r="O19" s="43">
        <f>Budget2526!N97</f>
        <v>35730.691726946825</v>
      </c>
      <c r="P19" s="43">
        <f>Budget2526!O97</f>
        <v>35793.567806834086</v>
      </c>
      <c r="Q19" s="5"/>
    </row>
    <row r="20" spans="3:17" x14ac:dyDescent="0.35">
      <c r="D20" s="3" t="str">
        <f>'KPI 100'!D20</f>
        <v>Actual 2025/26</v>
      </c>
      <c r="E20" s="43">
        <f>Actuals2526!D97</f>
        <v>40884</v>
      </c>
      <c r="F20" s="43">
        <f>Actuals2526!E97</f>
        <v>39306</v>
      </c>
      <c r="G20" s="43">
        <f>Actuals2526!F97</f>
        <v>36268</v>
      </c>
      <c r="H20" s="43">
        <f>Actuals2526!G97</f>
        <v>48806</v>
      </c>
      <c r="I20" s="43">
        <f>Actuals2526!H97</f>
        <v>33526</v>
      </c>
      <c r="J20" s="43">
        <f>Actuals2526!I97</f>
        <v>34973</v>
      </c>
      <c r="K20" s="43">
        <f>Actuals2526!J97</f>
        <v>41687</v>
      </c>
      <c r="L20" s="43">
        <f>Actuals2526!K97</f>
        <v>42601</v>
      </c>
      <c r="M20" s="43">
        <f>Actuals2526!L97</f>
        <v>0</v>
      </c>
      <c r="N20" s="43">
        <f>Actuals2526!M97</f>
        <v>0</v>
      </c>
      <c r="O20" s="43">
        <f>Actuals2526!N97</f>
        <v>0</v>
      </c>
      <c r="P20" s="43">
        <f>Actuals2526!O97</f>
        <v>0</v>
      </c>
      <c r="Q20" s="5"/>
    </row>
    <row r="21" spans="3:17" x14ac:dyDescent="0.35">
      <c r="D21" s="3" t="str">
        <f>'KPI 100'!D21</f>
        <v>Difference</v>
      </c>
      <c r="E21" s="43">
        <f>IF(E20=0,0,E20-E19)</f>
        <v>6018.2322741479584</v>
      </c>
      <c r="F21" s="43">
        <f t="shared" ref="F21:P21" si="0">IF(F20=0,0,F20-F19)</f>
        <v>4384.5467775257857</v>
      </c>
      <c r="G21" s="43">
        <f t="shared" si="0"/>
        <v>1291.4353581883697</v>
      </c>
      <c r="H21" s="43">
        <f t="shared" si="0"/>
        <v>13774.889184177482</v>
      </c>
      <c r="I21" s="43">
        <f t="shared" si="0"/>
        <v>-1559.1003962210307</v>
      </c>
      <c r="J21" s="43">
        <f t="shared" si="0"/>
        <v>-165.5418590520494</v>
      </c>
      <c r="K21" s="43">
        <f t="shared" si="0"/>
        <v>6320.8996772164755</v>
      </c>
      <c r="L21" s="43">
        <f t="shared" si="0"/>
        <v>7115.8278370194093</v>
      </c>
      <c r="M21" s="43">
        <f t="shared" si="0"/>
        <v>0</v>
      </c>
      <c r="N21" s="43">
        <f t="shared" si="0"/>
        <v>0</v>
      </c>
      <c r="O21" s="43">
        <f t="shared" si="0"/>
        <v>0</v>
      </c>
      <c r="P21" s="43">
        <f t="shared" si="0"/>
        <v>0</v>
      </c>
      <c r="Q21" s="5"/>
    </row>
    <row r="22" spans="3:17" x14ac:dyDescent="0.35">
      <c r="D22" s="3" t="str">
        <f>'KPI 100'!D22</f>
        <v>% realisation</v>
      </c>
      <c r="E22" s="9">
        <f>E20/E19</f>
        <v>1.172611494502833</v>
      </c>
      <c r="F22" s="9">
        <f t="shared" ref="F22:P22" si="1">F20/F19</f>
        <v>1.1255545337587511</v>
      </c>
      <c r="G22" s="9">
        <f t="shared" si="1"/>
        <v>1.0369228759717746</v>
      </c>
      <c r="H22" s="9">
        <f t="shared" si="1"/>
        <v>1.3932187379555139</v>
      </c>
      <c r="I22" s="9">
        <f t="shared" si="1"/>
        <v>0.95556232193683677</v>
      </c>
      <c r="J22" s="9">
        <f t="shared" si="1"/>
        <v>0.99528888080455724</v>
      </c>
      <c r="K22" s="9">
        <f t="shared" si="1"/>
        <v>1.1787276408630338</v>
      </c>
      <c r="L22" s="9">
        <f t="shared" si="1"/>
        <v>1.2005296128855449</v>
      </c>
      <c r="M22" s="9">
        <f t="shared" si="1"/>
        <v>0</v>
      </c>
      <c r="N22" s="9">
        <f t="shared" si="1"/>
        <v>0</v>
      </c>
      <c r="O22" s="9">
        <f t="shared" si="1"/>
        <v>0</v>
      </c>
      <c r="P22" s="9">
        <f t="shared" si="1"/>
        <v>0</v>
      </c>
    </row>
    <row r="23" spans="3:17" x14ac:dyDescent="0.35">
      <c r="D23" s="3" t="str">
        <f>'KPI 100'!D23</f>
        <v>Actual 2024/25</v>
      </c>
      <c r="E23" s="5">
        <f>Actuals2425!D97</f>
        <v>32963</v>
      </c>
      <c r="F23" s="5">
        <f>Actuals2425!E97</f>
        <v>39718</v>
      </c>
      <c r="G23" s="5">
        <f>Actuals2425!F97</f>
        <v>35059</v>
      </c>
      <c r="H23" s="5">
        <f>Actuals2425!G97</f>
        <v>37880</v>
      </c>
      <c r="I23" s="5">
        <f>Actuals2425!H97</f>
        <v>38839</v>
      </c>
      <c r="J23" s="5">
        <f>Actuals2425!I97</f>
        <v>29408</v>
      </c>
      <c r="K23" s="5">
        <f>Actuals2425!J97</f>
        <v>39761</v>
      </c>
      <c r="L23" s="5">
        <f>Actuals2425!K97</f>
        <v>36889</v>
      </c>
      <c r="M23" s="5">
        <f>Actuals2425!L97</f>
        <v>44066</v>
      </c>
      <c r="N23" s="5">
        <f>Actuals2425!M97</f>
        <v>32495</v>
      </c>
      <c r="O23" s="5">
        <f>Actuals2425!N97</f>
        <v>43409</v>
      </c>
      <c r="P23" s="5">
        <f>Actuals2425!O97</f>
        <v>47163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43">
        <f>SUM($E19:E19)</f>
        <v>34865.767725852042</v>
      </c>
      <c r="F26" s="43">
        <f>SUM($E19:F19)</f>
        <v>69787.220948326256</v>
      </c>
      <c r="G26" s="43">
        <f>SUM($E19:G19)</f>
        <v>104763.78559013788</v>
      </c>
      <c r="H26" s="43">
        <f>SUM($E19:H19)</f>
        <v>139794.8964059604</v>
      </c>
      <c r="I26" s="43">
        <f>SUM($E19:I19)</f>
        <v>174879.99680218144</v>
      </c>
      <c r="J26" s="43">
        <f>SUM($E19:J19)</f>
        <v>210018.5386612335</v>
      </c>
      <c r="K26" s="43">
        <f>SUM($E19:K19)</f>
        <v>245384.63898401702</v>
      </c>
      <c r="L26" s="43">
        <f>SUM($E19:L19)</f>
        <v>280869.81114699761</v>
      </c>
      <c r="M26" s="43">
        <f>SUM($E19:M19)</f>
        <v>316472.86443177331</v>
      </c>
      <c r="N26" s="43">
        <f>SUM($E19:N19)</f>
        <v>352140.05444619717</v>
      </c>
      <c r="O26" s="43">
        <f>SUM($E19:O19)</f>
        <v>387870.74617314397</v>
      </c>
      <c r="P26" s="43">
        <f>SUM($E19:P19)</f>
        <v>423664.31397997803</v>
      </c>
    </row>
    <row r="27" spans="3:17" x14ac:dyDescent="0.35">
      <c r="D27" s="3" t="str">
        <f t="shared" ref="D27:D30" si="3">D20</f>
        <v>Actual 2025/26</v>
      </c>
      <c r="E27" s="43">
        <f>SUM($E20:E20)</f>
        <v>40884</v>
      </c>
      <c r="F27" s="43">
        <f>SUM($E20:F20)</f>
        <v>80190</v>
      </c>
      <c r="G27" s="43">
        <f>SUM($E20:G20)</f>
        <v>116458</v>
      </c>
      <c r="H27" s="43">
        <f>SUM($E20:H20)</f>
        <v>165264</v>
      </c>
      <c r="I27" s="43">
        <f>SUM($E20:I20)</f>
        <v>198790</v>
      </c>
      <c r="J27" s="43">
        <f>SUM($E20:J20)</f>
        <v>233763</v>
      </c>
      <c r="K27" s="43">
        <f>SUM($E20:K20)</f>
        <v>275450</v>
      </c>
      <c r="L27" s="43">
        <f>SUM($E20:L20)</f>
        <v>318051</v>
      </c>
      <c r="M27" s="43">
        <f>SUM($E20:M20)</f>
        <v>318051</v>
      </c>
      <c r="N27" s="43">
        <f>SUM($E20:N20)</f>
        <v>318051</v>
      </c>
      <c r="O27" s="43">
        <f>SUM($E20:O20)</f>
        <v>318051</v>
      </c>
      <c r="P27" s="43">
        <f>SUM($E20:P20)</f>
        <v>318051</v>
      </c>
    </row>
    <row r="28" spans="3:17" x14ac:dyDescent="0.35">
      <c r="D28" s="3" t="str">
        <f t="shared" si="3"/>
        <v>Difference</v>
      </c>
      <c r="E28" s="43">
        <f>IF(E27=0,0,E27-E26)</f>
        <v>6018.2322741479584</v>
      </c>
      <c r="F28" s="43">
        <f t="shared" ref="F28:P28" si="4">IF(F27=0,0,F27-F26)</f>
        <v>10402.779051673744</v>
      </c>
      <c r="G28" s="43">
        <f t="shared" si="4"/>
        <v>11694.214409862121</v>
      </c>
      <c r="H28" s="43">
        <f t="shared" si="4"/>
        <v>25469.103594039596</v>
      </c>
      <c r="I28" s="43">
        <f t="shared" si="4"/>
        <v>23910.003197818558</v>
      </c>
      <c r="J28" s="43">
        <f t="shared" si="4"/>
        <v>23744.461338766501</v>
      </c>
      <c r="K28" s="43">
        <f t="shared" si="4"/>
        <v>30065.361015982984</v>
      </c>
      <c r="L28" s="43">
        <f t="shared" si="4"/>
        <v>37181.188853002386</v>
      </c>
      <c r="M28" s="43">
        <f t="shared" si="4"/>
        <v>1578.1355682266876</v>
      </c>
      <c r="N28" s="43">
        <f t="shared" si="4"/>
        <v>-34089.054446197173</v>
      </c>
      <c r="O28" s="43">
        <f t="shared" si="4"/>
        <v>-69819.746173143969</v>
      </c>
      <c r="P28" s="43">
        <f t="shared" si="4"/>
        <v>-105613.31397997803</v>
      </c>
    </row>
    <row r="29" spans="3:17" x14ac:dyDescent="0.35">
      <c r="D29" s="3" t="str">
        <f t="shared" si="3"/>
        <v>% realisation</v>
      </c>
      <c r="E29" s="9">
        <f t="shared" ref="E29:P29" si="5">E27/E26</f>
        <v>1.172611494502833</v>
      </c>
      <c r="F29" s="9">
        <f t="shared" si="5"/>
        <v>1.1490642399899611</v>
      </c>
      <c r="G29" s="9">
        <f t="shared" si="5"/>
        <v>1.1116245880576787</v>
      </c>
      <c r="H29" s="9">
        <f t="shared" si="5"/>
        <v>1.1821890802084651</v>
      </c>
      <c r="I29" s="9">
        <f t="shared" si="5"/>
        <v>1.1367223446650949</v>
      </c>
      <c r="J29" s="9">
        <f t="shared" si="5"/>
        <v>1.1130588827544747</v>
      </c>
      <c r="K29" s="9">
        <f t="shared" si="5"/>
        <v>1.12252340301522</v>
      </c>
      <c r="L29" s="9">
        <f t="shared" si="5"/>
        <v>1.1323787298505463</v>
      </c>
      <c r="M29" s="9">
        <f t="shared" si="5"/>
        <v>1.0049866378624916</v>
      </c>
      <c r="N29" s="9">
        <f t="shared" si="5"/>
        <v>0.90319461243962074</v>
      </c>
      <c r="O29" s="9">
        <f t="shared" si="5"/>
        <v>0.8199922348823474</v>
      </c>
      <c r="P29" s="9">
        <f t="shared" si="5"/>
        <v>0.75071463303617014</v>
      </c>
    </row>
    <row r="30" spans="3:17" x14ac:dyDescent="0.35">
      <c r="D30" s="3" t="str">
        <f t="shared" si="3"/>
        <v>Actual 2024/25</v>
      </c>
      <c r="E30" s="43">
        <f>SUM($E23:E23)</f>
        <v>32963</v>
      </c>
      <c r="F30" s="43">
        <f>SUM($E23:F23)</f>
        <v>72681</v>
      </c>
      <c r="G30" s="43">
        <f>SUM($E23:G23)</f>
        <v>107740</v>
      </c>
      <c r="H30" s="43">
        <f>SUM($E23:H23)</f>
        <v>145620</v>
      </c>
      <c r="I30" s="43">
        <f>SUM($E23:I23)</f>
        <v>184459</v>
      </c>
      <c r="J30" s="43">
        <f>SUM($E23:J23)</f>
        <v>213867</v>
      </c>
      <c r="K30" s="43">
        <f>SUM($E23:K23)</f>
        <v>253628</v>
      </c>
      <c r="L30" s="43">
        <f>SUM($E23:L23)</f>
        <v>290517</v>
      </c>
      <c r="M30" s="43">
        <f>SUM($E23:M23)</f>
        <v>334583</v>
      </c>
      <c r="N30" s="43">
        <f>SUM($E23:N23)</f>
        <v>367078</v>
      </c>
      <c r="O30" s="43">
        <f>SUM($E23:O23)</f>
        <v>410487</v>
      </c>
      <c r="P30" s="43">
        <f>SUM($E23:P23)</f>
        <v>457650</v>
      </c>
    </row>
  </sheetData>
  <sheetProtection algorithmName="SHA-512" hashValue="e0+keglBFv54NLbomoMzGSq7W9B6QK8ldR4Mc1m+0bl6Q7xQKelY5/2ZUqhOYJja1DP3QSSxGhrqTUcbvCOTvw==" saltValue="V+vIrgokXq/zjSuCfHEooQ==" spinCount="100000" sheet="1" objects="1" scenarios="1"/>
  <mergeCells count="3">
    <mergeCell ref="C1:F1"/>
    <mergeCell ref="J4:Q8"/>
    <mergeCell ref="J10:Q15"/>
  </mergeCells>
  <conditionalFormatting sqref="C3">
    <cfRule type="expression" dxfId="62" priority="2">
      <formula>S4&lt;S6</formula>
    </cfRule>
  </conditionalFormatting>
  <conditionalFormatting sqref="C4">
    <cfRule type="expression" dxfId="61" priority="1">
      <formula>AND(S4&gt;=S6,S4&lt;S5)</formula>
    </cfRule>
  </conditionalFormatting>
  <conditionalFormatting sqref="C5">
    <cfRule type="expression" dxfId="60" priority="3">
      <formula>S4&gt;=S5</formula>
    </cfRule>
  </conditionalFormatting>
  <hyperlinks>
    <hyperlink ref="L1" location="'Distribution Dashboard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44449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57150</xdr:rowOff>
                  </from>
                  <to>
                    <xdr:col>9</xdr:col>
                    <xdr:colOff>628650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S30"/>
  <sheetViews>
    <sheetView topLeftCell="C1" zoomScale="90" zoomScaleNormal="90" zoomScalePageLayoutView="90" workbookViewId="0">
      <pane ySplit="2" topLeftCell="A3" activePane="bottomLeft" state="frozen"/>
      <selection activeCell="D26" sqref="D26:D30"/>
      <selection pane="bottomLeft" activeCell="I2" sqref="I2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 t="s">
        <v>63</v>
      </c>
      <c r="C1" s="124" t="s">
        <v>64</v>
      </c>
      <c r="D1" s="124"/>
      <c r="E1" s="124"/>
      <c r="F1" s="124"/>
      <c r="G1" s="3" t="s">
        <v>10</v>
      </c>
      <c r="I1" s="12" cm="1">
        <f t="array" ref="I1">INDEX(E18:P18,Actual_month)</f>
        <v>46054</v>
      </c>
      <c r="L1" s="15" t="s">
        <v>21</v>
      </c>
      <c r="R1" s="5"/>
    </row>
    <row r="2" spans="1:19" x14ac:dyDescent="0.35">
      <c r="A2" s="3" t="s">
        <v>14</v>
      </c>
      <c r="C2" s="3" t="s">
        <v>15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 t="e">
        <f>INDEX(#REF!,Actual_month)</f>
        <v>#REF!</v>
      </c>
      <c r="K4" s="135"/>
      <c r="L4" s="135"/>
      <c r="M4" s="135"/>
      <c r="N4" s="135"/>
      <c r="O4" s="135"/>
      <c r="P4" s="135"/>
      <c r="Q4" s="136"/>
      <c r="R4" s="3" t="s">
        <v>25</v>
      </c>
      <c r="S4" s="43">
        <f>INDEX(E27:P27,Actual_month)</f>
        <v>232119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43">
        <f>INDEX(E26:P26,Actual_month)</f>
        <v>233476.18716720684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0.9</v>
      </c>
      <c r="S6" s="43">
        <f>+S5*R6</f>
        <v>210128.56845048617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11"/>
    </row>
    <row r="19" spans="3:17" x14ac:dyDescent="0.35">
      <c r="D19" s="3" t="str">
        <f>'KPI 100'!D19</f>
        <v>Budget 2025/26</v>
      </c>
      <c r="E19" s="43">
        <f>Budget2526!D98</f>
        <v>28461.852059246539</v>
      </c>
      <c r="F19" s="43">
        <f>Budget2526!E98</f>
        <v>28655.785179753802</v>
      </c>
      <c r="G19" s="43">
        <f>Budget2526!F98</f>
        <v>28849.718300261065</v>
      </c>
      <c r="H19" s="43">
        <f>Budget2526!G98</f>
        <v>29043.651420768332</v>
      </c>
      <c r="I19" s="43">
        <f>Budget2526!H98</f>
        <v>29237.584541275592</v>
      </c>
      <c r="J19" s="43">
        <f>Budget2526!I98</f>
        <v>29431.517661782855</v>
      </c>
      <c r="K19" s="43">
        <f>Budget2526!J98</f>
        <v>29772.483308404735</v>
      </c>
      <c r="L19" s="43">
        <f>Budget2526!K98</f>
        <v>30023.594695713906</v>
      </c>
      <c r="M19" s="43">
        <f>Budget2526!L98</f>
        <v>30274.706083023073</v>
      </c>
      <c r="N19" s="43">
        <f>Budget2526!M98</f>
        <v>30480.890340675887</v>
      </c>
      <c r="O19" s="43">
        <f>Budget2526!N98</f>
        <v>30687.074598328705</v>
      </c>
      <c r="P19" s="43">
        <f>Budget2526!O98</f>
        <v>30893.258855981519</v>
      </c>
      <c r="Q19" s="5"/>
    </row>
    <row r="20" spans="3:17" x14ac:dyDescent="0.35">
      <c r="D20" s="3" t="str">
        <f>'KPI 100'!D20</f>
        <v>Actual 2025/26</v>
      </c>
      <c r="E20" s="43">
        <f>Actuals2526!D98</f>
        <v>31495</v>
      </c>
      <c r="F20" s="43">
        <f>Actuals2526!E98</f>
        <v>30262</v>
      </c>
      <c r="G20" s="43">
        <f>Actuals2526!F98</f>
        <v>26101</v>
      </c>
      <c r="H20" s="43">
        <f>Actuals2526!G98</f>
        <v>28789</v>
      </c>
      <c r="I20" s="43">
        <f>Actuals2526!H98</f>
        <v>24965</v>
      </c>
      <c r="J20" s="43">
        <f>Actuals2526!I98</f>
        <v>26090</v>
      </c>
      <c r="K20" s="43">
        <f>Actuals2526!J98</f>
        <v>30971</v>
      </c>
      <c r="L20" s="43">
        <f>Actuals2526!K98</f>
        <v>33446</v>
      </c>
      <c r="M20" s="43">
        <f>Actuals2526!L98</f>
        <v>0</v>
      </c>
      <c r="N20" s="43">
        <f>Actuals2526!M98</f>
        <v>0</v>
      </c>
      <c r="O20" s="43">
        <f>Actuals2526!N98</f>
        <v>0</v>
      </c>
      <c r="P20" s="43">
        <f>Actuals2526!O98</f>
        <v>0</v>
      </c>
      <c r="Q20" s="5"/>
    </row>
    <row r="21" spans="3:17" x14ac:dyDescent="0.35">
      <c r="D21" s="3" t="str">
        <f>'KPI 100'!D21</f>
        <v>Difference</v>
      </c>
      <c r="E21" s="43">
        <f>IF(E20=0,0,E20-E19)</f>
        <v>3033.1479407534607</v>
      </c>
      <c r="F21" s="43">
        <f t="shared" ref="F21:P21" si="0">IF(F20=0,0,F20-F19)</f>
        <v>1606.2148202461976</v>
      </c>
      <c r="G21" s="43">
        <f t="shared" si="0"/>
        <v>-2748.7183002610655</v>
      </c>
      <c r="H21" s="43">
        <f t="shared" si="0"/>
        <v>-254.65142076833217</v>
      </c>
      <c r="I21" s="43">
        <f t="shared" si="0"/>
        <v>-4272.5845412755916</v>
      </c>
      <c r="J21" s="43">
        <f t="shared" si="0"/>
        <v>-3341.5176617828547</v>
      </c>
      <c r="K21" s="43">
        <f t="shared" si="0"/>
        <v>1198.516691595265</v>
      </c>
      <c r="L21" s="43">
        <f t="shared" si="0"/>
        <v>3422.4053042860942</v>
      </c>
      <c r="M21" s="43">
        <f t="shared" si="0"/>
        <v>0</v>
      </c>
      <c r="N21" s="43">
        <f t="shared" si="0"/>
        <v>0</v>
      </c>
      <c r="O21" s="43">
        <f t="shared" si="0"/>
        <v>0</v>
      </c>
      <c r="P21" s="43">
        <f t="shared" si="0"/>
        <v>0</v>
      </c>
      <c r="Q21" s="5"/>
    </row>
    <row r="22" spans="3:17" x14ac:dyDescent="0.35">
      <c r="D22" s="3" t="str">
        <f>'KPI 100'!D22</f>
        <v>% realisation</v>
      </c>
      <c r="E22" s="9">
        <f>E20/E19</f>
        <v>1.1065688885754736</v>
      </c>
      <c r="F22" s="9">
        <f t="shared" ref="F22:P22" si="1">F20/F19</f>
        <v>1.0560520261500648</v>
      </c>
      <c r="G22" s="9">
        <f t="shared" si="1"/>
        <v>0.90472287210387803</v>
      </c>
      <c r="H22" s="9">
        <f t="shared" si="1"/>
        <v>0.99123211413471801</v>
      </c>
      <c r="I22" s="9">
        <f t="shared" si="1"/>
        <v>0.85386670587497226</v>
      </c>
      <c r="J22" s="9">
        <f t="shared" si="1"/>
        <v>0.88646464989734963</v>
      </c>
      <c r="K22" s="9">
        <f t="shared" si="1"/>
        <v>1.0402558523311667</v>
      </c>
      <c r="L22" s="9">
        <f t="shared" si="1"/>
        <v>1.1139905244182726</v>
      </c>
      <c r="M22" s="9">
        <f t="shared" si="1"/>
        <v>0</v>
      </c>
      <c r="N22" s="9">
        <f t="shared" si="1"/>
        <v>0</v>
      </c>
      <c r="O22" s="9">
        <f t="shared" si="1"/>
        <v>0</v>
      </c>
      <c r="P22" s="9">
        <f t="shared" si="1"/>
        <v>0</v>
      </c>
    </row>
    <row r="23" spans="3:17" x14ac:dyDescent="0.35">
      <c r="D23" s="3" t="str">
        <f>'KPI 100'!D23</f>
        <v>Actual 2024/25</v>
      </c>
      <c r="E23" s="5">
        <f>Actuals2425!D98</f>
        <v>26406</v>
      </c>
      <c r="F23" s="5">
        <f>Actuals2425!E98</f>
        <v>29527</v>
      </c>
      <c r="G23" s="5">
        <f>Actuals2425!F98</f>
        <v>32020</v>
      </c>
      <c r="H23" s="5">
        <f>Actuals2425!G98</f>
        <v>29957</v>
      </c>
      <c r="I23" s="5">
        <f>Actuals2425!H98</f>
        <v>32172</v>
      </c>
      <c r="J23" s="5">
        <f>Actuals2425!I98</f>
        <v>24033</v>
      </c>
      <c r="K23" s="5">
        <f>Actuals2425!J98</f>
        <v>29156</v>
      </c>
      <c r="L23" s="5">
        <f>Actuals2425!K98</f>
        <v>28120</v>
      </c>
      <c r="M23" s="5">
        <f>Actuals2425!L98</f>
        <v>29681</v>
      </c>
      <c r="N23" s="5">
        <f>Actuals2425!M98</f>
        <v>26294</v>
      </c>
      <c r="O23" s="5">
        <f>Actuals2425!N98</f>
        <v>27869</v>
      </c>
      <c r="P23" s="5">
        <f>Actuals2425!O98</f>
        <v>30591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43">
        <f>SUM($E19:E19)</f>
        <v>28461.852059246539</v>
      </c>
      <c r="F26" s="43">
        <f>SUM($E19:F19)</f>
        <v>57117.637239000338</v>
      </c>
      <c r="G26" s="43">
        <f>SUM($E19:G19)</f>
        <v>85967.355539261407</v>
      </c>
      <c r="H26" s="43">
        <f>SUM($E19:H19)</f>
        <v>115011.00696002974</v>
      </c>
      <c r="I26" s="43">
        <f>SUM($E19:I19)</f>
        <v>144248.59150130535</v>
      </c>
      <c r="J26" s="43">
        <f>SUM($E19:J19)</f>
        <v>173680.1091630882</v>
      </c>
      <c r="K26" s="43">
        <f>SUM($E19:K19)</f>
        <v>203452.59247149294</v>
      </c>
      <c r="L26" s="43">
        <f>SUM($E19:L19)</f>
        <v>233476.18716720684</v>
      </c>
      <c r="M26" s="43">
        <f>SUM($E19:M19)</f>
        <v>263750.89325022988</v>
      </c>
      <c r="N26" s="43">
        <f>SUM($E19:N19)</f>
        <v>294231.78359090578</v>
      </c>
      <c r="O26" s="43">
        <f>SUM($E19:O19)</f>
        <v>324918.85818923451</v>
      </c>
      <c r="P26" s="43">
        <f>SUM($E19:P19)</f>
        <v>355812.11704521603</v>
      </c>
    </row>
    <row r="27" spans="3:17" x14ac:dyDescent="0.35">
      <c r="D27" s="3" t="str">
        <f t="shared" ref="D27:D30" si="3">D20</f>
        <v>Actual 2025/26</v>
      </c>
      <c r="E27" s="43">
        <f>SUM($E20:E20)</f>
        <v>31495</v>
      </c>
      <c r="F27" s="43">
        <f>SUM($E20:F20)</f>
        <v>61757</v>
      </c>
      <c r="G27" s="43">
        <f>SUM($E20:G20)</f>
        <v>87858</v>
      </c>
      <c r="H27" s="43">
        <f>SUM($E20:H20)</f>
        <v>116647</v>
      </c>
      <c r="I27" s="43">
        <f>SUM($E20:I20)</f>
        <v>141612</v>
      </c>
      <c r="J27" s="43">
        <f>SUM($E20:J20)</f>
        <v>167702</v>
      </c>
      <c r="K27" s="43">
        <f>SUM($E20:K20)</f>
        <v>198673</v>
      </c>
      <c r="L27" s="43">
        <f>SUM($E20:L20)</f>
        <v>232119</v>
      </c>
      <c r="M27" s="43">
        <f>SUM($E20:M20)</f>
        <v>232119</v>
      </c>
      <c r="N27" s="43">
        <f>SUM($E20:N20)</f>
        <v>232119</v>
      </c>
      <c r="O27" s="43">
        <f>SUM($E20:O20)</f>
        <v>232119</v>
      </c>
      <c r="P27" s="43">
        <f>SUM($E20:P20)</f>
        <v>232119</v>
      </c>
    </row>
    <row r="28" spans="3:17" x14ac:dyDescent="0.35">
      <c r="D28" s="3" t="str">
        <f t="shared" si="3"/>
        <v>Difference</v>
      </c>
      <c r="E28" s="43">
        <f>IF(E27=0,0,E27-E26)</f>
        <v>3033.1479407534607</v>
      </c>
      <c r="F28" s="43">
        <f t="shared" ref="F28:P28" si="4">IF(F27=0,0,F27-F26)</f>
        <v>4639.362760999662</v>
      </c>
      <c r="G28" s="43">
        <f t="shared" si="4"/>
        <v>1890.6444607385929</v>
      </c>
      <c r="H28" s="43">
        <f t="shared" si="4"/>
        <v>1635.9930399702571</v>
      </c>
      <c r="I28" s="43">
        <f t="shared" si="4"/>
        <v>-2636.5915013053454</v>
      </c>
      <c r="J28" s="43">
        <f t="shared" si="4"/>
        <v>-5978.1091630882001</v>
      </c>
      <c r="K28" s="43">
        <f t="shared" si="4"/>
        <v>-4779.5924714929424</v>
      </c>
      <c r="L28" s="43">
        <f t="shared" si="4"/>
        <v>-1357.1871672068373</v>
      </c>
      <c r="M28" s="43">
        <f t="shared" si="4"/>
        <v>-31631.893250229885</v>
      </c>
      <c r="N28" s="43">
        <f t="shared" si="4"/>
        <v>-62112.783590905776</v>
      </c>
      <c r="O28" s="43">
        <f t="shared" si="4"/>
        <v>-92799.85818923451</v>
      </c>
      <c r="P28" s="43">
        <f t="shared" si="4"/>
        <v>-123693.11704521603</v>
      </c>
    </row>
    <row r="29" spans="3:17" x14ac:dyDescent="0.35">
      <c r="D29" s="3" t="str">
        <f t="shared" si="3"/>
        <v>% realisation</v>
      </c>
      <c r="E29" s="9">
        <f t="shared" ref="E29:P29" si="5">E27/E26</f>
        <v>1.1065688885754736</v>
      </c>
      <c r="F29" s="9">
        <f t="shared" si="5"/>
        <v>1.081224696700722</v>
      </c>
      <c r="G29" s="9">
        <f t="shared" si="5"/>
        <v>1.0219925860098735</v>
      </c>
      <c r="H29" s="9">
        <f t="shared" si="5"/>
        <v>1.0142246649534929</v>
      </c>
      <c r="I29" s="9">
        <f t="shared" si="5"/>
        <v>0.98172189084229988</v>
      </c>
      <c r="J29" s="9">
        <f t="shared" si="5"/>
        <v>0.96557977081028512</v>
      </c>
      <c r="K29" s="9">
        <f t="shared" si="5"/>
        <v>0.97650758629599355</v>
      </c>
      <c r="L29" s="9">
        <f t="shared" si="5"/>
        <v>0.99418704244028588</v>
      </c>
      <c r="M29" s="9">
        <f t="shared" si="5"/>
        <v>0.88006905735777141</v>
      </c>
      <c r="N29" s="9">
        <f t="shared" si="5"/>
        <v>0.78889845674433934</v>
      </c>
      <c r="O29" s="9">
        <f t="shared" si="5"/>
        <v>0.71439066754571889</v>
      </c>
      <c r="P29" s="9">
        <f t="shared" si="5"/>
        <v>0.65236395524580382</v>
      </c>
    </row>
    <row r="30" spans="3:17" x14ac:dyDescent="0.35">
      <c r="D30" s="3" t="str">
        <f t="shared" si="3"/>
        <v>Actual 2024/25</v>
      </c>
      <c r="E30" s="43">
        <f>SUM($E23:E23)</f>
        <v>26406</v>
      </c>
      <c r="F30" s="43">
        <f>SUM($E23:F23)</f>
        <v>55933</v>
      </c>
      <c r="G30" s="43">
        <f>SUM($E23:G23)</f>
        <v>87953</v>
      </c>
      <c r="H30" s="43">
        <f>SUM($E23:H23)</f>
        <v>117910</v>
      </c>
      <c r="I30" s="43">
        <f>SUM($E23:I23)</f>
        <v>150082</v>
      </c>
      <c r="J30" s="43">
        <f>SUM($E23:J23)</f>
        <v>174115</v>
      </c>
      <c r="K30" s="43">
        <f>SUM($E23:K23)</f>
        <v>203271</v>
      </c>
      <c r="L30" s="43">
        <f>SUM($E23:L23)</f>
        <v>231391</v>
      </c>
      <c r="M30" s="43">
        <f>SUM($E23:M23)</f>
        <v>261072</v>
      </c>
      <c r="N30" s="43">
        <f>SUM($E23:N23)</f>
        <v>287366</v>
      </c>
      <c r="O30" s="43">
        <f>SUM($E23:O23)</f>
        <v>315235</v>
      </c>
      <c r="P30" s="43">
        <f>SUM($E23:P23)</f>
        <v>345826</v>
      </c>
    </row>
  </sheetData>
  <sheetProtection algorithmName="SHA-512" hashValue="WmrlWWeWrFhfIgKIKKIFyv2N5wJ2aQ4I9kJA0qzlokV77l+tESOCWYII5npMNluYhqHVyFIB3ri13Z2OnZJdfQ==" saltValue="KmOYB/Ck37hFQEFAWcMpRA==" spinCount="100000" sheet="1" objects="1" scenarios="1"/>
  <mergeCells count="3">
    <mergeCell ref="C1:F1"/>
    <mergeCell ref="J4:Q8"/>
    <mergeCell ref="J10:Q15"/>
  </mergeCells>
  <conditionalFormatting sqref="C3">
    <cfRule type="expression" dxfId="59" priority="2">
      <formula>S4&lt;S6</formula>
    </cfRule>
  </conditionalFormatting>
  <conditionalFormatting sqref="C4">
    <cfRule type="expression" dxfId="58" priority="1">
      <formula>AND(S4&gt;=S6,S4&lt;S5)</formula>
    </cfRule>
  </conditionalFormatting>
  <conditionalFormatting sqref="C5">
    <cfRule type="expression" dxfId="57" priority="3">
      <formula>S4&gt;=S5</formula>
    </cfRule>
  </conditionalFormatting>
  <hyperlinks>
    <hyperlink ref="L1" location="'Distribution Dashboard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47521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57150</xdr:rowOff>
                  </from>
                  <to>
                    <xdr:col>9</xdr:col>
                    <xdr:colOff>628650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S30"/>
  <sheetViews>
    <sheetView zoomScale="90" zoomScaleNormal="90" zoomScalePageLayoutView="90" workbookViewId="0">
      <pane ySplit="2" topLeftCell="A3" activePane="bottomLeft" state="frozen"/>
      <selection activeCell="D26" sqref="D26:D30"/>
      <selection pane="bottomLeft"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 t="s">
        <v>72</v>
      </c>
      <c r="C1" s="124" t="s">
        <v>73</v>
      </c>
      <c r="D1" s="124"/>
      <c r="E1" s="124"/>
      <c r="F1" s="124"/>
      <c r="G1" s="3" t="s">
        <v>10</v>
      </c>
      <c r="I1" s="12">
        <f>INDEX(E$18:P$18,Actual_month)</f>
        <v>46054</v>
      </c>
      <c r="L1" s="15" t="s">
        <v>21</v>
      </c>
      <c r="R1" s="5"/>
    </row>
    <row r="2" spans="1:19" x14ac:dyDescent="0.35">
      <c r="A2" s="3" t="s">
        <v>14</v>
      </c>
      <c r="C2" s="3" t="s">
        <v>1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/>
      <c r="K4" s="135"/>
      <c r="L4" s="135"/>
      <c r="M4" s="135"/>
      <c r="N4" s="135"/>
      <c r="O4" s="135"/>
      <c r="P4" s="135"/>
      <c r="Q4" s="136"/>
      <c r="R4" s="3" t="s">
        <v>25</v>
      </c>
      <c r="S4" s="9">
        <f>INDEX(E27:P27,Actual_month)</f>
        <v>0.27018308384504369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9">
        <f>INDEX(E26:P26,Actual_month)</f>
        <v>0.16873876115858738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1.1000000000000001</v>
      </c>
      <c r="S6" s="9">
        <f>+S5*R6</f>
        <v>0.18561263727444613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9">
        <f>Budget2526!D99</f>
        <v>0.18367344488035378</v>
      </c>
      <c r="F19" s="9">
        <f>Budget2526!E99</f>
        <v>0.1794217440724388</v>
      </c>
      <c r="G19" s="9">
        <f>Budget2526!F99</f>
        <v>0.17517004326452404</v>
      </c>
      <c r="H19" s="9">
        <f>Budget2526!G99</f>
        <v>0.17091834245660936</v>
      </c>
      <c r="I19" s="9">
        <f>Budget2526!H99</f>
        <v>0.16666664164869446</v>
      </c>
      <c r="J19" s="9">
        <f>Budget2526!I99</f>
        <v>0.16241494084077956</v>
      </c>
      <c r="K19" s="9">
        <f>Budget2526!J99</f>
        <v>0.15816324003286483</v>
      </c>
      <c r="L19" s="9">
        <f>Budget2526!K99</f>
        <v>0.15391153922494982</v>
      </c>
      <c r="M19" s="9">
        <f>Budget2526!L99</f>
        <v>0.14965983841703487</v>
      </c>
      <c r="N19" s="9">
        <f>Budget2526!M99</f>
        <v>0.14540813760912011</v>
      </c>
      <c r="O19" s="9">
        <f>Budget2526!N99</f>
        <v>0.14115643680120532</v>
      </c>
      <c r="P19" s="9">
        <f>Budget2526!O99</f>
        <v>0.13690473599329062</v>
      </c>
      <c r="Q19" s="5"/>
    </row>
    <row r="20" spans="3:17" x14ac:dyDescent="0.35">
      <c r="D20" s="3" t="str">
        <f>'KPI 100'!D20</f>
        <v>Actual 2025/26</v>
      </c>
      <c r="E20" s="9">
        <f>Actuals2526!D99</f>
        <v>0.22964974072986988</v>
      </c>
      <c r="F20" s="9">
        <f>Actuals2526!E99</f>
        <v>0.23009209789853965</v>
      </c>
      <c r="G20" s="9">
        <f>Actuals2526!F99</f>
        <v>0.28032976728796738</v>
      </c>
      <c r="H20" s="9">
        <f>Actuals2526!G99</f>
        <v>0.41013399991804289</v>
      </c>
      <c r="I20" s="9">
        <f>Actuals2526!H99</f>
        <v>0.25535405357036328</v>
      </c>
      <c r="J20" s="9">
        <f>Actuals2526!I99</f>
        <v>0.25399593972493067</v>
      </c>
      <c r="K20" s="9">
        <f>Actuals2526!J99</f>
        <v>0.25705855542495265</v>
      </c>
      <c r="L20" s="9">
        <f>Actuals2526!K99</f>
        <v>0.21490105866059483</v>
      </c>
      <c r="M20" s="9" t="e">
        <f>Actuals2526!L99</f>
        <v>#DIV/0!</v>
      </c>
      <c r="N20" s="9" t="e">
        <f>Actuals2526!M99</f>
        <v>#DIV/0!</v>
      </c>
      <c r="O20" s="9" t="e">
        <f>Actuals2526!N99</f>
        <v>#DIV/0!</v>
      </c>
      <c r="P20" s="9" t="e">
        <f>Actuals2526!O99</f>
        <v>#DIV/0!</v>
      </c>
      <c r="Q20" s="5"/>
    </row>
    <row r="21" spans="3:17" x14ac:dyDescent="0.35">
      <c r="D21" s="3" t="str">
        <f>'KPI 100'!D21</f>
        <v>Difference</v>
      </c>
      <c r="E21" s="9">
        <f>IF(E20=0,0,E20-E19)</f>
        <v>4.5976295849516097E-2</v>
      </c>
      <c r="F21" s="9">
        <f t="shared" ref="F21:P21" si="0">IF(F20=0,0,F20-F19)</f>
        <v>5.0670353826100856E-2</v>
      </c>
      <c r="G21" s="9">
        <f t="shared" si="0"/>
        <v>0.10515972402344334</v>
      </c>
      <c r="H21" s="9">
        <f t="shared" si="0"/>
        <v>0.23921565746143353</v>
      </c>
      <c r="I21" s="9">
        <f t="shared" si="0"/>
        <v>8.8687411921668818E-2</v>
      </c>
      <c r="J21" s="9">
        <f t="shared" si="0"/>
        <v>9.158099888415111E-2</v>
      </c>
      <c r="K21" s="9">
        <f t="shared" si="0"/>
        <v>9.8895315392087818E-2</v>
      </c>
      <c r="L21" s="9">
        <f t="shared" si="0"/>
        <v>6.0989519435645012E-2</v>
      </c>
      <c r="M21" s="9" t="e">
        <f t="shared" si="0"/>
        <v>#DIV/0!</v>
      </c>
      <c r="N21" s="9" t="e">
        <f t="shared" si="0"/>
        <v>#DIV/0!</v>
      </c>
      <c r="O21" s="9" t="e">
        <f t="shared" si="0"/>
        <v>#DIV/0!</v>
      </c>
      <c r="P21" s="9" t="e">
        <f t="shared" si="0"/>
        <v>#DIV/0!</v>
      </c>
      <c r="Q21" s="5"/>
    </row>
    <row r="22" spans="3:17" x14ac:dyDescent="0.35">
      <c r="D22" s="3" t="str">
        <f>'KPI 100'!D22</f>
        <v>% realisation</v>
      </c>
      <c r="E22" s="9">
        <f>E20/E19</f>
        <v>1.2503154219134147</v>
      </c>
      <c r="F22" s="9">
        <f t="shared" ref="F22:P22" si="1">F20/F19</f>
        <v>1.282409214602459</v>
      </c>
      <c r="G22" s="9">
        <f t="shared" si="1"/>
        <v>1.6003293831733647</v>
      </c>
      <c r="H22" s="9">
        <f t="shared" si="1"/>
        <v>2.3995903191148877</v>
      </c>
      <c r="I22" s="9">
        <f t="shared" si="1"/>
        <v>1.5321245514060764</v>
      </c>
      <c r="J22" s="9">
        <f t="shared" si="1"/>
        <v>1.563870530691698</v>
      </c>
      <c r="K22" s="9">
        <f t="shared" si="1"/>
        <v>1.6252737069090031</v>
      </c>
      <c r="L22" s="9">
        <f t="shared" si="1"/>
        <v>1.396263462393847</v>
      </c>
      <c r="M22" s="9" t="e">
        <f t="shared" si="1"/>
        <v>#DIV/0!</v>
      </c>
      <c r="N22" s="9" t="e">
        <f t="shared" si="1"/>
        <v>#DIV/0!</v>
      </c>
      <c r="O22" s="9" t="e">
        <f t="shared" si="1"/>
        <v>#DIV/0!</v>
      </c>
      <c r="P22" s="9" t="e">
        <f t="shared" si="1"/>
        <v>#DIV/0!</v>
      </c>
    </row>
    <row r="23" spans="3:17" x14ac:dyDescent="0.35">
      <c r="D23" s="3" t="str">
        <f>'KPI 100'!D23</f>
        <v>Actual 2024/25</v>
      </c>
      <c r="E23" s="9">
        <f>Actuals2425!D99</f>
        <v>0.19892000121348177</v>
      </c>
      <c r="F23" s="9">
        <f>Actuals2425!E99</f>
        <v>0.25658391661211544</v>
      </c>
      <c r="G23" s="9">
        <f>Actuals2425!F99</f>
        <v>8.6682449584985305E-2</v>
      </c>
      <c r="H23" s="9">
        <f>Actuals2425!G99</f>
        <v>0.20916050686378035</v>
      </c>
      <c r="I23" s="9">
        <f>Actuals2425!H99</f>
        <v>0.17165735472077037</v>
      </c>
      <c r="J23" s="9">
        <f>Actuals2425!I99</f>
        <v>0.1827733949945593</v>
      </c>
      <c r="K23" s="9">
        <f>Actuals2425!J99</f>
        <v>0.26671864389728628</v>
      </c>
      <c r="L23" s="9">
        <f>Actuals2425!K99</f>
        <v>0.23771313941825475</v>
      </c>
      <c r="M23" s="9">
        <f>Actuals2425!L99</f>
        <v>0.3264421549493941</v>
      </c>
      <c r="N23" s="9">
        <f>Actuals2425!M99</f>
        <v>0.19082935836282505</v>
      </c>
      <c r="O23" s="9">
        <f>Actuals2425!N99</f>
        <v>0.35799027851367227</v>
      </c>
      <c r="P23" s="9">
        <f>Actuals2425!O99</f>
        <v>0.35137713885885125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9">
        <f>('KPI 103 (4)'!E26-'KPI 110 (4)'!E26)/'KPI 103 (4)'!E26</f>
        <v>0.18367344488035378</v>
      </c>
      <c r="F26" s="9">
        <f>('KPI 103 (4)'!F26-'KPI 110 (4)'!F26)/'KPI 103 (4)'!F26</f>
        <v>0.18154589819111833</v>
      </c>
      <c r="G26" s="9">
        <f>('KPI 103 (4)'!G26-'KPI 110 (4)'!G26)/'KPI 103 (4)'!G26</f>
        <v>0.17941724752494917</v>
      </c>
      <c r="H26" s="9">
        <f>('KPI 103 (4)'!H26-'KPI 110 (4)'!H26)/'KPI 103 (4)'!H26</f>
        <v>0.17728751251375408</v>
      </c>
      <c r="I26" s="9">
        <f>('KPI 103 (4)'!I26-'KPI 110 (4)'!I26)/'KPI 103 (4)'!I26</f>
        <v>0.17515671237989183</v>
      </c>
      <c r="J26" s="9">
        <f>('KPI 103 (4)'!J26-'KPI 110 (4)'!J26)/'KPI 103 (4)'!J26</f>
        <v>0.17302486594652641</v>
      </c>
      <c r="K26" s="9">
        <f>('KPI 103 (4)'!K26-'KPI 110 (4)'!K26)/'KPI 103 (4)'!K26</f>
        <v>0.17088293173581778</v>
      </c>
      <c r="L26" s="9">
        <f>('KPI 103 (4)'!L26-'KPI 110 (4)'!L26)/'KPI 103 (4)'!L26</f>
        <v>0.16873876115858738</v>
      </c>
      <c r="M26" s="9">
        <f>('KPI 103 (4)'!M26-'KPI 110 (4)'!M26)/'KPI 103 (4)'!M26</f>
        <v>0.16659239102918247</v>
      </c>
      <c r="N26" s="9">
        <f>('KPI 103 (4)'!N26-'KPI 110 (4)'!N26)/'KPI 103 (4)'!N26</f>
        <v>0.16444670273696199</v>
      </c>
      <c r="O26" s="9">
        <f>('KPI 103 (4)'!O26-'KPI 110 (4)'!O26)/'KPI 103 (4)'!O26</f>
        <v>0.16230120112179841</v>
      </c>
      <c r="P26" s="9">
        <f>('KPI 103 (4)'!P26-'KPI 110 (4)'!P26)/'KPI 103 (4)'!P26</f>
        <v>0.16015556348691817</v>
      </c>
    </row>
    <row r="27" spans="3:17" x14ac:dyDescent="0.35">
      <c r="D27" s="3" t="str">
        <f t="shared" ref="D27:D30" si="3">D20</f>
        <v>Actual 2025/26</v>
      </c>
      <c r="E27" s="9">
        <f>('KPI 103 (4)'!E27-'KPI 110 (4)'!E27)/'KPI 103 (4)'!E27</f>
        <v>0.22964974072986988</v>
      </c>
      <c r="F27" s="9">
        <f>('KPI 103 (4)'!F27-'KPI 110 (4)'!F27)/'KPI 103 (4)'!F27</f>
        <v>0.22986656690360394</v>
      </c>
      <c r="G27" s="9">
        <f>('KPI 103 (4)'!G27-'KPI 110 (4)'!G27)/'KPI 103 (4)'!G27</f>
        <v>0.24558209826718647</v>
      </c>
      <c r="H27" s="9">
        <f>('KPI 103 (4)'!H27-'KPI 110 (4)'!H27)/'KPI 103 (4)'!H27</f>
        <v>0.2941778003678962</v>
      </c>
      <c r="I27" s="9">
        <f>('KPI 103 (4)'!I27-'KPI 110 (4)'!I27)/'KPI 103 (4)'!I27</f>
        <v>0.28763016248302231</v>
      </c>
      <c r="J27" s="9">
        <f>('KPI 103 (4)'!J27-'KPI 110 (4)'!J27)/'KPI 103 (4)'!J27</f>
        <v>0.28259818705269868</v>
      </c>
      <c r="K27" s="9">
        <f>('KPI 103 (4)'!K27-'KPI 110 (4)'!K27)/'KPI 103 (4)'!K27</f>
        <v>0.2787329823924487</v>
      </c>
      <c r="L27" s="9">
        <f>('KPI 103 (4)'!L27-'KPI 110 (4)'!L27)/'KPI 103 (4)'!L27</f>
        <v>0.27018308384504369</v>
      </c>
      <c r="M27" s="9">
        <f>('KPI 103 (4)'!M27-'KPI 110 (4)'!M27)/'KPI 103 (4)'!M27</f>
        <v>0.27018308384504369</v>
      </c>
      <c r="N27" s="9">
        <f>('KPI 103 (4)'!N27-'KPI 110 (4)'!N27)/'KPI 103 (4)'!N27</f>
        <v>0.27018308384504369</v>
      </c>
      <c r="O27" s="9">
        <f>('KPI 103 (4)'!O27-'KPI 110 (4)'!O27)/'KPI 103 (4)'!O27</f>
        <v>0.27018308384504369</v>
      </c>
      <c r="P27" s="9">
        <f>('KPI 103 (4)'!P27-'KPI 110 (4)'!P27)/'KPI 103 (4)'!P27</f>
        <v>0.27018308384504369</v>
      </c>
    </row>
    <row r="28" spans="3:17" x14ac:dyDescent="0.35">
      <c r="D28" s="3" t="str">
        <f t="shared" si="3"/>
        <v>Difference</v>
      </c>
      <c r="E28" s="9">
        <f>IF(E27=0,0,E27-E26)</f>
        <v>4.5976295849516097E-2</v>
      </c>
      <c r="F28" s="9">
        <f t="shared" ref="F28:P28" si="4">IF(F27=0,0,F27-F26)</f>
        <v>4.8320668712485609E-2</v>
      </c>
      <c r="G28" s="9">
        <f t="shared" si="4"/>
        <v>6.6164850742237297E-2</v>
      </c>
      <c r="H28" s="9">
        <f t="shared" si="4"/>
        <v>0.11689028785414213</v>
      </c>
      <c r="I28" s="9">
        <f t="shared" si="4"/>
        <v>0.11247345010313048</v>
      </c>
      <c r="J28" s="9">
        <f t="shared" si="4"/>
        <v>0.10957332110617227</v>
      </c>
      <c r="K28" s="9">
        <f t="shared" si="4"/>
        <v>0.10785005065663092</v>
      </c>
      <c r="L28" s="9">
        <f t="shared" si="4"/>
        <v>0.10144432268645631</v>
      </c>
      <c r="M28" s="9">
        <f t="shared" si="4"/>
        <v>0.10359069281586122</v>
      </c>
      <c r="N28" s="9">
        <f t="shared" si="4"/>
        <v>0.1057363811080817</v>
      </c>
      <c r="O28" s="9">
        <f t="shared" si="4"/>
        <v>0.10788188272324528</v>
      </c>
      <c r="P28" s="9">
        <f t="shared" si="4"/>
        <v>0.11002752035812552</v>
      </c>
    </row>
    <row r="29" spans="3:17" x14ac:dyDescent="0.35">
      <c r="D29" s="3" t="str">
        <f t="shared" si="3"/>
        <v>% realisation</v>
      </c>
      <c r="E29" s="9">
        <f t="shared" ref="E29:P29" si="5">E27/E26</f>
        <v>1.2503154219134147</v>
      </c>
      <c r="F29" s="9">
        <f t="shared" si="5"/>
        <v>1.2661622718769285</v>
      </c>
      <c r="G29" s="9">
        <f t="shared" si="5"/>
        <v>1.3687764228633406</v>
      </c>
      <c r="H29" s="9">
        <f t="shared" si="5"/>
        <v>1.6593261205866019</v>
      </c>
      <c r="I29" s="9">
        <f t="shared" si="5"/>
        <v>1.6421304018266247</v>
      </c>
      <c r="J29" s="9">
        <f t="shared" si="5"/>
        <v>1.6332807744525926</v>
      </c>
      <c r="K29" s="9">
        <f t="shared" si="5"/>
        <v>1.6311341311920218</v>
      </c>
      <c r="L29" s="9">
        <f t="shared" si="5"/>
        <v>1.6011915815306652</v>
      </c>
      <c r="M29" s="9">
        <f t="shared" si="5"/>
        <v>1.6218212739242992</v>
      </c>
      <c r="N29" s="9">
        <f t="shared" si="5"/>
        <v>1.6429826767473141</v>
      </c>
      <c r="O29" s="9">
        <f t="shared" si="5"/>
        <v>1.664701690299172</v>
      </c>
      <c r="P29" s="9">
        <f t="shared" si="5"/>
        <v>1.6870040475809807</v>
      </c>
    </row>
    <row r="30" spans="3:17" x14ac:dyDescent="0.35">
      <c r="D30" s="3" t="str">
        <f t="shared" si="3"/>
        <v>Actual 2024/25</v>
      </c>
      <c r="E30" s="9">
        <f>('KPI 103 (4)'!E30-'KPI 110 (4)'!E30)/'KPI 103 (4)'!E30</f>
        <v>0.19892000121348177</v>
      </c>
      <c r="F30" s="9">
        <f>('KPI 103 (4)'!F30-'KPI 110 (4)'!F30)/'KPI 103 (4)'!F30</f>
        <v>0.23043161211320703</v>
      </c>
      <c r="G30" s="9">
        <f>('KPI 103 (4)'!G30-'KPI 110 (4)'!G30)/'KPI 103 (4)'!G30</f>
        <v>0.18365509560051976</v>
      </c>
      <c r="H30" s="9">
        <f>('KPI 103 (4)'!H30-'KPI 110 (4)'!H30)/'KPI 103 (4)'!H30</f>
        <v>0.19028979535778051</v>
      </c>
      <c r="I30" s="9">
        <f>('KPI 103 (4)'!I30-'KPI 110 (4)'!I30)/'KPI 103 (4)'!I30</f>
        <v>0.18636661805604499</v>
      </c>
      <c r="J30" s="9">
        <f>('KPI 103 (4)'!J30-'KPI 110 (4)'!J30)/'KPI 103 (4)'!J30</f>
        <v>0.18587252825354075</v>
      </c>
      <c r="K30" s="9">
        <f>('KPI 103 (4)'!K30-'KPI 110 (4)'!K30)/'KPI 103 (4)'!K30</f>
        <v>0.19854669042850159</v>
      </c>
      <c r="L30" s="9">
        <f>('KPI 103 (4)'!L30-'KPI 110 (4)'!L30)/'KPI 103 (4)'!L30</f>
        <v>0.20351993170795513</v>
      </c>
      <c r="M30" s="9">
        <f>('KPI 103 (4)'!M30-'KPI 110 (4)'!M30)/'KPI 103 (4)'!M30</f>
        <v>0.21970930979756892</v>
      </c>
      <c r="N30" s="9">
        <f>('KPI 103 (4)'!N30-'KPI 110 (4)'!N30)/'KPI 103 (4)'!N30</f>
        <v>0.21715275772451631</v>
      </c>
      <c r="O30" s="9">
        <f>('KPI 103 (4)'!O30-'KPI 110 (4)'!O30)/'KPI 103 (4)'!O30</f>
        <v>0.23204632546219489</v>
      </c>
      <c r="P30" s="9">
        <f>('KPI 103 (4)'!P30-'KPI 110 (4)'!P30)/'KPI 103 (4)'!P30</f>
        <v>0.24434393095160056</v>
      </c>
    </row>
  </sheetData>
  <sheetProtection algorithmName="SHA-512" hashValue="ONfV4QIAQHM2IcNYsCfQ0NRPc1w5t21H8CsBgSnp+VWSAIGHEVmwjfElwZXi6aE1PiG9Ad3D9qDcu0M8FY5XUQ==" saltValue="4QLWJO1HNB8axpL7hVfQBQ==" spinCount="100000" sheet="1" objects="1" scenarios="1"/>
  <mergeCells count="3">
    <mergeCell ref="C1:F1"/>
    <mergeCell ref="J4:Q8"/>
    <mergeCell ref="J10:Q15"/>
  </mergeCells>
  <conditionalFormatting sqref="C3">
    <cfRule type="expression" dxfId="56" priority="2">
      <formula>S4&gt;S6</formula>
    </cfRule>
  </conditionalFormatting>
  <conditionalFormatting sqref="C4">
    <cfRule type="expression" dxfId="55" priority="1">
      <formula>AND(S4&gt;S5,S4&lt;=S6)</formula>
    </cfRule>
  </conditionalFormatting>
  <conditionalFormatting sqref="C5">
    <cfRule type="expression" dxfId="54" priority="3">
      <formula>S4&lt;=S5</formula>
    </cfRule>
  </conditionalFormatting>
  <hyperlinks>
    <hyperlink ref="L1" location="'Distribution Dashboard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53665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57150</xdr:rowOff>
                  </from>
                  <to>
                    <xdr:col>9</xdr:col>
                    <xdr:colOff>628650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S30"/>
  <sheetViews>
    <sheetView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 t="s">
        <v>92</v>
      </c>
      <c r="C1" s="124" t="s">
        <v>93</v>
      </c>
      <c r="D1" s="124"/>
      <c r="E1" s="124"/>
      <c r="F1" s="124"/>
      <c r="G1" s="3" t="s">
        <v>10</v>
      </c>
      <c r="I1" s="12">
        <f>INDEX(E$18:P$18,Actual_month)</f>
        <v>46054</v>
      </c>
      <c r="L1" s="15" t="s">
        <v>21</v>
      </c>
      <c r="R1" s="5"/>
    </row>
    <row r="2" spans="1:19" x14ac:dyDescent="0.35">
      <c r="A2" s="3" t="s">
        <v>14</v>
      </c>
      <c r="C2" s="3" t="s">
        <v>15</v>
      </c>
      <c r="R2" s="6"/>
    </row>
    <row r="3" spans="1:19" ht="17.149999999999999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17.149999999999999" customHeight="1" x14ac:dyDescent="0.35">
      <c r="C4" s="1" t="s">
        <v>5</v>
      </c>
      <c r="E4" s="10"/>
      <c r="F4" s="10"/>
      <c r="G4" s="10"/>
      <c r="H4" s="10"/>
      <c r="I4" s="10"/>
      <c r="J4" s="125" t="s">
        <v>179</v>
      </c>
      <c r="K4" s="126"/>
      <c r="L4" s="126"/>
      <c r="M4" s="126"/>
      <c r="N4" s="126"/>
      <c r="O4" s="126"/>
      <c r="P4" s="126"/>
      <c r="Q4" s="127"/>
      <c r="R4" s="3" t="s">
        <v>25</v>
      </c>
      <c r="S4" s="43">
        <f>INDEX(E27:P27,Actual_month)</f>
        <v>175192</v>
      </c>
    </row>
    <row r="5" spans="1:19" ht="17.149999999999999" customHeight="1" x14ac:dyDescent="0.35">
      <c r="C5" s="1" t="s">
        <v>5</v>
      </c>
      <c r="E5" s="10"/>
      <c r="F5" s="10"/>
      <c r="G5" s="10"/>
      <c r="H5" s="10"/>
      <c r="I5" s="10"/>
      <c r="J5" s="128"/>
      <c r="K5" s="129"/>
      <c r="L5" s="129"/>
      <c r="M5" s="129"/>
      <c r="N5" s="129"/>
      <c r="O5" s="129"/>
      <c r="P5" s="129"/>
      <c r="Q5" s="130"/>
      <c r="R5" s="3" t="s">
        <v>26</v>
      </c>
      <c r="S5" s="43">
        <f>INDEX(E26:P26,Actual_month)</f>
        <v>206383.00994412048</v>
      </c>
    </row>
    <row r="6" spans="1:19" x14ac:dyDescent="0.35">
      <c r="J6" s="128"/>
      <c r="K6" s="129"/>
      <c r="L6" s="129"/>
      <c r="M6" s="129"/>
      <c r="N6" s="129"/>
      <c r="O6" s="129"/>
      <c r="P6" s="129"/>
      <c r="Q6" s="130"/>
      <c r="R6" s="6">
        <v>0.9</v>
      </c>
      <c r="S6" s="43">
        <f>+S5*R6</f>
        <v>185744.70894970844</v>
      </c>
    </row>
    <row r="7" spans="1:19" x14ac:dyDescent="0.35">
      <c r="J7" s="128"/>
      <c r="K7" s="129"/>
      <c r="L7" s="129"/>
      <c r="M7" s="129"/>
      <c r="N7" s="129"/>
      <c r="O7" s="129"/>
      <c r="P7" s="129"/>
      <c r="Q7" s="130"/>
    </row>
    <row r="8" spans="1:19" ht="15" thickBot="1" x14ac:dyDescent="0.4">
      <c r="J8" s="131"/>
      <c r="K8" s="132"/>
      <c r="L8" s="132"/>
      <c r="M8" s="132"/>
      <c r="N8" s="132"/>
      <c r="O8" s="132"/>
      <c r="P8" s="132"/>
      <c r="Q8" s="133"/>
    </row>
    <row r="9" spans="1:19" ht="15" thickBot="1" x14ac:dyDescent="0.4">
      <c r="J9" s="3" t="s">
        <v>13</v>
      </c>
    </row>
    <row r="10" spans="1:19" x14ac:dyDescent="0.35">
      <c r="J10" s="125"/>
      <c r="K10" s="126"/>
      <c r="L10" s="126"/>
      <c r="M10" s="126"/>
      <c r="N10" s="126"/>
      <c r="O10" s="126"/>
      <c r="P10" s="126"/>
      <c r="Q10" s="127"/>
    </row>
    <row r="11" spans="1:19" x14ac:dyDescent="0.35">
      <c r="J11" s="128"/>
      <c r="K11" s="129"/>
      <c r="L11" s="129"/>
      <c r="M11" s="129"/>
      <c r="N11" s="129"/>
      <c r="O11" s="129"/>
      <c r="P11" s="129"/>
      <c r="Q11" s="130"/>
    </row>
    <row r="12" spans="1:19" x14ac:dyDescent="0.35">
      <c r="J12" s="128"/>
      <c r="K12" s="129"/>
      <c r="L12" s="129"/>
      <c r="M12" s="129"/>
      <c r="N12" s="129"/>
      <c r="O12" s="129"/>
      <c r="P12" s="129"/>
      <c r="Q12" s="130"/>
    </row>
    <row r="13" spans="1:19" x14ac:dyDescent="0.35">
      <c r="J13" s="128"/>
      <c r="K13" s="129"/>
      <c r="L13" s="129"/>
      <c r="M13" s="129"/>
      <c r="N13" s="129"/>
      <c r="O13" s="129"/>
      <c r="P13" s="129"/>
      <c r="Q13" s="130"/>
    </row>
    <row r="14" spans="1:19" x14ac:dyDescent="0.35">
      <c r="J14" s="128"/>
      <c r="K14" s="129"/>
      <c r="L14" s="129"/>
      <c r="M14" s="129"/>
      <c r="N14" s="129"/>
      <c r="O14" s="129"/>
      <c r="P14" s="129"/>
      <c r="Q14" s="130"/>
    </row>
    <row r="15" spans="1:19" ht="15" thickBot="1" x14ac:dyDescent="0.4">
      <c r="J15" s="131"/>
      <c r="K15" s="132"/>
      <c r="L15" s="132"/>
      <c r="M15" s="132"/>
      <c r="N15" s="132"/>
      <c r="O15" s="132"/>
      <c r="P15" s="132"/>
      <c r="Q15" s="133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43">
        <f>Budget2526!D103</f>
        <v>20641.441969419455</v>
      </c>
      <c r="F19" s="43">
        <f>Budget2526!E103</f>
        <v>21763.247325253848</v>
      </c>
      <c r="G19" s="43">
        <f>Budget2526!F103</f>
        <v>22757.135687917558</v>
      </c>
      <c r="H19" s="43">
        <f>Budget2526!G103</f>
        <v>24821.518015340349</v>
      </c>
      <c r="I19" s="43">
        <f>Budget2526!H103</f>
        <v>26786.200059904648</v>
      </c>
      <c r="J19" s="43">
        <f>Budget2526!I103</f>
        <v>28592.266025632362</v>
      </c>
      <c r="K19" s="43">
        <f>Budget2526!J103</f>
        <v>29890.645654089363</v>
      </c>
      <c r="L19" s="43">
        <f>Budget2526!K103</f>
        <v>31130.555206562884</v>
      </c>
      <c r="M19" s="43">
        <f>Budget2526!L103</f>
        <v>32254.247235577728</v>
      </c>
      <c r="N19" s="43">
        <f>Budget2526!M103</f>
        <v>32872.191727984798</v>
      </c>
      <c r="O19" s="43">
        <f>Budget2526!N103</f>
        <v>33464.06908299504</v>
      </c>
      <c r="P19" s="43">
        <f>Budget2526!O103</f>
        <v>34031.494639620905</v>
      </c>
      <c r="Q19" s="5"/>
    </row>
    <row r="20" spans="3:17" x14ac:dyDescent="0.35">
      <c r="D20" s="3" t="str">
        <f>'KPI 100'!D20</f>
        <v>Actual 2025/26</v>
      </c>
      <c r="E20" s="43">
        <f>Actuals2526!D103</f>
        <v>19352</v>
      </c>
      <c r="F20" s="43">
        <f>Actuals2526!E103</f>
        <v>28420</v>
      </c>
      <c r="G20" s="43">
        <f>Actuals2526!F103</f>
        <v>17963</v>
      </c>
      <c r="H20" s="43">
        <f>Actuals2526!G103</f>
        <v>26213</v>
      </c>
      <c r="I20" s="43">
        <f>Actuals2526!H103</f>
        <v>17225</v>
      </c>
      <c r="J20" s="43">
        <f>Actuals2526!I103</f>
        <v>15039</v>
      </c>
      <c r="K20" s="43">
        <f>Actuals2526!J103</f>
        <v>26008</v>
      </c>
      <c r="L20" s="43">
        <f>Actuals2526!K103</f>
        <v>24972</v>
      </c>
      <c r="M20" s="43">
        <f>Actuals2526!L103</f>
        <v>0</v>
      </c>
      <c r="N20" s="43">
        <f>Actuals2526!M103</f>
        <v>0</v>
      </c>
      <c r="O20" s="43">
        <f>Actuals2526!N103</f>
        <v>0</v>
      </c>
      <c r="P20" s="43">
        <f>Actuals2526!O103</f>
        <v>0</v>
      </c>
      <c r="Q20" s="5"/>
    </row>
    <row r="21" spans="3:17" x14ac:dyDescent="0.35">
      <c r="D21" s="3" t="str">
        <f>'KPI 100'!D21</f>
        <v>Difference</v>
      </c>
      <c r="E21" s="43">
        <f>IF(E20=0,0,E20-E19)</f>
        <v>-1289.4419694194548</v>
      </c>
      <c r="F21" s="43">
        <f t="shared" ref="F21:P21" si="0">IF(F20=0,0,F20-F19)</f>
        <v>6656.7526747461525</v>
      </c>
      <c r="G21" s="43">
        <f t="shared" si="0"/>
        <v>-4794.1356879175582</v>
      </c>
      <c r="H21" s="43">
        <f t="shared" si="0"/>
        <v>1391.4819846596511</v>
      </c>
      <c r="I21" s="43">
        <f t="shared" si="0"/>
        <v>-9561.2000599046478</v>
      </c>
      <c r="J21" s="43">
        <f t="shared" si="0"/>
        <v>-13553.266025632362</v>
      </c>
      <c r="K21" s="43">
        <f t="shared" si="0"/>
        <v>-3882.6456540893632</v>
      </c>
      <c r="L21" s="43">
        <f t="shared" si="0"/>
        <v>-6158.5552065628835</v>
      </c>
      <c r="M21" s="43">
        <f t="shared" si="0"/>
        <v>0</v>
      </c>
      <c r="N21" s="43">
        <f t="shared" si="0"/>
        <v>0</v>
      </c>
      <c r="O21" s="43">
        <f t="shared" si="0"/>
        <v>0</v>
      </c>
      <c r="P21" s="43">
        <f t="shared" si="0"/>
        <v>0</v>
      </c>
      <c r="Q21" s="5"/>
    </row>
    <row r="22" spans="3:17" x14ac:dyDescent="0.35">
      <c r="D22" s="3" t="str">
        <f>'KPI 100'!D22</f>
        <v>% realisation</v>
      </c>
      <c r="E22" s="9">
        <f>E20/E19</f>
        <v>0.93753140060031759</v>
      </c>
      <c r="F22" s="9">
        <f t="shared" ref="F22:P22" si="1">F20/F19</f>
        <v>1.3058712964687822</v>
      </c>
      <c r="G22" s="9">
        <f t="shared" si="1"/>
        <v>0.78933483749174516</v>
      </c>
      <c r="H22" s="9">
        <f t="shared" si="1"/>
        <v>1.0560595038466092</v>
      </c>
      <c r="I22" s="9">
        <f t="shared" si="1"/>
        <v>0.64305500449776443</v>
      </c>
      <c r="J22" s="9">
        <f t="shared" si="1"/>
        <v>0.52598139603618177</v>
      </c>
      <c r="K22" s="9">
        <f t="shared" si="1"/>
        <v>0.87010499207606862</v>
      </c>
      <c r="L22" s="9">
        <f t="shared" si="1"/>
        <v>0.80217008126907585</v>
      </c>
      <c r="M22" s="9">
        <f t="shared" si="1"/>
        <v>0</v>
      </c>
      <c r="N22" s="9">
        <f t="shared" si="1"/>
        <v>0</v>
      </c>
      <c r="O22" s="9">
        <f t="shared" si="1"/>
        <v>0</v>
      </c>
      <c r="P22" s="9">
        <f t="shared" si="1"/>
        <v>0</v>
      </c>
    </row>
    <row r="23" spans="3:17" x14ac:dyDescent="0.35">
      <c r="D23" s="3" t="str">
        <f>'KPI 100'!D23</f>
        <v>Actual 2024/25</v>
      </c>
      <c r="E23" s="5">
        <f>Actuals2425!D103</f>
        <v>7589</v>
      </c>
      <c r="F23" s="5">
        <f>Actuals2425!E103</f>
        <v>15992</v>
      </c>
      <c r="G23" s="5">
        <f>Actuals2425!F103</f>
        <v>20413</v>
      </c>
      <c r="H23" s="5">
        <f>Actuals2425!G103</f>
        <v>20982</v>
      </c>
      <c r="I23" s="5">
        <f>Actuals2425!H103</f>
        <v>29141</v>
      </c>
      <c r="J23" s="5">
        <f>Actuals2425!I103</f>
        <v>11492</v>
      </c>
      <c r="K23" s="5">
        <f>Actuals2425!J103</f>
        <v>22162</v>
      </c>
      <c r="L23" s="5">
        <f>Actuals2425!K103</f>
        <v>18344</v>
      </c>
      <c r="M23" s="5">
        <f>Actuals2425!L103</f>
        <v>21934</v>
      </c>
      <c r="N23" s="5">
        <f>Actuals2425!M103</f>
        <v>13179</v>
      </c>
      <c r="O23" s="5">
        <f>Actuals2425!N103</f>
        <v>17758</v>
      </c>
      <c r="P23" s="5">
        <f>Actuals2425!O103</f>
        <v>15135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43">
        <f>SUM($E19:E19)</f>
        <v>20641.441969419455</v>
      </c>
      <c r="F26" s="43">
        <f>SUM($E19:F19)</f>
        <v>42404.689294673299</v>
      </c>
      <c r="G26" s="43">
        <f>SUM($E19:G19)</f>
        <v>65161.824982590857</v>
      </c>
      <c r="H26" s="43">
        <f>SUM($E19:H19)</f>
        <v>89983.342997931206</v>
      </c>
      <c r="I26" s="43">
        <f>SUM($E19:I19)</f>
        <v>116769.54305783585</v>
      </c>
      <c r="J26" s="43">
        <f>SUM($E19:J19)</f>
        <v>145361.80908346822</v>
      </c>
      <c r="K26" s="43">
        <f>SUM($E19:K19)</f>
        <v>175252.45473755759</v>
      </c>
      <c r="L26" s="43">
        <f>SUM($E19:L19)</f>
        <v>206383.00994412048</v>
      </c>
      <c r="M26" s="43">
        <f>SUM($E19:M19)</f>
        <v>238637.25717969821</v>
      </c>
      <c r="N26" s="43">
        <f>SUM($E19:N19)</f>
        <v>271509.44890768302</v>
      </c>
      <c r="O26" s="43">
        <f>SUM($E19:O19)</f>
        <v>304973.51799067808</v>
      </c>
      <c r="P26" s="43">
        <f>SUM($E19:P19)</f>
        <v>339005.01263029897</v>
      </c>
    </row>
    <row r="27" spans="3:17" x14ac:dyDescent="0.35">
      <c r="D27" s="3" t="str">
        <f t="shared" ref="D27:D30" si="3">D20</f>
        <v>Actual 2025/26</v>
      </c>
      <c r="E27" s="43">
        <f>SUM($E20:E20)</f>
        <v>19352</v>
      </c>
      <c r="F27" s="43">
        <f>SUM($E20:F20)</f>
        <v>47772</v>
      </c>
      <c r="G27" s="43">
        <f>SUM($E20:G20)</f>
        <v>65735</v>
      </c>
      <c r="H27" s="43">
        <f>SUM($E20:H20)</f>
        <v>91948</v>
      </c>
      <c r="I27" s="43">
        <f>SUM($E20:I20)</f>
        <v>109173</v>
      </c>
      <c r="J27" s="43">
        <f>SUM($E20:J20)</f>
        <v>124212</v>
      </c>
      <c r="K27" s="43">
        <f>SUM($E20:K20)</f>
        <v>150220</v>
      </c>
      <c r="L27" s="43">
        <f>SUM($E20:L20)</f>
        <v>175192</v>
      </c>
      <c r="M27" s="43">
        <f>SUM($E20:M20)</f>
        <v>175192</v>
      </c>
      <c r="N27" s="43">
        <f>SUM($E20:N20)</f>
        <v>175192</v>
      </c>
      <c r="O27" s="43">
        <f>SUM($E20:O20)</f>
        <v>175192</v>
      </c>
      <c r="P27" s="43">
        <f>SUM($E20:P20)</f>
        <v>175192</v>
      </c>
    </row>
    <row r="28" spans="3:17" x14ac:dyDescent="0.35">
      <c r="D28" s="3" t="str">
        <f t="shared" si="3"/>
        <v>Difference</v>
      </c>
      <c r="E28" s="43">
        <f>IF(E27=0,0,E27-E26)</f>
        <v>-1289.4419694194548</v>
      </c>
      <c r="F28" s="43">
        <f t="shared" ref="F28:P28" si="4">IF(F27=0,0,F27-F26)</f>
        <v>5367.3107053267013</v>
      </c>
      <c r="G28" s="43">
        <f t="shared" si="4"/>
        <v>573.17501740914304</v>
      </c>
      <c r="H28" s="43">
        <f t="shared" si="4"/>
        <v>1964.6570020687941</v>
      </c>
      <c r="I28" s="43">
        <f t="shared" si="4"/>
        <v>-7596.54305783585</v>
      </c>
      <c r="J28" s="43">
        <f t="shared" si="4"/>
        <v>-21149.809083468223</v>
      </c>
      <c r="K28" s="43">
        <f t="shared" si="4"/>
        <v>-25032.454737557593</v>
      </c>
      <c r="L28" s="43">
        <f t="shared" si="4"/>
        <v>-31191.00994412048</v>
      </c>
      <c r="M28" s="43">
        <f t="shared" si="4"/>
        <v>-63445.257179698208</v>
      </c>
      <c r="N28" s="43">
        <f t="shared" si="4"/>
        <v>-96317.448907683021</v>
      </c>
      <c r="O28" s="43">
        <f t="shared" si="4"/>
        <v>-129781.51799067808</v>
      </c>
      <c r="P28" s="43">
        <f t="shared" si="4"/>
        <v>-163813.01263029897</v>
      </c>
    </row>
    <row r="29" spans="3:17" x14ac:dyDescent="0.35">
      <c r="D29" s="3" t="str">
        <f t="shared" si="3"/>
        <v>% realisation</v>
      </c>
      <c r="E29" s="9">
        <f t="shared" ref="E29:P29" si="5">E27/E26</f>
        <v>0.93753140060031759</v>
      </c>
      <c r="F29" s="9">
        <f t="shared" si="5"/>
        <v>1.1265735180378016</v>
      </c>
      <c r="G29" s="9">
        <f t="shared" si="5"/>
        <v>1.0087961780929597</v>
      </c>
      <c r="H29" s="9">
        <f t="shared" si="5"/>
        <v>1.02183356315306</v>
      </c>
      <c r="I29" s="9">
        <f t="shared" si="5"/>
        <v>0.93494413989379677</v>
      </c>
      <c r="J29" s="9">
        <f t="shared" si="5"/>
        <v>0.85450229866550587</v>
      </c>
      <c r="K29" s="9">
        <f t="shared" si="5"/>
        <v>0.85716345728198806</v>
      </c>
      <c r="L29" s="9">
        <f t="shared" si="5"/>
        <v>0.84886832519515221</v>
      </c>
      <c r="M29" s="9">
        <f t="shared" si="5"/>
        <v>0.73413515588673239</v>
      </c>
      <c r="N29" s="9">
        <f t="shared" si="5"/>
        <v>0.64525194502371708</v>
      </c>
      <c r="O29" s="9">
        <f t="shared" si="5"/>
        <v>0.57444987733444763</v>
      </c>
      <c r="P29" s="9">
        <f t="shared" si="5"/>
        <v>0.51678291905097928</v>
      </c>
    </row>
    <row r="30" spans="3:17" x14ac:dyDescent="0.35">
      <c r="D30" s="3" t="str">
        <f t="shared" si="3"/>
        <v>Actual 2024/25</v>
      </c>
      <c r="E30" s="43">
        <f>SUM($E23:E23)</f>
        <v>7589</v>
      </c>
      <c r="F30" s="43">
        <f>SUM($E23:F23)</f>
        <v>23581</v>
      </c>
      <c r="G30" s="43">
        <f>SUM($E23:G23)</f>
        <v>43994</v>
      </c>
      <c r="H30" s="43">
        <f>SUM($E23:H23)</f>
        <v>64976</v>
      </c>
      <c r="I30" s="43">
        <f>SUM($E23:I23)</f>
        <v>94117</v>
      </c>
      <c r="J30" s="43">
        <f>SUM($E23:J23)</f>
        <v>105609</v>
      </c>
      <c r="K30" s="43">
        <f>SUM($E23:K23)</f>
        <v>127771</v>
      </c>
      <c r="L30" s="43">
        <f>SUM($E23:L23)</f>
        <v>146115</v>
      </c>
      <c r="M30" s="43">
        <f>SUM($E23:M23)</f>
        <v>168049</v>
      </c>
      <c r="N30" s="43">
        <f>SUM($E23:N23)</f>
        <v>181228</v>
      </c>
      <c r="O30" s="43">
        <f>SUM($E23:O23)</f>
        <v>198986</v>
      </c>
      <c r="P30" s="43">
        <f>SUM($E23:P23)</f>
        <v>214121</v>
      </c>
    </row>
  </sheetData>
  <sheetProtection algorithmName="SHA-512" hashValue="RwHdH13kGVvrtpRhZyctD/xJCWRWEZqfJzdorfAzQisn5FNml3bB5n7z8El+D3gnVbRcmJNHfj6ivCEiBv3Rxw==" saltValue="xdc0r5dnriw99UYTXpzAyQ==" spinCount="100000" sheet="1" objects="1" scenarios="1"/>
  <mergeCells count="3">
    <mergeCell ref="C1:F1"/>
    <mergeCell ref="J4:Q8"/>
    <mergeCell ref="J10:Q15"/>
  </mergeCells>
  <conditionalFormatting sqref="C3">
    <cfRule type="expression" dxfId="53" priority="2">
      <formula>S4&lt;S6</formula>
    </cfRule>
  </conditionalFormatting>
  <conditionalFormatting sqref="C4">
    <cfRule type="expression" dxfId="52" priority="1">
      <formula>AND(S4&gt;=S6,S4&lt;S5)</formula>
    </cfRule>
  </conditionalFormatting>
  <conditionalFormatting sqref="C5">
    <cfRule type="expression" dxfId="51" priority="3">
      <formula>S4&gt;=S5</formula>
    </cfRule>
  </conditionalFormatting>
  <hyperlinks>
    <hyperlink ref="L1" location="'Distribution Dashboard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7745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57150</xdr:rowOff>
                  </from>
                  <to>
                    <xdr:col>9</xdr:col>
                    <xdr:colOff>628650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S30"/>
  <sheetViews>
    <sheetView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 t="s">
        <v>181</v>
      </c>
      <c r="C1" s="124" t="s">
        <v>184</v>
      </c>
      <c r="D1" s="124"/>
      <c r="E1" s="124"/>
      <c r="F1" s="124"/>
      <c r="G1" s="3" t="s">
        <v>10</v>
      </c>
      <c r="I1" s="12">
        <f>INDEX(E$18:P$18,Actual_month)</f>
        <v>46054</v>
      </c>
      <c r="L1" s="15" t="s">
        <v>21</v>
      </c>
      <c r="R1" s="5"/>
    </row>
    <row r="2" spans="1:19" x14ac:dyDescent="0.35">
      <c r="A2" s="3" t="s">
        <v>14</v>
      </c>
      <c r="C2" s="3" t="s">
        <v>15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25" t="s">
        <v>179</v>
      </c>
      <c r="K4" s="126"/>
      <c r="L4" s="126"/>
      <c r="M4" s="126"/>
      <c r="N4" s="126"/>
      <c r="O4" s="126"/>
      <c r="P4" s="126"/>
      <c r="Q4" s="127"/>
      <c r="R4" s="3" t="s">
        <v>25</v>
      </c>
      <c r="S4" s="43">
        <f>INDEX(E27:P27,Actual_month)</f>
        <v>2629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28"/>
      <c r="K5" s="129"/>
      <c r="L5" s="129"/>
      <c r="M5" s="129"/>
      <c r="N5" s="129"/>
      <c r="O5" s="129"/>
      <c r="P5" s="129"/>
      <c r="Q5" s="130"/>
      <c r="R5" s="3" t="s">
        <v>26</v>
      </c>
      <c r="S5" s="43">
        <f>INDEX(E26:P26,Actual_month)</f>
        <v>10475.355330549995</v>
      </c>
    </row>
    <row r="6" spans="1:19" x14ac:dyDescent="0.35">
      <c r="J6" s="128"/>
      <c r="K6" s="129"/>
      <c r="L6" s="129"/>
      <c r="M6" s="129"/>
      <c r="N6" s="129"/>
      <c r="O6" s="129"/>
      <c r="P6" s="129"/>
      <c r="Q6" s="130"/>
      <c r="R6" s="6">
        <v>0.9</v>
      </c>
      <c r="S6" s="43">
        <f>+S5*R6</f>
        <v>9427.8197974949962</v>
      </c>
    </row>
    <row r="7" spans="1:19" x14ac:dyDescent="0.35">
      <c r="J7" s="128"/>
      <c r="K7" s="129"/>
      <c r="L7" s="129"/>
      <c r="M7" s="129"/>
      <c r="N7" s="129"/>
      <c r="O7" s="129"/>
      <c r="P7" s="129"/>
      <c r="Q7" s="130"/>
    </row>
    <row r="8" spans="1:19" ht="15" thickBot="1" x14ac:dyDescent="0.4">
      <c r="J8" s="131"/>
      <c r="K8" s="132"/>
      <c r="L8" s="132"/>
      <c r="M8" s="132"/>
      <c r="N8" s="132"/>
      <c r="O8" s="132"/>
      <c r="P8" s="132"/>
      <c r="Q8" s="133"/>
    </row>
    <row r="9" spans="1:19" ht="15" thickBot="1" x14ac:dyDescent="0.4">
      <c r="J9" s="3" t="s">
        <v>13</v>
      </c>
    </row>
    <row r="10" spans="1:19" x14ac:dyDescent="0.35">
      <c r="J10" s="125"/>
      <c r="K10" s="126"/>
      <c r="L10" s="126"/>
      <c r="M10" s="126"/>
      <c r="N10" s="126"/>
      <c r="O10" s="126"/>
      <c r="P10" s="126"/>
      <c r="Q10" s="127"/>
    </row>
    <row r="11" spans="1:19" x14ac:dyDescent="0.35">
      <c r="J11" s="128"/>
      <c r="K11" s="129"/>
      <c r="L11" s="129"/>
      <c r="M11" s="129"/>
      <c r="N11" s="129"/>
      <c r="O11" s="129"/>
      <c r="P11" s="129"/>
      <c r="Q11" s="130"/>
    </row>
    <row r="12" spans="1:19" x14ac:dyDescent="0.35">
      <c r="J12" s="128"/>
      <c r="K12" s="129"/>
      <c r="L12" s="129"/>
      <c r="M12" s="129"/>
      <c r="N12" s="129"/>
      <c r="O12" s="129"/>
      <c r="P12" s="129"/>
      <c r="Q12" s="130"/>
    </row>
    <row r="13" spans="1:19" x14ac:dyDescent="0.35">
      <c r="J13" s="128"/>
      <c r="K13" s="129"/>
      <c r="L13" s="129"/>
      <c r="M13" s="129"/>
      <c r="N13" s="129"/>
      <c r="O13" s="129"/>
      <c r="P13" s="129"/>
      <c r="Q13" s="130"/>
    </row>
    <row r="14" spans="1:19" x14ac:dyDescent="0.35">
      <c r="J14" s="128"/>
      <c r="K14" s="129"/>
      <c r="L14" s="129"/>
      <c r="M14" s="129"/>
      <c r="N14" s="129"/>
      <c r="O14" s="129"/>
      <c r="P14" s="129"/>
      <c r="Q14" s="130"/>
    </row>
    <row r="15" spans="1:19" ht="15" thickBot="1" x14ac:dyDescent="0.4">
      <c r="J15" s="131"/>
      <c r="K15" s="132"/>
      <c r="L15" s="132"/>
      <c r="M15" s="132"/>
      <c r="N15" s="132"/>
      <c r="O15" s="132"/>
      <c r="P15" s="132"/>
      <c r="Q15" s="133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43">
        <f>Budget2526!D125</f>
        <v>481.13331888895738</v>
      </c>
      <c r="F19" s="43">
        <f>Budget2526!E125</f>
        <v>787.24731364370871</v>
      </c>
      <c r="G19" s="43">
        <f>Budget2526!F125</f>
        <v>1048.2540861768289</v>
      </c>
      <c r="H19" s="43">
        <f>Budget2526!G125</f>
        <v>1264.944991264136</v>
      </c>
      <c r="I19" s="43">
        <f>Budget2526!H125</f>
        <v>1479.1162346643812</v>
      </c>
      <c r="J19" s="43">
        <f>Budget2526!I125</f>
        <v>1650.0253839896648</v>
      </c>
      <c r="K19" s="43">
        <f>Budget2526!J125</f>
        <v>1818.9700603341985</v>
      </c>
      <c r="L19" s="43">
        <f>Budget2526!K125</f>
        <v>1945.6639415881207</v>
      </c>
      <c r="M19" s="43">
        <f>Budget2526!L125</f>
        <v>2070.9181196459758</v>
      </c>
      <c r="N19" s="43">
        <f>Budget2526!M125</f>
        <v>2194.75699625685</v>
      </c>
      <c r="O19" s="43">
        <f>Budget2526!N125</f>
        <v>2317.2044248159159</v>
      </c>
      <c r="P19" s="43">
        <f>Budget2526!O125</f>
        <v>2438.2837256815847</v>
      </c>
      <c r="Q19" s="5"/>
    </row>
    <row r="20" spans="3:17" x14ac:dyDescent="0.35">
      <c r="D20" s="3" t="str">
        <f>'KPI 100'!D20</f>
        <v>Actual 2025/26</v>
      </c>
      <c r="E20" s="43">
        <f>Actuals2526!D125</f>
        <v>325</v>
      </c>
      <c r="F20" s="43">
        <f>Actuals2526!E125</f>
        <v>684</v>
      </c>
      <c r="G20" s="43">
        <f>Actuals2526!F125</f>
        <v>457</v>
      </c>
      <c r="H20" s="43">
        <f>Actuals2526!G125</f>
        <v>0</v>
      </c>
      <c r="I20" s="43">
        <f>Actuals2526!H125</f>
        <v>0</v>
      </c>
      <c r="J20" s="43">
        <f>Actuals2526!I125</f>
        <v>156</v>
      </c>
      <c r="K20" s="43">
        <f>Actuals2526!J125</f>
        <v>536</v>
      </c>
      <c r="L20" s="43">
        <f>Actuals2526!K125</f>
        <v>471</v>
      </c>
      <c r="M20" s="43">
        <f>Actuals2526!L125</f>
        <v>0</v>
      </c>
      <c r="N20" s="43">
        <f>Actuals2526!M125</f>
        <v>0</v>
      </c>
      <c r="O20" s="43">
        <f>Actuals2526!N125</f>
        <v>0</v>
      </c>
      <c r="P20" s="43">
        <f>Actuals2526!O125</f>
        <v>0</v>
      </c>
      <c r="Q20" s="43">
        <f>Actuals2425!P125</f>
        <v>0</v>
      </c>
    </row>
    <row r="21" spans="3:17" x14ac:dyDescent="0.35">
      <c r="D21" s="3" t="str">
        <f>'KPI 100'!D21</f>
        <v>Difference</v>
      </c>
      <c r="E21" s="43">
        <f>IF(E20=0,0,E20-E19)</f>
        <v>-156.13331888895738</v>
      </c>
      <c r="F21" s="43">
        <f t="shared" ref="F21:P21" si="0">IF(F20=0,0,F20-F19)</f>
        <v>-103.24731364370871</v>
      </c>
      <c r="G21" s="43">
        <f t="shared" si="0"/>
        <v>-591.25408617682888</v>
      </c>
      <c r="H21" s="43">
        <f t="shared" si="0"/>
        <v>0</v>
      </c>
      <c r="I21" s="43">
        <f t="shared" si="0"/>
        <v>0</v>
      </c>
      <c r="J21" s="43">
        <f t="shared" si="0"/>
        <v>-1494.0253839896648</v>
      </c>
      <c r="K21" s="43">
        <f t="shared" si="0"/>
        <v>-1282.9700603341985</v>
      </c>
      <c r="L21" s="43">
        <f t="shared" si="0"/>
        <v>-1474.6639415881207</v>
      </c>
      <c r="M21" s="43">
        <f t="shared" si="0"/>
        <v>0</v>
      </c>
      <c r="N21" s="43">
        <f t="shared" si="0"/>
        <v>0</v>
      </c>
      <c r="O21" s="43">
        <f t="shared" si="0"/>
        <v>0</v>
      </c>
      <c r="P21" s="43">
        <f t="shared" si="0"/>
        <v>0</v>
      </c>
      <c r="Q21" s="5"/>
    </row>
    <row r="22" spans="3:17" x14ac:dyDescent="0.35">
      <c r="D22" s="3" t="str">
        <f>'KPI 100'!D22</f>
        <v>% realisation</v>
      </c>
      <c r="E22" s="9">
        <f>E20/E19</f>
        <v>0.67548845037482841</v>
      </c>
      <c r="F22" s="9">
        <f t="shared" ref="F22:P22" si="1">F20/F19</f>
        <v>0.86885021789933192</v>
      </c>
      <c r="G22" s="9">
        <f t="shared" si="1"/>
        <v>0.43596300365187335</v>
      </c>
      <c r="H22" s="9">
        <f t="shared" si="1"/>
        <v>0</v>
      </c>
      <c r="I22" s="9">
        <f t="shared" si="1"/>
        <v>0</v>
      </c>
      <c r="J22" s="9">
        <f t="shared" si="1"/>
        <v>9.454400005823009E-2</v>
      </c>
      <c r="K22" s="9">
        <f t="shared" si="1"/>
        <v>0.29467224980136342</v>
      </c>
      <c r="L22" s="9">
        <f t="shared" si="1"/>
        <v>0.24207674816420399</v>
      </c>
      <c r="M22" s="9">
        <f t="shared" si="1"/>
        <v>0</v>
      </c>
      <c r="N22" s="9">
        <f t="shared" si="1"/>
        <v>0</v>
      </c>
      <c r="O22" s="9">
        <f t="shared" si="1"/>
        <v>0</v>
      </c>
      <c r="P22" s="9">
        <f t="shared" si="1"/>
        <v>0</v>
      </c>
    </row>
    <row r="23" spans="3:17" x14ac:dyDescent="0.35">
      <c r="D23" s="3" t="str">
        <f>'KPI 100'!D23</f>
        <v>Actual 2024/25</v>
      </c>
      <c r="E23" s="5">
        <f>Actuals2425!D125</f>
        <v>93</v>
      </c>
      <c r="F23" s="5">
        <f>Actuals2425!E125</f>
        <v>191</v>
      </c>
      <c r="G23" s="5">
        <f>Actuals2425!F125</f>
        <v>225</v>
      </c>
      <c r="H23" s="5">
        <f>Actuals2425!G125</f>
        <v>243</v>
      </c>
      <c r="I23" s="5">
        <f>Actuals2425!H125</f>
        <v>177</v>
      </c>
      <c r="J23" s="5">
        <f>Actuals2425!I125</f>
        <v>151</v>
      </c>
      <c r="K23" s="5">
        <f>Actuals2425!J125</f>
        <v>17</v>
      </c>
      <c r="L23" s="5">
        <f>Actuals2425!K125</f>
        <v>0</v>
      </c>
      <c r="M23" s="5">
        <f>Actuals2425!L125</f>
        <v>0</v>
      </c>
      <c r="N23" s="5">
        <f>Actuals2425!M125</f>
        <v>0</v>
      </c>
      <c r="O23" s="5">
        <f>Actuals2425!N125</f>
        <v>0</v>
      </c>
      <c r="P23" s="5">
        <f>Actuals2425!O125</f>
        <v>77</v>
      </c>
      <c r="Q23" s="5">
        <f>Actual2223!P107</f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43">
        <f>SUM($E19:E19)</f>
        <v>481.13331888895738</v>
      </c>
      <c r="F26" s="43">
        <f>SUM($E19:F19)</f>
        <v>1268.3806325326661</v>
      </c>
      <c r="G26" s="43">
        <f>SUM($E19:G19)</f>
        <v>2316.6347187094952</v>
      </c>
      <c r="H26" s="43">
        <f>SUM($E19:H19)</f>
        <v>3581.579709973631</v>
      </c>
      <c r="I26" s="43">
        <f>SUM($E19:I19)</f>
        <v>5060.6959446380124</v>
      </c>
      <c r="J26" s="43">
        <f>SUM($E19:J19)</f>
        <v>6710.7213286276774</v>
      </c>
      <c r="K26" s="43">
        <f>SUM($E19:K19)</f>
        <v>8529.6913889618754</v>
      </c>
      <c r="L26" s="43">
        <f>SUM($E19:L19)</f>
        <v>10475.355330549995</v>
      </c>
      <c r="M26" s="43">
        <f>SUM($E19:M19)</f>
        <v>12546.273450195971</v>
      </c>
      <c r="N26" s="43">
        <f>SUM($E19:N19)</f>
        <v>14741.030446452822</v>
      </c>
      <c r="O26" s="43">
        <f>SUM($E19:O19)</f>
        <v>17058.234871268738</v>
      </c>
      <c r="P26" s="43">
        <f>SUM($E19:P19)</f>
        <v>19496.518596950322</v>
      </c>
    </row>
    <row r="27" spans="3:17" x14ac:dyDescent="0.35">
      <c r="D27" s="3" t="str">
        <f t="shared" ref="D27:D30" si="3">D20</f>
        <v>Actual 2025/26</v>
      </c>
      <c r="E27" s="43">
        <f>SUM($E20:E20)</f>
        <v>325</v>
      </c>
      <c r="F27" s="43">
        <f>SUM($E20:F20)</f>
        <v>1009</v>
      </c>
      <c r="G27" s="43">
        <f>SUM($E20:G20)</f>
        <v>1466</v>
      </c>
      <c r="H27" s="43">
        <f>SUM($E20:H20)</f>
        <v>1466</v>
      </c>
      <c r="I27" s="43">
        <f>SUM($E20:I20)</f>
        <v>1466</v>
      </c>
      <c r="J27" s="43">
        <f>SUM($E20:J20)</f>
        <v>1622</v>
      </c>
      <c r="K27" s="43">
        <f>SUM($E20:K20)</f>
        <v>2158</v>
      </c>
      <c r="L27" s="43">
        <f>SUM($E20:L20)</f>
        <v>2629</v>
      </c>
      <c r="M27" s="43">
        <f>SUM($E20:M20)</f>
        <v>2629</v>
      </c>
      <c r="N27" s="43">
        <f>SUM($E20:N20)</f>
        <v>2629</v>
      </c>
      <c r="O27" s="43">
        <f>SUM($E20:O20)</f>
        <v>2629</v>
      </c>
      <c r="P27" s="43">
        <f>SUM($E20:P20)</f>
        <v>2629</v>
      </c>
    </row>
    <row r="28" spans="3:17" x14ac:dyDescent="0.35">
      <c r="D28" s="3" t="str">
        <f t="shared" si="3"/>
        <v>Difference</v>
      </c>
      <c r="E28" s="43">
        <f>IF(E27=0,0,E27-E26)</f>
        <v>-156.13331888895738</v>
      </c>
      <c r="F28" s="43">
        <f t="shared" ref="F28:P28" si="4">IF(F27=0,0,F27-F26)</f>
        <v>-259.38063253266614</v>
      </c>
      <c r="G28" s="43">
        <f t="shared" si="4"/>
        <v>-850.63471870949525</v>
      </c>
      <c r="H28" s="43">
        <f t="shared" si="4"/>
        <v>-2115.579709973631</v>
      </c>
      <c r="I28" s="43">
        <f t="shared" si="4"/>
        <v>-3594.6959446380124</v>
      </c>
      <c r="J28" s="43">
        <f t="shared" si="4"/>
        <v>-5088.7213286276774</v>
      </c>
      <c r="K28" s="43">
        <f t="shared" si="4"/>
        <v>-6371.6913889618754</v>
      </c>
      <c r="L28" s="43">
        <f t="shared" si="4"/>
        <v>-7846.3553305499954</v>
      </c>
      <c r="M28" s="43">
        <f t="shared" si="4"/>
        <v>-9917.2734501959712</v>
      </c>
      <c r="N28" s="43">
        <f t="shared" si="4"/>
        <v>-12112.030446452822</v>
      </c>
      <c r="O28" s="43">
        <f t="shared" si="4"/>
        <v>-14429.234871268738</v>
      </c>
      <c r="P28" s="43">
        <f t="shared" si="4"/>
        <v>-16867.518596950322</v>
      </c>
    </row>
    <row r="29" spans="3:17" x14ac:dyDescent="0.35">
      <c r="D29" s="3" t="str">
        <f t="shared" si="3"/>
        <v>% realisation</v>
      </c>
      <c r="E29" s="9">
        <f t="shared" ref="E29:P29" si="5">E27/E26</f>
        <v>0.67548845037482841</v>
      </c>
      <c r="F29" s="9">
        <f t="shared" si="5"/>
        <v>0.79550252827911583</v>
      </c>
      <c r="G29" s="9">
        <f t="shared" si="5"/>
        <v>0.63281448221437775</v>
      </c>
      <c r="H29" s="9">
        <f t="shared" si="5"/>
        <v>0.40931659175911328</v>
      </c>
      <c r="I29" s="9">
        <f t="shared" si="5"/>
        <v>0.28968347753697377</v>
      </c>
      <c r="J29" s="9">
        <f t="shared" si="5"/>
        <v>0.24170277986072985</v>
      </c>
      <c r="K29" s="9">
        <f t="shared" si="5"/>
        <v>0.25299860236357791</v>
      </c>
      <c r="L29" s="9">
        <f t="shared" si="5"/>
        <v>0.25097000693932237</v>
      </c>
      <c r="M29" s="9">
        <f t="shared" si="5"/>
        <v>0.20954429300749342</v>
      </c>
      <c r="N29" s="9">
        <f t="shared" si="5"/>
        <v>0.17834574113050722</v>
      </c>
      <c r="O29" s="9">
        <f t="shared" si="5"/>
        <v>0.15411911137582215</v>
      </c>
      <c r="P29" s="9">
        <f t="shared" si="5"/>
        <v>0.13484458709521774</v>
      </c>
    </row>
    <row r="30" spans="3:17" x14ac:dyDescent="0.35">
      <c r="D30" s="3" t="str">
        <f t="shared" si="3"/>
        <v>Actual 2024/25</v>
      </c>
      <c r="E30" s="43">
        <f>SUM($E23:E23)</f>
        <v>93</v>
      </c>
      <c r="F30" s="43">
        <f>SUM($E23:F23)</f>
        <v>284</v>
      </c>
      <c r="G30" s="43">
        <f>SUM($E23:G23)</f>
        <v>509</v>
      </c>
      <c r="H30" s="43">
        <f>SUM($E23:H23)</f>
        <v>752</v>
      </c>
      <c r="I30" s="43">
        <f>SUM($E23:I23)</f>
        <v>929</v>
      </c>
      <c r="J30" s="43">
        <f>SUM($E23:J23)</f>
        <v>1080</v>
      </c>
      <c r="K30" s="43">
        <f>SUM($E23:K23)</f>
        <v>1097</v>
      </c>
      <c r="L30" s="43">
        <f>SUM($E23:L23)</f>
        <v>1097</v>
      </c>
      <c r="M30" s="43">
        <f>SUM($E23:M23)</f>
        <v>1097</v>
      </c>
      <c r="N30" s="43">
        <f>SUM($E23:N23)</f>
        <v>1097</v>
      </c>
      <c r="O30" s="43">
        <f>SUM($E23:O23)</f>
        <v>1097</v>
      </c>
      <c r="P30" s="43">
        <f>SUM($E23:P23)</f>
        <v>1174</v>
      </c>
    </row>
  </sheetData>
  <sheetProtection algorithmName="SHA-512" hashValue="/xHB34vTdeIGGouGybrRBdvhDmHu5Leki/5uf4jmeRCPGwfHxHMohEt7e8h6p/BdmiSg4UrlFJWaLBD3Ce2qHw==" saltValue="9W1JK7GgR7siVfGahLdiPw==" spinCount="100000" sheet="1" objects="1" scenarios="1"/>
  <mergeCells count="3">
    <mergeCell ref="C1:F1"/>
    <mergeCell ref="J4:Q8"/>
    <mergeCell ref="J10:Q15"/>
  </mergeCells>
  <conditionalFormatting sqref="C3">
    <cfRule type="expression" dxfId="50" priority="2">
      <formula>S4&lt;S6</formula>
    </cfRule>
  </conditionalFormatting>
  <conditionalFormatting sqref="C4">
    <cfRule type="expression" dxfId="49" priority="1">
      <formula>AND(S4&gt;=S6,S4&lt;S5)</formula>
    </cfRule>
  </conditionalFormatting>
  <conditionalFormatting sqref="C5">
    <cfRule type="expression" dxfId="48" priority="3">
      <formula>S4&gt;=S5</formula>
    </cfRule>
  </conditionalFormatting>
  <hyperlinks>
    <hyperlink ref="L1" location="'Distribution Dashboard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33954" r:id="rId3" name="Spinner 2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57150</xdr:rowOff>
                  </from>
                  <to>
                    <xdr:col>9</xdr:col>
                    <xdr:colOff>628650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S30"/>
  <sheetViews>
    <sheetView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 t="s">
        <v>92</v>
      </c>
      <c r="C1" s="124" t="s">
        <v>192</v>
      </c>
      <c r="D1" s="124"/>
      <c r="E1" s="124"/>
      <c r="F1" s="124"/>
      <c r="G1" s="3" t="s">
        <v>10</v>
      </c>
      <c r="I1" s="12">
        <f>INDEX(E$18:P$18,Actual_month)</f>
        <v>46054</v>
      </c>
      <c r="L1" s="15" t="s">
        <v>21</v>
      </c>
      <c r="R1" s="5"/>
    </row>
    <row r="2" spans="1:19" x14ac:dyDescent="0.35">
      <c r="A2" s="3" t="s">
        <v>14</v>
      </c>
      <c r="C2" s="3" t="s">
        <v>15</v>
      </c>
      <c r="R2" s="6"/>
    </row>
    <row r="3" spans="1:19" ht="17.149999999999999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17.149999999999999" customHeight="1" x14ac:dyDescent="0.35">
      <c r="C4" s="1" t="s">
        <v>5</v>
      </c>
      <c r="E4" s="10"/>
      <c r="F4" s="10"/>
      <c r="G4" s="10"/>
      <c r="H4" s="10"/>
      <c r="I4" s="10"/>
      <c r="J4" s="125" t="s">
        <v>179</v>
      </c>
      <c r="K4" s="126"/>
      <c r="L4" s="126"/>
      <c r="M4" s="126"/>
      <c r="N4" s="126"/>
      <c r="O4" s="126"/>
      <c r="P4" s="126"/>
      <c r="Q4" s="127"/>
      <c r="R4" s="3" t="s">
        <v>25</v>
      </c>
      <c r="S4" s="43">
        <f>INDEX(E27:P27,Actual_month)</f>
        <v>47934</v>
      </c>
    </row>
    <row r="5" spans="1:19" ht="17.149999999999999" customHeight="1" x14ac:dyDescent="0.35">
      <c r="C5" s="1" t="s">
        <v>5</v>
      </c>
      <c r="E5" s="10"/>
      <c r="F5" s="10"/>
      <c r="G5" s="10"/>
      <c r="H5" s="10"/>
      <c r="I5" s="10"/>
      <c r="J5" s="128"/>
      <c r="K5" s="129"/>
      <c r="L5" s="129"/>
      <c r="M5" s="129"/>
      <c r="N5" s="129"/>
      <c r="O5" s="129"/>
      <c r="P5" s="129"/>
      <c r="Q5" s="130"/>
      <c r="R5" s="3" t="s">
        <v>26</v>
      </c>
      <c r="S5" s="43">
        <f>INDEX(E26:P26,Actual_month)</f>
        <v>57715.653416261426</v>
      </c>
    </row>
    <row r="6" spans="1:19" x14ac:dyDescent="0.35">
      <c r="J6" s="128"/>
      <c r="K6" s="129"/>
      <c r="L6" s="129"/>
      <c r="M6" s="129"/>
      <c r="N6" s="129"/>
      <c r="O6" s="129"/>
      <c r="P6" s="129"/>
      <c r="Q6" s="130"/>
      <c r="R6" s="6">
        <v>0.9</v>
      </c>
      <c r="S6" s="43">
        <f>+S5*R6</f>
        <v>51944.088074635285</v>
      </c>
    </row>
    <row r="7" spans="1:19" x14ac:dyDescent="0.35">
      <c r="J7" s="128"/>
      <c r="K7" s="129"/>
      <c r="L7" s="129"/>
      <c r="M7" s="129"/>
      <c r="N7" s="129"/>
      <c r="O7" s="129"/>
      <c r="P7" s="129"/>
      <c r="Q7" s="130"/>
    </row>
    <row r="8" spans="1:19" ht="15" thickBot="1" x14ac:dyDescent="0.4">
      <c r="J8" s="131"/>
      <c r="K8" s="132"/>
      <c r="L8" s="132"/>
      <c r="M8" s="132"/>
      <c r="N8" s="132"/>
      <c r="O8" s="132"/>
      <c r="P8" s="132"/>
      <c r="Q8" s="133"/>
    </row>
    <row r="9" spans="1:19" ht="15" thickBot="1" x14ac:dyDescent="0.4">
      <c r="J9" s="3" t="s">
        <v>13</v>
      </c>
    </row>
    <row r="10" spans="1:19" x14ac:dyDescent="0.35">
      <c r="J10" s="125"/>
      <c r="K10" s="126"/>
      <c r="L10" s="126"/>
      <c r="M10" s="126"/>
      <c r="N10" s="126"/>
      <c r="O10" s="126"/>
      <c r="P10" s="126"/>
      <c r="Q10" s="127"/>
    </row>
    <row r="11" spans="1:19" x14ac:dyDescent="0.35">
      <c r="J11" s="128"/>
      <c r="K11" s="129"/>
      <c r="L11" s="129"/>
      <c r="M11" s="129"/>
      <c r="N11" s="129"/>
      <c r="O11" s="129"/>
      <c r="P11" s="129"/>
      <c r="Q11" s="130"/>
    </row>
    <row r="12" spans="1:19" x14ac:dyDescent="0.35">
      <c r="J12" s="128"/>
      <c r="K12" s="129"/>
      <c r="L12" s="129"/>
      <c r="M12" s="129"/>
      <c r="N12" s="129"/>
      <c r="O12" s="129"/>
      <c r="P12" s="129"/>
      <c r="Q12" s="130"/>
    </row>
    <row r="13" spans="1:19" x14ac:dyDescent="0.35">
      <c r="J13" s="128"/>
      <c r="K13" s="129"/>
      <c r="L13" s="129"/>
      <c r="M13" s="129"/>
      <c r="N13" s="129"/>
      <c r="O13" s="129"/>
      <c r="P13" s="129"/>
      <c r="Q13" s="130"/>
    </row>
    <row r="14" spans="1:19" x14ac:dyDescent="0.35">
      <c r="J14" s="128"/>
      <c r="K14" s="129"/>
      <c r="L14" s="129"/>
      <c r="M14" s="129"/>
      <c r="N14" s="129"/>
      <c r="O14" s="129"/>
      <c r="P14" s="129"/>
      <c r="Q14" s="130"/>
    </row>
    <row r="15" spans="1:19" ht="15" thickBot="1" x14ac:dyDescent="0.4">
      <c r="J15" s="131"/>
      <c r="K15" s="132"/>
      <c r="L15" s="132"/>
      <c r="M15" s="132"/>
      <c r="N15" s="132"/>
      <c r="O15" s="132"/>
      <c r="P15" s="132"/>
      <c r="Q15" s="133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43">
        <f>Budget2526!D121</f>
        <v>7501.9872645055793</v>
      </c>
      <c r="F19" s="43">
        <f>Budget2526!E121</f>
        <v>7411.1212524010016</v>
      </c>
      <c r="G19" s="43">
        <f>Budget2526!F121</f>
        <v>7325.037661986139</v>
      </c>
      <c r="H19" s="43">
        <f>Budget2526!G121</f>
        <v>7243.3686146694772</v>
      </c>
      <c r="I19" s="43">
        <f>Budget2526!H121</f>
        <v>7165.7830197186422</v>
      </c>
      <c r="J19" s="43">
        <f>Budget2526!I121</f>
        <v>7091.982087936145</v>
      </c>
      <c r="K19" s="43">
        <f>Budget2526!J121</f>
        <v>7021.6954862385264</v>
      </c>
      <c r="L19" s="43">
        <f>Budget2526!K121</f>
        <v>6954.6780288059153</v>
      </c>
      <c r="M19" s="43">
        <f>Budget2526!L121</f>
        <v>6890.7068194384201</v>
      </c>
      <c r="N19" s="43">
        <f>Budget2526!M121</f>
        <v>6829.5787749317051</v>
      </c>
      <c r="O19" s="43">
        <f>Budget2526!N121</f>
        <v>6771.1084714904991</v>
      </c>
      <c r="P19" s="43">
        <f>Budget2526!O121</f>
        <v>6715.1262660680668</v>
      </c>
      <c r="Q19" s="5"/>
    </row>
    <row r="20" spans="3:17" x14ac:dyDescent="0.35">
      <c r="D20" s="3" t="str">
        <f>'KPI 100'!D20</f>
        <v>Actual 2025/26</v>
      </c>
      <c r="E20" s="43">
        <f>Actuals2526!D121</f>
        <v>5214</v>
      </c>
      <c r="F20" s="43">
        <f>Actuals2526!E121</f>
        <v>6546</v>
      </c>
      <c r="G20" s="43">
        <f>Actuals2526!F121</f>
        <v>3912</v>
      </c>
      <c r="H20" s="43">
        <f>Actuals2526!G121</f>
        <v>8283</v>
      </c>
      <c r="I20" s="43">
        <f>Actuals2526!H121</f>
        <v>3350</v>
      </c>
      <c r="J20" s="43">
        <f>Actuals2526!I121</f>
        <v>5827</v>
      </c>
      <c r="K20" s="43">
        <f>Actuals2526!J121</f>
        <v>8312</v>
      </c>
      <c r="L20" s="43">
        <f>Actuals2526!K121</f>
        <v>6490</v>
      </c>
      <c r="M20" s="43">
        <f>Actuals2526!L121</f>
        <v>0</v>
      </c>
      <c r="N20" s="43">
        <f>Actuals2526!M121</f>
        <v>0</v>
      </c>
      <c r="O20" s="43">
        <f>Actuals2526!N121</f>
        <v>0</v>
      </c>
      <c r="P20" s="43">
        <f>Actuals2526!O121</f>
        <v>0</v>
      </c>
      <c r="Q20" s="5"/>
    </row>
    <row r="21" spans="3:17" x14ac:dyDescent="0.35">
      <c r="D21" s="3" t="str">
        <f>'KPI 100'!D21</f>
        <v>Difference</v>
      </c>
      <c r="E21" s="43">
        <f>IF(E20=0,0,E20-E19)</f>
        <v>-2287.9872645055793</v>
      </c>
      <c r="F21" s="43">
        <f t="shared" ref="F21:P21" si="0">IF(F20=0,0,F20-F19)</f>
        <v>-865.12125240100158</v>
      </c>
      <c r="G21" s="43">
        <f t="shared" si="0"/>
        <v>-3413.037661986139</v>
      </c>
      <c r="H21" s="43">
        <f t="shared" si="0"/>
        <v>1039.6313853305228</v>
      </c>
      <c r="I21" s="43">
        <f t="shared" si="0"/>
        <v>-3815.7830197186422</v>
      </c>
      <c r="J21" s="43">
        <f t="shared" si="0"/>
        <v>-1264.982087936145</v>
      </c>
      <c r="K21" s="43">
        <f t="shared" si="0"/>
        <v>1290.3045137614736</v>
      </c>
      <c r="L21" s="43">
        <f t="shared" si="0"/>
        <v>-464.67802880591535</v>
      </c>
      <c r="M21" s="43">
        <f t="shared" si="0"/>
        <v>0</v>
      </c>
      <c r="N21" s="43">
        <f t="shared" si="0"/>
        <v>0</v>
      </c>
      <c r="O21" s="43">
        <f t="shared" si="0"/>
        <v>0</v>
      </c>
      <c r="P21" s="43">
        <f t="shared" si="0"/>
        <v>0</v>
      </c>
      <c r="Q21" s="5"/>
    </row>
    <row r="22" spans="3:17" x14ac:dyDescent="0.35">
      <c r="D22" s="3" t="str">
        <f>'KPI 100'!D22</f>
        <v>% realisation</v>
      </c>
      <c r="E22" s="9">
        <f>E20/E19</f>
        <v>0.69501584262468485</v>
      </c>
      <c r="F22" s="9">
        <f t="shared" ref="F22:P22" si="1">F20/F19</f>
        <v>0.88326715716319903</v>
      </c>
      <c r="G22" s="9">
        <f t="shared" si="1"/>
        <v>0.53405868754800168</v>
      </c>
      <c r="H22" s="9">
        <f t="shared" si="1"/>
        <v>1.1435287144195632</v>
      </c>
      <c r="I22" s="9">
        <f t="shared" si="1"/>
        <v>0.46749950295474263</v>
      </c>
      <c r="J22" s="9">
        <f t="shared" si="1"/>
        <v>0.8216320808130706</v>
      </c>
      <c r="K22" s="9">
        <f t="shared" si="1"/>
        <v>1.183759679736935</v>
      </c>
      <c r="L22" s="9">
        <f t="shared" si="1"/>
        <v>0.9331848251089061</v>
      </c>
      <c r="M22" s="9">
        <f t="shared" si="1"/>
        <v>0</v>
      </c>
      <c r="N22" s="9">
        <f t="shared" si="1"/>
        <v>0</v>
      </c>
      <c r="O22" s="9">
        <f t="shared" si="1"/>
        <v>0</v>
      </c>
      <c r="P22" s="9">
        <f t="shared" si="1"/>
        <v>0</v>
      </c>
    </row>
    <row r="23" spans="3:17" x14ac:dyDescent="0.35">
      <c r="D23" s="3" t="str">
        <f>'KPI 100'!D23</f>
        <v>Actual 2024/25</v>
      </c>
      <c r="E23" s="5">
        <f>Actuals2425!D121</f>
        <v>6059</v>
      </c>
      <c r="F23" s="5">
        <f>Actuals2425!E121</f>
        <v>8910</v>
      </c>
      <c r="G23" s="5">
        <f>Actuals2425!F121</f>
        <v>7224</v>
      </c>
      <c r="H23" s="5">
        <f>Actuals2425!G121</f>
        <v>7321</v>
      </c>
      <c r="I23" s="5">
        <f>Actuals2425!H121</f>
        <v>6624</v>
      </c>
      <c r="J23" s="5">
        <f>Actuals2425!I121</f>
        <v>4153</v>
      </c>
      <c r="K23" s="5">
        <f>Actuals2425!J121</f>
        <v>5455</v>
      </c>
      <c r="L23" s="5">
        <f>Actuals2425!K121</f>
        <v>6709</v>
      </c>
      <c r="M23" s="5">
        <f>Actuals2425!L121</f>
        <v>5820</v>
      </c>
      <c r="N23" s="5">
        <f>Actuals2425!M121</f>
        <v>2859</v>
      </c>
      <c r="O23" s="5">
        <f>Actuals2425!N121</f>
        <v>2559</v>
      </c>
      <c r="P23" s="5">
        <f>Actuals2425!O121</f>
        <v>4010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43">
        <f>SUM($E19:E19)</f>
        <v>7501.9872645055793</v>
      </c>
      <c r="F26" s="43">
        <f>SUM($E19:F19)</f>
        <v>14913.108516906581</v>
      </c>
      <c r="G26" s="43">
        <f>SUM($E19:G19)</f>
        <v>22238.146178892719</v>
      </c>
      <c r="H26" s="43">
        <f>SUM($E19:H19)</f>
        <v>29481.514793562197</v>
      </c>
      <c r="I26" s="43">
        <f>SUM($E19:I19)</f>
        <v>36647.297813280842</v>
      </c>
      <c r="J26" s="43">
        <f>SUM($E19:J19)</f>
        <v>43739.279901216985</v>
      </c>
      <c r="K26" s="43">
        <f>SUM($E19:K19)</f>
        <v>50760.97538745551</v>
      </c>
      <c r="L26" s="43">
        <f>SUM($E19:L19)</f>
        <v>57715.653416261426</v>
      </c>
      <c r="M26" s="43">
        <f>SUM($E19:M19)</f>
        <v>64606.360235699845</v>
      </c>
      <c r="N26" s="43">
        <f>SUM($E19:N19)</f>
        <v>71435.939010631555</v>
      </c>
      <c r="O26" s="43">
        <f>SUM($E19:O19)</f>
        <v>78207.047482122056</v>
      </c>
      <c r="P26" s="43">
        <f>SUM($E19:P19)</f>
        <v>84922.173748190122</v>
      </c>
    </row>
    <row r="27" spans="3:17" x14ac:dyDescent="0.35">
      <c r="D27" s="3" t="str">
        <f t="shared" ref="D27:D30" si="3">D20</f>
        <v>Actual 2025/26</v>
      </c>
      <c r="E27" s="43">
        <f>SUM($E20:E20)</f>
        <v>5214</v>
      </c>
      <c r="F27" s="43">
        <f>SUM($E20:F20)</f>
        <v>11760</v>
      </c>
      <c r="G27" s="43">
        <f>SUM($E20:G20)</f>
        <v>15672</v>
      </c>
      <c r="H27" s="43">
        <f>SUM($E20:H20)</f>
        <v>23955</v>
      </c>
      <c r="I27" s="43">
        <f>SUM($E20:I20)</f>
        <v>27305</v>
      </c>
      <c r="J27" s="43">
        <f>SUM($E20:J20)</f>
        <v>33132</v>
      </c>
      <c r="K27" s="43">
        <f>SUM($E20:K20)</f>
        <v>41444</v>
      </c>
      <c r="L27" s="43">
        <f>SUM($E20:L20)</f>
        <v>47934</v>
      </c>
      <c r="M27" s="43">
        <f>SUM($E20:M20)</f>
        <v>47934</v>
      </c>
      <c r="N27" s="43">
        <f>SUM($E20:N20)</f>
        <v>47934</v>
      </c>
      <c r="O27" s="43">
        <f>SUM($E20:O20)</f>
        <v>47934</v>
      </c>
      <c r="P27" s="43">
        <f>SUM($E20:P20)</f>
        <v>47934</v>
      </c>
    </row>
    <row r="28" spans="3:17" x14ac:dyDescent="0.35">
      <c r="D28" s="3" t="str">
        <f t="shared" si="3"/>
        <v>Difference</v>
      </c>
      <c r="E28" s="43">
        <f>IF(E27=0,0,E27-E26)</f>
        <v>-2287.9872645055793</v>
      </c>
      <c r="F28" s="43">
        <f t="shared" ref="F28:P28" si="4">IF(F27=0,0,F27-F26)</f>
        <v>-3153.1085169065809</v>
      </c>
      <c r="G28" s="43">
        <f t="shared" si="4"/>
        <v>-6566.146178892719</v>
      </c>
      <c r="H28" s="43">
        <f t="shared" si="4"/>
        <v>-5526.5147935621972</v>
      </c>
      <c r="I28" s="43">
        <f t="shared" si="4"/>
        <v>-9342.2978132808421</v>
      </c>
      <c r="J28" s="43">
        <f t="shared" si="4"/>
        <v>-10607.279901216985</v>
      </c>
      <c r="K28" s="43">
        <f t="shared" si="4"/>
        <v>-9316.9753874555099</v>
      </c>
      <c r="L28" s="43">
        <f t="shared" si="4"/>
        <v>-9781.6534162614262</v>
      </c>
      <c r="M28" s="43">
        <f t="shared" si="4"/>
        <v>-16672.360235699845</v>
      </c>
      <c r="N28" s="43">
        <f t="shared" si="4"/>
        <v>-23501.939010631555</v>
      </c>
      <c r="O28" s="43">
        <f t="shared" si="4"/>
        <v>-30273.047482122056</v>
      </c>
      <c r="P28" s="43">
        <f t="shared" si="4"/>
        <v>-36988.173748190122</v>
      </c>
    </row>
    <row r="29" spans="3:17" x14ac:dyDescent="0.35">
      <c r="D29" s="3" t="str">
        <f t="shared" si="3"/>
        <v>% realisation</v>
      </c>
      <c r="E29" s="9">
        <f t="shared" ref="E29:P29" si="5">E27/E26</f>
        <v>0.69501584262468485</v>
      </c>
      <c r="F29" s="9">
        <f t="shared" si="5"/>
        <v>0.78856798947503204</v>
      </c>
      <c r="G29" s="9">
        <f t="shared" si="5"/>
        <v>0.7047350023661163</v>
      </c>
      <c r="H29" s="9">
        <f t="shared" si="5"/>
        <v>0.81254305173053698</v>
      </c>
      <c r="I29" s="9">
        <f t="shared" si="5"/>
        <v>0.74507539789481481</v>
      </c>
      <c r="J29" s="9">
        <f t="shared" si="5"/>
        <v>0.7574884651696826</v>
      </c>
      <c r="K29" s="9">
        <f t="shared" si="5"/>
        <v>0.81645397243966278</v>
      </c>
      <c r="L29" s="9">
        <f t="shared" si="5"/>
        <v>0.83051992245997097</v>
      </c>
      <c r="M29" s="9">
        <f t="shared" si="5"/>
        <v>0.74193933577321203</v>
      </c>
      <c r="N29" s="9">
        <f t="shared" si="5"/>
        <v>0.67100678823394699</v>
      </c>
      <c r="O29" s="9">
        <f t="shared" si="5"/>
        <v>0.61291151556332057</v>
      </c>
      <c r="P29" s="9">
        <f t="shared" si="5"/>
        <v>0.56444622039625525</v>
      </c>
    </row>
    <row r="30" spans="3:17" x14ac:dyDescent="0.35">
      <c r="D30" s="3" t="str">
        <f t="shared" si="3"/>
        <v>Actual 2024/25</v>
      </c>
      <c r="E30" s="43">
        <f>SUM($E23:E23)</f>
        <v>6059</v>
      </c>
      <c r="F30" s="43">
        <f>SUM($E23:F23)</f>
        <v>14969</v>
      </c>
      <c r="G30" s="43">
        <f>SUM($E23:G23)</f>
        <v>22193</v>
      </c>
      <c r="H30" s="43">
        <f>SUM($E23:H23)</f>
        <v>29514</v>
      </c>
      <c r="I30" s="43">
        <f>SUM($E23:I23)</f>
        <v>36138</v>
      </c>
      <c r="J30" s="43">
        <f>SUM($E23:J23)</f>
        <v>40291</v>
      </c>
      <c r="K30" s="43">
        <f>SUM($E23:K23)</f>
        <v>45746</v>
      </c>
      <c r="L30" s="43">
        <f>SUM($E23:L23)</f>
        <v>52455</v>
      </c>
      <c r="M30" s="43">
        <f>SUM($E23:M23)</f>
        <v>58275</v>
      </c>
      <c r="N30" s="43">
        <f>SUM($E23:N23)</f>
        <v>61134</v>
      </c>
      <c r="O30" s="43">
        <f>SUM($E23:O23)</f>
        <v>63693</v>
      </c>
      <c r="P30" s="43">
        <f>SUM($E23:P23)</f>
        <v>67703</v>
      </c>
    </row>
  </sheetData>
  <sheetProtection algorithmName="SHA-512" hashValue="vX4BS+FxpSCDsp9aU+f3JXSbA9VIzfYGMJqqPXAtEVZGyeZ3oT7RYJ3XVZdTMg7WdIR5TeAXjn8YFpH1TrlqCg==" saltValue="xNhKJ/g9aUOQK3d6MuOY9w==" spinCount="100000" sheet="1" objects="1" scenarios="1"/>
  <mergeCells count="3">
    <mergeCell ref="C1:F1"/>
    <mergeCell ref="J4:Q8"/>
    <mergeCell ref="J10:Q15"/>
  </mergeCells>
  <conditionalFormatting sqref="C3">
    <cfRule type="expression" dxfId="47" priority="2">
      <formula>S4&lt;S6</formula>
    </cfRule>
  </conditionalFormatting>
  <conditionalFormatting sqref="C4">
    <cfRule type="expression" dxfId="46" priority="1">
      <formula>AND(S4&gt;=S6,S4&lt;S5)</formula>
    </cfRule>
  </conditionalFormatting>
  <conditionalFormatting sqref="C5">
    <cfRule type="expression" dxfId="45" priority="3">
      <formula>S4&gt;=S5</formula>
    </cfRule>
  </conditionalFormatting>
  <hyperlinks>
    <hyperlink ref="L1" location="'Distribution Dashboard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54434" r:id="rId3" name="Spinner 2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57150</xdr:rowOff>
                  </from>
                  <to>
                    <xdr:col>9</xdr:col>
                    <xdr:colOff>628650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S30"/>
  <sheetViews>
    <sheetView topLeftCell="D1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 t="s">
        <v>94</v>
      </c>
      <c r="C1" s="124" t="s">
        <v>191</v>
      </c>
      <c r="D1" s="124"/>
      <c r="E1" s="124"/>
      <c r="F1" s="124"/>
      <c r="G1" s="3" t="s">
        <v>10</v>
      </c>
      <c r="I1" s="12">
        <f>INDEX(E18:P18,Actual_month)</f>
        <v>46054</v>
      </c>
      <c r="L1" s="15" t="s">
        <v>21</v>
      </c>
      <c r="R1" s="5"/>
    </row>
    <row r="2" spans="1:19" x14ac:dyDescent="0.35">
      <c r="A2" s="3" t="s">
        <v>14</v>
      </c>
      <c r="C2" s="3" t="s">
        <v>15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 t="e">
        <f>INDEX(#REF!,Actual_month)</f>
        <v>#REF!</v>
      </c>
      <c r="K4" s="135"/>
      <c r="L4" s="135"/>
      <c r="M4" s="135"/>
      <c r="N4" s="135"/>
      <c r="O4" s="135"/>
      <c r="P4" s="135"/>
      <c r="Q4" s="136"/>
      <c r="R4" s="3" t="s">
        <v>25</v>
      </c>
      <c r="S4" s="43">
        <f>INDEX(E27:P27,Actual_month)</f>
        <v>37385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43">
        <f>INDEX(E26:P26,Actual_month)</f>
        <v>38715.830873932668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0.9</v>
      </c>
      <c r="S6" s="43">
        <f>+S5*R6</f>
        <v>34844.247786539403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11"/>
    </row>
    <row r="19" spans="3:17" x14ac:dyDescent="0.35">
      <c r="D19" s="3" t="str">
        <f>'KPI 100'!D19</f>
        <v>Budget 2025/26</v>
      </c>
      <c r="E19" s="43">
        <f>Budget2526!D122</f>
        <v>4593.0535651389737</v>
      </c>
      <c r="F19" s="43">
        <f>Budget2526!E122</f>
        <v>4663.4607920254339</v>
      </c>
      <c r="G19" s="43">
        <f>Budget2526!F122</f>
        <v>4733.8680189118932</v>
      </c>
      <c r="H19" s="43">
        <f>Budget2526!G122</f>
        <v>4804.2752457983534</v>
      </c>
      <c r="I19" s="43">
        <f>Budget2526!H122</f>
        <v>4874.6824726848126</v>
      </c>
      <c r="J19" s="43">
        <f>Budget2526!I122</f>
        <v>4945.0896995712728</v>
      </c>
      <c r="K19" s="43">
        <f>Budget2526!J122</f>
        <v>5015.4969264577321</v>
      </c>
      <c r="L19" s="43">
        <f>Budget2526!K122</f>
        <v>5085.9041533441923</v>
      </c>
      <c r="M19" s="43">
        <f>Budget2526!L122</f>
        <v>5156.3113802306516</v>
      </c>
      <c r="N19" s="43">
        <f>Budget2526!M122</f>
        <v>5226.7186071171118</v>
      </c>
      <c r="O19" s="43">
        <f>Budget2526!N122</f>
        <v>5297.1258340035711</v>
      </c>
      <c r="P19" s="43">
        <f>Budget2526!O122</f>
        <v>5367.5330608900313</v>
      </c>
      <c r="Q19" s="5"/>
    </row>
    <row r="20" spans="3:17" x14ac:dyDescent="0.35">
      <c r="D20" s="3" t="str">
        <f>'KPI 100'!D20</f>
        <v>Actual 2025/26</v>
      </c>
      <c r="E20" s="43">
        <f>Actuals2526!D122</f>
        <v>3647</v>
      </c>
      <c r="F20" s="43">
        <f>Actuals2526!E122</f>
        <v>5246</v>
      </c>
      <c r="G20" s="43">
        <f>Actuals2526!F122</f>
        <v>3082</v>
      </c>
      <c r="H20" s="43">
        <f>Actuals2526!G122</f>
        <v>6072</v>
      </c>
      <c r="I20" s="43">
        <f>Actuals2526!H122</f>
        <v>2456</v>
      </c>
      <c r="J20" s="43">
        <f>Actuals2526!I122</f>
        <v>4265</v>
      </c>
      <c r="K20" s="43">
        <f>Actuals2526!J122</f>
        <v>6868</v>
      </c>
      <c r="L20" s="43">
        <f>Actuals2526!K122</f>
        <v>5749</v>
      </c>
      <c r="M20" s="43">
        <f>Actuals2526!L122</f>
        <v>0</v>
      </c>
      <c r="N20" s="43">
        <f>Actuals2526!M122</f>
        <v>0</v>
      </c>
      <c r="O20" s="43">
        <f>Actuals2526!N122</f>
        <v>0</v>
      </c>
      <c r="P20" s="43">
        <f>Actuals2526!O122</f>
        <v>0</v>
      </c>
      <c r="Q20" s="5"/>
    </row>
    <row r="21" spans="3:17" x14ac:dyDescent="0.35">
      <c r="D21" s="3" t="str">
        <f>'KPI 100'!D21</f>
        <v>Difference</v>
      </c>
      <c r="E21" s="43">
        <f>IF(E20=0,0,E20-E19)</f>
        <v>-946.05356513897368</v>
      </c>
      <c r="F21" s="43">
        <f t="shared" ref="F21:P21" si="0">IF(F20=0,0,F20-F19)</f>
        <v>582.53920797456612</v>
      </c>
      <c r="G21" s="43">
        <f t="shared" si="0"/>
        <v>-1651.8680189118932</v>
      </c>
      <c r="H21" s="43">
        <f t="shared" si="0"/>
        <v>1267.7247542016466</v>
      </c>
      <c r="I21" s="43">
        <f t="shared" si="0"/>
        <v>-2418.6824726848126</v>
      </c>
      <c r="J21" s="43">
        <f t="shared" si="0"/>
        <v>-680.08969957127283</v>
      </c>
      <c r="K21" s="43">
        <f t="shared" si="0"/>
        <v>1852.5030735422679</v>
      </c>
      <c r="L21" s="43">
        <f t="shared" si="0"/>
        <v>663.09584665580769</v>
      </c>
      <c r="M21" s="43">
        <f t="shared" si="0"/>
        <v>0</v>
      </c>
      <c r="N21" s="43">
        <f t="shared" si="0"/>
        <v>0</v>
      </c>
      <c r="O21" s="43">
        <f t="shared" si="0"/>
        <v>0</v>
      </c>
      <c r="P21" s="43">
        <f t="shared" si="0"/>
        <v>0</v>
      </c>
      <c r="Q21" s="5"/>
    </row>
    <row r="22" spans="3:17" x14ac:dyDescent="0.35">
      <c r="D22" s="3" t="str">
        <f>'KPI 100'!D22</f>
        <v>% realisation</v>
      </c>
      <c r="E22" s="9">
        <f>E20/E19</f>
        <v>0.79402513998106428</v>
      </c>
      <c r="F22" s="9">
        <f t="shared" ref="F22:P22" si="1">F20/F19</f>
        <v>1.1249156439721149</v>
      </c>
      <c r="G22" s="9">
        <f t="shared" si="1"/>
        <v>0.65105321645794756</v>
      </c>
      <c r="H22" s="9">
        <f t="shared" si="1"/>
        <v>1.2638742972335637</v>
      </c>
      <c r="I22" s="9">
        <f t="shared" si="1"/>
        <v>0.50382768801089051</v>
      </c>
      <c r="J22" s="9">
        <f t="shared" si="1"/>
        <v>0.86247171620967056</v>
      </c>
      <c r="K22" s="9">
        <f t="shared" si="1"/>
        <v>1.3693558386547802</v>
      </c>
      <c r="L22" s="9">
        <f t="shared" si="1"/>
        <v>1.1303791472790132</v>
      </c>
      <c r="M22" s="9">
        <f t="shared" si="1"/>
        <v>0</v>
      </c>
      <c r="N22" s="9">
        <f t="shared" si="1"/>
        <v>0</v>
      </c>
      <c r="O22" s="9">
        <f t="shared" si="1"/>
        <v>0</v>
      </c>
      <c r="P22" s="9">
        <f t="shared" si="1"/>
        <v>0</v>
      </c>
    </row>
    <row r="23" spans="3:17" x14ac:dyDescent="0.35">
      <c r="D23" s="3" t="str">
        <f>'KPI 100'!D23</f>
        <v>Actual 2024/25</v>
      </c>
      <c r="E23" s="5">
        <f>Actuals2425!D121</f>
        <v>6059</v>
      </c>
      <c r="F23" s="5">
        <f>Actuals2425!E121</f>
        <v>8910</v>
      </c>
      <c r="G23" s="5">
        <f>Actuals2425!F121</f>
        <v>7224</v>
      </c>
      <c r="H23" s="5">
        <f>Actuals2425!G121</f>
        <v>7321</v>
      </c>
      <c r="I23" s="5">
        <f>Actuals2425!H121</f>
        <v>6624</v>
      </c>
      <c r="J23" s="5">
        <f>Actuals2425!I121</f>
        <v>4153</v>
      </c>
      <c r="K23" s="5">
        <f>Actuals2425!J121</f>
        <v>5455</v>
      </c>
      <c r="L23" s="5">
        <f>Actuals2425!K121</f>
        <v>6709</v>
      </c>
      <c r="M23" s="5">
        <f>Actuals2425!L121</f>
        <v>5820</v>
      </c>
      <c r="N23" s="5">
        <f>Actuals2425!M121</f>
        <v>2859</v>
      </c>
      <c r="O23" s="5">
        <f>Actuals2425!N121</f>
        <v>2559</v>
      </c>
      <c r="P23" s="5">
        <f>Actuals2425!O121</f>
        <v>4010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43">
        <f>SUM($E19:E19)</f>
        <v>4593.0535651389737</v>
      </c>
      <c r="F26" s="43">
        <f>SUM($E19:F19)</f>
        <v>9256.5143571644076</v>
      </c>
      <c r="G26" s="43">
        <f>SUM($E19:G19)</f>
        <v>13990.382376076301</v>
      </c>
      <c r="H26" s="43">
        <f>SUM($E19:H19)</f>
        <v>18794.657621874656</v>
      </c>
      <c r="I26" s="43">
        <f>SUM($E19:I19)</f>
        <v>23669.340094559469</v>
      </c>
      <c r="J26" s="43">
        <f>SUM($E19:J19)</f>
        <v>28614.429794130741</v>
      </c>
      <c r="K26" s="43">
        <f>SUM($E19:K19)</f>
        <v>33629.926720588475</v>
      </c>
      <c r="L26" s="43">
        <f>SUM($E19:L19)</f>
        <v>38715.830873932668</v>
      </c>
      <c r="M26" s="43">
        <f>SUM($E19:M19)</f>
        <v>43872.142254163322</v>
      </c>
      <c r="N26" s="43">
        <f>SUM($E19:N19)</f>
        <v>49098.860861280431</v>
      </c>
      <c r="O26" s="43">
        <f>SUM($E19:O19)</f>
        <v>54395.986695284002</v>
      </c>
      <c r="P26" s="43">
        <f>SUM($E19:P19)</f>
        <v>59763.519756174035</v>
      </c>
    </row>
    <row r="27" spans="3:17" x14ac:dyDescent="0.35">
      <c r="D27" s="3" t="str">
        <f t="shared" ref="D27:D30" si="3">D20</f>
        <v>Actual 2025/26</v>
      </c>
      <c r="E27" s="43">
        <f>SUM($E20:E20)</f>
        <v>3647</v>
      </c>
      <c r="F27" s="43">
        <f>SUM($E20:F20)</f>
        <v>8893</v>
      </c>
      <c r="G27" s="43">
        <f>SUM($E20:G20)</f>
        <v>11975</v>
      </c>
      <c r="H27" s="43">
        <f>SUM($E20:H20)</f>
        <v>18047</v>
      </c>
      <c r="I27" s="43">
        <f>SUM($E20:I20)</f>
        <v>20503</v>
      </c>
      <c r="J27" s="43">
        <f>SUM($E20:J20)</f>
        <v>24768</v>
      </c>
      <c r="K27" s="43">
        <f>SUM($E20:K20)</f>
        <v>31636</v>
      </c>
      <c r="L27" s="43">
        <f>SUM($E20:L20)</f>
        <v>37385</v>
      </c>
      <c r="M27" s="43">
        <f>SUM($E20:M20)</f>
        <v>37385</v>
      </c>
      <c r="N27" s="43">
        <f>SUM($E20:N20)</f>
        <v>37385</v>
      </c>
      <c r="O27" s="43">
        <f>SUM($E20:O20)</f>
        <v>37385</v>
      </c>
      <c r="P27" s="43">
        <f>SUM($E20:P20)</f>
        <v>37385</v>
      </c>
    </row>
    <row r="28" spans="3:17" x14ac:dyDescent="0.35">
      <c r="D28" s="3" t="str">
        <f t="shared" si="3"/>
        <v>Difference</v>
      </c>
      <c r="E28" s="43">
        <f>IF(E27=0,0,E27-E26)</f>
        <v>-946.05356513897368</v>
      </c>
      <c r="F28" s="43">
        <f t="shared" ref="F28:P28" si="4">IF(F27=0,0,F27-F26)</f>
        <v>-363.51435716440756</v>
      </c>
      <c r="G28" s="43">
        <f t="shared" si="4"/>
        <v>-2015.3823760763007</v>
      </c>
      <c r="H28" s="43">
        <f t="shared" si="4"/>
        <v>-747.65762187465589</v>
      </c>
      <c r="I28" s="43">
        <f t="shared" si="4"/>
        <v>-3166.3400945594694</v>
      </c>
      <c r="J28" s="43">
        <f t="shared" si="4"/>
        <v>-3846.4297941307414</v>
      </c>
      <c r="K28" s="43">
        <f t="shared" si="4"/>
        <v>-1993.9267205884753</v>
      </c>
      <c r="L28" s="43">
        <f t="shared" si="4"/>
        <v>-1330.8308739326676</v>
      </c>
      <c r="M28" s="43">
        <f t="shared" si="4"/>
        <v>-6487.1422541633219</v>
      </c>
      <c r="N28" s="43">
        <f t="shared" si="4"/>
        <v>-11713.860861280431</v>
      </c>
      <c r="O28" s="43">
        <f t="shared" si="4"/>
        <v>-17010.986695284002</v>
      </c>
      <c r="P28" s="43">
        <f t="shared" si="4"/>
        <v>-22378.519756174035</v>
      </c>
    </row>
    <row r="29" spans="3:17" x14ac:dyDescent="0.35">
      <c r="D29" s="3" t="str">
        <f t="shared" si="3"/>
        <v>% realisation</v>
      </c>
      <c r="E29" s="9">
        <f t="shared" ref="E29:P29" si="5">E27/E26</f>
        <v>0.79402513998106428</v>
      </c>
      <c r="F29" s="9">
        <f t="shared" si="5"/>
        <v>0.96072880750376055</v>
      </c>
      <c r="G29" s="9">
        <f t="shared" si="5"/>
        <v>0.85594515418516182</v>
      </c>
      <c r="H29" s="9">
        <f t="shared" si="5"/>
        <v>0.96021967322222057</v>
      </c>
      <c r="I29" s="9">
        <f t="shared" si="5"/>
        <v>0.86622609325355593</v>
      </c>
      <c r="J29" s="9">
        <f t="shared" si="5"/>
        <v>0.86557726916789013</v>
      </c>
      <c r="K29" s="9">
        <f t="shared" si="5"/>
        <v>0.94070975125355305</v>
      </c>
      <c r="L29" s="9">
        <f t="shared" si="5"/>
        <v>0.96562566671328465</v>
      </c>
      <c r="M29" s="9">
        <f t="shared" si="5"/>
        <v>0.85213527489536456</v>
      </c>
      <c r="N29" s="9">
        <f t="shared" si="5"/>
        <v>0.7614229606186641</v>
      </c>
      <c r="O29" s="9">
        <f t="shared" si="5"/>
        <v>0.68727496771818253</v>
      </c>
      <c r="P29" s="9">
        <f t="shared" si="5"/>
        <v>0.62554883233994663</v>
      </c>
    </row>
    <row r="30" spans="3:17" x14ac:dyDescent="0.35">
      <c r="D30" s="3" t="str">
        <f t="shared" si="3"/>
        <v>Actual 2024/25</v>
      </c>
      <c r="E30" s="43">
        <f>SUM($E23:E23)</f>
        <v>6059</v>
      </c>
      <c r="F30" s="43">
        <f>SUM($E23:F23)</f>
        <v>14969</v>
      </c>
      <c r="G30" s="43">
        <f>SUM($E23:G23)</f>
        <v>22193</v>
      </c>
      <c r="H30" s="43">
        <f>SUM($E23:H23)</f>
        <v>29514</v>
      </c>
      <c r="I30" s="43">
        <f>SUM($E23:I23)</f>
        <v>36138</v>
      </c>
      <c r="J30" s="43">
        <f>SUM($E23:J23)</f>
        <v>40291</v>
      </c>
      <c r="K30" s="43">
        <f>SUM($E23:K23)</f>
        <v>45746</v>
      </c>
      <c r="L30" s="43">
        <f>SUM($E23:L23)</f>
        <v>52455</v>
      </c>
      <c r="M30" s="43">
        <f>SUM($E23:M23)</f>
        <v>58275</v>
      </c>
      <c r="N30" s="43">
        <f>SUM($E23:N23)</f>
        <v>61134</v>
      </c>
      <c r="O30" s="43">
        <f>SUM($E23:O23)</f>
        <v>63693</v>
      </c>
      <c r="P30" s="43">
        <f>SUM($E23:P23)</f>
        <v>67703</v>
      </c>
    </row>
  </sheetData>
  <sheetProtection algorithmName="SHA-512" hashValue="/esyHE/Uo2dI0yD1xQrkP/A1g336GgS73yFYJxegXf4p6gmop4QGgReAp++TPNyXhaFWSL/d7v8u0datyVsUpQ==" saltValue="z2HxVO3GTUNHOqf871xqbQ==" spinCount="100000" sheet="1" objects="1" scenarios="1"/>
  <mergeCells count="3">
    <mergeCell ref="C1:F1"/>
    <mergeCell ref="J4:Q8"/>
    <mergeCell ref="J10:Q15"/>
  </mergeCells>
  <conditionalFormatting sqref="C3">
    <cfRule type="expression" dxfId="44" priority="2">
      <formula>S4&lt;S6</formula>
    </cfRule>
  </conditionalFormatting>
  <conditionalFormatting sqref="C4">
    <cfRule type="expression" dxfId="43" priority="1">
      <formula>AND(S4&gt;=S6,S4&lt;S5)</formula>
    </cfRule>
  </conditionalFormatting>
  <conditionalFormatting sqref="C5">
    <cfRule type="expression" dxfId="42" priority="3">
      <formula>S4&gt;=S5</formula>
    </cfRule>
  </conditionalFormatting>
  <hyperlinks>
    <hyperlink ref="L1" location="'Distribution Dashboard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55457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57150</xdr:rowOff>
                  </from>
                  <to>
                    <xdr:col>9</xdr:col>
                    <xdr:colOff>628650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5458" r:id="rId4" name="Spinner 2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57150</xdr:rowOff>
                  </from>
                  <to>
                    <xdr:col>9</xdr:col>
                    <xdr:colOff>628650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S30"/>
  <sheetViews>
    <sheetView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 t="s">
        <v>182</v>
      </c>
      <c r="C1" s="124" t="s">
        <v>185</v>
      </c>
      <c r="D1" s="124"/>
      <c r="E1" s="124"/>
      <c r="F1" s="124"/>
      <c r="G1" s="3" t="s">
        <v>10</v>
      </c>
      <c r="I1" s="12">
        <f>INDEX(E18:P18,Actual_month)</f>
        <v>46054</v>
      </c>
      <c r="L1" s="15" t="s">
        <v>21</v>
      </c>
      <c r="R1" s="5"/>
    </row>
    <row r="2" spans="1:19" x14ac:dyDescent="0.35">
      <c r="A2" s="3" t="s">
        <v>14</v>
      </c>
      <c r="C2" s="3" t="s">
        <v>15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 t="e">
        <f>INDEX(#REF!,Actual_month)</f>
        <v>#REF!</v>
      </c>
      <c r="K4" s="135"/>
      <c r="L4" s="135"/>
      <c r="M4" s="135"/>
      <c r="N4" s="135"/>
      <c r="O4" s="135"/>
      <c r="P4" s="135"/>
      <c r="Q4" s="136"/>
      <c r="R4" s="3" t="s">
        <v>25</v>
      </c>
      <c r="S4" s="43">
        <f>INDEX(E27:P27,Actual_month)</f>
        <v>958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43">
        <f>INDEX(E26:P26,Actual_month)</f>
        <v>7675.3333333333339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0.9</v>
      </c>
      <c r="S6" s="43">
        <f>+S5*R6</f>
        <v>6907.8000000000011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11"/>
    </row>
    <row r="19" spans="3:17" x14ac:dyDescent="0.35">
      <c r="D19" s="3" t="str">
        <f>'KPI 100'!D19</f>
        <v>Budget 2025/26</v>
      </c>
      <c r="E19" s="43">
        <f>Budget2526!D126</f>
        <v>343.66666666666669</v>
      </c>
      <c r="F19" s="43">
        <f>Budget2526!E126</f>
        <v>565.66666666666663</v>
      </c>
      <c r="G19" s="43">
        <f>Budget2526!F126</f>
        <v>757.66666666666663</v>
      </c>
      <c r="H19" s="43">
        <f>Budget2526!G126</f>
        <v>919.66666666666663</v>
      </c>
      <c r="I19" s="43">
        <f>Budget2526!H126</f>
        <v>1081.6666666666667</v>
      </c>
      <c r="J19" s="43">
        <f>Budget2526!I126</f>
        <v>1213.6666666666667</v>
      </c>
      <c r="K19" s="43">
        <f>Budget2526!J126</f>
        <v>1345.6666666666667</v>
      </c>
      <c r="L19" s="43">
        <f>Budget2526!K126</f>
        <v>1447.6666666666667</v>
      </c>
      <c r="M19" s="43">
        <f>Budget2526!L126</f>
        <v>1549.6666666666667</v>
      </c>
      <c r="N19" s="43">
        <f>Budget2526!M126</f>
        <v>1651.6666666666667</v>
      </c>
      <c r="O19" s="43">
        <f>Budget2526!N126</f>
        <v>1753.6666666666667</v>
      </c>
      <c r="P19" s="43">
        <f>Budget2526!O126</f>
        <v>1855.6666666666667</v>
      </c>
      <c r="Q19" s="5"/>
    </row>
    <row r="20" spans="3:17" x14ac:dyDescent="0.35">
      <c r="D20" s="3" t="str">
        <f>'KPI 100'!D20</f>
        <v>Actual 2025/26</v>
      </c>
      <c r="E20" s="43">
        <f>Actuals2526!D126</f>
        <v>72</v>
      </c>
      <c r="F20" s="43">
        <f>Actuals2526!E126</f>
        <v>134</v>
      </c>
      <c r="G20" s="43">
        <f>Actuals2526!F126</f>
        <v>138</v>
      </c>
      <c r="H20" s="43">
        <f>Actuals2526!G126</f>
        <v>0</v>
      </c>
      <c r="I20" s="43">
        <f>Actuals2526!H126</f>
        <v>1</v>
      </c>
      <c r="J20" s="43">
        <f>Actuals2526!I126</f>
        <v>132</v>
      </c>
      <c r="K20" s="43">
        <f>Actuals2526!J126</f>
        <v>282</v>
      </c>
      <c r="L20" s="43">
        <f>Actuals2526!K126</f>
        <v>199</v>
      </c>
      <c r="M20" s="43">
        <f>Actuals2526!L126</f>
        <v>0</v>
      </c>
      <c r="N20" s="43">
        <f>Actuals2526!M126</f>
        <v>0</v>
      </c>
      <c r="O20" s="43">
        <f>Actuals2526!N126</f>
        <v>0</v>
      </c>
      <c r="P20" s="43">
        <f>Actuals2526!O126</f>
        <v>0</v>
      </c>
      <c r="Q20" s="5"/>
    </row>
    <row r="21" spans="3:17" x14ac:dyDescent="0.35">
      <c r="D21" s="3" t="str">
        <f>'KPI 100'!D21</f>
        <v>Difference</v>
      </c>
      <c r="E21" s="43">
        <f>IF(E20=0,0,E20-E19)</f>
        <v>-271.66666666666669</v>
      </c>
      <c r="F21" s="43">
        <f t="shared" ref="F21:P21" si="0">IF(F20=0,0,F20-F19)</f>
        <v>-431.66666666666663</v>
      </c>
      <c r="G21" s="43">
        <f t="shared" si="0"/>
        <v>-619.66666666666663</v>
      </c>
      <c r="H21" s="43">
        <f t="shared" si="0"/>
        <v>0</v>
      </c>
      <c r="I21" s="43">
        <f t="shared" si="0"/>
        <v>-1080.6666666666667</v>
      </c>
      <c r="J21" s="43">
        <f t="shared" si="0"/>
        <v>-1081.6666666666667</v>
      </c>
      <c r="K21" s="43">
        <f t="shared" si="0"/>
        <v>-1063.6666666666667</v>
      </c>
      <c r="L21" s="43">
        <f t="shared" si="0"/>
        <v>-1248.6666666666667</v>
      </c>
      <c r="M21" s="43">
        <f t="shared" si="0"/>
        <v>0</v>
      </c>
      <c r="N21" s="43">
        <f t="shared" si="0"/>
        <v>0</v>
      </c>
      <c r="O21" s="43">
        <f t="shared" si="0"/>
        <v>0</v>
      </c>
      <c r="P21" s="43">
        <f t="shared" si="0"/>
        <v>0</v>
      </c>
      <c r="Q21" s="5"/>
    </row>
    <row r="22" spans="3:17" x14ac:dyDescent="0.35">
      <c r="D22" s="3" t="str">
        <f>'KPI 100'!D22</f>
        <v>% realisation</v>
      </c>
      <c r="E22" s="9">
        <f>E20/E19</f>
        <v>0.20950533462657614</v>
      </c>
      <c r="F22" s="9">
        <f t="shared" ref="F22:P22" si="1">F20/F19</f>
        <v>0.23688862698880378</v>
      </c>
      <c r="G22" s="9">
        <f t="shared" si="1"/>
        <v>0.18213814342278928</v>
      </c>
      <c r="H22" s="9">
        <f t="shared" si="1"/>
        <v>0</v>
      </c>
      <c r="I22" s="9">
        <f t="shared" si="1"/>
        <v>9.2449922958397527E-4</v>
      </c>
      <c r="J22" s="9">
        <f t="shared" si="1"/>
        <v>0.10876132930513595</v>
      </c>
      <c r="K22" s="9">
        <f t="shared" si="1"/>
        <v>0.20956155561060191</v>
      </c>
      <c r="L22" s="9">
        <f t="shared" si="1"/>
        <v>0.13746258346764909</v>
      </c>
      <c r="M22" s="9">
        <f t="shared" si="1"/>
        <v>0</v>
      </c>
      <c r="N22" s="9">
        <f t="shared" si="1"/>
        <v>0</v>
      </c>
      <c r="O22" s="9">
        <f t="shared" si="1"/>
        <v>0</v>
      </c>
      <c r="P22" s="9">
        <f t="shared" si="1"/>
        <v>0</v>
      </c>
    </row>
    <row r="23" spans="3:17" x14ac:dyDescent="0.35">
      <c r="D23" s="3" t="str">
        <f>'KPI 100'!D23</f>
        <v>Actual 2024/25</v>
      </c>
      <c r="E23" s="5">
        <f>Actuals2425!D126</f>
        <v>91</v>
      </c>
      <c r="F23" s="5">
        <f>Actuals2425!E126</f>
        <v>191</v>
      </c>
      <c r="G23" s="5">
        <f>Actuals2425!F126</f>
        <v>225</v>
      </c>
      <c r="H23" s="5">
        <f>Actuals2425!G126</f>
        <v>243</v>
      </c>
      <c r="I23" s="5">
        <f>Actuals2425!H126</f>
        <v>177</v>
      </c>
      <c r="J23" s="5">
        <f>Actuals2425!I126</f>
        <v>151</v>
      </c>
      <c r="K23" s="5">
        <f>Actuals2425!J126</f>
        <v>17</v>
      </c>
      <c r="L23" s="5">
        <f>Actuals2425!K126</f>
        <v>0</v>
      </c>
      <c r="M23" s="5">
        <f>Actuals2425!L126</f>
        <v>0</v>
      </c>
      <c r="N23" s="5">
        <f>Actuals2425!M126</f>
        <v>0</v>
      </c>
      <c r="O23" s="5">
        <f>Actuals2425!N126</f>
        <v>0</v>
      </c>
      <c r="P23" s="5">
        <f>Actuals2425!O126</f>
        <v>77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43">
        <f>SUM($E19:E19)</f>
        <v>343.66666666666669</v>
      </c>
      <c r="F26" s="43">
        <f>SUM($E19:F19)</f>
        <v>909.33333333333326</v>
      </c>
      <c r="G26" s="43">
        <f>SUM($E19:G19)</f>
        <v>1667</v>
      </c>
      <c r="H26" s="43">
        <f>SUM($E19:H19)</f>
        <v>2586.6666666666665</v>
      </c>
      <c r="I26" s="43">
        <f>SUM($E19:I19)</f>
        <v>3668.333333333333</v>
      </c>
      <c r="J26" s="43">
        <f>SUM($E19:J19)</f>
        <v>4882</v>
      </c>
      <c r="K26" s="43">
        <f>SUM($E19:K19)</f>
        <v>6227.666666666667</v>
      </c>
      <c r="L26" s="43">
        <f>SUM($E19:L19)</f>
        <v>7675.3333333333339</v>
      </c>
      <c r="M26" s="43">
        <f>SUM($E19:M19)</f>
        <v>9225</v>
      </c>
      <c r="N26" s="43">
        <f>SUM($E19:N19)</f>
        <v>10876.666666666666</v>
      </c>
      <c r="O26" s="43">
        <f>SUM($E19:O19)</f>
        <v>12630.333333333332</v>
      </c>
      <c r="P26" s="43">
        <f>SUM($E19:P19)</f>
        <v>14485.999999999998</v>
      </c>
    </row>
    <row r="27" spans="3:17" x14ac:dyDescent="0.35">
      <c r="D27" s="3" t="str">
        <f t="shared" ref="D27:D30" si="3">D20</f>
        <v>Actual 2025/26</v>
      </c>
      <c r="E27" s="43">
        <f>SUM($E20:E20)</f>
        <v>72</v>
      </c>
      <c r="F27" s="43">
        <f>SUM($E20:F20)</f>
        <v>206</v>
      </c>
      <c r="G27" s="43">
        <f>SUM($E20:G20)</f>
        <v>344</v>
      </c>
      <c r="H27" s="43">
        <f>SUM($E20:H20)</f>
        <v>344</v>
      </c>
      <c r="I27" s="43">
        <f>SUM($E20:I20)</f>
        <v>345</v>
      </c>
      <c r="J27" s="43">
        <f>SUM($E20:J20)</f>
        <v>477</v>
      </c>
      <c r="K27" s="43">
        <f>SUM($E20:K20)</f>
        <v>759</v>
      </c>
      <c r="L27" s="43">
        <f>SUM($E20:L20)</f>
        <v>958</v>
      </c>
      <c r="M27" s="43">
        <f>SUM($E20:M20)</f>
        <v>958</v>
      </c>
      <c r="N27" s="43">
        <f>SUM($E20:N20)</f>
        <v>958</v>
      </c>
      <c r="O27" s="43">
        <f>SUM($E20:O20)</f>
        <v>958</v>
      </c>
      <c r="P27" s="43">
        <f>SUM($E20:P20)</f>
        <v>958</v>
      </c>
    </row>
    <row r="28" spans="3:17" x14ac:dyDescent="0.35">
      <c r="D28" s="3" t="str">
        <f t="shared" si="3"/>
        <v>Difference</v>
      </c>
      <c r="E28" s="43">
        <f>IF(E27=0,0,E27-E26)</f>
        <v>-271.66666666666669</v>
      </c>
      <c r="F28" s="43">
        <f t="shared" ref="F28:P28" si="4">IF(F27=0,0,F27-F26)</f>
        <v>-703.33333333333326</v>
      </c>
      <c r="G28" s="43">
        <f t="shared" si="4"/>
        <v>-1323</v>
      </c>
      <c r="H28" s="43">
        <f t="shared" si="4"/>
        <v>-2242.6666666666665</v>
      </c>
      <c r="I28" s="43">
        <f t="shared" si="4"/>
        <v>-3323.333333333333</v>
      </c>
      <c r="J28" s="43">
        <f t="shared" si="4"/>
        <v>-4405</v>
      </c>
      <c r="K28" s="43">
        <f t="shared" si="4"/>
        <v>-5468.666666666667</v>
      </c>
      <c r="L28" s="43">
        <f t="shared" si="4"/>
        <v>-6717.3333333333339</v>
      </c>
      <c r="M28" s="43">
        <f t="shared" si="4"/>
        <v>-8267</v>
      </c>
      <c r="N28" s="43">
        <f t="shared" si="4"/>
        <v>-9918.6666666666661</v>
      </c>
      <c r="O28" s="43">
        <f t="shared" si="4"/>
        <v>-11672.333333333332</v>
      </c>
      <c r="P28" s="43">
        <f t="shared" si="4"/>
        <v>-13527.999999999998</v>
      </c>
    </row>
    <row r="29" spans="3:17" x14ac:dyDescent="0.35">
      <c r="D29" s="3" t="str">
        <f t="shared" si="3"/>
        <v>% realisation</v>
      </c>
      <c r="E29" s="9">
        <f t="shared" ref="E29:P29" si="5">E27/E26</f>
        <v>0.20950533462657614</v>
      </c>
      <c r="F29" s="9">
        <f t="shared" si="5"/>
        <v>0.22653958944281527</v>
      </c>
      <c r="G29" s="9">
        <f t="shared" si="5"/>
        <v>0.20635872825434912</v>
      </c>
      <c r="H29" s="9">
        <f t="shared" si="5"/>
        <v>0.13298969072164948</v>
      </c>
      <c r="I29" s="9">
        <f t="shared" si="5"/>
        <v>9.404815992730578E-2</v>
      </c>
      <c r="J29" s="9">
        <f t="shared" si="5"/>
        <v>9.7705858254813607E-2</v>
      </c>
      <c r="K29" s="9">
        <f t="shared" si="5"/>
        <v>0.12187550179307391</v>
      </c>
      <c r="L29" s="9">
        <f t="shared" si="5"/>
        <v>0.12481542604012855</v>
      </c>
      <c r="M29" s="9">
        <f t="shared" si="5"/>
        <v>0.10384823848238482</v>
      </c>
      <c r="N29" s="9">
        <f t="shared" si="5"/>
        <v>8.80784554091327E-2</v>
      </c>
      <c r="O29" s="9">
        <f t="shared" si="5"/>
        <v>7.5849146235253767E-2</v>
      </c>
      <c r="P29" s="9">
        <f t="shared" si="5"/>
        <v>6.6132817893138213E-2</v>
      </c>
    </row>
    <row r="30" spans="3:17" x14ac:dyDescent="0.35">
      <c r="D30" s="3" t="str">
        <f t="shared" si="3"/>
        <v>Actual 2024/25</v>
      </c>
      <c r="E30" s="43">
        <f>SUM($E23:E23)</f>
        <v>91</v>
      </c>
      <c r="F30" s="43">
        <f>SUM($E23:F23)</f>
        <v>282</v>
      </c>
      <c r="G30" s="43">
        <f>SUM($E23:G23)</f>
        <v>507</v>
      </c>
      <c r="H30" s="43">
        <f>SUM($E23:H23)</f>
        <v>750</v>
      </c>
      <c r="I30" s="43">
        <f>SUM($E23:I23)</f>
        <v>927</v>
      </c>
      <c r="J30" s="43">
        <f>SUM($E23:J23)</f>
        <v>1078</v>
      </c>
      <c r="K30" s="43">
        <f>SUM($E23:K23)</f>
        <v>1095</v>
      </c>
      <c r="L30" s="43">
        <f>SUM($E23:L23)</f>
        <v>1095</v>
      </c>
      <c r="M30" s="43">
        <f>SUM($E23:M23)</f>
        <v>1095</v>
      </c>
      <c r="N30" s="43">
        <f>SUM($E23:N23)</f>
        <v>1095</v>
      </c>
      <c r="O30" s="43">
        <f>SUM($E23:O23)</f>
        <v>1095</v>
      </c>
      <c r="P30" s="43">
        <f>SUM($E23:P23)</f>
        <v>1172</v>
      </c>
    </row>
  </sheetData>
  <sheetProtection algorithmName="SHA-512" hashValue="01tc2XPUdfVSWiuT1OaFM+DX1EjjhGOtloGWjMj76rdEF+9rVOSTf1alDhwaHiUUEtP2+m05Vuy5Ac8AHk1A2Q==" saltValue="oO83505bh3AEqVei7hGCjQ==" spinCount="100000" sheet="1" objects="1" scenarios="1"/>
  <mergeCells count="3">
    <mergeCell ref="C1:F1"/>
    <mergeCell ref="J4:Q8"/>
    <mergeCell ref="J10:Q15"/>
  </mergeCells>
  <conditionalFormatting sqref="C3">
    <cfRule type="expression" dxfId="41" priority="2">
      <formula>S4&lt;S6</formula>
    </cfRule>
  </conditionalFormatting>
  <conditionalFormatting sqref="C4">
    <cfRule type="expression" dxfId="40" priority="1">
      <formula>AND(S4&gt;=S6,S4&lt;S5)</formula>
    </cfRule>
  </conditionalFormatting>
  <conditionalFormatting sqref="C5">
    <cfRule type="expression" dxfId="39" priority="3">
      <formula>S4&gt;=S5</formula>
    </cfRule>
  </conditionalFormatting>
  <hyperlinks>
    <hyperlink ref="L1" location="'Distribution Dashboard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34977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57150</xdr:rowOff>
                  </from>
                  <to>
                    <xdr:col>9</xdr:col>
                    <xdr:colOff>628650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S30"/>
  <sheetViews>
    <sheetView zoomScale="90" zoomScaleNormal="90" zoomScalePageLayoutView="90" workbookViewId="0">
      <pane ySplit="2" topLeftCell="A3" activePane="bottomLeft" state="frozen"/>
      <selection activeCell="D26" sqref="D26:D30"/>
      <selection pane="bottomLeft"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 t="s">
        <v>94</v>
      </c>
      <c r="C1" s="124" t="s">
        <v>95</v>
      </c>
      <c r="D1" s="124"/>
      <c r="E1" s="124"/>
      <c r="F1" s="124"/>
      <c r="G1" s="3" t="s">
        <v>10</v>
      </c>
      <c r="I1" s="12">
        <f>INDEX(E18:P18,Actual_month)</f>
        <v>46054</v>
      </c>
      <c r="L1" s="15" t="s">
        <v>21</v>
      </c>
      <c r="R1" s="5"/>
    </row>
    <row r="2" spans="1:19" x14ac:dyDescent="0.35">
      <c r="A2" s="3" t="s">
        <v>14</v>
      </c>
      <c r="C2" s="3" t="s">
        <v>15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 t="e">
        <f>INDEX(#REF!,Actual_month)</f>
        <v>#REF!</v>
      </c>
      <c r="K4" s="135"/>
      <c r="L4" s="135"/>
      <c r="M4" s="135"/>
      <c r="N4" s="135"/>
      <c r="O4" s="135"/>
      <c r="P4" s="135"/>
      <c r="Q4" s="136"/>
      <c r="R4" s="3" t="s">
        <v>25</v>
      </c>
      <c r="S4" s="43">
        <f>INDEX(E27:P27,Actual_month)</f>
        <v>106366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43">
        <f>INDEX(E26:P26,Actual_month)</f>
        <v>123022.44901961212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0.9</v>
      </c>
      <c r="S6" s="43">
        <f>+S5*R6</f>
        <v>110720.20411765091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11"/>
    </row>
    <row r="19" spans="3:17" x14ac:dyDescent="0.35">
      <c r="D19" s="3" t="str">
        <f>'KPI 100'!D19</f>
        <v>Budget 2025/26</v>
      </c>
      <c r="E19" s="43">
        <f>Budget2526!D104</f>
        <v>11163.229155333855</v>
      </c>
      <c r="F19" s="43">
        <f>Budget2526!E104</f>
        <v>12084.524600373532</v>
      </c>
      <c r="G19" s="43">
        <f>Budget2526!F104</f>
        <v>12965.375313479615</v>
      </c>
      <c r="H19" s="43">
        <f>Budget2526!G104</f>
        <v>14500.326010610601</v>
      </c>
      <c r="I19" s="43">
        <f>Budget2526!H104</f>
        <v>16035.276707741588</v>
      </c>
      <c r="J19" s="43">
        <f>Budget2526!I104</f>
        <v>17529.782672938982</v>
      </c>
      <c r="K19" s="43">
        <f>Budget2526!J104</f>
        <v>18757.905744024312</v>
      </c>
      <c r="L19" s="43">
        <f>Budget2526!K104</f>
        <v>19986.028815109647</v>
      </c>
      <c r="M19" s="43">
        <f>Budget2526!L104</f>
        <v>21173.707154261385</v>
      </c>
      <c r="N19" s="43">
        <f>Budget2526!M104</f>
        <v>22054.557867367464</v>
      </c>
      <c r="O19" s="43">
        <f>Budget2526!N104</f>
        <v>22935.408580473548</v>
      </c>
      <c r="P19" s="43">
        <f>Budget2526!O104</f>
        <v>23816.259293579631</v>
      </c>
      <c r="Q19" s="5"/>
    </row>
    <row r="20" spans="3:17" x14ac:dyDescent="0.35">
      <c r="D20" s="3" t="str">
        <f>'KPI 100'!D20</f>
        <v>Actual 2025/26</v>
      </c>
      <c r="E20" s="43">
        <f>Actuals2526!D104</f>
        <v>11947</v>
      </c>
      <c r="F20" s="43">
        <f>Actuals2526!E104</f>
        <v>17946</v>
      </c>
      <c r="G20" s="43">
        <f>Actuals2526!F104</f>
        <v>11179</v>
      </c>
      <c r="H20" s="43">
        <f>Actuals2526!G104</f>
        <v>15724</v>
      </c>
      <c r="I20" s="43">
        <f>Actuals2526!H104</f>
        <v>10947</v>
      </c>
      <c r="J20" s="43">
        <f>Actuals2526!I104</f>
        <v>8396</v>
      </c>
      <c r="K20" s="43">
        <f>Actuals2526!J104</f>
        <v>14935</v>
      </c>
      <c r="L20" s="43">
        <f>Actuals2526!K104</f>
        <v>15292</v>
      </c>
      <c r="M20" s="43">
        <f>Actuals2526!L104</f>
        <v>0</v>
      </c>
      <c r="N20" s="43">
        <f>Actuals2526!M104</f>
        <v>0</v>
      </c>
      <c r="O20" s="43">
        <f>Actuals2526!N104</f>
        <v>0</v>
      </c>
      <c r="P20" s="43">
        <f>Actuals2526!O104</f>
        <v>0</v>
      </c>
      <c r="Q20" s="5"/>
    </row>
    <row r="21" spans="3:17" x14ac:dyDescent="0.35">
      <c r="D21" s="3" t="str">
        <f>'KPI 100'!D21</f>
        <v>Difference</v>
      </c>
      <c r="E21" s="43">
        <f>IF(E20=0,0,E20-E19)</f>
        <v>783.77084466614542</v>
      </c>
      <c r="F21" s="43">
        <f t="shared" ref="F21:P21" si="0">IF(F20=0,0,F20-F19)</f>
        <v>5861.4753996264681</v>
      </c>
      <c r="G21" s="43">
        <f t="shared" si="0"/>
        <v>-1786.3753134796152</v>
      </c>
      <c r="H21" s="43">
        <f t="shared" si="0"/>
        <v>1223.6739893893991</v>
      </c>
      <c r="I21" s="43">
        <f t="shared" si="0"/>
        <v>-5088.2767077415883</v>
      </c>
      <c r="J21" s="43">
        <f t="shared" si="0"/>
        <v>-9133.7826729389817</v>
      </c>
      <c r="K21" s="43">
        <f t="shared" si="0"/>
        <v>-3822.9057440243123</v>
      </c>
      <c r="L21" s="43">
        <f t="shared" si="0"/>
        <v>-4694.0288151096465</v>
      </c>
      <c r="M21" s="43">
        <f t="shared" si="0"/>
        <v>0</v>
      </c>
      <c r="N21" s="43">
        <f t="shared" si="0"/>
        <v>0</v>
      </c>
      <c r="O21" s="43">
        <f t="shared" si="0"/>
        <v>0</v>
      </c>
      <c r="P21" s="43">
        <f t="shared" si="0"/>
        <v>0</v>
      </c>
      <c r="Q21" s="5"/>
    </row>
    <row r="22" spans="3:17" x14ac:dyDescent="0.35">
      <c r="D22" s="3" t="str">
        <f>'KPI 100'!D22</f>
        <v>% realisation</v>
      </c>
      <c r="E22" s="9">
        <f>E20/E19</f>
        <v>1.0702100470894351</v>
      </c>
      <c r="F22" s="9">
        <f t="shared" ref="F22:P22" si="1">F20/F19</f>
        <v>1.4850398003613059</v>
      </c>
      <c r="G22" s="9">
        <f t="shared" si="1"/>
        <v>0.86221954472676254</v>
      </c>
      <c r="H22" s="9">
        <f t="shared" si="1"/>
        <v>1.084389412244523</v>
      </c>
      <c r="I22" s="9">
        <f t="shared" si="1"/>
        <v>0.68268232594420741</v>
      </c>
      <c r="J22" s="9">
        <f t="shared" si="1"/>
        <v>0.47895630862332628</v>
      </c>
      <c r="K22" s="9">
        <f t="shared" si="1"/>
        <v>0.79619762482055489</v>
      </c>
      <c r="L22" s="9">
        <f t="shared" si="1"/>
        <v>0.76513449177252701</v>
      </c>
      <c r="M22" s="9">
        <f t="shared" si="1"/>
        <v>0</v>
      </c>
      <c r="N22" s="9">
        <f t="shared" si="1"/>
        <v>0</v>
      </c>
      <c r="O22" s="9">
        <f t="shared" si="1"/>
        <v>0</v>
      </c>
      <c r="P22" s="9">
        <f t="shared" si="1"/>
        <v>0</v>
      </c>
    </row>
    <row r="23" spans="3:17" x14ac:dyDescent="0.35">
      <c r="D23" s="3" t="str">
        <f>'KPI 100'!D23</f>
        <v>Actual 2024/25</v>
      </c>
      <c r="E23" s="5">
        <f>Actuals2425!D104</f>
        <v>4103</v>
      </c>
      <c r="F23" s="5">
        <f>Actuals2425!E104</f>
        <v>8205</v>
      </c>
      <c r="G23" s="5">
        <f>Actuals2425!F104</f>
        <v>10559</v>
      </c>
      <c r="H23" s="5">
        <f>Actuals2425!G104</f>
        <v>9172</v>
      </c>
      <c r="I23" s="5">
        <f>Actuals2425!H104</f>
        <v>17076</v>
      </c>
      <c r="J23" s="5">
        <f>Actuals2425!I104</f>
        <v>7626</v>
      </c>
      <c r="K23" s="5">
        <f>Actuals2425!J104</f>
        <v>10742</v>
      </c>
      <c r="L23" s="5">
        <f>Actuals2425!K104</f>
        <v>9077</v>
      </c>
      <c r="M23" s="5">
        <f>Actuals2425!L104</f>
        <v>12828</v>
      </c>
      <c r="N23" s="5">
        <f>Actuals2425!M104</f>
        <v>6907</v>
      </c>
      <c r="O23" s="5">
        <f>Actuals2425!N104</f>
        <v>10597</v>
      </c>
      <c r="P23" s="5">
        <f>Actuals2425!O104</f>
        <v>9757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43">
        <f>SUM($E19:E19)</f>
        <v>11163.229155333855</v>
      </c>
      <c r="F26" s="43">
        <f>SUM($E19:F19)</f>
        <v>23247.753755707388</v>
      </c>
      <c r="G26" s="43">
        <f>SUM($E19:G19)</f>
        <v>36213.129069187002</v>
      </c>
      <c r="H26" s="43">
        <f>SUM($E19:H19)</f>
        <v>50713.455079797604</v>
      </c>
      <c r="I26" s="43">
        <f>SUM($E19:I19)</f>
        <v>66748.731787539189</v>
      </c>
      <c r="J26" s="43">
        <f>SUM($E19:J19)</f>
        <v>84278.514460478167</v>
      </c>
      <c r="K26" s="43">
        <f>SUM($E19:K19)</f>
        <v>103036.42020450247</v>
      </c>
      <c r="L26" s="43">
        <f>SUM($E19:L19)</f>
        <v>123022.44901961212</v>
      </c>
      <c r="M26" s="43">
        <f>SUM($E19:M19)</f>
        <v>144196.15617387352</v>
      </c>
      <c r="N26" s="43">
        <f>SUM($E19:N19)</f>
        <v>166250.71404124098</v>
      </c>
      <c r="O26" s="43">
        <f>SUM($E19:O19)</f>
        <v>189186.12262171452</v>
      </c>
      <c r="P26" s="43">
        <f>SUM($E19:P19)</f>
        <v>213002.38191529416</v>
      </c>
    </row>
    <row r="27" spans="3:17" x14ac:dyDescent="0.35">
      <c r="D27" s="3" t="str">
        <f t="shared" ref="D27:D30" si="3">D20</f>
        <v>Actual 2025/26</v>
      </c>
      <c r="E27" s="43">
        <f>SUM($E20:E20)</f>
        <v>11947</v>
      </c>
      <c r="F27" s="43">
        <f>SUM($E20:F20)</f>
        <v>29893</v>
      </c>
      <c r="G27" s="43">
        <f>SUM($E20:G20)</f>
        <v>41072</v>
      </c>
      <c r="H27" s="43">
        <f>SUM($E20:H20)</f>
        <v>56796</v>
      </c>
      <c r="I27" s="43">
        <f>SUM($E20:I20)</f>
        <v>67743</v>
      </c>
      <c r="J27" s="43">
        <f>SUM($E20:J20)</f>
        <v>76139</v>
      </c>
      <c r="K27" s="43">
        <f>SUM($E20:K20)</f>
        <v>91074</v>
      </c>
      <c r="L27" s="43">
        <f>SUM($E20:L20)</f>
        <v>106366</v>
      </c>
      <c r="M27" s="43">
        <f>SUM($E20:M20)</f>
        <v>106366</v>
      </c>
      <c r="N27" s="43">
        <f>SUM($E20:N20)</f>
        <v>106366</v>
      </c>
      <c r="O27" s="43">
        <f>SUM($E20:O20)</f>
        <v>106366</v>
      </c>
      <c r="P27" s="43">
        <f>SUM($E20:P20)</f>
        <v>106366</v>
      </c>
    </row>
    <row r="28" spans="3:17" x14ac:dyDescent="0.35">
      <c r="D28" s="3" t="str">
        <f t="shared" si="3"/>
        <v>Difference</v>
      </c>
      <c r="E28" s="43">
        <f>IF(E27=0,0,E27-E26)</f>
        <v>783.77084466614542</v>
      </c>
      <c r="F28" s="43">
        <f t="shared" ref="F28:P28" si="4">IF(F27=0,0,F27-F26)</f>
        <v>6645.2462442926117</v>
      </c>
      <c r="G28" s="43">
        <f t="shared" si="4"/>
        <v>4858.8709308129983</v>
      </c>
      <c r="H28" s="43">
        <f t="shared" si="4"/>
        <v>6082.5449202023956</v>
      </c>
      <c r="I28" s="43">
        <f t="shared" si="4"/>
        <v>994.2682124608109</v>
      </c>
      <c r="J28" s="43">
        <f t="shared" si="4"/>
        <v>-8139.5144604781672</v>
      </c>
      <c r="K28" s="43">
        <f t="shared" si="4"/>
        <v>-11962.420204502472</v>
      </c>
      <c r="L28" s="43">
        <f t="shared" si="4"/>
        <v>-16656.449019612119</v>
      </c>
      <c r="M28" s="43">
        <f t="shared" si="4"/>
        <v>-37830.156173873518</v>
      </c>
      <c r="N28" s="43">
        <f t="shared" si="4"/>
        <v>-59884.714041240979</v>
      </c>
      <c r="O28" s="43">
        <f t="shared" si="4"/>
        <v>-82820.122621714516</v>
      </c>
      <c r="P28" s="43">
        <f t="shared" si="4"/>
        <v>-106636.38191529416</v>
      </c>
    </row>
    <row r="29" spans="3:17" x14ac:dyDescent="0.35">
      <c r="D29" s="3" t="str">
        <f t="shared" si="3"/>
        <v>% realisation</v>
      </c>
      <c r="E29" s="9">
        <f t="shared" ref="E29:P29" si="5">E27/E26</f>
        <v>1.0702100470894351</v>
      </c>
      <c r="F29" s="9">
        <f t="shared" si="5"/>
        <v>1.2858446589774801</v>
      </c>
      <c r="G29" s="9">
        <f t="shared" si="5"/>
        <v>1.1341742913607349</v>
      </c>
      <c r="H29" s="9">
        <f t="shared" si="5"/>
        <v>1.119939469922361</v>
      </c>
      <c r="I29" s="9">
        <f t="shared" si="5"/>
        <v>1.0148956869416719</v>
      </c>
      <c r="J29" s="9">
        <f t="shared" si="5"/>
        <v>0.90342123953436393</v>
      </c>
      <c r="K29" s="9">
        <f t="shared" si="5"/>
        <v>0.88390104993205365</v>
      </c>
      <c r="L29" s="9">
        <f t="shared" si="5"/>
        <v>0.86460642628763829</v>
      </c>
      <c r="M29" s="9">
        <f t="shared" si="5"/>
        <v>0.73764795693820406</v>
      </c>
      <c r="N29" s="9">
        <f t="shared" si="5"/>
        <v>0.63979274082163839</v>
      </c>
      <c r="O29" s="9">
        <f t="shared" si="5"/>
        <v>0.5622293988903363</v>
      </c>
      <c r="P29" s="9">
        <f t="shared" si="5"/>
        <v>0.49936530776589699</v>
      </c>
    </row>
    <row r="30" spans="3:17" x14ac:dyDescent="0.35">
      <c r="D30" s="3" t="str">
        <f t="shared" si="3"/>
        <v>Actual 2024/25</v>
      </c>
      <c r="E30" s="43">
        <f>SUM($E23:E23)</f>
        <v>4103</v>
      </c>
      <c r="F30" s="43">
        <f>SUM($E23:F23)</f>
        <v>12308</v>
      </c>
      <c r="G30" s="43">
        <f>SUM($E23:G23)</f>
        <v>22867</v>
      </c>
      <c r="H30" s="43">
        <f>SUM($E23:H23)</f>
        <v>32039</v>
      </c>
      <c r="I30" s="43">
        <f>SUM($E23:I23)</f>
        <v>49115</v>
      </c>
      <c r="J30" s="43">
        <f>SUM($E23:J23)</f>
        <v>56741</v>
      </c>
      <c r="K30" s="43">
        <f>SUM($E23:K23)</f>
        <v>67483</v>
      </c>
      <c r="L30" s="43">
        <f>SUM($E23:L23)</f>
        <v>76560</v>
      </c>
      <c r="M30" s="43">
        <f>SUM($E23:M23)</f>
        <v>89388</v>
      </c>
      <c r="N30" s="43">
        <f>SUM($E23:N23)</f>
        <v>96295</v>
      </c>
      <c r="O30" s="43">
        <f>SUM($E23:O23)</f>
        <v>106892</v>
      </c>
      <c r="P30" s="43">
        <f>SUM($E23:P23)</f>
        <v>116649</v>
      </c>
    </row>
  </sheetData>
  <sheetProtection algorithmName="SHA-512" hashValue="KdemNhV12xQEjjbkN7oXLDvEDrq0QSc9r+M34gqZCod+O5IscemK45uotpdhEDr4xNpvIJ6YRl/o4kcYSoU0Qw==" saltValue="nY1G73F+V9a2XqSHsqDpoQ==" spinCount="100000" sheet="1" objects="1" scenarios="1"/>
  <mergeCells count="3">
    <mergeCell ref="C1:F1"/>
    <mergeCell ref="J4:Q8"/>
    <mergeCell ref="J10:Q15"/>
  </mergeCells>
  <conditionalFormatting sqref="C3">
    <cfRule type="expression" dxfId="38" priority="2">
      <formula>S4&lt;S6</formula>
    </cfRule>
  </conditionalFormatting>
  <conditionalFormatting sqref="C4">
    <cfRule type="expression" dxfId="37" priority="1">
      <formula>AND(S4&gt;=S6,S4&lt;S5)</formula>
    </cfRule>
  </conditionalFormatting>
  <conditionalFormatting sqref="C5">
    <cfRule type="expression" dxfId="36" priority="3">
      <formula>S4&gt;=S5</formula>
    </cfRule>
  </conditionalFormatting>
  <hyperlinks>
    <hyperlink ref="L1" location="'Distribution Dashboard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8769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57150</xdr:rowOff>
                  </from>
                  <to>
                    <xdr:col>9</xdr:col>
                    <xdr:colOff>628650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S30"/>
  <sheetViews>
    <sheetView zoomScale="90" zoomScaleNormal="90" zoomScalePageLayoutView="90" workbookViewId="0">
      <pane ySplit="2" topLeftCell="A3" activePane="bottomLeft" state="frozen"/>
      <selection activeCell="D26" sqref="D26:D30"/>
      <selection pane="bottomLeft"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 t="s">
        <v>72</v>
      </c>
      <c r="C1" s="124" t="s">
        <v>124</v>
      </c>
      <c r="D1" s="124"/>
      <c r="E1" s="124"/>
      <c r="F1" s="124"/>
      <c r="G1" s="3" t="s">
        <v>10</v>
      </c>
      <c r="I1" s="12">
        <f>INDEX(E$18:P$18,Actual_month)</f>
        <v>46054</v>
      </c>
      <c r="L1" s="15" t="s">
        <v>21</v>
      </c>
      <c r="R1" s="5"/>
    </row>
    <row r="2" spans="1:19" x14ac:dyDescent="0.35">
      <c r="A2" s="3" t="s">
        <v>14</v>
      </c>
      <c r="C2" s="3" t="s">
        <v>1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/>
      <c r="K4" s="135"/>
      <c r="L4" s="135"/>
      <c r="M4" s="135"/>
      <c r="N4" s="135"/>
      <c r="O4" s="135"/>
      <c r="P4" s="135"/>
      <c r="Q4" s="136"/>
      <c r="R4" s="3" t="s">
        <v>25</v>
      </c>
      <c r="S4" s="9">
        <f>INDEX(E27:P27,Actual_month)</f>
        <v>0.39286040458468424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9">
        <f>INDEX(E26:P26,Actual_month)</f>
        <v>0.4039119351301193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1.1000000000000001</v>
      </c>
      <c r="S6" s="9">
        <f>+S5*R6</f>
        <v>0.44430312864313126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9">
        <f>Budget2526!D105</f>
        <v>0.45918365723323434</v>
      </c>
      <c r="F19" s="9">
        <f>Budget2526!E105</f>
        <v>0.44472787448632384</v>
      </c>
      <c r="G19" s="9">
        <f>Budget2526!F105</f>
        <v>0.43027209173941344</v>
      </c>
      <c r="H19" s="9">
        <f>Budget2526!G105</f>
        <v>0.41581630899250321</v>
      </c>
      <c r="I19" s="9">
        <f>Budget2526!H105</f>
        <v>0.40136052624559282</v>
      </c>
      <c r="J19" s="9">
        <f>Budget2526!I105</f>
        <v>0.38690474349868237</v>
      </c>
      <c r="K19" s="9">
        <f>Budget2526!J105</f>
        <v>0.37244896075177192</v>
      </c>
      <c r="L19" s="9">
        <f>Budget2526!K105</f>
        <v>0.35799317800486158</v>
      </c>
      <c r="M19" s="9">
        <f>Budget2526!L105</f>
        <v>0.34353739525795113</v>
      </c>
      <c r="N19" s="9">
        <f>Budget2526!M105</f>
        <v>0.32908161251104079</v>
      </c>
      <c r="O19" s="9">
        <f>Budget2526!N105</f>
        <v>0.31462582976413028</v>
      </c>
      <c r="P19" s="9">
        <f>Budget2526!O105</f>
        <v>0.30017004701721989</v>
      </c>
      <c r="Q19" s="5"/>
    </row>
    <row r="20" spans="3:17" x14ac:dyDescent="0.35">
      <c r="D20" s="3" t="str">
        <f>'KPI 100'!D20</f>
        <v>Actual 2025/26</v>
      </c>
      <c r="E20" s="9">
        <f>Actuals2526!D105</f>
        <v>0.38264778834229018</v>
      </c>
      <c r="F20" s="9">
        <f>Actuals2526!E105</f>
        <v>0.36854327938071779</v>
      </c>
      <c r="G20" s="9">
        <f>Actuals2526!F105</f>
        <v>0.37766520069030785</v>
      </c>
      <c r="H20" s="9">
        <f>Actuals2526!G105</f>
        <v>0.40014496623812612</v>
      </c>
      <c r="I20" s="9">
        <f>Actuals2526!H105</f>
        <v>0.36447024673439765</v>
      </c>
      <c r="J20" s="9">
        <f>Actuals2526!I105</f>
        <v>0.44171819934836093</v>
      </c>
      <c r="K20" s="9">
        <f>Actuals2526!J105</f>
        <v>0.42575361427253156</v>
      </c>
      <c r="L20" s="9">
        <f>Actuals2526!K105</f>
        <v>0.38763415024827808</v>
      </c>
      <c r="M20" s="9" t="e">
        <f>Actuals2526!L105</f>
        <v>#DIV/0!</v>
      </c>
      <c r="N20" s="9" t="e">
        <f>Actuals2526!M105</f>
        <v>#DIV/0!</v>
      </c>
      <c r="O20" s="9" t="e">
        <f>Actuals2526!N105</f>
        <v>#DIV/0!</v>
      </c>
      <c r="P20" s="9" t="e">
        <f>Actuals2526!O105</f>
        <v>#DIV/0!</v>
      </c>
      <c r="Q20" s="5"/>
    </row>
    <row r="21" spans="3:17" x14ac:dyDescent="0.35">
      <c r="D21" s="3" t="str">
        <f>'KPI 100'!D21</f>
        <v>Difference</v>
      </c>
      <c r="E21" s="9">
        <f>IF(E20=0,0,E20-E19)</f>
        <v>-7.6535868890944159E-2</v>
      </c>
      <c r="F21" s="9">
        <f t="shared" ref="F21:P21" si="0">IF(F20=0,0,F20-F19)</f>
        <v>-7.6184595105606046E-2</v>
      </c>
      <c r="G21" s="9">
        <f t="shared" si="0"/>
        <v>-5.2606891049105597E-2</v>
      </c>
      <c r="H21" s="9">
        <f t="shared" si="0"/>
        <v>-1.5671342754377093E-2</v>
      </c>
      <c r="I21" s="9">
        <f t="shared" si="0"/>
        <v>-3.6890279511195168E-2</v>
      </c>
      <c r="J21" s="9">
        <f t="shared" si="0"/>
        <v>5.4813455849678561E-2</v>
      </c>
      <c r="K21" s="9">
        <f t="shared" si="0"/>
        <v>5.3304653520759637E-2</v>
      </c>
      <c r="L21" s="9">
        <f t="shared" si="0"/>
        <v>2.9640972243416497E-2</v>
      </c>
      <c r="M21" s="9" t="e">
        <f t="shared" si="0"/>
        <v>#DIV/0!</v>
      </c>
      <c r="N21" s="9" t="e">
        <f t="shared" si="0"/>
        <v>#DIV/0!</v>
      </c>
      <c r="O21" s="9" t="e">
        <f t="shared" si="0"/>
        <v>#DIV/0!</v>
      </c>
      <c r="P21" s="9" t="e">
        <f t="shared" si="0"/>
        <v>#DIV/0!</v>
      </c>
      <c r="Q21" s="5"/>
    </row>
    <row r="22" spans="3:17" x14ac:dyDescent="0.35">
      <c r="D22" s="3" t="str">
        <f>'KPI 100'!D22</f>
        <v>% realisation</v>
      </c>
      <c r="E22" s="9">
        <f>E20/E19</f>
        <v>0.83332187963286097</v>
      </c>
      <c r="F22" s="9">
        <f t="shared" ref="F22:P22" si="1">F20/F19</f>
        <v>0.82869390592257819</v>
      </c>
      <c r="G22" s="9">
        <f t="shared" si="1"/>
        <v>0.87773575823512617</v>
      </c>
      <c r="H22" s="9">
        <f t="shared" si="1"/>
        <v>0.9623118612342364</v>
      </c>
      <c r="I22" s="9">
        <f t="shared" si="1"/>
        <v>0.90808692659371792</v>
      </c>
      <c r="J22" s="9">
        <f t="shared" si="1"/>
        <v>1.1416717080127119</v>
      </c>
      <c r="K22" s="9">
        <f t="shared" si="1"/>
        <v>1.1431193509391637</v>
      </c>
      <c r="L22" s="9">
        <f t="shared" si="1"/>
        <v>1.082797589631761</v>
      </c>
      <c r="M22" s="9" t="e">
        <f t="shared" si="1"/>
        <v>#DIV/0!</v>
      </c>
      <c r="N22" s="9" t="e">
        <f t="shared" si="1"/>
        <v>#DIV/0!</v>
      </c>
      <c r="O22" s="9" t="e">
        <f t="shared" si="1"/>
        <v>#DIV/0!</v>
      </c>
      <c r="P22" s="9" t="e">
        <f t="shared" si="1"/>
        <v>#DIV/0!</v>
      </c>
    </row>
    <row r="23" spans="3:17" x14ac:dyDescent="0.35">
      <c r="D23" s="3" t="str">
        <f>'KPI 100'!D23</f>
        <v>Actual 2024/25</v>
      </c>
      <c r="E23" s="9">
        <f>Actuals2425!D105</f>
        <v>0.45934905784688362</v>
      </c>
      <c r="F23" s="9">
        <f>Actuals2425!E105</f>
        <v>0.4869309654827414</v>
      </c>
      <c r="G23" s="9">
        <f>Actuals2425!F105</f>
        <v>0.48273159261255083</v>
      </c>
      <c r="H23" s="9">
        <f>Actuals2425!G105</f>
        <v>0.56286340672957769</v>
      </c>
      <c r="I23" s="9">
        <f>Actuals2425!H105</f>
        <v>0.4140214817610926</v>
      </c>
      <c r="J23" s="9">
        <f>Actuals2425!I105</f>
        <v>0.33640793595544727</v>
      </c>
      <c r="K23" s="9">
        <f>Actuals2425!J105</f>
        <v>0.51529645338868335</v>
      </c>
      <c r="L23" s="9">
        <f>Actuals2425!K105</f>
        <v>0.5051788050588748</v>
      </c>
      <c r="M23" s="9">
        <f>Actuals2425!L105</f>
        <v>0.41515455457280936</v>
      </c>
      <c r="N23" s="9">
        <f>Actuals2425!M105</f>
        <v>0.47590864253737009</v>
      </c>
      <c r="O23" s="9">
        <f>Actuals2425!N105</f>
        <v>0.40325487104403651</v>
      </c>
      <c r="P23" s="9">
        <f>Actuals2425!O105</f>
        <v>0.35533531549388836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9">
        <f>('KPI 103 (5)'!E26-'KPI 110 (5)'!E26)/'KPI 103 (5)'!E26</f>
        <v>0.45918365723323434</v>
      </c>
      <c r="F26" s="9">
        <f>('KPI 103 (5)'!F26-'KPI 110 (5)'!F26)/'KPI 103 (5)'!F26</f>
        <v>0.45176455381721958</v>
      </c>
      <c r="G26" s="9">
        <f>('KPI 103 (5)'!G26-'KPI 110 (5)'!G26)/'KPI 103 (5)'!G26</f>
        <v>0.44425851978728365</v>
      </c>
      <c r="H26" s="9">
        <f>('KPI 103 (5)'!H26-'KPI 110 (5)'!H26)/'KPI 103 (5)'!H26</f>
        <v>0.43641285831130378</v>
      </c>
      <c r="I26" s="9">
        <f>('KPI 103 (5)'!I26-'KPI 110 (5)'!I26)/'KPI 103 (5)'!I26</f>
        <v>0.42837207340548894</v>
      </c>
      <c r="J26" s="9">
        <f>('KPI 103 (5)'!J26-'KPI 110 (5)'!J26)/'KPI 103 (5)'!J26</f>
        <v>0.4202155642402291</v>
      </c>
      <c r="K26" s="9">
        <f>('KPI 103 (5)'!K26-'KPI 110 (5)'!K26)/'KPI 103 (5)'!K26</f>
        <v>0.41206860492310593</v>
      </c>
      <c r="L26" s="9">
        <f>('KPI 103 (5)'!L26-'KPI 110 (5)'!L26)/'KPI 103 (5)'!L26</f>
        <v>0.4039119351301193</v>
      </c>
      <c r="M26" s="9">
        <f>('KPI 103 (5)'!M26-'KPI 110 (5)'!M26)/'KPI 103 (5)'!M26</f>
        <v>0.3957517033256413</v>
      </c>
      <c r="N26" s="9">
        <f>('KPI 103 (5)'!N26-'KPI 110 (5)'!N26)/'KPI 103 (5)'!N26</f>
        <v>0.3876798221568763</v>
      </c>
      <c r="O26" s="9">
        <f>('KPI 103 (5)'!O26-'KPI 110 (5)'!O26)/'KPI 103 (5)'!O26</f>
        <v>0.37966376927357592</v>
      </c>
      <c r="P26" s="9">
        <f>('KPI 103 (5)'!P26-'KPI 110 (5)'!P26)/'KPI 103 (5)'!P26</f>
        <v>0.37168368024226428</v>
      </c>
    </row>
    <row r="27" spans="3:17" x14ac:dyDescent="0.35">
      <c r="D27" s="3" t="str">
        <f t="shared" ref="D27:D30" si="3">D20</f>
        <v>Actual 2025/26</v>
      </c>
      <c r="E27" s="9">
        <f>('KPI 103 (5)'!E27-'KPI 110 (5)'!E27)/'KPI 103 (5)'!E27</f>
        <v>0.38264778834229018</v>
      </c>
      <c r="F27" s="9">
        <f>('KPI 103 (5)'!F27-'KPI 110 (5)'!F27)/'KPI 103 (5)'!F27</f>
        <v>0.37425688687934355</v>
      </c>
      <c r="G27" s="9">
        <f>('KPI 103 (5)'!G27-'KPI 110 (5)'!G27)/'KPI 103 (5)'!G27</f>
        <v>0.37518825587586524</v>
      </c>
      <c r="H27" s="9">
        <f>('KPI 103 (5)'!H27-'KPI 110 (5)'!H27)/'KPI 103 (5)'!H27</f>
        <v>0.3823030408491756</v>
      </c>
      <c r="I27" s="9">
        <f>('KPI 103 (5)'!I27-'KPI 110 (5)'!I27)/'KPI 103 (5)'!I27</f>
        <v>0.37948943420076392</v>
      </c>
      <c r="J27" s="9">
        <f>('KPI 103 (5)'!J27-'KPI 110 (5)'!J27)/'KPI 103 (5)'!J27</f>
        <v>0.38702379802273534</v>
      </c>
      <c r="K27" s="9">
        <f>('KPI 103 (5)'!K27-'KPI 110 (5)'!K27)/'KPI 103 (5)'!K27</f>
        <v>0.39372919717747307</v>
      </c>
      <c r="L27" s="9">
        <f>('KPI 103 (5)'!L27-'KPI 110 (5)'!L27)/'KPI 103 (5)'!L27</f>
        <v>0.39286040458468424</v>
      </c>
      <c r="M27" s="9">
        <f>('KPI 103 (5)'!M27-'KPI 110 (5)'!M27)/'KPI 103 (5)'!M27</f>
        <v>0.39286040458468424</v>
      </c>
      <c r="N27" s="9">
        <f>('KPI 103 (5)'!N27-'KPI 110 (5)'!N27)/'KPI 103 (5)'!N27</f>
        <v>0.39286040458468424</v>
      </c>
      <c r="O27" s="9">
        <f>('KPI 103 (5)'!O27-'KPI 110 (5)'!O27)/'KPI 103 (5)'!O27</f>
        <v>0.39286040458468424</v>
      </c>
      <c r="P27" s="9">
        <f>('KPI 103 (5)'!P27-'KPI 110 (5)'!P27)/'KPI 103 (5)'!P27</f>
        <v>0.39286040458468424</v>
      </c>
    </row>
    <row r="28" spans="3:17" x14ac:dyDescent="0.35">
      <c r="D28" s="3" t="str">
        <f t="shared" si="3"/>
        <v>Difference</v>
      </c>
      <c r="E28" s="9">
        <f>IF(E27=0,0,E27-E26)</f>
        <v>-7.6535868890944159E-2</v>
      </c>
      <c r="F28" s="9">
        <f t="shared" ref="F28:P28" si="4">IF(F27=0,0,F27-F26)</f>
        <v>-7.750766693787603E-2</v>
      </c>
      <c r="G28" s="9">
        <f t="shared" si="4"/>
        <v>-6.9070263911418406E-2</v>
      </c>
      <c r="H28" s="9">
        <f t="shared" si="4"/>
        <v>-5.4109817462128174E-2</v>
      </c>
      <c r="I28" s="9">
        <f t="shared" si="4"/>
        <v>-4.888263920472502E-2</v>
      </c>
      <c r="J28" s="9">
        <f t="shared" si="4"/>
        <v>-3.3191766217493757E-2</v>
      </c>
      <c r="K28" s="9">
        <f t="shared" si="4"/>
        <v>-1.8339407745632863E-2</v>
      </c>
      <c r="L28" s="9">
        <f t="shared" si="4"/>
        <v>-1.1051530545435062E-2</v>
      </c>
      <c r="M28" s="9">
        <f t="shared" si="4"/>
        <v>-2.8912987409570601E-3</v>
      </c>
      <c r="N28" s="9">
        <f t="shared" si="4"/>
        <v>5.1805824278079449E-3</v>
      </c>
      <c r="O28" s="9">
        <f t="shared" si="4"/>
        <v>1.3196635311108318E-2</v>
      </c>
      <c r="P28" s="9">
        <f t="shared" si="4"/>
        <v>2.1176724342419961E-2</v>
      </c>
    </row>
    <row r="29" spans="3:17" x14ac:dyDescent="0.35">
      <c r="D29" s="3" t="str">
        <f t="shared" si="3"/>
        <v>% realisation</v>
      </c>
      <c r="E29" s="9">
        <f t="shared" ref="E29:P29" si="5">E27/E26</f>
        <v>0.83332187963286097</v>
      </c>
      <c r="F29" s="9">
        <f t="shared" si="5"/>
        <v>0.82843349199717198</v>
      </c>
      <c r="G29" s="9">
        <f t="shared" si="5"/>
        <v>0.84452686704919</v>
      </c>
      <c r="H29" s="9">
        <f t="shared" si="5"/>
        <v>0.87601232082962521</v>
      </c>
      <c r="I29" s="9">
        <f t="shared" si="5"/>
        <v>0.88588742768379858</v>
      </c>
      <c r="J29" s="9">
        <f t="shared" si="5"/>
        <v>0.92101252537490819</v>
      </c>
      <c r="K29" s="9">
        <f t="shared" si="5"/>
        <v>0.95549428535315106</v>
      </c>
      <c r="L29" s="9">
        <f t="shared" si="5"/>
        <v>0.97263876210571787</v>
      </c>
      <c r="M29" s="9">
        <f t="shared" si="5"/>
        <v>0.99269415970503616</v>
      </c>
      <c r="N29" s="9">
        <f t="shared" si="5"/>
        <v>1.0133630437585983</v>
      </c>
      <c r="O29" s="9">
        <f t="shared" si="5"/>
        <v>1.0347587428117198</v>
      </c>
      <c r="P29" s="9">
        <f t="shared" si="5"/>
        <v>1.0569751255385142</v>
      </c>
    </row>
    <row r="30" spans="3:17" x14ac:dyDescent="0.35">
      <c r="D30" s="3" t="str">
        <f t="shared" si="3"/>
        <v>Actual 2024/25</v>
      </c>
      <c r="E30" s="9">
        <f>('KPI 103 (5)'!E30-'KPI 110 (5)'!E30)/'KPI 103 (5)'!E30</f>
        <v>0.45934905784688362</v>
      </c>
      <c r="F30" s="9">
        <f>('KPI 103 (5)'!F30-'KPI 110 (5)'!F30)/'KPI 103 (5)'!F30</f>
        <v>0.478054365802977</v>
      </c>
      <c r="G30" s="9">
        <f>('KPI 103 (5)'!G30-'KPI 110 (5)'!G30)/'KPI 103 (5)'!G30</f>
        <v>0.48022457607855618</v>
      </c>
      <c r="H30" s="9">
        <f>('KPI 103 (5)'!H30-'KPI 110 (5)'!H30)/'KPI 103 (5)'!H30</f>
        <v>0.50691024378231964</v>
      </c>
      <c r="I30" s="9">
        <f>('KPI 103 (5)'!I30-'KPI 110 (5)'!I30)/'KPI 103 (5)'!I30</f>
        <v>0.4781495372780688</v>
      </c>
      <c r="J30" s="9">
        <f>('KPI 103 (5)'!J30-'KPI 110 (5)'!J30)/'KPI 103 (5)'!J30</f>
        <v>0.46272571466446988</v>
      </c>
      <c r="K30" s="9">
        <f>('KPI 103 (5)'!K30-'KPI 110 (5)'!K30)/'KPI 103 (5)'!K30</f>
        <v>0.47184415869015661</v>
      </c>
      <c r="L30" s="9">
        <f>('KPI 103 (5)'!L30-'KPI 110 (5)'!L30)/'KPI 103 (5)'!L30</f>
        <v>0.4760291551175444</v>
      </c>
      <c r="M30" s="9">
        <f>('KPI 103 (5)'!M30-'KPI 110 (5)'!M30)/'KPI 103 (5)'!M30</f>
        <v>0.46808371367874846</v>
      </c>
      <c r="N30" s="9">
        <f>('KPI 103 (5)'!N30-'KPI 110 (5)'!N30)/'KPI 103 (5)'!N30</f>
        <v>0.46865274681616526</v>
      </c>
      <c r="O30" s="9">
        <f>('KPI 103 (5)'!O30-'KPI 110 (5)'!O30)/'KPI 103 (5)'!O30</f>
        <v>0.46281647955132521</v>
      </c>
      <c r="P30" s="9">
        <f>('KPI 103 (5)'!P30-'KPI 110 (5)'!P30)/'KPI 103 (5)'!P30</f>
        <v>0.45521924519313844</v>
      </c>
    </row>
  </sheetData>
  <sheetProtection algorithmName="SHA-512" hashValue="NjR+b+5CBCH2FrbTMh9beVcZrtrloNyUAExES+vdA5u5WpTdA+6XTN0GzLrySDWe70xSDzfJuTYGUaYwvo7XLA==" saltValue="o46beFmQeAX0ys9smabOWA==" spinCount="100000" sheet="1" objects="1" scenarios="1"/>
  <mergeCells count="3">
    <mergeCell ref="C1:F1"/>
    <mergeCell ref="J4:Q8"/>
    <mergeCell ref="J10:Q15"/>
  </mergeCells>
  <conditionalFormatting sqref="C3">
    <cfRule type="expression" dxfId="35" priority="2">
      <formula>S4&gt;S6</formula>
    </cfRule>
  </conditionalFormatting>
  <conditionalFormatting sqref="C4">
    <cfRule type="expression" dxfId="34" priority="1">
      <formula>AND(S4&gt;S5,S4&lt;=S6)</formula>
    </cfRule>
  </conditionalFormatting>
  <conditionalFormatting sqref="C5">
    <cfRule type="expression" dxfId="33" priority="3">
      <formula>S4&lt;=S5</formula>
    </cfRule>
  </conditionalFormatting>
  <hyperlinks>
    <hyperlink ref="L1" location="'Distribution Dashboard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9793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57150</xdr:rowOff>
                  </from>
                  <to>
                    <xdr:col>9</xdr:col>
                    <xdr:colOff>628650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S30"/>
  <sheetViews>
    <sheetView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 t="s">
        <v>72</v>
      </c>
      <c r="C1" s="124" t="s">
        <v>193</v>
      </c>
      <c r="D1" s="124"/>
      <c r="E1" s="124"/>
      <c r="F1" s="124"/>
      <c r="G1" s="3" t="s">
        <v>10</v>
      </c>
      <c r="I1" s="12">
        <f>INDEX(E$18:P$18,Actual_month)</f>
        <v>46054</v>
      </c>
      <c r="L1" s="15" t="s">
        <v>21</v>
      </c>
      <c r="R1" s="5"/>
    </row>
    <row r="2" spans="1:19" x14ac:dyDescent="0.35">
      <c r="A2" s="3" t="s">
        <v>14</v>
      </c>
      <c r="C2" s="3" t="s">
        <v>1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/>
      <c r="K4" s="135"/>
      <c r="L4" s="135"/>
      <c r="M4" s="135"/>
      <c r="N4" s="135"/>
      <c r="O4" s="135"/>
      <c r="P4" s="135"/>
      <c r="Q4" s="136"/>
      <c r="R4" s="3" t="s">
        <v>25</v>
      </c>
      <c r="S4" s="9">
        <f>INDEX(E27:P27,Actual_month)</f>
        <v>0.22007343430550341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9">
        <f>INDEX(E26:P26,Actual_month)</f>
        <v>0.32919704478257789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1.1000000000000001</v>
      </c>
      <c r="S6" s="9">
        <f>+S5*R6</f>
        <v>0.3621167492608357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9">
        <f>Budget2526!D123</f>
        <v>0.38775508366026529</v>
      </c>
      <c r="F19" s="9">
        <f>Budget2526!E123</f>
        <v>0.37074828042860591</v>
      </c>
      <c r="G19" s="9">
        <f>Budget2526!F123</f>
        <v>0.35374147719694676</v>
      </c>
      <c r="H19" s="9">
        <f>Budget2526!G123</f>
        <v>0.33673467396528767</v>
      </c>
      <c r="I19" s="9">
        <f>Budget2526!H123</f>
        <v>0.31972787073362813</v>
      </c>
      <c r="J19" s="9">
        <f>Budget2526!I123</f>
        <v>0.30272106750196892</v>
      </c>
      <c r="K19" s="9">
        <f>Budget2526!J123</f>
        <v>0.2857142642703096</v>
      </c>
      <c r="L19" s="9">
        <f>Budget2526!K123</f>
        <v>0.26870746103865034</v>
      </c>
      <c r="M19" s="9">
        <f>Budget2526!L123</f>
        <v>0.25170065780699091</v>
      </c>
      <c r="N19" s="9">
        <f>Budget2526!M123</f>
        <v>0.23469385457533165</v>
      </c>
      <c r="O19" s="9">
        <f>Budget2526!N123</f>
        <v>0.2176870513436725</v>
      </c>
      <c r="P19" s="9">
        <f>Budget2526!O123</f>
        <v>0.20068024811201307</v>
      </c>
      <c r="Q19" s="5"/>
    </row>
    <row r="20" spans="3:17" x14ac:dyDescent="0.35">
      <c r="D20" s="3" t="str">
        <f>'KPI 100'!D20</f>
        <v>Actual 2025/26</v>
      </c>
      <c r="E20" s="9">
        <f>Actuals2526!D123</f>
        <v>0.30053701572688912</v>
      </c>
      <c r="F20" s="9">
        <f>Actuals2526!E123</f>
        <v>0.1985945615643141</v>
      </c>
      <c r="G20" s="9">
        <f>Actuals2526!F123</f>
        <v>0.21216768916155418</v>
      </c>
      <c r="H20" s="9">
        <f>Actuals2526!G123</f>
        <v>0.26693227091633465</v>
      </c>
      <c r="I20" s="9">
        <f>Actuals2526!H123</f>
        <v>0.26686567164179104</v>
      </c>
      <c r="J20" s="9">
        <f>Actuals2526!I123</f>
        <v>0.26806246782220694</v>
      </c>
      <c r="K20" s="9">
        <f>Actuals2526!J123</f>
        <v>0.17372473532242541</v>
      </c>
      <c r="L20" s="9">
        <f>Actuals2526!K123</f>
        <v>0.11417565485362095</v>
      </c>
      <c r="M20" s="9">
        <f>Actuals2526!L123</f>
        <v>0</v>
      </c>
      <c r="N20" s="9">
        <f>Actuals2526!M123</f>
        <v>0</v>
      </c>
      <c r="O20" s="9">
        <f>Actuals2526!N123</f>
        <v>0</v>
      </c>
      <c r="P20" s="9">
        <f>Actuals2526!O123</f>
        <v>0</v>
      </c>
      <c r="Q20" s="5"/>
    </row>
    <row r="21" spans="3:17" x14ac:dyDescent="0.35">
      <c r="D21" s="3" t="str">
        <f>'KPI 100'!D21</f>
        <v>Difference</v>
      </c>
      <c r="E21" s="9">
        <f>IF(E20=0,0,E20-E19)</f>
        <v>-8.7218067933376164E-2</v>
      </c>
      <c r="F21" s="9">
        <f t="shared" ref="F21:P21" si="0">IF(F20=0,0,F20-F19)</f>
        <v>-0.17215371886429182</v>
      </c>
      <c r="G21" s="9">
        <f t="shared" si="0"/>
        <v>-0.14157378803539258</v>
      </c>
      <c r="H21" s="9">
        <f t="shared" si="0"/>
        <v>-6.9802403048953021E-2</v>
      </c>
      <c r="I21" s="9">
        <f t="shared" si="0"/>
        <v>-5.2862199091837092E-2</v>
      </c>
      <c r="J21" s="9">
        <f t="shared" si="0"/>
        <v>-3.4658599679761981E-2</v>
      </c>
      <c r="K21" s="9">
        <f t="shared" si="0"/>
        <v>-0.11198952894788419</v>
      </c>
      <c r="L21" s="9">
        <f t="shared" si="0"/>
        <v>-0.15453180618502937</v>
      </c>
      <c r="M21" s="9">
        <f t="shared" si="0"/>
        <v>0</v>
      </c>
      <c r="N21" s="9">
        <f t="shared" si="0"/>
        <v>0</v>
      </c>
      <c r="O21" s="9">
        <f t="shared" si="0"/>
        <v>0</v>
      </c>
      <c r="P21" s="9">
        <f t="shared" si="0"/>
        <v>0</v>
      </c>
      <c r="Q21" s="5"/>
    </row>
    <row r="22" spans="3:17" x14ac:dyDescent="0.35">
      <c r="D22" s="3" t="str">
        <f>'KPI 100'!D22</f>
        <v>% realisation</v>
      </c>
      <c r="E22" s="9">
        <f>E20/E19</f>
        <v>0.77506918256217383</v>
      </c>
      <c r="F22" s="9">
        <f t="shared" ref="F22:P22" si="1">F20/F19</f>
        <v>0.53565875298120758</v>
      </c>
      <c r="G22" s="9">
        <f t="shared" si="1"/>
        <v>0.59978176956452611</v>
      </c>
      <c r="H22" s="9">
        <f t="shared" si="1"/>
        <v>0.79270800293007959</v>
      </c>
      <c r="I22" s="9">
        <f t="shared" si="1"/>
        <v>0.83466502632209472</v>
      </c>
      <c r="J22" s="9">
        <f t="shared" si="1"/>
        <v>0.88550978639920208</v>
      </c>
      <c r="K22" s="9">
        <f t="shared" si="1"/>
        <v>0.60803661926401853</v>
      </c>
      <c r="L22" s="9">
        <f t="shared" si="1"/>
        <v>0.42490690214663657</v>
      </c>
      <c r="M22" s="9">
        <f t="shared" si="1"/>
        <v>0</v>
      </c>
      <c r="N22" s="9">
        <f t="shared" si="1"/>
        <v>0</v>
      </c>
      <c r="O22" s="9">
        <f t="shared" si="1"/>
        <v>0</v>
      </c>
      <c r="P22" s="9">
        <f t="shared" si="1"/>
        <v>0</v>
      </c>
    </row>
    <row r="23" spans="3:17" x14ac:dyDescent="0.35">
      <c r="D23" s="3" t="str">
        <f>'KPI 100'!D23</f>
        <v>Actual 2024/25</v>
      </c>
      <c r="E23" s="9">
        <f>Actuals2425!D123</f>
        <v>0.30698135005776533</v>
      </c>
      <c r="F23" s="9">
        <f>Actuals2425!E123</f>
        <v>0.34680134680134678</v>
      </c>
      <c r="G23" s="9">
        <f>Actuals2425!F123</f>
        <v>0.22286821705426357</v>
      </c>
      <c r="H23" s="9">
        <f>Actuals2425!G123</f>
        <v>0.27701133724900973</v>
      </c>
      <c r="I23" s="9">
        <f>Actuals2425!H123</f>
        <v>0.19368961352657005</v>
      </c>
      <c r="J23" s="9">
        <f>Actuals2425!I123</f>
        <v>0.33108596195521312</v>
      </c>
      <c r="K23" s="9">
        <f>Actuals2425!J123</f>
        <v>0.40073327222731436</v>
      </c>
      <c r="L23" s="9">
        <f>Actuals2425!K123</f>
        <v>0.44447756744671335</v>
      </c>
      <c r="M23" s="9">
        <f>Actuals2425!L123</f>
        <v>0.19690721649484536</v>
      </c>
      <c r="N23" s="9">
        <f>Actuals2425!M123</f>
        <v>0.3098985659321441</v>
      </c>
      <c r="O23" s="9">
        <f>Actuals2425!N123</f>
        <v>0.24071903087143415</v>
      </c>
      <c r="P23" s="9">
        <f>Actuals2425!O123</f>
        <v>0.18204488778054864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9">
        <f>('KPI 103(7)'!E26-'KPI 110(7)'!E26)/'KPI 103(7)'!E26</f>
        <v>0.38775508366026529</v>
      </c>
      <c r="F26" s="9">
        <f>('KPI 103(7)'!F26-'KPI 110(7)'!F26)/'KPI 103(7)'!F26</f>
        <v>0.37930349352245696</v>
      </c>
      <c r="G26" s="9">
        <f>('KPI 103(7)'!G26-'KPI 110(7)'!G26)/'KPI 103(7)'!G26</f>
        <v>0.37088360407688853</v>
      </c>
      <c r="H26" s="9">
        <f>('KPI 103(7)'!H26-'KPI 110(7)'!H26)/'KPI 103(7)'!H26</f>
        <v>0.36249348944651932</v>
      </c>
      <c r="I26" s="9">
        <f>('KPI 103(7)'!I26-'KPI 110(7)'!I26)/'KPI 103(7)'!I26</f>
        <v>0.35413136828926606</v>
      </c>
      <c r="J26" s="9">
        <f>('KPI 103(7)'!J26-'KPI 110(7)'!J26)/'KPI 103(7)'!J26</f>
        <v>0.34579559017077954</v>
      </c>
      <c r="K26" s="9">
        <f>('KPI 103(7)'!K26-'KPI 110(7)'!K26)/'KPI 103(7)'!K26</f>
        <v>0.3374846234948552</v>
      </c>
      <c r="L26" s="9">
        <f>('KPI 103(7)'!L26-'KPI 110(7)'!L26)/'KPI 103(7)'!L26</f>
        <v>0.32919704478257789</v>
      </c>
      <c r="M26" s="9">
        <f>('KPI 103(7)'!M26-'KPI 110(7)'!M26)/'KPI 103(7)'!M26</f>
        <v>0.32093152912334039</v>
      </c>
      <c r="N26" s="9">
        <f>('KPI 103(7)'!N26-'KPI 110(7)'!N26)/'KPI 103(7)'!N26</f>
        <v>0.31268684164740629</v>
      </c>
      <c r="O26" s="9">
        <f>('KPI 103(7)'!O26-'KPI 110(7)'!O26)/'KPI 103(7)'!O26</f>
        <v>0.30446182989175247</v>
      </c>
      <c r="P26" s="9">
        <f>('KPI 103(7)'!P26-'KPI 110(7)'!P26)/'KPI 103(7)'!P26</f>
        <v>0.29625541694936031</v>
      </c>
    </row>
    <row r="27" spans="3:17" x14ac:dyDescent="0.35">
      <c r="D27" s="3" t="str">
        <f t="shared" ref="D27:D30" si="3">D20</f>
        <v>Actual 2025/26</v>
      </c>
      <c r="E27" s="9">
        <f>('KPI 103(7)'!E27-'KPI 110(7)'!E27)/'KPI 103(7)'!E27</f>
        <v>0.30053701572688912</v>
      </c>
      <c r="F27" s="9">
        <f>('KPI 103(7)'!F27-'KPI 110(7)'!F27)/'KPI 103(7)'!F27</f>
        <v>0.24379251700680271</v>
      </c>
      <c r="G27" s="9">
        <f>('KPI 103(7)'!G27-'KPI 110(7)'!G27)/'KPI 103(7)'!G27</f>
        <v>0.23589841755997959</v>
      </c>
      <c r="H27" s="9">
        <f>('KPI 103(7)'!H27-'KPI 110(7)'!H27)/'KPI 103(7)'!H27</f>
        <v>0.24662909622208307</v>
      </c>
      <c r="I27" s="9">
        <f>('KPI 103(7)'!I27-'KPI 110(7)'!I27)/'KPI 103(7)'!I27</f>
        <v>0.24911188427028017</v>
      </c>
      <c r="J27" s="9">
        <f>('KPI 103(7)'!J27-'KPI 110(7)'!J27)/'KPI 103(7)'!J27</f>
        <v>0.25244476638898949</v>
      </c>
      <c r="K27" s="9">
        <f>('KPI 103(7)'!K27-'KPI 110(7)'!K27)/'KPI 103(7)'!K27</f>
        <v>0.2366566933693659</v>
      </c>
      <c r="L27" s="9">
        <f>('KPI 103(7)'!L27-'KPI 110(7)'!L27)/'KPI 103(7)'!L27</f>
        <v>0.22007343430550341</v>
      </c>
      <c r="M27" s="9">
        <f>('KPI 103(7)'!M27-'KPI 110(7)'!M27)/'KPI 103(7)'!M27</f>
        <v>0.22007343430550341</v>
      </c>
      <c r="N27" s="9">
        <f>('KPI 103(7)'!N27-'KPI 110(7)'!N27)/'KPI 103(7)'!N27</f>
        <v>0.22007343430550341</v>
      </c>
      <c r="O27" s="9">
        <f>('KPI 103(7)'!O27-'KPI 110(7)'!O27)/'KPI 103(7)'!O27</f>
        <v>0.22007343430550341</v>
      </c>
      <c r="P27" s="9">
        <f>('KPI 103(7)'!P27-'KPI 110(7)'!P27)/'KPI 103(7)'!P27</f>
        <v>0.22007343430550341</v>
      </c>
    </row>
    <row r="28" spans="3:17" x14ac:dyDescent="0.35">
      <c r="D28" s="3" t="str">
        <f t="shared" si="3"/>
        <v>Difference</v>
      </c>
      <c r="E28" s="9">
        <f>IF(E27=0,0,E27-E26)</f>
        <v>-8.7218067933376164E-2</v>
      </c>
      <c r="F28" s="9">
        <f t="shared" ref="F28:P28" si="4">IF(F27=0,0,F27-F26)</f>
        <v>-0.13551097651565425</v>
      </c>
      <c r="G28" s="9">
        <f t="shared" si="4"/>
        <v>-0.13498518651690894</v>
      </c>
      <c r="H28" s="9">
        <f t="shared" si="4"/>
        <v>-0.11586439322443626</v>
      </c>
      <c r="I28" s="9">
        <f t="shared" si="4"/>
        <v>-0.10501948401898589</v>
      </c>
      <c r="J28" s="9">
        <f t="shared" si="4"/>
        <v>-9.3350823781790049E-2</v>
      </c>
      <c r="K28" s="9">
        <f t="shared" si="4"/>
        <v>-0.1008279301254893</v>
      </c>
      <c r="L28" s="9">
        <f t="shared" si="4"/>
        <v>-0.10912361047707447</v>
      </c>
      <c r="M28" s="9">
        <f t="shared" si="4"/>
        <v>-0.10085809481783697</v>
      </c>
      <c r="N28" s="9">
        <f t="shared" si="4"/>
        <v>-9.2613407341902876E-2</v>
      </c>
      <c r="O28" s="9">
        <f t="shared" si="4"/>
        <v>-8.4388395586249054E-2</v>
      </c>
      <c r="P28" s="9">
        <f t="shared" si="4"/>
        <v>-7.6181982643856894E-2</v>
      </c>
    </row>
    <row r="29" spans="3:17" x14ac:dyDescent="0.35">
      <c r="D29" s="3" t="str">
        <f t="shared" si="3"/>
        <v>% realisation</v>
      </c>
      <c r="E29" s="9">
        <f t="shared" ref="E29:P29" si="5">E27/E26</f>
        <v>0.77506918256217383</v>
      </c>
      <c r="F29" s="9">
        <f t="shared" si="5"/>
        <v>0.64273733611780925</v>
      </c>
      <c r="G29" s="9">
        <f t="shared" si="5"/>
        <v>0.6360443410463491</v>
      </c>
      <c r="H29" s="9">
        <f t="shared" si="5"/>
        <v>0.68036834702508397</v>
      </c>
      <c r="I29" s="9">
        <f t="shared" si="5"/>
        <v>0.70344484159561216</v>
      </c>
      <c r="J29" s="9">
        <f t="shared" si="5"/>
        <v>0.7300404445999833</v>
      </c>
      <c r="K29" s="9">
        <f t="shared" si="5"/>
        <v>0.70123696575756322</v>
      </c>
      <c r="L29" s="9">
        <f t="shared" si="5"/>
        <v>0.66851582598760428</v>
      </c>
      <c r="M29" s="9">
        <f t="shared" si="5"/>
        <v>0.68573329303810726</v>
      </c>
      <c r="N29" s="9">
        <f t="shared" si="5"/>
        <v>0.70381418401246276</v>
      </c>
      <c r="O29" s="9">
        <f t="shared" si="5"/>
        <v>0.72282766737540705</v>
      </c>
      <c r="P29" s="9">
        <f t="shared" si="5"/>
        <v>0.74285033020382252</v>
      </c>
    </row>
    <row r="30" spans="3:17" x14ac:dyDescent="0.35">
      <c r="D30" s="3" t="str">
        <f t="shared" si="3"/>
        <v>Actual 2024/25</v>
      </c>
      <c r="E30" s="9">
        <f>('KPI 103(7)'!E30-'KPI 110(7)'!E30)/'KPI 103(7)'!E30</f>
        <v>0</v>
      </c>
      <c r="F30" s="9">
        <f>('KPI 103(7)'!F30-'KPI 110(7)'!F30)/'KPI 103(7)'!F30</f>
        <v>0</v>
      </c>
      <c r="G30" s="9">
        <f>('KPI 103(7)'!G30-'KPI 110(7)'!G30)/'KPI 103(7)'!G30</f>
        <v>0</v>
      </c>
      <c r="H30" s="9">
        <f>('KPI 103(7)'!H30-'KPI 110(7)'!H30)/'KPI 103(7)'!H30</f>
        <v>0</v>
      </c>
      <c r="I30" s="9">
        <f>('KPI 103(7)'!I30-'KPI 110(7)'!I30)/'KPI 103(7)'!I30</f>
        <v>0</v>
      </c>
      <c r="J30" s="9">
        <f>('KPI 103(7)'!J30-'KPI 110(7)'!J30)/'KPI 103(7)'!J30</f>
        <v>0</v>
      </c>
      <c r="K30" s="9">
        <f>('KPI 103(7)'!K30-'KPI 110(7)'!K30)/'KPI 103(7)'!K30</f>
        <v>0</v>
      </c>
      <c r="L30" s="9">
        <f>('KPI 103(7)'!L30-'KPI 110(7)'!L30)/'KPI 103(7)'!L30</f>
        <v>0</v>
      </c>
      <c r="M30" s="9">
        <f>('KPI 103(7)'!M30-'KPI 110(7)'!M30)/'KPI 103(7)'!M30</f>
        <v>0</v>
      </c>
      <c r="N30" s="9">
        <f>('KPI 103(7)'!N30-'KPI 110(7)'!N30)/'KPI 103(7)'!N30</f>
        <v>0</v>
      </c>
      <c r="O30" s="9">
        <f>('KPI 103(7)'!O30-'KPI 110(7)'!O30)/'KPI 103(7)'!O30</f>
        <v>0</v>
      </c>
      <c r="P30" s="9">
        <f>('KPI 103(7)'!P30-'KPI 110(7)'!P30)/'KPI 103(7)'!P30</f>
        <v>0</v>
      </c>
    </row>
  </sheetData>
  <sheetProtection algorithmName="SHA-512" hashValue="kAm5PYzyu4vGYIYS9Fw/VjbJU4Xu9FYVy5hWg7FYQKbtDekK1T2yyfLWTaNyS0avIvyt+P+/fqJZ6LRjPLEW7g==" saltValue="STcb2LGJZLPzyTBmJA9R7g==" spinCount="100000" sheet="1" objects="1" scenarios="1"/>
  <mergeCells count="3">
    <mergeCell ref="C1:F1"/>
    <mergeCell ref="J4:Q8"/>
    <mergeCell ref="J10:Q15"/>
  </mergeCells>
  <conditionalFormatting sqref="C3">
    <cfRule type="expression" dxfId="32" priority="2">
      <formula>S4&gt;S6</formula>
    </cfRule>
  </conditionalFormatting>
  <conditionalFormatting sqref="C4">
    <cfRule type="expression" dxfId="31" priority="1">
      <formula>AND(S4&gt;S5,S4&lt;=S6)</formula>
    </cfRule>
  </conditionalFormatting>
  <conditionalFormatting sqref="C5">
    <cfRule type="expression" dxfId="30" priority="3">
      <formula>S4&lt;=S5</formula>
    </cfRule>
  </conditionalFormatting>
  <hyperlinks>
    <hyperlink ref="L1" location="'Distribution Dashboard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56481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57150</xdr:rowOff>
                  </from>
                  <to>
                    <xdr:col>9</xdr:col>
                    <xdr:colOff>628650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S30"/>
  <sheetViews>
    <sheetView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 t="s">
        <v>72</v>
      </c>
      <c r="C1" s="124" t="s">
        <v>186</v>
      </c>
      <c r="D1" s="124"/>
      <c r="E1" s="124"/>
      <c r="F1" s="124"/>
      <c r="G1" s="3" t="s">
        <v>10</v>
      </c>
      <c r="I1" s="12">
        <f>INDEX(E$18:P$18,Actual_month)</f>
        <v>46054</v>
      </c>
      <c r="L1" s="15" t="s">
        <v>21</v>
      </c>
      <c r="R1" s="5"/>
    </row>
    <row r="2" spans="1:19" x14ac:dyDescent="0.35">
      <c r="A2" s="3" t="s">
        <v>14</v>
      </c>
      <c r="C2" s="3" t="s">
        <v>1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/>
      <c r="K4" s="135"/>
      <c r="L4" s="135"/>
      <c r="M4" s="135"/>
      <c r="N4" s="135"/>
      <c r="O4" s="135"/>
      <c r="P4" s="135"/>
      <c r="Q4" s="136"/>
      <c r="R4" s="3" t="s">
        <v>25</v>
      </c>
      <c r="S4" s="9">
        <f>INDEX(E27:P27,Actual_month)</f>
        <v>0.63560289083301635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9">
        <f>INDEX(E26:P26,Actual_month)</f>
        <v>0.26729613543998509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1.1000000000000001</v>
      </c>
      <c r="S6" s="9">
        <f>+S5*R6</f>
        <v>0.29402574898398365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75">
        <f>Budget2526!D127</f>
        <v>0.28571426427030955</v>
      </c>
      <c r="F19" s="75">
        <f>Budget2526!E127</f>
        <v>0.28146256346239468</v>
      </c>
      <c r="G19" s="75">
        <f>Budget2526!F127</f>
        <v>0.27721086265447992</v>
      </c>
      <c r="H19" s="75">
        <f>Budget2526!G127</f>
        <v>0.27295916184656527</v>
      </c>
      <c r="I19" s="75">
        <f>Budget2526!H127</f>
        <v>0.26870746103865034</v>
      </c>
      <c r="J19" s="75">
        <f>Budget2526!I127</f>
        <v>0.26445576023073547</v>
      </c>
      <c r="K19" s="75">
        <f>Budget2526!J127</f>
        <v>0.26020405942282082</v>
      </c>
      <c r="L19" s="75">
        <f>Budget2526!K127</f>
        <v>0.25595235861490589</v>
      </c>
      <c r="M19" s="75">
        <f>Budget2526!L127</f>
        <v>0.25170065780699102</v>
      </c>
      <c r="N19" s="75">
        <f>Budget2526!M127</f>
        <v>0.24744895699907635</v>
      </c>
      <c r="O19" s="75">
        <f>Budget2526!N127</f>
        <v>0.24319725619116142</v>
      </c>
      <c r="P19" s="75">
        <f>Budget2526!O127</f>
        <v>0.23894555538324658</v>
      </c>
      <c r="Q19" s="5"/>
    </row>
    <row r="20" spans="3:17" x14ac:dyDescent="0.35">
      <c r="D20" s="3" t="str">
        <f>'KPI 100'!D20</f>
        <v>Actual 2025/26</v>
      </c>
      <c r="E20" s="9">
        <f>Actuals2526!D127</f>
        <v>0.77846153846153843</v>
      </c>
      <c r="F20" s="9">
        <f>Actuals2526!E127</f>
        <v>0.80409356725146197</v>
      </c>
      <c r="G20" s="9">
        <f>Actuals2526!F127</f>
        <v>0.69803063457330417</v>
      </c>
      <c r="H20" s="9" t="e">
        <f>Actuals2526!G127</f>
        <v>#DIV/0!</v>
      </c>
      <c r="I20" s="9" t="e">
        <f>Actuals2526!H127</f>
        <v>#DIV/0!</v>
      </c>
      <c r="J20" s="9">
        <f>Actuals2526!I127</f>
        <v>0.15384615384615385</v>
      </c>
      <c r="K20" s="9">
        <f>Actuals2526!J127</f>
        <v>0.47388059701492535</v>
      </c>
      <c r="L20" s="9">
        <f>Actuals2526!K127</f>
        <v>0.57749469214437366</v>
      </c>
      <c r="M20" s="9">
        <f>Actuals2526!L127</f>
        <v>0</v>
      </c>
      <c r="N20" s="9">
        <f>Actuals2526!M127</f>
        <v>0</v>
      </c>
      <c r="O20" s="9">
        <f>Actuals2526!N127</f>
        <v>0</v>
      </c>
      <c r="P20" s="9">
        <f>Actuals2526!O127</f>
        <v>0</v>
      </c>
      <c r="Q20" s="5"/>
    </row>
    <row r="21" spans="3:17" x14ac:dyDescent="0.35">
      <c r="D21" s="3" t="str">
        <f>'KPI 100'!D21</f>
        <v>Difference</v>
      </c>
      <c r="E21" s="9">
        <f>IF(E20=0,0,E20-E19)</f>
        <v>0.49274727419122888</v>
      </c>
      <c r="F21" s="9">
        <f t="shared" ref="F21:P21" si="0">IF(F20=0,0,F20-F19)</f>
        <v>0.52263100378906735</v>
      </c>
      <c r="G21" s="9">
        <f t="shared" si="0"/>
        <v>0.42081977191882425</v>
      </c>
      <c r="H21" s="9" t="e">
        <f t="shared" si="0"/>
        <v>#DIV/0!</v>
      </c>
      <c r="I21" s="9" t="e">
        <f t="shared" si="0"/>
        <v>#DIV/0!</v>
      </c>
      <c r="J21" s="9">
        <f t="shared" si="0"/>
        <v>-0.11060960638458162</v>
      </c>
      <c r="K21" s="9">
        <f t="shared" si="0"/>
        <v>0.21367653759210453</v>
      </c>
      <c r="L21" s="9">
        <f t="shared" si="0"/>
        <v>0.32154233352946776</v>
      </c>
      <c r="M21" s="9">
        <f t="shared" si="0"/>
        <v>0</v>
      </c>
      <c r="N21" s="9">
        <f t="shared" si="0"/>
        <v>0</v>
      </c>
      <c r="O21" s="9">
        <f t="shared" si="0"/>
        <v>0</v>
      </c>
      <c r="P21" s="9">
        <f t="shared" si="0"/>
        <v>0</v>
      </c>
      <c r="Q21" s="5"/>
    </row>
    <row r="22" spans="3:17" x14ac:dyDescent="0.35">
      <c r="D22" s="3" t="str">
        <f>'KPI 100'!D22</f>
        <v>% realisation</v>
      </c>
      <c r="E22" s="9">
        <f>E20/E19</f>
        <v>2.7246155891084558</v>
      </c>
      <c r="F22" s="9">
        <f t="shared" ref="F22:P22" si="1">F20/F19</f>
        <v>2.856840204110819</v>
      </c>
      <c r="G22" s="9">
        <f t="shared" si="1"/>
        <v>2.5180493574068228</v>
      </c>
      <c r="H22" s="9" t="e">
        <f t="shared" si="1"/>
        <v>#DIV/0!</v>
      </c>
      <c r="I22" s="9" t="e">
        <f t="shared" si="1"/>
        <v>#DIV/0!</v>
      </c>
      <c r="J22" s="9">
        <f t="shared" si="1"/>
        <v>0.58174627662458311</v>
      </c>
      <c r="K22" s="9">
        <f t="shared" si="1"/>
        <v>1.8211883322115625</v>
      </c>
      <c r="L22" s="9">
        <f t="shared" si="1"/>
        <v>2.2562585290071326</v>
      </c>
      <c r="M22" s="9">
        <f t="shared" si="1"/>
        <v>0</v>
      </c>
      <c r="N22" s="9">
        <f t="shared" si="1"/>
        <v>0</v>
      </c>
      <c r="O22" s="9">
        <f t="shared" si="1"/>
        <v>0</v>
      </c>
      <c r="P22" s="9">
        <f t="shared" si="1"/>
        <v>0</v>
      </c>
    </row>
    <row r="23" spans="3:17" x14ac:dyDescent="0.35">
      <c r="D23" s="3" t="str">
        <f>'KPI 100'!D23</f>
        <v>Actual 2024/25</v>
      </c>
      <c r="E23" s="9">
        <f>Actuals2425!D127</f>
        <v>2.1505376344086023E-2</v>
      </c>
      <c r="F23" s="9">
        <f>Actuals2425!E127</f>
        <v>0</v>
      </c>
      <c r="G23" s="9">
        <f>Actuals2425!F127</f>
        <v>0</v>
      </c>
      <c r="H23" s="9">
        <f>Actuals2425!G127</f>
        <v>0</v>
      </c>
      <c r="I23" s="9">
        <f>Actuals2425!H127</f>
        <v>0</v>
      </c>
      <c r="J23" s="9">
        <f>Actuals2425!I127</f>
        <v>0</v>
      </c>
      <c r="K23" s="9">
        <f>Actuals2425!J127</f>
        <v>0</v>
      </c>
      <c r="L23" s="9">
        <f>Actuals2425!K127</f>
        <v>0</v>
      </c>
      <c r="M23" s="9">
        <f>Actuals2425!L127</f>
        <v>0</v>
      </c>
      <c r="N23" s="9">
        <f>Actuals2425!M127</f>
        <v>0</v>
      </c>
      <c r="O23" s="9">
        <f>Actuals2425!N127</f>
        <v>0</v>
      </c>
      <c r="P23" s="9">
        <f>Actuals2425!O127</f>
        <v>0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9">
        <f>('KPI 103 (6)'!E26-'KPI 110 (6)'!E26)/'KPI 103 (6)'!E26</f>
        <v>0.28571426427030955</v>
      </c>
      <c r="F26" s="9">
        <f>('KPI 103 (6)'!F26-'KPI 110 (6)'!F26)/'KPI 103 (6)'!F26</f>
        <v>0.28307535608013623</v>
      </c>
      <c r="G26" s="9">
        <f>('KPI 103 (6)'!G26-'KPI 110 (6)'!G26)/'KPI 103 (6)'!G26</f>
        <v>0.28042173134285964</v>
      </c>
      <c r="H26" s="9">
        <f>('KPI 103 (6)'!H26-'KPI 110 (6)'!H26)/'KPI 103 (6)'!H26</f>
        <v>0.27778609548642141</v>
      </c>
      <c r="I26" s="9">
        <f>('KPI 103 (6)'!I26-'KPI 110 (6)'!I26)/'KPI 103 (6)'!I26</f>
        <v>0.27513263522182896</v>
      </c>
      <c r="J26" s="9">
        <f>('KPI 103 (6)'!J26-'KPI 110 (6)'!J26)/'KPI 103 (6)'!J26</f>
        <v>0.27250741598022005</v>
      </c>
      <c r="K26" s="9">
        <f>('KPI 103 (6)'!K26-'KPI 110 (6)'!K26)/'KPI 103 (6)'!K26</f>
        <v>0.26988370590690053</v>
      </c>
      <c r="L26" s="9">
        <f>('KPI 103 (6)'!L26-'KPI 110 (6)'!L26)/'KPI 103 (6)'!L26</f>
        <v>0.26729613543998509</v>
      </c>
      <c r="M26" s="9">
        <f>('KPI 103 (6)'!M26-'KPI 110 (6)'!M26)/'KPI 103 (6)'!M26</f>
        <v>0.26472190833239756</v>
      </c>
      <c r="N26" s="9">
        <f>('KPI 103 (6)'!N26-'KPI 110 (6)'!N26)/'KPI 103 (6)'!N26</f>
        <v>0.26215017965152154</v>
      </c>
      <c r="O26" s="9">
        <f>('KPI 103 (6)'!O26-'KPI 110 (6)'!O26)/'KPI 103 (6)'!O26</f>
        <v>0.25957559919598366</v>
      </c>
      <c r="P26" s="9">
        <f>('KPI 103 (6)'!P26-'KPI 110 (6)'!P26)/'KPI 103 (6)'!P26</f>
        <v>0.25699555395156948</v>
      </c>
    </row>
    <row r="27" spans="3:17" x14ac:dyDescent="0.35">
      <c r="D27" s="3" t="str">
        <f t="shared" ref="D27:D30" si="3">D20</f>
        <v>Actual 2025/26</v>
      </c>
      <c r="E27" s="9">
        <f>('KPI 103 (6)'!E27-'KPI 110 (6)'!E27)/'KPI 103 (6)'!E27</f>
        <v>0.77846153846153843</v>
      </c>
      <c r="F27" s="9">
        <f>('KPI 103 (6)'!F27-'KPI 110 (6)'!F27)/'KPI 103 (6)'!F27</f>
        <v>0.79583746283448964</v>
      </c>
      <c r="G27" s="9">
        <f>('KPI 103 (6)'!G27-'KPI 110 (6)'!G27)/'KPI 103 (6)'!G27</f>
        <v>0.76534788540245569</v>
      </c>
      <c r="H27" s="9">
        <f>('KPI 103 (6)'!H27-'KPI 110 (6)'!H27)/'KPI 103 (6)'!H27</f>
        <v>0.76534788540245569</v>
      </c>
      <c r="I27" s="9">
        <f>('KPI 103 (6)'!I27-'KPI 110 (6)'!I27)/'KPI 103 (6)'!I27</f>
        <v>0.76466575716234653</v>
      </c>
      <c r="J27" s="9">
        <f>('KPI 103 (6)'!J27-'KPI 110 (6)'!J27)/'KPI 103 (6)'!J27</f>
        <v>0.70591861898890262</v>
      </c>
      <c r="K27" s="9">
        <f>('KPI 103 (6)'!K27-'KPI 110 (6)'!K27)/'KPI 103 (6)'!K27</f>
        <v>0.64828544949026878</v>
      </c>
      <c r="L27" s="9">
        <f>('KPI 103 (6)'!L27-'KPI 110 (6)'!L27)/'KPI 103 (6)'!L27</f>
        <v>0.63560289083301635</v>
      </c>
      <c r="M27" s="9">
        <f>('KPI 103 (6)'!M27-'KPI 110 (6)'!M27)/'KPI 103 (6)'!M27</f>
        <v>0.63560289083301635</v>
      </c>
      <c r="N27" s="9">
        <f>('KPI 103 (6)'!N27-'KPI 110 (6)'!N27)/'KPI 103 (6)'!N27</f>
        <v>0.63560289083301635</v>
      </c>
      <c r="O27" s="9">
        <f>('KPI 103 (6)'!O27-'KPI 110 (6)'!O27)/'KPI 103 (6)'!O27</f>
        <v>0.63560289083301635</v>
      </c>
      <c r="P27" s="9">
        <f>('KPI 103 (6)'!P27-'KPI 110 (6)'!P27)/'KPI 103 (6)'!P27</f>
        <v>0.63560289083301635</v>
      </c>
    </row>
    <row r="28" spans="3:17" x14ac:dyDescent="0.35">
      <c r="D28" s="3" t="str">
        <f t="shared" si="3"/>
        <v>Difference</v>
      </c>
      <c r="E28" s="9">
        <f>IF(E27=0,0,E27-E26)</f>
        <v>0.49274727419122888</v>
      </c>
      <c r="F28" s="9">
        <f t="shared" ref="F28:P28" si="4">IF(F27=0,0,F27-F26)</f>
        <v>0.51276210675435341</v>
      </c>
      <c r="G28" s="9">
        <f t="shared" si="4"/>
        <v>0.48492615405959605</v>
      </c>
      <c r="H28" s="9">
        <f t="shared" si="4"/>
        <v>0.48756178991603427</v>
      </c>
      <c r="I28" s="9">
        <f t="shared" si="4"/>
        <v>0.48953312194051757</v>
      </c>
      <c r="J28" s="9">
        <f t="shared" si="4"/>
        <v>0.43341120300868258</v>
      </c>
      <c r="K28" s="9">
        <f t="shared" si="4"/>
        <v>0.37840174358336826</v>
      </c>
      <c r="L28" s="9">
        <f t="shared" si="4"/>
        <v>0.36830675539303126</v>
      </c>
      <c r="M28" s="9">
        <f t="shared" si="4"/>
        <v>0.37088098250061879</v>
      </c>
      <c r="N28" s="9">
        <f t="shared" si="4"/>
        <v>0.37345271118149481</v>
      </c>
      <c r="O28" s="9">
        <f t="shared" si="4"/>
        <v>0.37602729163703269</v>
      </c>
      <c r="P28" s="9">
        <f t="shared" si="4"/>
        <v>0.37860733688144688</v>
      </c>
    </row>
    <row r="29" spans="3:17" x14ac:dyDescent="0.35">
      <c r="D29" s="3" t="str">
        <f t="shared" si="3"/>
        <v>% realisation</v>
      </c>
      <c r="E29" s="9">
        <f t="shared" ref="E29:P29" si="5">E27/E26</f>
        <v>2.7246155891084558</v>
      </c>
      <c r="F29" s="9">
        <f t="shared" si="5"/>
        <v>2.8113979042710975</v>
      </c>
      <c r="G29" s="9">
        <f t="shared" si="5"/>
        <v>2.7292745171261266</v>
      </c>
      <c r="H29" s="9">
        <f t="shared" si="5"/>
        <v>2.7551698873274488</v>
      </c>
      <c r="I29" s="9">
        <f t="shared" si="5"/>
        <v>2.7792622876083954</v>
      </c>
      <c r="J29" s="9">
        <f t="shared" si="5"/>
        <v>2.5904565439060994</v>
      </c>
      <c r="K29" s="9">
        <f t="shared" si="5"/>
        <v>2.4020918466041157</v>
      </c>
      <c r="L29" s="9">
        <f t="shared" si="5"/>
        <v>2.3778977940955892</v>
      </c>
      <c r="M29" s="9">
        <f t="shared" si="5"/>
        <v>2.401021112445755</v>
      </c>
      <c r="N29" s="9">
        <f t="shared" si="5"/>
        <v>2.4245754539551667</v>
      </c>
      <c r="O29" s="9">
        <f t="shared" si="5"/>
        <v>2.4486234176160995</v>
      </c>
      <c r="P29" s="9">
        <f t="shared" si="5"/>
        <v>2.4732057853140721</v>
      </c>
    </row>
    <row r="30" spans="3:17" x14ac:dyDescent="0.35">
      <c r="D30" s="3" t="str">
        <f t="shared" si="3"/>
        <v>Actual 2024/25</v>
      </c>
      <c r="E30" s="9">
        <f>('KPI 103 (6)'!E30-'KPI 110 (6)'!E30)/'KPI 103 (6)'!E30</f>
        <v>2.1505376344086023E-2</v>
      </c>
      <c r="F30" s="9">
        <f>('KPI 103 (6)'!F30-'KPI 110 (6)'!F30)/'KPI 103 (6)'!F30</f>
        <v>7.0422535211267607E-3</v>
      </c>
      <c r="G30" s="9">
        <f>('KPI 103 (6)'!G30-'KPI 110 (6)'!G30)/'KPI 103 (6)'!G30</f>
        <v>3.929273084479371E-3</v>
      </c>
      <c r="H30" s="9">
        <f>('KPI 103 (6)'!H30-'KPI 110 (6)'!H30)/'KPI 103 (6)'!H30</f>
        <v>2.6595744680851063E-3</v>
      </c>
      <c r="I30" s="9">
        <f>('KPI 103 (6)'!I30-'KPI 110 (6)'!I30)/'KPI 103 (6)'!I30</f>
        <v>2.1528525296017221E-3</v>
      </c>
      <c r="J30" s="9">
        <f>('KPI 103 (6)'!J30-'KPI 110 (6)'!J30)/'KPI 103 (6)'!J30</f>
        <v>1.8518518518518519E-3</v>
      </c>
      <c r="K30" s="9">
        <f>('KPI 103 (6)'!K30-'KPI 110 (6)'!K30)/'KPI 103 (6)'!K30</f>
        <v>1.8231540565177757E-3</v>
      </c>
      <c r="L30" s="9">
        <f>('KPI 103 (6)'!L30-'KPI 110 (6)'!L30)/'KPI 103 (6)'!L30</f>
        <v>1.8231540565177757E-3</v>
      </c>
      <c r="M30" s="9">
        <f>('KPI 103 (6)'!M30-'KPI 110 (6)'!M30)/'KPI 103 (6)'!M30</f>
        <v>1.8231540565177757E-3</v>
      </c>
      <c r="N30" s="9">
        <f>('KPI 103 (6)'!N30-'KPI 110 (6)'!N30)/'KPI 103 (6)'!N30</f>
        <v>1.8231540565177757E-3</v>
      </c>
      <c r="O30" s="9">
        <f>('KPI 103 (6)'!O30-'KPI 110 (6)'!O30)/'KPI 103 (6)'!O30</f>
        <v>1.8231540565177757E-3</v>
      </c>
      <c r="P30" s="9">
        <f>('KPI 103 (6)'!P30-'KPI 110 (6)'!P30)/'KPI 103 (6)'!P30</f>
        <v>1.7035775127768314E-3</v>
      </c>
    </row>
  </sheetData>
  <sheetProtection algorithmName="SHA-512" hashValue="5KnduCZw3YPqmck4jvqBbMrPp4KtJj7Ccw9ihxAngb/E3RSY3zoBFJ1fH8o31DgmaSxGX9t4hPVKw8S9K41lsQ==" saltValue="N66773WDx1guDmFkK/1b8w==" spinCount="100000" sheet="1" objects="1" scenarios="1"/>
  <mergeCells count="3">
    <mergeCell ref="C1:F1"/>
    <mergeCell ref="J4:Q8"/>
    <mergeCell ref="J10:Q15"/>
  </mergeCells>
  <conditionalFormatting sqref="C3">
    <cfRule type="expression" dxfId="29" priority="2">
      <formula>S4&gt;S6</formula>
    </cfRule>
  </conditionalFormatting>
  <conditionalFormatting sqref="C4">
    <cfRule type="expression" dxfId="28" priority="1">
      <formula>AND(S4&gt;S5,S4&lt;=S6)</formula>
    </cfRule>
  </conditionalFormatting>
  <conditionalFormatting sqref="C5">
    <cfRule type="expression" dxfId="27" priority="3">
      <formula>S4&lt;=S5</formula>
    </cfRule>
  </conditionalFormatting>
  <hyperlinks>
    <hyperlink ref="L1" location="'Distribution Dashboard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36001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57150</xdr:rowOff>
                  </from>
                  <to>
                    <xdr:col>9</xdr:col>
                    <xdr:colOff>628650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S30"/>
  <sheetViews>
    <sheetView zoomScale="90" zoomScaleNormal="90" zoomScalePageLayoutView="90" workbookViewId="0">
      <pane ySplit="2" topLeftCell="A3" activePane="bottomLeft" state="frozen"/>
      <selection activeCell="D26" sqref="D26:D30"/>
      <selection pane="bottomLeft"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 t="s">
        <v>92</v>
      </c>
      <c r="C1" s="124" t="str">
        <f>'Distribution Dashboard'!B100</f>
        <v>Volume Water Supplied-kinungi</v>
      </c>
      <c r="D1" s="124"/>
      <c r="E1" s="124"/>
      <c r="F1" s="124"/>
      <c r="G1" s="3" t="s">
        <v>10</v>
      </c>
      <c r="I1" s="12">
        <f>INDEX(E$18:P$18,Actual_month)</f>
        <v>46054</v>
      </c>
      <c r="L1" s="15" t="s">
        <v>21</v>
      </c>
      <c r="R1" s="5"/>
    </row>
    <row r="2" spans="1:19" x14ac:dyDescent="0.35">
      <c r="A2" s="3" t="s">
        <v>14</v>
      </c>
      <c r="C2" s="3" t="s">
        <v>15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25"/>
      <c r="K4" s="126"/>
      <c r="L4" s="126"/>
      <c r="M4" s="126"/>
      <c r="N4" s="126"/>
      <c r="O4" s="126"/>
      <c r="P4" s="126"/>
      <c r="Q4" s="127"/>
      <c r="R4" s="3" t="s">
        <v>25</v>
      </c>
      <c r="S4" s="43">
        <f>INDEX(E27:P27,Actual_month)</f>
        <v>1261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28"/>
      <c r="K5" s="129"/>
      <c r="L5" s="129"/>
      <c r="M5" s="129"/>
      <c r="N5" s="129"/>
      <c r="O5" s="129"/>
      <c r="P5" s="129"/>
      <c r="Q5" s="130"/>
      <c r="R5" s="3" t="s">
        <v>26</v>
      </c>
      <c r="S5" s="43">
        <f>INDEX(E26:P26,Actual_month)</f>
        <v>0</v>
      </c>
    </row>
    <row r="6" spans="1:19" x14ac:dyDescent="0.35">
      <c r="J6" s="128"/>
      <c r="K6" s="129"/>
      <c r="L6" s="129"/>
      <c r="M6" s="129"/>
      <c r="N6" s="129"/>
      <c r="O6" s="129"/>
      <c r="P6" s="129"/>
      <c r="Q6" s="130"/>
      <c r="R6" s="6">
        <v>0.9</v>
      </c>
      <c r="S6" s="43">
        <f>+S5*R6</f>
        <v>0</v>
      </c>
    </row>
    <row r="7" spans="1:19" x14ac:dyDescent="0.35">
      <c r="J7" s="128"/>
      <c r="K7" s="129"/>
      <c r="L7" s="129"/>
      <c r="M7" s="129"/>
      <c r="N7" s="129"/>
      <c r="O7" s="129"/>
      <c r="P7" s="129"/>
      <c r="Q7" s="130"/>
    </row>
    <row r="8" spans="1:19" ht="15" thickBot="1" x14ac:dyDescent="0.4">
      <c r="J8" s="131"/>
      <c r="K8" s="132"/>
      <c r="L8" s="132"/>
      <c r="M8" s="132"/>
      <c r="N8" s="132"/>
      <c r="O8" s="132"/>
      <c r="P8" s="132"/>
      <c r="Q8" s="133"/>
    </row>
    <row r="9" spans="1:19" ht="15" thickBot="1" x14ac:dyDescent="0.4">
      <c r="J9" s="3" t="s">
        <v>13</v>
      </c>
    </row>
    <row r="10" spans="1:19" x14ac:dyDescent="0.35">
      <c r="J10" s="125"/>
      <c r="K10" s="126"/>
      <c r="L10" s="126"/>
      <c r="M10" s="126"/>
      <c r="N10" s="126"/>
      <c r="O10" s="126"/>
      <c r="P10" s="126"/>
      <c r="Q10" s="127"/>
    </row>
    <row r="11" spans="1:19" x14ac:dyDescent="0.35">
      <c r="J11" s="128"/>
      <c r="K11" s="129"/>
      <c r="L11" s="129"/>
      <c r="M11" s="129"/>
      <c r="N11" s="129"/>
      <c r="O11" s="129"/>
      <c r="P11" s="129"/>
      <c r="Q11" s="130"/>
    </row>
    <row r="12" spans="1:19" x14ac:dyDescent="0.35">
      <c r="J12" s="128"/>
      <c r="K12" s="129"/>
      <c r="L12" s="129"/>
      <c r="M12" s="129"/>
      <c r="N12" s="129"/>
      <c r="O12" s="129"/>
      <c r="P12" s="129"/>
      <c r="Q12" s="130"/>
    </row>
    <row r="13" spans="1:19" x14ac:dyDescent="0.35">
      <c r="J13" s="128"/>
      <c r="K13" s="129"/>
      <c r="L13" s="129"/>
      <c r="M13" s="129"/>
      <c r="N13" s="129"/>
      <c r="O13" s="129"/>
      <c r="P13" s="129"/>
      <c r="Q13" s="130"/>
    </row>
    <row r="14" spans="1:19" x14ac:dyDescent="0.35">
      <c r="J14" s="128"/>
      <c r="K14" s="129"/>
      <c r="L14" s="129"/>
      <c r="M14" s="129"/>
      <c r="N14" s="129"/>
      <c r="O14" s="129"/>
      <c r="P14" s="129"/>
      <c r="Q14" s="130"/>
    </row>
    <row r="15" spans="1:19" ht="15" thickBot="1" x14ac:dyDescent="0.4">
      <c r="J15" s="131"/>
      <c r="K15" s="132"/>
      <c r="L15" s="132"/>
      <c r="M15" s="132"/>
      <c r="N15" s="132"/>
      <c r="O15" s="132"/>
      <c r="P15" s="132"/>
      <c r="Q15" s="133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43">
        <f>Budget2526!D109</f>
        <v>0</v>
      </c>
      <c r="F19" s="43">
        <f>Budget2526!E109</f>
        <v>0</v>
      </c>
      <c r="G19" s="43">
        <f>Budget2526!F109</f>
        <v>0</v>
      </c>
      <c r="H19" s="43">
        <f>Budget2526!G109</f>
        <v>0</v>
      </c>
      <c r="I19" s="43">
        <f>Budget2526!H109</f>
        <v>0</v>
      </c>
      <c r="J19" s="43">
        <f>Budget2526!I109</f>
        <v>0</v>
      </c>
      <c r="K19" s="43">
        <f>Budget2526!J109</f>
        <v>0</v>
      </c>
      <c r="L19" s="43">
        <f>Budget2526!K109</f>
        <v>0</v>
      </c>
      <c r="M19" s="43">
        <f>Budget2526!L109</f>
        <v>0</v>
      </c>
      <c r="N19" s="43">
        <f>Budget2526!M109</f>
        <v>0</v>
      </c>
      <c r="O19" s="43">
        <f>Budget2526!N109</f>
        <v>0</v>
      </c>
      <c r="P19" s="43">
        <f>Budget2526!O109</f>
        <v>0</v>
      </c>
      <c r="Q19" s="5"/>
    </row>
    <row r="20" spans="3:17" x14ac:dyDescent="0.35">
      <c r="D20" s="3" t="str">
        <f>'KPI 100'!D20</f>
        <v>Actual 2025/26</v>
      </c>
      <c r="E20" s="43">
        <f>Actual2223!D96</f>
        <v>331</v>
      </c>
      <c r="F20" s="43">
        <f>Actual2223!E96</f>
        <v>160</v>
      </c>
      <c r="G20" s="43">
        <f>Actual2223!F96</f>
        <v>108</v>
      </c>
      <c r="H20" s="43">
        <f>Actual2223!G96</f>
        <v>137</v>
      </c>
      <c r="I20" s="43">
        <f>Actual2223!H96</f>
        <v>290</v>
      </c>
      <c r="J20" s="43">
        <f>Actual2223!I96</f>
        <v>0</v>
      </c>
      <c r="K20" s="43">
        <f>Actual2223!J96</f>
        <v>0</v>
      </c>
      <c r="L20" s="43">
        <f>Actual2223!K96</f>
        <v>235</v>
      </c>
      <c r="M20" s="43">
        <f>Actual2223!L96</f>
        <v>0</v>
      </c>
      <c r="N20" s="43">
        <f>Actual2223!M96</f>
        <v>0</v>
      </c>
      <c r="O20" s="43">
        <f>Actual2223!N96</f>
        <v>0</v>
      </c>
      <c r="P20" s="43">
        <f>Actual2223!O96</f>
        <v>0</v>
      </c>
      <c r="Q20" s="5"/>
    </row>
    <row r="21" spans="3:17" x14ac:dyDescent="0.35">
      <c r="D21" s="3" t="str">
        <f>'KPI 100'!D21</f>
        <v>Difference</v>
      </c>
      <c r="E21" s="43">
        <f>IF(E20=0,0,E20-E19)</f>
        <v>331</v>
      </c>
      <c r="F21" s="43">
        <f t="shared" ref="F21:P21" si="0">IF(F20=0,0,F20-F19)</f>
        <v>160</v>
      </c>
      <c r="G21" s="43">
        <f t="shared" si="0"/>
        <v>108</v>
      </c>
      <c r="H21" s="43">
        <f t="shared" si="0"/>
        <v>137</v>
      </c>
      <c r="I21" s="43">
        <f t="shared" si="0"/>
        <v>290</v>
      </c>
      <c r="J21" s="43">
        <f t="shared" si="0"/>
        <v>0</v>
      </c>
      <c r="K21" s="43">
        <f t="shared" si="0"/>
        <v>0</v>
      </c>
      <c r="L21" s="43">
        <f t="shared" si="0"/>
        <v>235</v>
      </c>
      <c r="M21" s="43">
        <f t="shared" si="0"/>
        <v>0</v>
      </c>
      <c r="N21" s="43">
        <f t="shared" si="0"/>
        <v>0</v>
      </c>
      <c r="O21" s="43">
        <f t="shared" si="0"/>
        <v>0</v>
      </c>
      <c r="P21" s="43">
        <f t="shared" si="0"/>
        <v>0</v>
      </c>
      <c r="Q21" s="5"/>
    </row>
    <row r="22" spans="3:17" x14ac:dyDescent="0.35">
      <c r="D22" s="3" t="str">
        <f>'KPI 100'!D22</f>
        <v>% realisation</v>
      </c>
      <c r="E22" s="9" t="e">
        <f>E20/E19</f>
        <v>#DIV/0!</v>
      </c>
      <c r="F22" s="9" t="e">
        <f t="shared" ref="F22:P22" si="1">F20/F19</f>
        <v>#DIV/0!</v>
      </c>
      <c r="G22" s="9" t="e">
        <f t="shared" si="1"/>
        <v>#DIV/0!</v>
      </c>
      <c r="H22" s="9" t="e">
        <f t="shared" si="1"/>
        <v>#DIV/0!</v>
      </c>
      <c r="I22" s="9" t="e">
        <f t="shared" si="1"/>
        <v>#DIV/0!</v>
      </c>
      <c r="J22" s="9" t="e">
        <f t="shared" si="1"/>
        <v>#DIV/0!</v>
      </c>
      <c r="K22" s="9" t="e">
        <f t="shared" si="1"/>
        <v>#DIV/0!</v>
      </c>
      <c r="L22" s="9" t="e">
        <f t="shared" si="1"/>
        <v>#DIV/0!</v>
      </c>
      <c r="M22" s="9" t="e">
        <f t="shared" si="1"/>
        <v>#DIV/0!</v>
      </c>
      <c r="N22" s="9" t="e">
        <f t="shared" si="1"/>
        <v>#DIV/0!</v>
      </c>
      <c r="O22" s="9" t="e">
        <f t="shared" si="1"/>
        <v>#DIV/0!</v>
      </c>
      <c r="P22" s="9" t="e">
        <f t="shared" si="1"/>
        <v>#DIV/0!</v>
      </c>
    </row>
    <row r="23" spans="3:17" x14ac:dyDescent="0.35">
      <c r="D23" s="3" t="str">
        <f>'KPI 100'!D23</f>
        <v>Actual 2024/25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43">
        <f>SUM($E19:E19)</f>
        <v>0</v>
      </c>
      <c r="F26" s="43">
        <f>SUM($E19:F19)</f>
        <v>0</v>
      </c>
      <c r="G26" s="43">
        <f>SUM($E19:G19)</f>
        <v>0</v>
      </c>
      <c r="H26" s="43">
        <f>SUM($E19:H19)</f>
        <v>0</v>
      </c>
      <c r="I26" s="43">
        <f>SUM($E19:I19)</f>
        <v>0</v>
      </c>
      <c r="J26" s="43">
        <f>SUM($E19:J19)</f>
        <v>0</v>
      </c>
      <c r="K26" s="43">
        <f>SUM($E19:K19)</f>
        <v>0</v>
      </c>
      <c r="L26" s="43">
        <f>SUM($E19:L19)</f>
        <v>0</v>
      </c>
      <c r="M26" s="43">
        <f>SUM($E19:M19)</f>
        <v>0</v>
      </c>
      <c r="N26" s="43">
        <f>SUM($E19:N19)</f>
        <v>0</v>
      </c>
      <c r="O26" s="43">
        <f>SUM($E19:O19)</f>
        <v>0</v>
      </c>
      <c r="P26" s="43">
        <f>SUM($E19:P19)</f>
        <v>0</v>
      </c>
    </row>
    <row r="27" spans="3:17" x14ac:dyDescent="0.35">
      <c r="D27" s="3" t="str">
        <f t="shared" ref="D27:D30" si="3">D20</f>
        <v>Actual 2025/26</v>
      </c>
      <c r="E27" s="43">
        <f>SUM($E20:E20)</f>
        <v>331</v>
      </c>
      <c r="F27" s="43">
        <f>SUM($E20:F20)</f>
        <v>491</v>
      </c>
      <c r="G27" s="43">
        <f>SUM($E20:G20)</f>
        <v>599</v>
      </c>
      <c r="H27" s="43">
        <f>SUM($E20:H20)</f>
        <v>736</v>
      </c>
      <c r="I27" s="43">
        <f>SUM($E20:I20)</f>
        <v>1026</v>
      </c>
      <c r="J27" s="43">
        <f>SUM($E20:J20)</f>
        <v>1026</v>
      </c>
      <c r="K27" s="43">
        <f>SUM($E20:K20)</f>
        <v>1026</v>
      </c>
      <c r="L27" s="43">
        <f>SUM($E20:L20)</f>
        <v>1261</v>
      </c>
      <c r="M27" s="43">
        <f>SUM($E20:M20)</f>
        <v>1261</v>
      </c>
      <c r="N27" s="43">
        <f>SUM($E20:N20)</f>
        <v>1261</v>
      </c>
      <c r="O27" s="43">
        <f>SUM($E20:O20)</f>
        <v>1261</v>
      </c>
      <c r="P27" s="43">
        <f>SUM($E20:P20)</f>
        <v>1261</v>
      </c>
    </row>
    <row r="28" spans="3:17" x14ac:dyDescent="0.35">
      <c r="D28" s="3" t="str">
        <f t="shared" si="3"/>
        <v>Difference</v>
      </c>
      <c r="E28" s="43">
        <f>IF(E27=0,0,E27-E26)</f>
        <v>331</v>
      </c>
      <c r="F28" s="43">
        <f t="shared" ref="F28:P28" si="4">IF(F27=0,0,F27-F26)</f>
        <v>491</v>
      </c>
      <c r="G28" s="43">
        <f t="shared" si="4"/>
        <v>599</v>
      </c>
      <c r="H28" s="43">
        <f t="shared" si="4"/>
        <v>736</v>
      </c>
      <c r="I28" s="43">
        <f t="shared" si="4"/>
        <v>1026</v>
      </c>
      <c r="J28" s="43">
        <f t="shared" si="4"/>
        <v>1026</v>
      </c>
      <c r="K28" s="43">
        <f t="shared" si="4"/>
        <v>1026</v>
      </c>
      <c r="L28" s="43">
        <f t="shared" si="4"/>
        <v>1261</v>
      </c>
      <c r="M28" s="43">
        <f t="shared" si="4"/>
        <v>1261</v>
      </c>
      <c r="N28" s="43">
        <f t="shared" si="4"/>
        <v>1261</v>
      </c>
      <c r="O28" s="43">
        <f t="shared" si="4"/>
        <v>1261</v>
      </c>
      <c r="P28" s="43">
        <f t="shared" si="4"/>
        <v>1261</v>
      </c>
    </row>
    <row r="29" spans="3:17" x14ac:dyDescent="0.35">
      <c r="D29" s="3" t="str">
        <f t="shared" si="3"/>
        <v>% realisation</v>
      </c>
      <c r="E29" s="9" t="e">
        <f t="shared" ref="E29:P29" si="5">E27/E26</f>
        <v>#DIV/0!</v>
      </c>
      <c r="F29" s="9" t="e">
        <f t="shared" si="5"/>
        <v>#DIV/0!</v>
      </c>
      <c r="G29" s="9" t="e">
        <f t="shared" si="5"/>
        <v>#DIV/0!</v>
      </c>
      <c r="H29" s="9" t="e">
        <f t="shared" si="5"/>
        <v>#DIV/0!</v>
      </c>
      <c r="I29" s="9" t="e">
        <f t="shared" si="5"/>
        <v>#DIV/0!</v>
      </c>
      <c r="J29" s="9" t="e">
        <f t="shared" si="5"/>
        <v>#DIV/0!</v>
      </c>
      <c r="K29" s="9" t="e">
        <f t="shared" si="5"/>
        <v>#DIV/0!</v>
      </c>
      <c r="L29" s="9" t="e">
        <f t="shared" si="5"/>
        <v>#DIV/0!</v>
      </c>
      <c r="M29" s="9" t="e">
        <f t="shared" si="5"/>
        <v>#DIV/0!</v>
      </c>
      <c r="N29" s="9" t="e">
        <f t="shared" si="5"/>
        <v>#DIV/0!</v>
      </c>
      <c r="O29" s="9" t="e">
        <f t="shared" si="5"/>
        <v>#DIV/0!</v>
      </c>
      <c r="P29" s="9" t="e">
        <f t="shared" si="5"/>
        <v>#DIV/0!</v>
      </c>
    </row>
    <row r="30" spans="3:17" x14ac:dyDescent="0.35">
      <c r="D30" s="3" t="str">
        <f t="shared" si="3"/>
        <v>Actual 2024/25</v>
      </c>
      <c r="E30" s="43">
        <f>SUM($E23:E23)</f>
        <v>0</v>
      </c>
      <c r="F30" s="43">
        <f>SUM($E23:F23)</f>
        <v>0</v>
      </c>
      <c r="G30" s="43">
        <f>SUM($E23:G23)</f>
        <v>0</v>
      </c>
      <c r="H30" s="43">
        <f>SUM($E23:H23)</f>
        <v>0</v>
      </c>
      <c r="I30" s="43">
        <f>SUM($E23:I23)</f>
        <v>0</v>
      </c>
      <c r="J30" s="43">
        <f>SUM($E23:J23)</f>
        <v>0</v>
      </c>
      <c r="K30" s="43">
        <f>SUM($E23:K23)</f>
        <v>0</v>
      </c>
      <c r="L30" s="43">
        <f>SUM($E23:L23)</f>
        <v>0</v>
      </c>
      <c r="M30" s="43">
        <f>SUM($E23:M23)</f>
        <v>0</v>
      </c>
      <c r="N30" s="43">
        <f>SUM($E23:N23)</f>
        <v>0</v>
      </c>
      <c r="O30" s="43">
        <f>SUM($E23:O23)</f>
        <v>0</v>
      </c>
      <c r="P30" s="43">
        <f>SUM($E23:P23)</f>
        <v>0</v>
      </c>
    </row>
  </sheetData>
  <sheetProtection algorithmName="SHA-512" hashValue="flThLI4Tg6EXAILX8xnkqkJ07r5FFouiRo2Qia5QKldoGNVbbfuHyUgIM8uDMcXhqmhqjMznosgrTOq0s7XPYQ==" saltValue="BfHmdylwZHxCCiiFj4TV+Q==" spinCount="100000" sheet="1" objects="1" scenarios="1"/>
  <mergeCells count="3">
    <mergeCell ref="C1:F1"/>
    <mergeCell ref="J4:Q8"/>
    <mergeCell ref="J10:Q15"/>
  </mergeCells>
  <conditionalFormatting sqref="C3">
    <cfRule type="expression" dxfId="26" priority="2">
      <formula>S4&lt;S6</formula>
    </cfRule>
  </conditionalFormatting>
  <conditionalFormatting sqref="C4">
    <cfRule type="expression" dxfId="25" priority="1">
      <formula>AND(S4&gt;=S6,S4&lt;S5)</formula>
    </cfRule>
  </conditionalFormatting>
  <conditionalFormatting sqref="C5">
    <cfRule type="expression" dxfId="24" priority="3">
      <formula>S4&gt;=S5</formula>
    </cfRule>
  </conditionalFormatting>
  <hyperlinks>
    <hyperlink ref="L1" location="'Distribution Dashboard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66017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57150</xdr:rowOff>
                  </from>
                  <to>
                    <xdr:col>9</xdr:col>
                    <xdr:colOff>628650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S30"/>
  <sheetViews>
    <sheetView zoomScale="90" zoomScaleNormal="90" zoomScalePageLayoutView="90" workbookViewId="0">
      <pane ySplit="2" topLeftCell="A6" activePane="bottomLeft" state="frozen"/>
      <selection activeCell="D26" sqref="D26:D30"/>
      <selection pane="bottomLeft"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 t="str">
        <f>'Distribution Dashboard'!A101</f>
        <v>z</v>
      </c>
      <c r="C1" s="124" t="s">
        <v>130</v>
      </c>
      <c r="D1" s="124"/>
      <c r="E1" s="124"/>
      <c r="F1" s="124"/>
      <c r="G1" s="3" t="s">
        <v>10</v>
      </c>
      <c r="I1" s="12">
        <f>INDEX(E$18:P$18,Actual_month)</f>
        <v>46054</v>
      </c>
      <c r="L1" s="15" t="s">
        <v>21</v>
      </c>
      <c r="R1" s="5"/>
    </row>
    <row r="2" spans="1:19" x14ac:dyDescent="0.35">
      <c r="A2" s="3" t="s">
        <v>14</v>
      </c>
      <c r="C2" s="3" t="s">
        <v>15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 t="e">
        <f>INDEX(#REF!,Actual_month)</f>
        <v>#REF!</v>
      </c>
      <c r="K4" s="135"/>
      <c r="L4" s="135"/>
      <c r="M4" s="135"/>
      <c r="N4" s="135"/>
      <c r="O4" s="135"/>
      <c r="P4" s="135"/>
      <c r="Q4" s="136"/>
      <c r="R4" s="3" t="s">
        <v>25</v>
      </c>
      <c r="S4" s="43">
        <f>INDEX(E27:P27,Actual_month)</f>
        <v>821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43">
        <f>INDEX(E26:P26,Actual_month)</f>
        <v>0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0.9</v>
      </c>
      <c r="S6" s="43">
        <f>+S5*R6</f>
        <v>0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11"/>
    </row>
    <row r="19" spans="3:17" x14ac:dyDescent="0.35">
      <c r="D19" s="3" t="str">
        <f>'KPI 100'!D19</f>
        <v>Budget 2025/26</v>
      </c>
      <c r="E19" s="43">
        <f>Budget2526!D110</f>
        <v>0</v>
      </c>
      <c r="F19" s="43">
        <f>Budget2526!E110</f>
        <v>0</v>
      </c>
      <c r="G19" s="43">
        <f>Budget2526!F110</f>
        <v>0</v>
      </c>
      <c r="H19" s="43">
        <f>Budget2526!G110</f>
        <v>0</v>
      </c>
      <c r="I19" s="43">
        <f>Budget2526!H110</f>
        <v>0</v>
      </c>
      <c r="J19" s="43">
        <f>Budget2526!I110</f>
        <v>0</v>
      </c>
      <c r="K19" s="43">
        <f>Budget2526!J110</f>
        <v>0</v>
      </c>
      <c r="L19" s="43">
        <f>Budget2526!K110</f>
        <v>0</v>
      </c>
      <c r="M19" s="43">
        <f>Budget2526!L110</f>
        <v>0</v>
      </c>
      <c r="N19" s="43">
        <f>Budget2526!M110</f>
        <v>0</v>
      </c>
      <c r="O19" s="43">
        <f>Budget2526!N110</f>
        <v>0</v>
      </c>
      <c r="P19" s="43">
        <f>Budget2526!O110</f>
        <v>0</v>
      </c>
      <c r="Q19" s="5"/>
    </row>
    <row r="20" spans="3:17" x14ac:dyDescent="0.35">
      <c r="D20" s="3" t="str">
        <f>'KPI 100'!D20</f>
        <v>Actual 2025/26</v>
      </c>
      <c r="E20" s="43">
        <f>Actual2223!D97</f>
        <v>54</v>
      </c>
      <c r="F20" s="43">
        <f>Actual2223!E97</f>
        <v>160</v>
      </c>
      <c r="G20" s="43">
        <f>Actual2223!F97</f>
        <v>87</v>
      </c>
      <c r="H20" s="43">
        <f>Actual2223!G97</f>
        <v>147</v>
      </c>
      <c r="I20" s="43">
        <f>Actual2223!H97</f>
        <v>0</v>
      </c>
      <c r="J20" s="43">
        <f>Actual2223!I97</f>
        <v>373</v>
      </c>
      <c r="K20" s="43">
        <f>Actual2223!J97</f>
        <v>0</v>
      </c>
      <c r="L20" s="43">
        <f>Actual2223!K97</f>
        <v>0</v>
      </c>
      <c r="M20" s="43">
        <f>Actual2223!L97</f>
        <v>0</v>
      </c>
      <c r="N20" s="43">
        <f>Actual2223!M97</f>
        <v>0</v>
      </c>
      <c r="O20" s="43">
        <f>Actual2223!N97</f>
        <v>0</v>
      </c>
      <c r="P20" s="43">
        <f>Actual2223!O97</f>
        <v>0</v>
      </c>
      <c r="Q20" s="5"/>
    </row>
    <row r="21" spans="3:17" x14ac:dyDescent="0.35">
      <c r="D21" s="3" t="str">
        <f>'KPI 100'!D21</f>
        <v>Difference</v>
      </c>
      <c r="E21" s="43">
        <f>IF(E20=0,0,E20-E19)</f>
        <v>54</v>
      </c>
      <c r="F21" s="43">
        <f t="shared" ref="F21:P21" si="0">IF(F20=0,0,F20-F19)</f>
        <v>160</v>
      </c>
      <c r="G21" s="43">
        <f t="shared" si="0"/>
        <v>87</v>
      </c>
      <c r="H21" s="43">
        <f t="shared" si="0"/>
        <v>147</v>
      </c>
      <c r="I21" s="43">
        <f t="shared" si="0"/>
        <v>0</v>
      </c>
      <c r="J21" s="43">
        <f t="shared" si="0"/>
        <v>373</v>
      </c>
      <c r="K21" s="43">
        <f t="shared" si="0"/>
        <v>0</v>
      </c>
      <c r="L21" s="43">
        <f t="shared" si="0"/>
        <v>0</v>
      </c>
      <c r="M21" s="43">
        <f t="shared" si="0"/>
        <v>0</v>
      </c>
      <c r="N21" s="43">
        <f t="shared" si="0"/>
        <v>0</v>
      </c>
      <c r="O21" s="43">
        <f t="shared" si="0"/>
        <v>0</v>
      </c>
      <c r="P21" s="43">
        <f t="shared" si="0"/>
        <v>0</v>
      </c>
      <c r="Q21" s="5"/>
    </row>
    <row r="22" spans="3:17" x14ac:dyDescent="0.35">
      <c r="D22" s="3" t="str">
        <f>'KPI 100'!D22</f>
        <v>% realisation</v>
      </c>
      <c r="E22" s="9" t="e">
        <f>E20/E19</f>
        <v>#DIV/0!</v>
      </c>
      <c r="F22" s="9" t="e">
        <f t="shared" ref="F22:P22" si="1">F20/F19</f>
        <v>#DIV/0!</v>
      </c>
      <c r="G22" s="9" t="e">
        <f t="shared" si="1"/>
        <v>#DIV/0!</v>
      </c>
      <c r="H22" s="9" t="e">
        <f t="shared" si="1"/>
        <v>#DIV/0!</v>
      </c>
      <c r="I22" s="9" t="e">
        <f t="shared" si="1"/>
        <v>#DIV/0!</v>
      </c>
      <c r="J22" s="9" t="e">
        <f t="shared" si="1"/>
        <v>#DIV/0!</v>
      </c>
      <c r="K22" s="9" t="e">
        <f t="shared" si="1"/>
        <v>#DIV/0!</v>
      </c>
      <c r="L22" s="9" t="e">
        <f t="shared" si="1"/>
        <v>#DIV/0!</v>
      </c>
      <c r="M22" s="9" t="e">
        <f t="shared" si="1"/>
        <v>#DIV/0!</v>
      </c>
      <c r="N22" s="9" t="e">
        <f t="shared" si="1"/>
        <v>#DIV/0!</v>
      </c>
      <c r="O22" s="9" t="e">
        <f t="shared" si="1"/>
        <v>#DIV/0!</v>
      </c>
      <c r="P22" s="9" t="e">
        <f t="shared" si="1"/>
        <v>#DIV/0!</v>
      </c>
    </row>
    <row r="23" spans="3:17" x14ac:dyDescent="0.35">
      <c r="D23" s="3" t="str">
        <f>'KPI 100'!D23</f>
        <v>Actual 2024/25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43">
        <f>SUM($E19:E19)</f>
        <v>0</v>
      </c>
      <c r="F26" s="43">
        <f>SUM($E19:F19)</f>
        <v>0</v>
      </c>
      <c r="G26" s="43">
        <f>SUM($E19:G19)</f>
        <v>0</v>
      </c>
      <c r="H26" s="43">
        <f>SUM($E19:H19)</f>
        <v>0</v>
      </c>
      <c r="I26" s="43">
        <f>SUM($E19:I19)</f>
        <v>0</v>
      </c>
      <c r="J26" s="43">
        <f>SUM($E19:J19)</f>
        <v>0</v>
      </c>
      <c r="K26" s="43">
        <f>SUM($E19:K19)</f>
        <v>0</v>
      </c>
      <c r="L26" s="43">
        <f>SUM($E19:L19)</f>
        <v>0</v>
      </c>
      <c r="M26" s="43">
        <f>SUM($E19:M19)</f>
        <v>0</v>
      </c>
      <c r="N26" s="43">
        <f>SUM($E19:N19)</f>
        <v>0</v>
      </c>
      <c r="O26" s="43">
        <f>SUM($E19:O19)</f>
        <v>0</v>
      </c>
      <c r="P26" s="43">
        <f>SUM($E19:P19)</f>
        <v>0</v>
      </c>
    </row>
    <row r="27" spans="3:17" x14ac:dyDescent="0.35">
      <c r="D27" s="3" t="str">
        <f t="shared" ref="D27:D30" si="3">D20</f>
        <v>Actual 2025/26</v>
      </c>
      <c r="E27" s="43">
        <f>SUM($E20:E20)</f>
        <v>54</v>
      </c>
      <c r="F27" s="43">
        <f>SUM($E20:F20)</f>
        <v>214</v>
      </c>
      <c r="G27" s="43">
        <f>SUM($E20:G20)</f>
        <v>301</v>
      </c>
      <c r="H27" s="43">
        <f>SUM($E20:H20)</f>
        <v>448</v>
      </c>
      <c r="I27" s="43">
        <f>SUM($E20:I20)</f>
        <v>448</v>
      </c>
      <c r="J27" s="43">
        <f>SUM($E20:J20)</f>
        <v>821</v>
      </c>
      <c r="K27" s="43">
        <f>SUM($E20:K20)</f>
        <v>821</v>
      </c>
      <c r="L27" s="43">
        <f>SUM($E20:L20)</f>
        <v>821</v>
      </c>
      <c r="M27" s="43">
        <f>SUM($E20:M20)</f>
        <v>821</v>
      </c>
      <c r="N27" s="43">
        <f>SUM($E20:N20)</f>
        <v>821</v>
      </c>
      <c r="O27" s="43">
        <f>SUM($E20:O20)</f>
        <v>821</v>
      </c>
      <c r="P27" s="43">
        <f>SUM($E20:P20)</f>
        <v>821</v>
      </c>
    </row>
    <row r="28" spans="3:17" x14ac:dyDescent="0.35">
      <c r="D28" s="3" t="str">
        <f t="shared" si="3"/>
        <v>Difference</v>
      </c>
      <c r="E28" s="43">
        <f>IF(E27=0,0,E27-E26)</f>
        <v>54</v>
      </c>
      <c r="F28" s="43">
        <f t="shared" ref="F28:P28" si="4">IF(F27=0,0,F27-F26)</f>
        <v>214</v>
      </c>
      <c r="G28" s="43">
        <f t="shared" si="4"/>
        <v>301</v>
      </c>
      <c r="H28" s="43">
        <f t="shared" si="4"/>
        <v>448</v>
      </c>
      <c r="I28" s="43">
        <f t="shared" si="4"/>
        <v>448</v>
      </c>
      <c r="J28" s="43">
        <f t="shared" si="4"/>
        <v>821</v>
      </c>
      <c r="K28" s="43">
        <f t="shared" si="4"/>
        <v>821</v>
      </c>
      <c r="L28" s="43">
        <f t="shared" si="4"/>
        <v>821</v>
      </c>
      <c r="M28" s="43">
        <f t="shared" si="4"/>
        <v>821</v>
      </c>
      <c r="N28" s="43">
        <f t="shared" si="4"/>
        <v>821</v>
      </c>
      <c r="O28" s="43">
        <f t="shared" si="4"/>
        <v>821</v>
      </c>
      <c r="P28" s="43">
        <f t="shared" si="4"/>
        <v>821</v>
      </c>
    </row>
    <row r="29" spans="3:17" x14ac:dyDescent="0.35">
      <c r="D29" s="3" t="str">
        <f t="shared" si="3"/>
        <v>% realisation</v>
      </c>
      <c r="E29" s="9" t="e">
        <f t="shared" ref="E29:P29" si="5">E27/E26</f>
        <v>#DIV/0!</v>
      </c>
      <c r="F29" s="9" t="e">
        <f t="shared" si="5"/>
        <v>#DIV/0!</v>
      </c>
      <c r="G29" s="9" t="e">
        <f t="shared" si="5"/>
        <v>#DIV/0!</v>
      </c>
      <c r="H29" s="9" t="e">
        <f t="shared" si="5"/>
        <v>#DIV/0!</v>
      </c>
      <c r="I29" s="9" t="e">
        <f t="shared" si="5"/>
        <v>#DIV/0!</v>
      </c>
      <c r="J29" s="9" t="e">
        <f t="shared" si="5"/>
        <v>#DIV/0!</v>
      </c>
      <c r="K29" s="9" t="e">
        <f t="shared" si="5"/>
        <v>#DIV/0!</v>
      </c>
      <c r="L29" s="9" t="e">
        <f t="shared" si="5"/>
        <v>#DIV/0!</v>
      </c>
      <c r="M29" s="9" t="e">
        <f t="shared" si="5"/>
        <v>#DIV/0!</v>
      </c>
      <c r="N29" s="9" t="e">
        <f t="shared" si="5"/>
        <v>#DIV/0!</v>
      </c>
      <c r="O29" s="9" t="e">
        <f t="shared" si="5"/>
        <v>#DIV/0!</v>
      </c>
      <c r="P29" s="9" t="e">
        <f t="shared" si="5"/>
        <v>#DIV/0!</v>
      </c>
    </row>
    <row r="30" spans="3:17" x14ac:dyDescent="0.35">
      <c r="D30" s="3" t="str">
        <f t="shared" si="3"/>
        <v>Actual 2024/25</v>
      </c>
      <c r="E30" s="43">
        <f>SUM($E23:E23)</f>
        <v>0</v>
      </c>
      <c r="F30" s="43">
        <f>SUM($E23:F23)</f>
        <v>0</v>
      </c>
      <c r="G30" s="43">
        <f>SUM($E23:G23)</f>
        <v>0</v>
      </c>
      <c r="H30" s="43">
        <f>SUM($E23:H23)</f>
        <v>0</v>
      </c>
      <c r="I30" s="43">
        <f>SUM($E23:I23)</f>
        <v>0</v>
      </c>
      <c r="J30" s="43">
        <f>SUM($E23:J23)</f>
        <v>0</v>
      </c>
      <c r="K30" s="43">
        <f>SUM($E23:K23)</f>
        <v>0</v>
      </c>
      <c r="L30" s="43">
        <f>SUM($E23:L23)</f>
        <v>0</v>
      </c>
      <c r="M30" s="43">
        <f>SUM($E23:M23)</f>
        <v>0</v>
      </c>
      <c r="N30" s="43">
        <f>SUM($E23:N23)</f>
        <v>0</v>
      </c>
      <c r="O30" s="43">
        <f>SUM($E23:O23)</f>
        <v>0</v>
      </c>
      <c r="P30" s="43">
        <f>SUM($E23:P23)</f>
        <v>0</v>
      </c>
    </row>
  </sheetData>
  <sheetProtection algorithmName="SHA-512" hashValue="+xLC0lGdquEHPe0jdE5fmrL+lPuGCTG50gKT9MrcFGcicXeKHoMauym8TYW6rJOUnyWwW5EvNFx/5qbR0BAV7w==" saltValue="TVV8kLqxCwfXaYnPRCcrHQ==" spinCount="100000" sheet="1" objects="1" scenarios="1"/>
  <mergeCells count="3">
    <mergeCell ref="C1:F1"/>
    <mergeCell ref="J4:Q8"/>
    <mergeCell ref="J10:Q15"/>
  </mergeCells>
  <conditionalFormatting sqref="C3">
    <cfRule type="expression" dxfId="23" priority="2">
      <formula>S4&lt;S6</formula>
    </cfRule>
  </conditionalFormatting>
  <conditionalFormatting sqref="C4">
    <cfRule type="expression" dxfId="22" priority="1">
      <formula>AND(S4&gt;=S6,S4&lt;S5)</formula>
    </cfRule>
  </conditionalFormatting>
  <conditionalFormatting sqref="C5">
    <cfRule type="expression" dxfId="21" priority="3">
      <formula>S4&gt;=S5</formula>
    </cfRule>
  </conditionalFormatting>
  <hyperlinks>
    <hyperlink ref="L1" location="'Distribution Dashboard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67041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57150</xdr:rowOff>
                  </from>
                  <to>
                    <xdr:col>9</xdr:col>
                    <xdr:colOff>628650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S30"/>
  <sheetViews>
    <sheetView zoomScale="90" zoomScaleNormal="90" zoomScalePageLayoutView="90" workbookViewId="0">
      <pane ySplit="2" topLeftCell="A11" activePane="bottomLeft" state="frozen"/>
      <selection activeCell="D26" sqref="D26:D30"/>
      <selection pane="bottomLeft"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 t="str">
        <f>'Distribution Dashboard'!A102</f>
        <v>K</v>
      </c>
      <c r="C1" s="124" t="s">
        <v>131</v>
      </c>
      <c r="D1" s="124"/>
      <c r="E1" s="124"/>
      <c r="F1" s="124"/>
      <c r="G1" s="3" t="s">
        <v>10</v>
      </c>
      <c r="I1" s="12">
        <f>INDEX(E$18:P$18,Actual_month)</f>
        <v>46054</v>
      </c>
      <c r="L1" s="15" t="s">
        <v>21</v>
      </c>
      <c r="R1" s="5"/>
    </row>
    <row r="2" spans="1:19" x14ac:dyDescent="0.35">
      <c r="A2" s="3" t="s">
        <v>14</v>
      </c>
      <c r="C2" s="3" t="s">
        <v>1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/>
      <c r="K4" s="135"/>
      <c r="L4" s="135"/>
      <c r="M4" s="135"/>
      <c r="N4" s="135"/>
      <c r="O4" s="135"/>
      <c r="P4" s="135"/>
      <c r="Q4" s="136"/>
      <c r="R4" s="3" t="s">
        <v>25</v>
      </c>
      <c r="S4" s="9" t="e">
        <f>INDEX(E27:P27,Actual_month)</f>
        <v>#DIV/0!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9" t="e">
        <f>INDEX(E26:P26,Actual_month)</f>
        <v>#DIV/0!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1.1000000000000001</v>
      </c>
      <c r="S6" s="9" t="e">
        <f>+S5*R6</f>
        <v>#DIV/0!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9" t="e">
        <f>Budget2526!D111</f>
        <v>#DIV/0!</v>
      </c>
      <c r="F19" s="9" t="e">
        <f>Budget2526!E111</f>
        <v>#DIV/0!</v>
      </c>
      <c r="G19" s="9" t="e">
        <f>Budget2526!F111</f>
        <v>#DIV/0!</v>
      </c>
      <c r="H19" s="9" t="e">
        <f>Budget2526!G111</f>
        <v>#DIV/0!</v>
      </c>
      <c r="I19" s="9" t="e">
        <f>Budget2526!H111</f>
        <v>#DIV/0!</v>
      </c>
      <c r="J19" s="9" t="e">
        <f>Budget2526!I111</f>
        <v>#DIV/0!</v>
      </c>
      <c r="K19" s="9" t="e">
        <f>Budget2526!J111</f>
        <v>#DIV/0!</v>
      </c>
      <c r="L19" s="9" t="e">
        <f>Budget2526!K111</f>
        <v>#DIV/0!</v>
      </c>
      <c r="M19" s="9" t="e">
        <f>Budget2526!L111</f>
        <v>#DIV/0!</v>
      </c>
      <c r="N19" s="9" t="e">
        <f>Budget2526!M111</f>
        <v>#DIV/0!</v>
      </c>
      <c r="O19" s="9" t="e">
        <f>Budget2526!N111</f>
        <v>#DIV/0!</v>
      </c>
      <c r="P19" s="9" t="e">
        <f>Budget2526!O111</f>
        <v>#DIV/0!</v>
      </c>
      <c r="Q19" s="5"/>
    </row>
    <row r="20" spans="3:17" x14ac:dyDescent="0.35">
      <c r="D20" s="3" t="str">
        <f>'KPI 100'!D20</f>
        <v>Actual 2025/26</v>
      </c>
      <c r="E20" s="9">
        <f>Actual2223!D98</f>
        <v>0.8368580060422961</v>
      </c>
      <c r="F20" s="9">
        <f>Actual2223!E98</f>
        <v>0</v>
      </c>
      <c r="G20" s="9">
        <f>Actual2223!F98</f>
        <v>0.19444444444444445</v>
      </c>
      <c r="H20" s="9">
        <f>Actual2223!G98</f>
        <v>-7.2992700729927001E-2</v>
      </c>
      <c r="I20" s="9">
        <f>Actual2223!H98</f>
        <v>1</v>
      </c>
      <c r="J20" s="9" t="e">
        <f>Actual2223!I98</f>
        <v>#DIV/0!</v>
      </c>
      <c r="K20" s="9" t="e">
        <f>Actual2223!J98</f>
        <v>#DIV/0!</v>
      </c>
      <c r="L20" s="9">
        <f>Actual2223!K98</f>
        <v>1</v>
      </c>
      <c r="M20" s="9" t="e">
        <f>Actual2223!L98</f>
        <v>#DIV/0!</v>
      </c>
      <c r="N20" s="9" t="e">
        <f>Actual2223!M98</f>
        <v>#DIV/0!</v>
      </c>
      <c r="O20" s="9" t="e">
        <f>Actual2223!N98</f>
        <v>#DIV/0!</v>
      </c>
      <c r="P20" s="9" t="e">
        <f>Actual2223!O98</f>
        <v>#DIV/0!</v>
      </c>
      <c r="Q20" s="5"/>
    </row>
    <row r="21" spans="3:17" x14ac:dyDescent="0.35">
      <c r="D21" s="3" t="str">
        <f>'KPI 100'!D21</f>
        <v>Difference</v>
      </c>
      <c r="E21" s="9" t="e">
        <f>IF(E20=0,0,E20-E19)</f>
        <v>#DIV/0!</v>
      </c>
      <c r="F21" s="9">
        <f t="shared" ref="F21:P21" si="0">IF(F20=0,0,F20-F19)</f>
        <v>0</v>
      </c>
      <c r="G21" s="9" t="e">
        <f t="shared" si="0"/>
        <v>#DIV/0!</v>
      </c>
      <c r="H21" s="9" t="e">
        <f t="shared" si="0"/>
        <v>#DIV/0!</v>
      </c>
      <c r="I21" s="9" t="e">
        <f t="shared" si="0"/>
        <v>#DIV/0!</v>
      </c>
      <c r="J21" s="9" t="e">
        <f t="shared" si="0"/>
        <v>#DIV/0!</v>
      </c>
      <c r="K21" s="9" t="e">
        <f t="shared" si="0"/>
        <v>#DIV/0!</v>
      </c>
      <c r="L21" s="9" t="e">
        <f t="shared" si="0"/>
        <v>#DIV/0!</v>
      </c>
      <c r="M21" s="9" t="e">
        <f t="shared" si="0"/>
        <v>#DIV/0!</v>
      </c>
      <c r="N21" s="9" t="e">
        <f t="shared" si="0"/>
        <v>#DIV/0!</v>
      </c>
      <c r="O21" s="9" t="e">
        <f t="shared" si="0"/>
        <v>#DIV/0!</v>
      </c>
      <c r="P21" s="9" t="e">
        <f t="shared" si="0"/>
        <v>#DIV/0!</v>
      </c>
      <c r="Q21" s="5"/>
    </row>
    <row r="22" spans="3:17" x14ac:dyDescent="0.35">
      <c r="D22" s="3" t="str">
        <f>'KPI 100'!D22</f>
        <v>% realisation</v>
      </c>
      <c r="E22" s="9" t="e">
        <f>E20/E19</f>
        <v>#DIV/0!</v>
      </c>
      <c r="F22" s="9" t="e">
        <f t="shared" ref="F22:P22" si="1">F20/F19</f>
        <v>#DIV/0!</v>
      </c>
      <c r="G22" s="9" t="e">
        <f t="shared" si="1"/>
        <v>#DIV/0!</v>
      </c>
      <c r="H22" s="9" t="e">
        <f t="shared" si="1"/>
        <v>#DIV/0!</v>
      </c>
      <c r="I22" s="9" t="e">
        <f t="shared" si="1"/>
        <v>#DIV/0!</v>
      </c>
      <c r="J22" s="9" t="e">
        <f t="shared" si="1"/>
        <v>#DIV/0!</v>
      </c>
      <c r="K22" s="9" t="e">
        <f t="shared" si="1"/>
        <v>#DIV/0!</v>
      </c>
      <c r="L22" s="9" t="e">
        <f t="shared" si="1"/>
        <v>#DIV/0!</v>
      </c>
      <c r="M22" s="9" t="e">
        <f t="shared" si="1"/>
        <v>#DIV/0!</v>
      </c>
      <c r="N22" s="9" t="e">
        <f t="shared" si="1"/>
        <v>#DIV/0!</v>
      </c>
      <c r="O22" s="9" t="e">
        <f t="shared" si="1"/>
        <v>#DIV/0!</v>
      </c>
      <c r="P22" s="9" t="e">
        <f t="shared" si="1"/>
        <v>#DIV/0!</v>
      </c>
    </row>
    <row r="23" spans="3:17" x14ac:dyDescent="0.35">
      <c r="D23" s="3" t="str">
        <f>'KPI 100'!D23</f>
        <v>Actual 2024/25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9" t="e">
        <f>AVERAGE(E19:E19)</f>
        <v>#DIV/0!</v>
      </c>
      <c r="F26" s="9" t="e">
        <f>AVERAGE($E19:F19)</f>
        <v>#DIV/0!</v>
      </c>
      <c r="G26" s="9" t="e">
        <f>AVERAGE($E19:G19)</f>
        <v>#DIV/0!</v>
      </c>
      <c r="H26" s="9" t="e">
        <f>AVERAGE($E19:H19)</f>
        <v>#DIV/0!</v>
      </c>
      <c r="I26" s="9" t="e">
        <f>AVERAGE($E19:I19)</f>
        <v>#DIV/0!</v>
      </c>
      <c r="J26" s="9" t="e">
        <f>AVERAGE($E19:J19)</f>
        <v>#DIV/0!</v>
      </c>
      <c r="K26" s="9" t="e">
        <f>AVERAGE($E19:K19)</f>
        <v>#DIV/0!</v>
      </c>
      <c r="L26" s="9" t="e">
        <f>AVERAGE($E19:L19)</f>
        <v>#DIV/0!</v>
      </c>
      <c r="M26" s="9" t="e">
        <f>AVERAGE($E19:M19)</f>
        <v>#DIV/0!</v>
      </c>
      <c r="N26" s="9" t="e">
        <f>AVERAGE($E19:N19)</f>
        <v>#DIV/0!</v>
      </c>
      <c r="O26" s="9" t="e">
        <f>AVERAGE($E19:O19)</f>
        <v>#DIV/0!</v>
      </c>
      <c r="P26" s="9" t="e">
        <f>AVERAGE($E19:P19)</f>
        <v>#DIV/0!</v>
      </c>
    </row>
    <row r="27" spans="3:17" x14ac:dyDescent="0.35">
      <c r="D27" s="3" t="str">
        <f t="shared" ref="D27:D30" si="3">D20</f>
        <v>Actual 2025/26</v>
      </c>
      <c r="E27" s="9">
        <f>AVERAGE(E20:E20)</f>
        <v>0.8368580060422961</v>
      </c>
      <c r="F27" s="9">
        <f>AVERAGE($E20:F20)</f>
        <v>0.41842900302114805</v>
      </c>
      <c r="G27" s="9">
        <f>AVERAGE($E20:G20)</f>
        <v>0.34376748349558017</v>
      </c>
      <c r="H27" s="9">
        <f>AVERAGE($E20:H20)</f>
        <v>0.23957743743920337</v>
      </c>
      <c r="I27" s="9">
        <f>AVERAGE($E20:I20)</f>
        <v>0.39166194995136266</v>
      </c>
      <c r="J27" s="9" t="e">
        <f>AVERAGE($E20:J20)</f>
        <v>#DIV/0!</v>
      </c>
      <c r="K27" s="9" t="e">
        <f>AVERAGE($E20:K20)</f>
        <v>#DIV/0!</v>
      </c>
      <c r="L27" s="9" t="e">
        <f>AVERAGE($E20:L20)</f>
        <v>#DIV/0!</v>
      </c>
      <c r="M27" s="9" t="e">
        <f>AVERAGE($E20:M20)</f>
        <v>#DIV/0!</v>
      </c>
      <c r="N27" s="9" t="e">
        <f>AVERAGE($E20:N20)</f>
        <v>#DIV/0!</v>
      </c>
      <c r="O27" s="9" t="e">
        <f>AVERAGE($E20:O20)</f>
        <v>#DIV/0!</v>
      </c>
      <c r="P27" s="9" t="e">
        <f>AVERAGE($E20:P20)</f>
        <v>#DIV/0!</v>
      </c>
    </row>
    <row r="28" spans="3:17" x14ac:dyDescent="0.35">
      <c r="D28" s="3" t="str">
        <f t="shared" si="3"/>
        <v>Difference</v>
      </c>
      <c r="E28" s="9" t="e">
        <f>IF(E27=0,0,E27-E26)</f>
        <v>#DIV/0!</v>
      </c>
      <c r="F28" s="9" t="e">
        <f t="shared" ref="F28:P28" si="4">IF(F27=0,0,F27-F26)</f>
        <v>#DIV/0!</v>
      </c>
      <c r="G28" s="9" t="e">
        <f t="shared" si="4"/>
        <v>#DIV/0!</v>
      </c>
      <c r="H28" s="9" t="e">
        <f t="shared" si="4"/>
        <v>#DIV/0!</v>
      </c>
      <c r="I28" s="9" t="e">
        <f t="shared" si="4"/>
        <v>#DIV/0!</v>
      </c>
      <c r="J28" s="9" t="e">
        <f t="shared" si="4"/>
        <v>#DIV/0!</v>
      </c>
      <c r="K28" s="9" t="e">
        <f t="shared" si="4"/>
        <v>#DIV/0!</v>
      </c>
      <c r="L28" s="9" t="e">
        <f t="shared" si="4"/>
        <v>#DIV/0!</v>
      </c>
      <c r="M28" s="9" t="e">
        <f t="shared" si="4"/>
        <v>#DIV/0!</v>
      </c>
      <c r="N28" s="9" t="e">
        <f t="shared" si="4"/>
        <v>#DIV/0!</v>
      </c>
      <c r="O28" s="9" t="e">
        <f t="shared" si="4"/>
        <v>#DIV/0!</v>
      </c>
      <c r="P28" s="9" t="e">
        <f t="shared" si="4"/>
        <v>#DIV/0!</v>
      </c>
    </row>
    <row r="29" spans="3:17" x14ac:dyDescent="0.35">
      <c r="D29" s="3" t="str">
        <f t="shared" si="3"/>
        <v>% realisation</v>
      </c>
      <c r="E29" s="9" t="e">
        <f t="shared" ref="E29:P29" si="5">E27/E26</f>
        <v>#DIV/0!</v>
      </c>
      <c r="F29" s="9" t="e">
        <f t="shared" si="5"/>
        <v>#DIV/0!</v>
      </c>
      <c r="G29" s="9" t="e">
        <f t="shared" si="5"/>
        <v>#DIV/0!</v>
      </c>
      <c r="H29" s="9" t="e">
        <f t="shared" si="5"/>
        <v>#DIV/0!</v>
      </c>
      <c r="I29" s="9" t="e">
        <f t="shared" si="5"/>
        <v>#DIV/0!</v>
      </c>
      <c r="J29" s="9" t="e">
        <f t="shared" si="5"/>
        <v>#DIV/0!</v>
      </c>
      <c r="K29" s="9" t="e">
        <f t="shared" si="5"/>
        <v>#DIV/0!</v>
      </c>
      <c r="L29" s="9" t="e">
        <f t="shared" si="5"/>
        <v>#DIV/0!</v>
      </c>
      <c r="M29" s="9" t="e">
        <f t="shared" si="5"/>
        <v>#DIV/0!</v>
      </c>
      <c r="N29" s="9" t="e">
        <f t="shared" si="5"/>
        <v>#DIV/0!</v>
      </c>
      <c r="O29" s="9" t="e">
        <f t="shared" si="5"/>
        <v>#DIV/0!</v>
      </c>
      <c r="P29" s="9" t="e">
        <f t="shared" si="5"/>
        <v>#DIV/0!</v>
      </c>
    </row>
    <row r="30" spans="3:17" x14ac:dyDescent="0.35">
      <c r="D30" s="3" t="str">
        <f t="shared" si="3"/>
        <v>Actual 2024/25</v>
      </c>
      <c r="E30" s="9">
        <f>('KPI 103 (5)'!E30-'KPI 110 (5)'!E30)/'KPI 103 (5)'!E30</f>
        <v>0.45934905784688362</v>
      </c>
      <c r="F30" s="9">
        <f>('KPI 103 (5)'!F30-'KPI 110 (5)'!F30)/'KPI 103 (5)'!F30</f>
        <v>0.478054365802977</v>
      </c>
      <c r="G30" s="9">
        <f>('KPI 103 (5)'!G30-'KPI 110 (5)'!G30)/'KPI 103 (5)'!G30</f>
        <v>0.48022457607855618</v>
      </c>
      <c r="H30" s="9">
        <f>('KPI 103 (5)'!H30-'KPI 110 (5)'!H30)/'KPI 103 (5)'!H30</f>
        <v>0.50691024378231964</v>
      </c>
      <c r="I30" s="9">
        <f>('KPI 103 (5)'!I30-'KPI 110 (5)'!I30)/'KPI 103 (5)'!I30</f>
        <v>0.4781495372780688</v>
      </c>
      <c r="J30" s="9">
        <f>('KPI 103 (5)'!J30-'KPI 110 (5)'!J30)/'KPI 103 (5)'!J30</f>
        <v>0.46272571466446988</v>
      </c>
      <c r="K30" s="9">
        <f>('KPI 103 (5)'!K30-'KPI 110 (5)'!K30)/'KPI 103 (5)'!K30</f>
        <v>0.47184415869015661</v>
      </c>
      <c r="L30" s="9">
        <f>('KPI 103 (5)'!L30-'KPI 110 (5)'!L30)/'KPI 103 (5)'!L30</f>
        <v>0.4760291551175444</v>
      </c>
      <c r="M30" s="9">
        <f>('KPI 103 (5)'!M30-'KPI 110 (5)'!M30)/'KPI 103 (5)'!M30</f>
        <v>0.46808371367874846</v>
      </c>
      <c r="N30" s="9">
        <f>('KPI 103 (5)'!N30-'KPI 110 (5)'!N30)/'KPI 103 (5)'!N30</f>
        <v>0.46865274681616526</v>
      </c>
      <c r="O30" s="9">
        <f>('KPI 103 (5)'!O30-'KPI 110 (5)'!O30)/'KPI 103 (5)'!O30</f>
        <v>0.46281647955132521</v>
      </c>
      <c r="P30" s="9">
        <f>('KPI 103 (5)'!P30-'KPI 110 (5)'!P30)/'KPI 103 (5)'!P30</f>
        <v>0.45521924519313844</v>
      </c>
    </row>
  </sheetData>
  <sheetProtection algorithmName="SHA-512" hashValue="5o+jeYCJbbmCew/qSqEGU7/VIDkE4JqwtqGUkgw0lPM2zMoF0CDVffFfT3cAg7dOFmhQKmJD7RgrZGpqPdE58A==" saltValue="jurQ/EvxKuzP7igEI62DQA==" spinCount="100000" sheet="1" objects="1" scenarios="1"/>
  <mergeCells count="3">
    <mergeCell ref="C1:F1"/>
    <mergeCell ref="J4:Q8"/>
    <mergeCell ref="J10:Q15"/>
  </mergeCells>
  <conditionalFormatting sqref="C3">
    <cfRule type="expression" dxfId="20" priority="2">
      <formula>S4&gt;S6</formula>
    </cfRule>
  </conditionalFormatting>
  <conditionalFormatting sqref="C4">
    <cfRule type="expression" dxfId="19" priority="1">
      <formula>AND(S4&gt;S5,S4&lt;=S6)</formula>
    </cfRule>
  </conditionalFormatting>
  <conditionalFormatting sqref="C5">
    <cfRule type="expression" dxfId="18" priority="3">
      <formula>S4&lt;=S5</formula>
    </cfRule>
  </conditionalFormatting>
  <hyperlinks>
    <hyperlink ref="L1" location="'Distribution Dashboard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68065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57150</xdr:rowOff>
                  </from>
                  <to>
                    <xdr:col>9</xdr:col>
                    <xdr:colOff>628650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S30"/>
  <sheetViews>
    <sheetView zoomScale="90" zoomScaleNormal="90" zoomScalePageLayoutView="90" workbookViewId="0">
      <pane ySplit="2" topLeftCell="A6" activePane="bottomLeft" state="frozen"/>
      <selection activeCell="D26" sqref="D26:D30"/>
      <selection pane="bottomLeft"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 t="str">
        <f>'Distribution Dashboard'!A104</f>
        <v>Y (2)</v>
      </c>
      <c r="C1" s="124" t="str">
        <f>'Distribution Dashboard'!B104</f>
        <v>Volume Water Supplied-Gondi</v>
      </c>
      <c r="D1" s="124"/>
      <c r="E1" s="124"/>
      <c r="F1" s="124"/>
      <c r="G1" s="3" t="s">
        <v>10</v>
      </c>
      <c r="I1" s="12">
        <f>INDEX(E$18:P$18,Actual_month)</f>
        <v>46054</v>
      </c>
      <c r="L1" s="15" t="s">
        <v>21</v>
      </c>
      <c r="R1" s="5"/>
    </row>
    <row r="2" spans="1:19" x14ac:dyDescent="0.35">
      <c r="A2" s="3" t="s">
        <v>14</v>
      </c>
      <c r="C2" s="3" t="s">
        <v>15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25"/>
      <c r="K4" s="126"/>
      <c r="L4" s="126"/>
      <c r="M4" s="126"/>
      <c r="N4" s="126"/>
      <c r="O4" s="126"/>
      <c r="P4" s="126"/>
      <c r="Q4" s="127"/>
      <c r="R4" s="3" t="s">
        <v>25</v>
      </c>
      <c r="S4" s="43">
        <f>INDEX(E27:P27,Actual_month)</f>
        <v>872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28"/>
      <c r="K5" s="129"/>
      <c r="L5" s="129"/>
      <c r="M5" s="129"/>
      <c r="N5" s="129"/>
      <c r="O5" s="129"/>
      <c r="P5" s="129"/>
      <c r="Q5" s="130"/>
      <c r="R5" s="3" t="s">
        <v>26</v>
      </c>
      <c r="S5" s="43">
        <f>INDEX(E26:P26,Actual_month)</f>
        <v>0</v>
      </c>
    </row>
    <row r="6" spans="1:19" x14ac:dyDescent="0.35">
      <c r="J6" s="128"/>
      <c r="K6" s="129"/>
      <c r="L6" s="129"/>
      <c r="M6" s="129"/>
      <c r="N6" s="129"/>
      <c r="O6" s="129"/>
      <c r="P6" s="129"/>
      <c r="Q6" s="130"/>
      <c r="R6" s="6">
        <v>0.9</v>
      </c>
      <c r="S6" s="43">
        <f>+S5*R6</f>
        <v>0</v>
      </c>
    </row>
    <row r="7" spans="1:19" x14ac:dyDescent="0.35">
      <c r="J7" s="128"/>
      <c r="K7" s="129"/>
      <c r="L7" s="129"/>
      <c r="M7" s="129"/>
      <c r="N7" s="129"/>
      <c r="O7" s="129"/>
      <c r="P7" s="129"/>
      <c r="Q7" s="130"/>
    </row>
    <row r="8" spans="1:19" ht="15" thickBot="1" x14ac:dyDescent="0.4">
      <c r="J8" s="131"/>
      <c r="K8" s="132"/>
      <c r="L8" s="132"/>
      <c r="M8" s="132"/>
      <c r="N8" s="132"/>
      <c r="O8" s="132"/>
      <c r="P8" s="132"/>
      <c r="Q8" s="133"/>
    </row>
    <row r="9" spans="1:19" ht="15" thickBot="1" x14ac:dyDescent="0.4">
      <c r="J9" s="3" t="s">
        <v>13</v>
      </c>
    </row>
    <row r="10" spans="1:19" x14ac:dyDescent="0.35">
      <c r="J10" s="125"/>
      <c r="K10" s="126"/>
      <c r="L10" s="126"/>
      <c r="M10" s="126"/>
      <c r="N10" s="126"/>
      <c r="O10" s="126"/>
      <c r="P10" s="126"/>
      <c r="Q10" s="127"/>
    </row>
    <row r="11" spans="1:19" x14ac:dyDescent="0.35">
      <c r="J11" s="128"/>
      <c r="K11" s="129"/>
      <c r="L11" s="129"/>
      <c r="M11" s="129"/>
      <c r="N11" s="129"/>
      <c r="O11" s="129"/>
      <c r="P11" s="129"/>
      <c r="Q11" s="130"/>
    </row>
    <row r="12" spans="1:19" x14ac:dyDescent="0.35">
      <c r="J12" s="128"/>
      <c r="K12" s="129"/>
      <c r="L12" s="129"/>
      <c r="M12" s="129"/>
      <c r="N12" s="129"/>
      <c r="O12" s="129"/>
      <c r="P12" s="129"/>
      <c r="Q12" s="130"/>
    </row>
    <row r="13" spans="1:19" x14ac:dyDescent="0.35">
      <c r="J13" s="128"/>
      <c r="K13" s="129"/>
      <c r="L13" s="129"/>
      <c r="M13" s="129"/>
      <c r="N13" s="129"/>
      <c r="O13" s="129"/>
      <c r="P13" s="129"/>
      <c r="Q13" s="130"/>
    </row>
    <row r="14" spans="1:19" x14ac:dyDescent="0.35">
      <c r="J14" s="128"/>
      <c r="K14" s="129"/>
      <c r="L14" s="129"/>
      <c r="M14" s="129"/>
      <c r="N14" s="129"/>
      <c r="O14" s="129"/>
      <c r="P14" s="129"/>
      <c r="Q14" s="130"/>
    </row>
    <row r="15" spans="1:19" ht="15" thickBot="1" x14ac:dyDescent="0.4">
      <c r="J15" s="131"/>
      <c r="K15" s="132"/>
      <c r="L15" s="132"/>
      <c r="M15" s="132"/>
      <c r="N15" s="132"/>
      <c r="O15" s="132"/>
      <c r="P15" s="132"/>
      <c r="Q15" s="133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43">
        <f>Budget2526!D113</f>
        <v>0</v>
      </c>
      <c r="F19" s="43">
        <f>Budget2526!E113</f>
        <v>0</v>
      </c>
      <c r="G19" s="43">
        <f>Budget2526!F113</f>
        <v>0</v>
      </c>
      <c r="H19" s="43">
        <f>Budget2526!G113</f>
        <v>0</v>
      </c>
      <c r="I19" s="43">
        <f>Budget2526!H113</f>
        <v>0</v>
      </c>
      <c r="J19" s="43">
        <f>Budget2526!I113</f>
        <v>0</v>
      </c>
      <c r="K19" s="43">
        <f>Budget2526!J113</f>
        <v>0</v>
      </c>
      <c r="L19" s="43">
        <f>Budget2526!K113</f>
        <v>0</v>
      </c>
      <c r="M19" s="43">
        <f>Budget2526!L113</f>
        <v>0</v>
      </c>
      <c r="N19" s="43">
        <f>Budget2526!M113</f>
        <v>0</v>
      </c>
      <c r="O19" s="43">
        <f>Budget2526!N113</f>
        <v>0</v>
      </c>
      <c r="P19" s="43">
        <f>Budget2526!O113</f>
        <v>0</v>
      </c>
      <c r="Q19" s="5"/>
    </row>
    <row r="20" spans="3:17" x14ac:dyDescent="0.35">
      <c r="D20" s="3" t="str">
        <f>'KPI 100'!D20</f>
        <v>Actual 2025/26</v>
      </c>
      <c r="E20" s="43">
        <f>Actual2223!D100</f>
        <v>119</v>
      </c>
      <c r="F20" s="43">
        <f>Actual2223!E100</f>
        <v>105</v>
      </c>
      <c r="G20" s="43">
        <f>Actual2223!F100</f>
        <v>67</v>
      </c>
      <c r="H20" s="43">
        <f>Actual2223!G100</f>
        <v>30</v>
      </c>
      <c r="I20" s="43">
        <f>Actual2223!H100</f>
        <v>551</v>
      </c>
      <c r="J20" s="43">
        <f>Actual2223!I100</f>
        <v>0</v>
      </c>
      <c r="K20" s="43">
        <f>Actual2223!J100</f>
        <v>0</v>
      </c>
      <c r="L20" s="43">
        <f>Actual2223!K100</f>
        <v>0</v>
      </c>
      <c r="M20" s="43">
        <f>Actual2223!L100</f>
        <v>0</v>
      </c>
      <c r="N20" s="43">
        <f>Actual2223!M100</f>
        <v>0</v>
      </c>
      <c r="O20" s="43">
        <f>Actual2223!N100</f>
        <v>0</v>
      </c>
      <c r="P20" s="43">
        <f>Actual2223!O100</f>
        <v>0</v>
      </c>
      <c r="Q20" s="5"/>
    </row>
    <row r="21" spans="3:17" x14ac:dyDescent="0.35">
      <c r="D21" s="3" t="str">
        <f>'KPI 100'!D21</f>
        <v>Difference</v>
      </c>
      <c r="E21" s="43">
        <f>IF(E20=0,0,E20-E19)</f>
        <v>119</v>
      </c>
      <c r="F21" s="43">
        <f t="shared" ref="F21:P21" si="0">IF(F20=0,0,F20-F19)</f>
        <v>105</v>
      </c>
      <c r="G21" s="43">
        <f t="shared" si="0"/>
        <v>67</v>
      </c>
      <c r="H21" s="43">
        <f t="shared" si="0"/>
        <v>30</v>
      </c>
      <c r="I21" s="43">
        <f t="shared" si="0"/>
        <v>551</v>
      </c>
      <c r="J21" s="43">
        <f t="shared" si="0"/>
        <v>0</v>
      </c>
      <c r="K21" s="43">
        <f t="shared" si="0"/>
        <v>0</v>
      </c>
      <c r="L21" s="43">
        <f t="shared" si="0"/>
        <v>0</v>
      </c>
      <c r="M21" s="43">
        <f t="shared" si="0"/>
        <v>0</v>
      </c>
      <c r="N21" s="43">
        <f t="shared" si="0"/>
        <v>0</v>
      </c>
      <c r="O21" s="43">
        <f t="shared" si="0"/>
        <v>0</v>
      </c>
      <c r="P21" s="43">
        <f t="shared" si="0"/>
        <v>0</v>
      </c>
      <c r="Q21" s="5"/>
    </row>
    <row r="22" spans="3:17" x14ac:dyDescent="0.35">
      <c r="D22" s="3" t="str">
        <f>'KPI 100'!D22</f>
        <v>% realisation</v>
      </c>
      <c r="E22" s="9" t="e">
        <f>E20/E19</f>
        <v>#DIV/0!</v>
      </c>
      <c r="F22" s="9" t="e">
        <f t="shared" ref="F22:P22" si="1">F20/F19</f>
        <v>#DIV/0!</v>
      </c>
      <c r="G22" s="9" t="e">
        <f t="shared" si="1"/>
        <v>#DIV/0!</v>
      </c>
      <c r="H22" s="9" t="e">
        <f t="shared" si="1"/>
        <v>#DIV/0!</v>
      </c>
      <c r="I22" s="9" t="e">
        <f t="shared" si="1"/>
        <v>#DIV/0!</v>
      </c>
      <c r="J22" s="9" t="e">
        <f t="shared" si="1"/>
        <v>#DIV/0!</v>
      </c>
      <c r="K22" s="9" t="e">
        <f t="shared" si="1"/>
        <v>#DIV/0!</v>
      </c>
      <c r="L22" s="9" t="e">
        <f t="shared" si="1"/>
        <v>#DIV/0!</v>
      </c>
      <c r="M22" s="9" t="e">
        <f t="shared" si="1"/>
        <v>#DIV/0!</v>
      </c>
      <c r="N22" s="9" t="e">
        <f t="shared" si="1"/>
        <v>#DIV/0!</v>
      </c>
      <c r="O22" s="9" t="e">
        <f t="shared" si="1"/>
        <v>#DIV/0!</v>
      </c>
      <c r="P22" s="9" t="e">
        <f t="shared" si="1"/>
        <v>#DIV/0!</v>
      </c>
    </row>
    <row r="23" spans="3:17" x14ac:dyDescent="0.35">
      <c r="D23" s="3" t="str">
        <f>'KPI 100'!D23</f>
        <v>Actual 2024/25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43">
        <f>SUM($E19:E19)</f>
        <v>0</v>
      </c>
      <c r="F26" s="43">
        <f>SUM($E19:F19)</f>
        <v>0</v>
      </c>
      <c r="G26" s="43">
        <f>SUM($E19:G19)</f>
        <v>0</v>
      </c>
      <c r="H26" s="43">
        <f>SUM($E19:H19)</f>
        <v>0</v>
      </c>
      <c r="I26" s="43">
        <f>SUM($E19:I19)</f>
        <v>0</v>
      </c>
      <c r="J26" s="43">
        <f>SUM($E19:J19)</f>
        <v>0</v>
      </c>
      <c r="K26" s="43">
        <f>SUM($E19:K19)</f>
        <v>0</v>
      </c>
      <c r="L26" s="43">
        <f>SUM($E19:L19)</f>
        <v>0</v>
      </c>
      <c r="M26" s="43">
        <f>SUM($E19:M19)</f>
        <v>0</v>
      </c>
      <c r="N26" s="43">
        <f>SUM($E19:N19)</f>
        <v>0</v>
      </c>
      <c r="O26" s="43">
        <f>SUM($E19:O19)</f>
        <v>0</v>
      </c>
      <c r="P26" s="43">
        <f>SUM($E19:P19)</f>
        <v>0</v>
      </c>
    </row>
    <row r="27" spans="3:17" x14ac:dyDescent="0.35">
      <c r="D27" s="3" t="str">
        <f t="shared" ref="D27:D30" si="3">D20</f>
        <v>Actual 2025/26</v>
      </c>
      <c r="E27" s="43">
        <f>SUM($E20:E20)</f>
        <v>119</v>
      </c>
      <c r="F27" s="43">
        <f>SUM($E20:F20)</f>
        <v>224</v>
      </c>
      <c r="G27" s="43">
        <f>SUM($E20:G20)</f>
        <v>291</v>
      </c>
      <c r="H27" s="43">
        <f>SUM($E20:H20)</f>
        <v>321</v>
      </c>
      <c r="I27" s="43">
        <f>SUM($E20:I20)</f>
        <v>872</v>
      </c>
      <c r="J27" s="43">
        <f>SUM($E20:J20)</f>
        <v>872</v>
      </c>
      <c r="K27" s="43">
        <f>SUM($E20:K20)</f>
        <v>872</v>
      </c>
      <c r="L27" s="43">
        <f>SUM($E20:L20)</f>
        <v>872</v>
      </c>
      <c r="M27" s="43">
        <f>SUM($E20:M20)</f>
        <v>872</v>
      </c>
      <c r="N27" s="43">
        <f>SUM($E20:N20)</f>
        <v>872</v>
      </c>
      <c r="O27" s="43">
        <f>SUM($E20:O20)</f>
        <v>872</v>
      </c>
      <c r="P27" s="43">
        <f>SUM($E20:P20)</f>
        <v>872</v>
      </c>
    </row>
    <row r="28" spans="3:17" x14ac:dyDescent="0.35">
      <c r="D28" s="3" t="str">
        <f t="shared" si="3"/>
        <v>Difference</v>
      </c>
      <c r="E28" s="43">
        <f>IF(E27=0,0,E27-E26)</f>
        <v>119</v>
      </c>
      <c r="F28" s="43">
        <f t="shared" ref="F28:P28" si="4">IF(F27=0,0,F27-F26)</f>
        <v>224</v>
      </c>
      <c r="G28" s="43">
        <f t="shared" si="4"/>
        <v>291</v>
      </c>
      <c r="H28" s="43">
        <f t="shared" si="4"/>
        <v>321</v>
      </c>
      <c r="I28" s="43">
        <f t="shared" si="4"/>
        <v>872</v>
      </c>
      <c r="J28" s="43">
        <f t="shared" si="4"/>
        <v>872</v>
      </c>
      <c r="K28" s="43">
        <f t="shared" si="4"/>
        <v>872</v>
      </c>
      <c r="L28" s="43">
        <f t="shared" si="4"/>
        <v>872</v>
      </c>
      <c r="M28" s="43">
        <f t="shared" si="4"/>
        <v>872</v>
      </c>
      <c r="N28" s="43">
        <f t="shared" si="4"/>
        <v>872</v>
      </c>
      <c r="O28" s="43">
        <f t="shared" si="4"/>
        <v>872</v>
      </c>
      <c r="P28" s="43">
        <f t="shared" si="4"/>
        <v>872</v>
      </c>
    </row>
    <row r="29" spans="3:17" x14ac:dyDescent="0.35">
      <c r="D29" s="3" t="str">
        <f t="shared" si="3"/>
        <v>% realisation</v>
      </c>
      <c r="E29" s="9" t="e">
        <f t="shared" ref="E29:P29" si="5">E27/E26</f>
        <v>#DIV/0!</v>
      </c>
      <c r="F29" s="9" t="e">
        <f t="shared" si="5"/>
        <v>#DIV/0!</v>
      </c>
      <c r="G29" s="9" t="e">
        <f t="shared" si="5"/>
        <v>#DIV/0!</v>
      </c>
      <c r="H29" s="9" t="e">
        <f t="shared" si="5"/>
        <v>#DIV/0!</v>
      </c>
      <c r="I29" s="9" t="e">
        <f t="shared" si="5"/>
        <v>#DIV/0!</v>
      </c>
      <c r="J29" s="9" t="e">
        <f t="shared" si="5"/>
        <v>#DIV/0!</v>
      </c>
      <c r="K29" s="9" t="e">
        <f t="shared" si="5"/>
        <v>#DIV/0!</v>
      </c>
      <c r="L29" s="9" t="e">
        <f t="shared" si="5"/>
        <v>#DIV/0!</v>
      </c>
      <c r="M29" s="9" t="e">
        <f t="shared" si="5"/>
        <v>#DIV/0!</v>
      </c>
      <c r="N29" s="9" t="e">
        <f t="shared" si="5"/>
        <v>#DIV/0!</v>
      </c>
      <c r="O29" s="9" t="e">
        <f t="shared" si="5"/>
        <v>#DIV/0!</v>
      </c>
      <c r="P29" s="9" t="e">
        <f t="shared" si="5"/>
        <v>#DIV/0!</v>
      </c>
    </row>
    <row r="30" spans="3:17" x14ac:dyDescent="0.35">
      <c r="D30" s="3" t="str">
        <f t="shared" si="3"/>
        <v>Actual 2024/25</v>
      </c>
      <c r="E30" s="43">
        <f>SUM($E23:E23)</f>
        <v>0</v>
      </c>
      <c r="F30" s="43">
        <f>SUM($E23:F23)</f>
        <v>0</v>
      </c>
      <c r="G30" s="43">
        <f>SUM($E23:G23)</f>
        <v>0</v>
      </c>
      <c r="H30" s="43">
        <f>SUM($E23:H23)</f>
        <v>0</v>
      </c>
      <c r="I30" s="43">
        <f>SUM($E23:I23)</f>
        <v>0</v>
      </c>
      <c r="J30" s="43">
        <f>SUM($E23:J23)</f>
        <v>0</v>
      </c>
      <c r="K30" s="43">
        <f>SUM($E23:K23)</f>
        <v>0</v>
      </c>
      <c r="L30" s="43">
        <f>SUM($E23:L23)</f>
        <v>0</v>
      </c>
      <c r="M30" s="43">
        <f>SUM($E23:M23)</f>
        <v>0</v>
      </c>
      <c r="N30" s="43">
        <f>SUM($E23:N23)</f>
        <v>0</v>
      </c>
      <c r="O30" s="43">
        <f>SUM($E23:O23)</f>
        <v>0</v>
      </c>
      <c r="P30" s="43">
        <f>SUM($E23:P23)</f>
        <v>0</v>
      </c>
    </row>
  </sheetData>
  <sheetProtection algorithmName="SHA-512" hashValue="NRI7OS+vAIMTuPFzz3mP79ySeN7lRp9Azn/XYZ6wWsOnSZqoYMToZvBPGKM8gYaJBojmBcthgKvI79hKdwtLfg==" saltValue="/trhszyfDSoCyCb1kO2+WA==" spinCount="100000" sheet="1" objects="1" scenarios="1"/>
  <mergeCells count="3">
    <mergeCell ref="C1:F1"/>
    <mergeCell ref="J4:Q8"/>
    <mergeCell ref="J10:Q15"/>
  </mergeCells>
  <conditionalFormatting sqref="C3">
    <cfRule type="expression" dxfId="17" priority="2">
      <formula>S4&lt;S6</formula>
    </cfRule>
  </conditionalFormatting>
  <conditionalFormatting sqref="C4">
    <cfRule type="expression" dxfId="16" priority="1">
      <formula>AND(S4&gt;=S6,S4&lt;S5)</formula>
    </cfRule>
  </conditionalFormatting>
  <conditionalFormatting sqref="C5">
    <cfRule type="expression" dxfId="15" priority="3">
      <formula>S4&gt;=S5</formula>
    </cfRule>
  </conditionalFormatting>
  <hyperlinks>
    <hyperlink ref="L1" location="'Distribution Dashboard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78305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57150</xdr:rowOff>
                  </from>
                  <to>
                    <xdr:col>9</xdr:col>
                    <xdr:colOff>628650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S30"/>
  <sheetViews>
    <sheetView zoomScale="90" zoomScaleNormal="90" zoomScalePageLayoutView="90" workbookViewId="0">
      <pane ySplit="2" topLeftCell="A6" activePane="bottomLeft" state="frozen"/>
      <selection activeCell="D26" sqref="D26:D30"/>
      <selection pane="bottomLeft"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 t="str">
        <f>'Distribution Dashboard'!A105</f>
        <v>z (2)</v>
      </c>
      <c r="C1" s="124" t="str">
        <f>'Distribution Dashboard'!B105</f>
        <v>Volume Water Sold-Gondi</v>
      </c>
      <c r="D1" s="124"/>
      <c r="E1" s="124"/>
      <c r="F1" s="124"/>
      <c r="G1" s="3" t="s">
        <v>10</v>
      </c>
      <c r="I1" s="12">
        <f>INDEX(E$18:P$18,Actual_month)</f>
        <v>46054</v>
      </c>
      <c r="L1" s="15" t="s">
        <v>21</v>
      </c>
      <c r="R1" s="5"/>
    </row>
    <row r="2" spans="1:19" x14ac:dyDescent="0.35">
      <c r="A2" s="3" t="s">
        <v>14</v>
      </c>
      <c r="C2" s="3" t="s">
        <v>15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 t="e">
        <f>INDEX(#REF!,Actual_month)</f>
        <v>#REF!</v>
      </c>
      <c r="K4" s="135"/>
      <c r="L4" s="135"/>
      <c r="M4" s="135"/>
      <c r="N4" s="135"/>
      <c r="O4" s="135"/>
      <c r="P4" s="135"/>
      <c r="Q4" s="136"/>
      <c r="R4" s="3" t="s">
        <v>25</v>
      </c>
      <c r="S4" s="43">
        <f>INDEX(E27:P27,Actual_month)</f>
        <v>1140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43">
        <f>INDEX(E26:P26,Actual_month)</f>
        <v>0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0.9</v>
      </c>
      <c r="S6" s="43">
        <f>+S5*R6</f>
        <v>0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11"/>
    </row>
    <row r="19" spans="3:17" x14ac:dyDescent="0.35">
      <c r="D19" s="3" t="str">
        <f>'KPI 100'!D19</f>
        <v>Budget 2025/26</v>
      </c>
      <c r="E19" s="43">
        <f>Budget2526!D114</f>
        <v>0</v>
      </c>
      <c r="F19" s="43">
        <f>Budget2526!E114</f>
        <v>0</v>
      </c>
      <c r="G19" s="43">
        <f>Budget2526!F114</f>
        <v>0</v>
      </c>
      <c r="H19" s="43">
        <f>Budget2526!G114</f>
        <v>0</v>
      </c>
      <c r="I19" s="43">
        <f>Budget2526!H114</f>
        <v>0</v>
      </c>
      <c r="J19" s="43">
        <f>Budget2526!I114</f>
        <v>0</v>
      </c>
      <c r="K19" s="43">
        <f>Budget2526!J114</f>
        <v>0</v>
      </c>
      <c r="L19" s="43">
        <f>Budget2526!K114</f>
        <v>0</v>
      </c>
      <c r="M19" s="43">
        <f>Budget2526!L114</f>
        <v>0</v>
      </c>
      <c r="N19" s="43">
        <f>Budget2526!M114</f>
        <v>0</v>
      </c>
      <c r="O19" s="43">
        <f>Budget2526!N114</f>
        <v>0</v>
      </c>
      <c r="P19" s="43">
        <f>Budget2526!O114</f>
        <v>0</v>
      </c>
      <c r="Q19" s="5"/>
    </row>
    <row r="20" spans="3:17" x14ac:dyDescent="0.35">
      <c r="D20" s="3" t="str">
        <f>'KPI 100'!D20</f>
        <v>Actual 2025/26</v>
      </c>
      <c r="E20" s="43">
        <f>Actual2223!D101</f>
        <v>90</v>
      </c>
      <c r="F20" s="43">
        <f>Actual2223!E101</f>
        <v>105</v>
      </c>
      <c r="G20" s="43">
        <f>Actual2223!F101</f>
        <v>67</v>
      </c>
      <c r="H20" s="43">
        <f>Actual2223!G101</f>
        <v>170</v>
      </c>
      <c r="I20" s="43">
        <f>Actual2223!H101</f>
        <v>453</v>
      </c>
      <c r="J20" s="43">
        <f>Actual2223!I101</f>
        <v>255</v>
      </c>
      <c r="K20" s="43">
        <f>Actual2223!J101</f>
        <v>0</v>
      </c>
      <c r="L20" s="43">
        <f>Actual2223!K101</f>
        <v>0</v>
      </c>
      <c r="M20" s="43">
        <f>Actual2223!L101</f>
        <v>0</v>
      </c>
      <c r="N20" s="43">
        <f>Actual2223!M101</f>
        <v>0</v>
      </c>
      <c r="O20" s="43">
        <f>Actual2223!N101</f>
        <v>0</v>
      </c>
      <c r="P20" s="43">
        <f>Actual2223!O101</f>
        <v>0</v>
      </c>
      <c r="Q20" s="5"/>
    </row>
    <row r="21" spans="3:17" x14ac:dyDescent="0.35">
      <c r="D21" s="3" t="str">
        <f>'KPI 100'!D21</f>
        <v>Difference</v>
      </c>
      <c r="E21" s="43">
        <f>IF(E20=0,0,E20-E19)</f>
        <v>90</v>
      </c>
      <c r="F21" s="43">
        <f t="shared" ref="F21:P21" si="0">IF(F20=0,0,F20-F19)</f>
        <v>105</v>
      </c>
      <c r="G21" s="43">
        <f t="shared" si="0"/>
        <v>67</v>
      </c>
      <c r="H21" s="43">
        <f t="shared" si="0"/>
        <v>170</v>
      </c>
      <c r="I21" s="43">
        <f t="shared" si="0"/>
        <v>453</v>
      </c>
      <c r="J21" s="43">
        <f t="shared" si="0"/>
        <v>255</v>
      </c>
      <c r="K21" s="43">
        <f t="shared" si="0"/>
        <v>0</v>
      </c>
      <c r="L21" s="43">
        <f t="shared" si="0"/>
        <v>0</v>
      </c>
      <c r="M21" s="43">
        <f t="shared" si="0"/>
        <v>0</v>
      </c>
      <c r="N21" s="43">
        <f t="shared" si="0"/>
        <v>0</v>
      </c>
      <c r="O21" s="43">
        <f t="shared" si="0"/>
        <v>0</v>
      </c>
      <c r="P21" s="43">
        <f t="shared" si="0"/>
        <v>0</v>
      </c>
      <c r="Q21" s="5"/>
    </row>
    <row r="22" spans="3:17" x14ac:dyDescent="0.35">
      <c r="D22" s="3" t="str">
        <f>'KPI 100'!D22</f>
        <v>% realisation</v>
      </c>
      <c r="E22" s="9" t="e">
        <f>E20/E19</f>
        <v>#DIV/0!</v>
      </c>
      <c r="F22" s="9" t="e">
        <f t="shared" ref="F22:P22" si="1">F20/F19</f>
        <v>#DIV/0!</v>
      </c>
      <c r="G22" s="9" t="e">
        <f t="shared" si="1"/>
        <v>#DIV/0!</v>
      </c>
      <c r="H22" s="9" t="e">
        <f t="shared" si="1"/>
        <v>#DIV/0!</v>
      </c>
      <c r="I22" s="9" t="e">
        <f t="shared" si="1"/>
        <v>#DIV/0!</v>
      </c>
      <c r="J22" s="9" t="e">
        <f t="shared" si="1"/>
        <v>#DIV/0!</v>
      </c>
      <c r="K22" s="9" t="e">
        <f t="shared" si="1"/>
        <v>#DIV/0!</v>
      </c>
      <c r="L22" s="9" t="e">
        <f t="shared" si="1"/>
        <v>#DIV/0!</v>
      </c>
      <c r="M22" s="9" t="e">
        <f t="shared" si="1"/>
        <v>#DIV/0!</v>
      </c>
      <c r="N22" s="9" t="e">
        <f t="shared" si="1"/>
        <v>#DIV/0!</v>
      </c>
      <c r="O22" s="9" t="e">
        <f t="shared" si="1"/>
        <v>#DIV/0!</v>
      </c>
      <c r="P22" s="9" t="e">
        <f t="shared" si="1"/>
        <v>#DIV/0!</v>
      </c>
    </row>
    <row r="23" spans="3:17" x14ac:dyDescent="0.35">
      <c r="D23" s="3" t="str">
        <f>'KPI 100'!D23</f>
        <v>Actual 2024/25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43">
        <f>SUM($E19:E19)</f>
        <v>0</v>
      </c>
      <c r="F26" s="43">
        <f>SUM($E19:F19)</f>
        <v>0</v>
      </c>
      <c r="G26" s="43">
        <f>SUM($E19:G19)</f>
        <v>0</v>
      </c>
      <c r="H26" s="43">
        <f>SUM($E19:H19)</f>
        <v>0</v>
      </c>
      <c r="I26" s="43">
        <f>SUM($E19:I19)</f>
        <v>0</v>
      </c>
      <c r="J26" s="43">
        <f>SUM($E19:J19)</f>
        <v>0</v>
      </c>
      <c r="K26" s="43">
        <f>SUM($E19:K19)</f>
        <v>0</v>
      </c>
      <c r="L26" s="43">
        <f>SUM($E19:L19)</f>
        <v>0</v>
      </c>
      <c r="M26" s="43">
        <f>SUM($E19:M19)</f>
        <v>0</v>
      </c>
      <c r="N26" s="43">
        <f>SUM($E19:N19)</f>
        <v>0</v>
      </c>
      <c r="O26" s="43">
        <f>SUM($E19:O19)</f>
        <v>0</v>
      </c>
      <c r="P26" s="43">
        <f>SUM($E19:P19)</f>
        <v>0</v>
      </c>
    </row>
    <row r="27" spans="3:17" x14ac:dyDescent="0.35">
      <c r="D27" s="3" t="str">
        <f t="shared" ref="D27:D30" si="3">D20</f>
        <v>Actual 2025/26</v>
      </c>
      <c r="E27" s="43">
        <f>SUM($E20:E20)</f>
        <v>90</v>
      </c>
      <c r="F27" s="43">
        <f>SUM($E20:F20)</f>
        <v>195</v>
      </c>
      <c r="G27" s="43">
        <f>SUM($E20:G20)</f>
        <v>262</v>
      </c>
      <c r="H27" s="43">
        <f>SUM($E20:H20)</f>
        <v>432</v>
      </c>
      <c r="I27" s="43">
        <f>SUM($E20:I20)</f>
        <v>885</v>
      </c>
      <c r="J27" s="43">
        <f>SUM($E20:J20)</f>
        <v>1140</v>
      </c>
      <c r="K27" s="43">
        <f>SUM($E20:K20)</f>
        <v>1140</v>
      </c>
      <c r="L27" s="43">
        <f>SUM($E20:L20)</f>
        <v>1140</v>
      </c>
      <c r="M27" s="43">
        <f>SUM($E20:M20)</f>
        <v>1140</v>
      </c>
      <c r="N27" s="43">
        <f>SUM($E20:N20)</f>
        <v>1140</v>
      </c>
      <c r="O27" s="43">
        <f>SUM($E20:O20)</f>
        <v>1140</v>
      </c>
      <c r="P27" s="43">
        <f>SUM($E20:P20)</f>
        <v>1140</v>
      </c>
    </row>
    <row r="28" spans="3:17" x14ac:dyDescent="0.35">
      <c r="D28" s="3" t="str">
        <f t="shared" si="3"/>
        <v>Difference</v>
      </c>
      <c r="E28" s="43">
        <f>IF(E27=0,0,E27-E26)</f>
        <v>90</v>
      </c>
      <c r="F28" s="43">
        <f t="shared" ref="F28:P28" si="4">IF(F27=0,0,F27-F26)</f>
        <v>195</v>
      </c>
      <c r="G28" s="43">
        <f t="shared" si="4"/>
        <v>262</v>
      </c>
      <c r="H28" s="43">
        <f t="shared" si="4"/>
        <v>432</v>
      </c>
      <c r="I28" s="43">
        <f t="shared" si="4"/>
        <v>885</v>
      </c>
      <c r="J28" s="43">
        <f t="shared" si="4"/>
        <v>1140</v>
      </c>
      <c r="K28" s="43">
        <f t="shared" si="4"/>
        <v>1140</v>
      </c>
      <c r="L28" s="43">
        <f t="shared" si="4"/>
        <v>1140</v>
      </c>
      <c r="M28" s="43">
        <f t="shared" si="4"/>
        <v>1140</v>
      </c>
      <c r="N28" s="43">
        <f t="shared" si="4"/>
        <v>1140</v>
      </c>
      <c r="O28" s="43">
        <f t="shared" si="4"/>
        <v>1140</v>
      </c>
      <c r="P28" s="43">
        <f t="shared" si="4"/>
        <v>1140</v>
      </c>
    </row>
    <row r="29" spans="3:17" x14ac:dyDescent="0.35">
      <c r="D29" s="3" t="str">
        <f t="shared" si="3"/>
        <v>% realisation</v>
      </c>
      <c r="E29" s="9" t="e">
        <f t="shared" ref="E29:P29" si="5">E27/E26</f>
        <v>#DIV/0!</v>
      </c>
      <c r="F29" s="9" t="e">
        <f t="shared" si="5"/>
        <v>#DIV/0!</v>
      </c>
      <c r="G29" s="9" t="e">
        <f t="shared" si="5"/>
        <v>#DIV/0!</v>
      </c>
      <c r="H29" s="9" t="e">
        <f t="shared" si="5"/>
        <v>#DIV/0!</v>
      </c>
      <c r="I29" s="9" t="e">
        <f t="shared" si="5"/>
        <v>#DIV/0!</v>
      </c>
      <c r="J29" s="9" t="e">
        <f t="shared" si="5"/>
        <v>#DIV/0!</v>
      </c>
      <c r="K29" s="9" t="e">
        <f t="shared" si="5"/>
        <v>#DIV/0!</v>
      </c>
      <c r="L29" s="9" t="e">
        <f t="shared" si="5"/>
        <v>#DIV/0!</v>
      </c>
      <c r="M29" s="9" t="e">
        <f t="shared" si="5"/>
        <v>#DIV/0!</v>
      </c>
      <c r="N29" s="9" t="e">
        <f t="shared" si="5"/>
        <v>#DIV/0!</v>
      </c>
      <c r="O29" s="9" t="e">
        <f t="shared" si="5"/>
        <v>#DIV/0!</v>
      </c>
      <c r="P29" s="9" t="e">
        <f t="shared" si="5"/>
        <v>#DIV/0!</v>
      </c>
    </row>
    <row r="30" spans="3:17" x14ac:dyDescent="0.35">
      <c r="D30" s="3" t="str">
        <f t="shared" si="3"/>
        <v>Actual 2024/25</v>
      </c>
      <c r="E30" s="43">
        <f>SUM($E23:E23)</f>
        <v>0</v>
      </c>
      <c r="F30" s="43">
        <f>SUM($E23:F23)</f>
        <v>0</v>
      </c>
      <c r="G30" s="43">
        <f>SUM($E23:G23)</f>
        <v>0</v>
      </c>
      <c r="H30" s="43">
        <f>SUM($E23:H23)</f>
        <v>0</v>
      </c>
      <c r="I30" s="43">
        <f>SUM($E23:I23)</f>
        <v>0</v>
      </c>
      <c r="J30" s="43">
        <f>SUM($E23:J23)</f>
        <v>0</v>
      </c>
      <c r="K30" s="43">
        <f>SUM($E23:K23)</f>
        <v>0</v>
      </c>
      <c r="L30" s="43">
        <f>SUM($E23:L23)</f>
        <v>0</v>
      </c>
      <c r="M30" s="43">
        <f>SUM($E23:M23)</f>
        <v>0</v>
      </c>
      <c r="N30" s="43">
        <f>SUM($E23:N23)</f>
        <v>0</v>
      </c>
      <c r="O30" s="43">
        <f>SUM($E23:O23)</f>
        <v>0</v>
      </c>
      <c r="P30" s="43">
        <f>SUM($E23:P23)</f>
        <v>0</v>
      </c>
    </row>
  </sheetData>
  <sheetProtection algorithmName="SHA-512" hashValue="1eioOvAKfkv421rFrc3Vn7DUQeBVnVpK4T8w7jDR8mjZHpWte3fiWE3lisvm7p5FHPLkfvOK65y1/EiwKYP28w==" saltValue="sywHM69avWfrhw8Sv2Cf3Q==" spinCount="100000" sheet="1" objects="1" scenarios="1"/>
  <mergeCells count="3">
    <mergeCell ref="C1:F1"/>
    <mergeCell ref="J4:Q8"/>
    <mergeCell ref="J10:Q15"/>
  </mergeCells>
  <conditionalFormatting sqref="C3">
    <cfRule type="expression" dxfId="14" priority="2">
      <formula>S4&lt;S6</formula>
    </cfRule>
  </conditionalFormatting>
  <conditionalFormatting sqref="C4">
    <cfRule type="expression" dxfId="13" priority="1">
      <formula>AND(S4&gt;=S6,S4&lt;S5)</formula>
    </cfRule>
  </conditionalFormatting>
  <conditionalFormatting sqref="C5">
    <cfRule type="expression" dxfId="12" priority="3">
      <formula>S4&gt;=S5</formula>
    </cfRule>
  </conditionalFormatting>
  <hyperlinks>
    <hyperlink ref="L1" location="'Distribution Dashboard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84449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57150</xdr:rowOff>
                  </from>
                  <to>
                    <xdr:col>9</xdr:col>
                    <xdr:colOff>628650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S30"/>
  <sheetViews>
    <sheetView zoomScale="90" zoomScaleNormal="90" zoomScalePageLayoutView="90" workbookViewId="0">
      <pane ySplit="2" topLeftCell="A11" activePane="bottomLeft" state="frozen"/>
      <selection activeCell="D26" sqref="D26:D30"/>
      <selection pane="bottomLeft"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 t="str">
        <f>'Distribution Dashboard'!A106</f>
        <v>K (2)</v>
      </c>
      <c r="C1" s="143" t="str">
        <f>'Distribution Dashboard'!B106</f>
        <v>NRW</v>
      </c>
      <c r="D1" s="124"/>
      <c r="E1" s="124"/>
      <c r="F1" s="124"/>
      <c r="G1" s="3" t="s">
        <v>10</v>
      </c>
      <c r="I1" s="12">
        <f>INDEX(E$18:P$18,Actual_month)</f>
        <v>46054</v>
      </c>
      <c r="L1" s="15" t="s">
        <v>21</v>
      </c>
      <c r="R1" s="5"/>
    </row>
    <row r="2" spans="1:19" x14ac:dyDescent="0.35">
      <c r="A2" s="3" t="s">
        <v>14</v>
      </c>
      <c r="C2" s="3" t="s">
        <v>1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/>
      <c r="K4" s="135"/>
      <c r="L4" s="135"/>
      <c r="M4" s="135"/>
      <c r="N4" s="135"/>
      <c r="O4" s="135"/>
      <c r="P4" s="135"/>
      <c r="Q4" s="136"/>
      <c r="R4" s="3" t="s">
        <v>25</v>
      </c>
      <c r="S4" s="9">
        <f>INDEX(E27:P27,Actual_month)</f>
        <v>0.39286040458468424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9" t="e">
        <f>INDEX(E26:P26,Actual_month)</f>
        <v>#DIV/0!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1.1000000000000001</v>
      </c>
      <c r="S6" s="9" t="e">
        <f>+S5*R6</f>
        <v>#DIV/0!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9" t="e">
        <f>Budget2526!D115</f>
        <v>#DIV/0!</v>
      </c>
      <c r="F19" s="9" t="e">
        <f>Budget2526!E115</f>
        <v>#DIV/0!</v>
      </c>
      <c r="G19" s="9" t="e">
        <f>Budget2526!F115</f>
        <v>#DIV/0!</v>
      </c>
      <c r="H19" s="9" t="e">
        <f>Budget2526!G115</f>
        <v>#DIV/0!</v>
      </c>
      <c r="I19" s="9" t="e">
        <f>Budget2526!H115</f>
        <v>#DIV/0!</v>
      </c>
      <c r="J19" s="9" t="e">
        <f>Budget2526!I115</f>
        <v>#DIV/0!</v>
      </c>
      <c r="K19" s="9" t="e">
        <f>Budget2526!J115</f>
        <v>#DIV/0!</v>
      </c>
      <c r="L19" s="9" t="e">
        <f>Budget2526!K115</f>
        <v>#DIV/0!</v>
      </c>
      <c r="M19" s="9" t="e">
        <f>Budget2526!L115</f>
        <v>#DIV/0!</v>
      </c>
      <c r="N19" s="9" t="e">
        <f>Budget2526!M115</f>
        <v>#DIV/0!</v>
      </c>
      <c r="O19" s="9" t="e">
        <f>Budget2526!N115</f>
        <v>#DIV/0!</v>
      </c>
      <c r="P19" s="9" t="e">
        <f>Budget2526!O115</f>
        <v>#DIV/0!</v>
      </c>
      <c r="Q19" s="5"/>
    </row>
    <row r="20" spans="3:17" x14ac:dyDescent="0.35">
      <c r="D20" s="3" t="str">
        <f>'KPI 100'!D20</f>
        <v>Actual 2025/26</v>
      </c>
      <c r="E20" s="9">
        <f>Actual2223!D102</f>
        <v>0.24369747899159663</v>
      </c>
      <c r="F20" s="9">
        <f>Actual2223!E102</f>
        <v>0</v>
      </c>
      <c r="G20" s="9">
        <f>Actual2223!F102</f>
        <v>0</v>
      </c>
      <c r="H20" s="9">
        <f>Actual2223!G102</f>
        <v>-4.666666666666667</v>
      </c>
      <c r="I20" s="9">
        <f>Actual2223!H102</f>
        <v>0.17785843920145192</v>
      </c>
      <c r="J20" s="9" t="e">
        <f>Actual2223!I102</f>
        <v>#DIV/0!</v>
      </c>
      <c r="K20" s="9" t="e">
        <f>Actual2223!J102</f>
        <v>#DIV/0!</v>
      </c>
      <c r="L20" s="9" t="e">
        <f>Actual2223!K102</f>
        <v>#DIV/0!</v>
      </c>
      <c r="M20" s="9" t="e">
        <f>Actual2223!L102</f>
        <v>#DIV/0!</v>
      </c>
      <c r="N20" s="9" t="e">
        <f>Actual2223!M102</f>
        <v>#DIV/0!</v>
      </c>
      <c r="O20" s="9" t="e">
        <f>Actual2223!N102</f>
        <v>#DIV/0!</v>
      </c>
      <c r="P20" s="9" t="e">
        <f>Actual2223!O102</f>
        <v>#DIV/0!</v>
      </c>
      <c r="Q20" s="5"/>
    </row>
    <row r="21" spans="3:17" x14ac:dyDescent="0.35">
      <c r="D21" s="3" t="str">
        <f>'KPI 100'!D21</f>
        <v>Difference</v>
      </c>
      <c r="E21" s="9" t="e">
        <f>IF(E20=0,0,E20-E19)</f>
        <v>#DIV/0!</v>
      </c>
      <c r="F21" s="9">
        <f t="shared" ref="F21:P21" si="0">IF(F20=0,0,F20-F19)</f>
        <v>0</v>
      </c>
      <c r="G21" s="9">
        <f t="shared" si="0"/>
        <v>0</v>
      </c>
      <c r="H21" s="9" t="e">
        <f t="shared" si="0"/>
        <v>#DIV/0!</v>
      </c>
      <c r="I21" s="9" t="e">
        <f t="shared" si="0"/>
        <v>#DIV/0!</v>
      </c>
      <c r="J21" s="9" t="e">
        <f t="shared" si="0"/>
        <v>#DIV/0!</v>
      </c>
      <c r="K21" s="9" t="e">
        <f t="shared" si="0"/>
        <v>#DIV/0!</v>
      </c>
      <c r="L21" s="9" t="e">
        <f t="shared" si="0"/>
        <v>#DIV/0!</v>
      </c>
      <c r="M21" s="9" t="e">
        <f t="shared" si="0"/>
        <v>#DIV/0!</v>
      </c>
      <c r="N21" s="9" t="e">
        <f t="shared" si="0"/>
        <v>#DIV/0!</v>
      </c>
      <c r="O21" s="9" t="e">
        <f t="shared" si="0"/>
        <v>#DIV/0!</v>
      </c>
      <c r="P21" s="9" t="e">
        <f t="shared" si="0"/>
        <v>#DIV/0!</v>
      </c>
      <c r="Q21" s="5"/>
    </row>
    <row r="22" spans="3:17" x14ac:dyDescent="0.35">
      <c r="D22" s="3" t="str">
        <f>'KPI 100'!D22</f>
        <v>% realisation</v>
      </c>
      <c r="E22" s="9" t="e">
        <f>E20/E19</f>
        <v>#DIV/0!</v>
      </c>
      <c r="F22" s="9" t="e">
        <f t="shared" ref="F22:P22" si="1">F20/F19</f>
        <v>#DIV/0!</v>
      </c>
      <c r="G22" s="9" t="e">
        <f t="shared" si="1"/>
        <v>#DIV/0!</v>
      </c>
      <c r="H22" s="9" t="e">
        <f t="shared" si="1"/>
        <v>#DIV/0!</v>
      </c>
      <c r="I22" s="9" t="e">
        <f t="shared" si="1"/>
        <v>#DIV/0!</v>
      </c>
      <c r="J22" s="9" t="e">
        <f t="shared" si="1"/>
        <v>#DIV/0!</v>
      </c>
      <c r="K22" s="9" t="e">
        <f t="shared" si="1"/>
        <v>#DIV/0!</v>
      </c>
      <c r="L22" s="9" t="e">
        <f t="shared" si="1"/>
        <v>#DIV/0!</v>
      </c>
      <c r="M22" s="9" t="e">
        <f t="shared" si="1"/>
        <v>#DIV/0!</v>
      </c>
      <c r="N22" s="9" t="e">
        <f t="shared" si="1"/>
        <v>#DIV/0!</v>
      </c>
      <c r="O22" s="9" t="e">
        <f t="shared" si="1"/>
        <v>#DIV/0!</v>
      </c>
      <c r="P22" s="9" t="e">
        <f t="shared" si="1"/>
        <v>#DIV/0!</v>
      </c>
    </row>
    <row r="23" spans="3:17" x14ac:dyDescent="0.35">
      <c r="D23" s="3" t="str">
        <f>'KPI 100'!D23</f>
        <v>Actual 2024/25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9" t="e">
        <f>AVERAGE(E19:E19)</f>
        <v>#DIV/0!</v>
      </c>
      <c r="F26" s="9" t="e">
        <f>AVERAGE($E19:F19)</f>
        <v>#DIV/0!</v>
      </c>
      <c r="G26" s="9" t="e">
        <f>AVERAGE($E19:G19)</f>
        <v>#DIV/0!</v>
      </c>
      <c r="H26" s="9" t="e">
        <f>AVERAGE($E19:H19)</f>
        <v>#DIV/0!</v>
      </c>
      <c r="I26" s="9" t="e">
        <f>AVERAGE($E19:I19)</f>
        <v>#DIV/0!</v>
      </c>
      <c r="J26" s="9" t="e">
        <f>AVERAGE($E19:J19)</f>
        <v>#DIV/0!</v>
      </c>
      <c r="K26" s="9" t="e">
        <f>AVERAGE($E19:K19)</f>
        <v>#DIV/0!</v>
      </c>
      <c r="L26" s="9" t="e">
        <f>AVERAGE($E19:L19)</f>
        <v>#DIV/0!</v>
      </c>
      <c r="M26" s="9" t="e">
        <f>AVERAGE($E19:M19)</f>
        <v>#DIV/0!</v>
      </c>
      <c r="N26" s="9" t="e">
        <f>AVERAGE($E19:N19)</f>
        <v>#DIV/0!</v>
      </c>
      <c r="O26" s="9" t="e">
        <f>AVERAGE($E19:O19)</f>
        <v>#DIV/0!</v>
      </c>
      <c r="P26" s="9" t="e">
        <f>AVERAGE($E19:P19)</f>
        <v>#DIV/0!</v>
      </c>
    </row>
    <row r="27" spans="3:17" x14ac:dyDescent="0.35">
      <c r="D27" s="3" t="str">
        <f t="shared" ref="D27:D30" si="3">D20</f>
        <v>Actual 2025/26</v>
      </c>
      <c r="E27" s="9">
        <f>('KPI 103 (5)'!E27-'KPI 110 (5)'!E27)/'KPI 103 (5)'!E27</f>
        <v>0.38264778834229018</v>
      </c>
      <c r="F27" s="9">
        <f>('KPI 103 (5)'!F27-'KPI 110 (5)'!F27)/'KPI 103 (5)'!F27</f>
        <v>0.37425688687934355</v>
      </c>
      <c r="G27" s="9">
        <f>('KPI 103 (5)'!G27-'KPI 110 (5)'!G27)/'KPI 103 (5)'!G27</f>
        <v>0.37518825587586524</v>
      </c>
      <c r="H27" s="9">
        <f>('KPI 103 (5)'!H27-'KPI 110 (5)'!H27)/'KPI 103 (5)'!H27</f>
        <v>0.3823030408491756</v>
      </c>
      <c r="I27" s="9">
        <f>('KPI 103 (5)'!I27-'KPI 110 (5)'!I27)/'KPI 103 (5)'!I27</f>
        <v>0.37948943420076392</v>
      </c>
      <c r="J27" s="9">
        <f>('KPI 103 (5)'!J27-'KPI 110 (5)'!J27)/'KPI 103 (5)'!J27</f>
        <v>0.38702379802273534</v>
      </c>
      <c r="K27" s="9">
        <f>('KPI 103 (5)'!K27-'KPI 110 (5)'!K27)/'KPI 103 (5)'!K27</f>
        <v>0.39372919717747307</v>
      </c>
      <c r="L27" s="9">
        <f>('KPI 103 (5)'!L27-'KPI 110 (5)'!L27)/'KPI 103 (5)'!L27</f>
        <v>0.39286040458468424</v>
      </c>
      <c r="M27" s="9">
        <f>('KPI 103 (5)'!M27-'KPI 110 (5)'!M27)/'KPI 103 (5)'!M27</f>
        <v>0.39286040458468424</v>
      </c>
      <c r="N27" s="9">
        <f>('KPI 103 (5)'!N27-'KPI 110 (5)'!N27)/'KPI 103 (5)'!N27</f>
        <v>0.39286040458468424</v>
      </c>
      <c r="O27" s="9">
        <f>('KPI 103 (5)'!O27-'KPI 110 (5)'!O27)/'KPI 103 (5)'!O27</f>
        <v>0.39286040458468424</v>
      </c>
      <c r="P27" s="9">
        <f>('KPI 103 (5)'!P27-'KPI 110 (5)'!P27)/'KPI 103 (5)'!P27</f>
        <v>0.39286040458468424</v>
      </c>
    </row>
    <row r="28" spans="3:17" x14ac:dyDescent="0.35">
      <c r="D28" s="3" t="str">
        <f t="shared" si="3"/>
        <v>Difference</v>
      </c>
      <c r="E28" s="9" t="e">
        <f>IF(E27=0,0,E27-E26)</f>
        <v>#DIV/0!</v>
      </c>
      <c r="F28" s="9" t="e">
        <f t="shared" ref="F28:P28" si="4">IF(F27=0,0,F27-F26)</f>
        <v>#DIV/0!</v>
      </c>
      <c r="G28" s="9" t="e">
        <f t="shared" si="4"/>
        <v>#DIV/0!</v>
      </c>
      <c r="H28" s="9" t="e">
        <f t="shared" si="4"/>
        <v>#DIV/0!</v>
      </c>
      <c r="I28" s="9" t="e">
        <f t="shared" si="4"/>
        <v>#DIV/0!</v>
      </c>
      <c r="J28" s="9" t="e">
        <f t="shared" si="4"/>
        <v>#DIV/0!</v>
      </c>
      <c r="K28" s="9" t="e">
        <f t="shared" si="4"/>
        <v>#DIV/0!</v>
      </c>
      <c r="L28" s="9" t="e">
        <f t="shared" si="4"/>
        <v>#DIV/0!</v>
      </c>
      <c r="M28" s="9" t="e">
        <f t="shared" si="4"/>
        <v>#DIV/0!</v>
      </c>
      <c r="N28" s="9" t="e">
        <f t="shared" si="4"/>
        <v>#DIV/0!</v>
      </c>
      <c r="O28" s="9" t="e">
        <f t="shared" si="4"/>
        <v>#DIV/0!</v>
      </c>
      <c r="P28" s="9" t="e">
        <f t="shared" si="4"/>
        <v>#DIV/0!</v>
      </c>
    </row>
    <row r="29" spans="3:17" x14ac:dyDescent="0.35">
      <c r="D29" s="3" t="str">
        <f t="shared" si="3"/>
        <v>% realisation</v>
      </c>
      <c r="E29" s="9" t="e">
        <f t="shared" ref="E29:P29" si="5">E27/E26</f>
        <v>#DIV/0!</v>
      </c>
      <c r="F29" s="9" t="e">
        <f t="shared" si="5"/>
        <v>#DIV/0!</v>
      </c>
      <c r="G29" s="9" t="e">
        <f t="shared" si="5"/>
        <v>#DIV/0!</v>
      </c>
      <c r="H29" s="9" t="e">
        <f t="shared" si="5"/>
        <v>#DIV/0!</v>
      </c>
      <c r="I29" s="9" t="e">
        <f t="shared" si="5"/>
        <v>#DIV/0!</v>
      </c>
      <c r="J29" s="9" t="e">
        <f t="shared" si="5"/>
        <v>#DIV/0!</v>
      </c>
      <c r="K29" s="9" t="e">
        <f t="shared" si="5"/>
        <v>#DIV/0!</v>
      </c>
      <c r="L29" s="9" t="e">
        <f t="shared" si="5"/>
        <v>#DIV/0!</v>
      </c>
      <c r="M29" s="9" t="e">
        <f t="shared" si="5"/>
        <v>#DIV/0!</v>
      </c>
      <c r="N29" s="9" t="e">
        <f t="shared" si="5"/>
        <v>#DIV/0!</v>
      </c>
      <c r="O29" s="9" t="e">
        <f t="shared" si="5"/>
        <v>#DIV/0!</v>
      </c>
      <c r="P29" s="9" t="e">
        <f t="shared" si="5"/>
        <v>#DIV/0!</v>
      </c>
    </row>
    <row r="30" spans="3:17" x14ac:dyDescent="0.35">
      <c r="D30" s="3" t="str">
        <f t="shared" si="3"/>
        <v>Actual 2024/25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</row>
  </sheetData>
  <sheetProtection algorithmName="SHA-512" hashValue="vLXP7sKoLp9TAuFzGpmkCuWD0H1Q8jV3jQjBDMdrISqFkvLSVNcumqwdcfVVvN6usKJCvJw3Abb05OLZxhmJsA==" saltValue="0EPA7LwTYSsTljv0Xok6cQ==" spinCount="100000" sheet="1" objects="1" scenarios="1"/>
  <mergeCells count="3">
    <mergeCell ref="C1:F1"/>
    <mergeCell ref="J4:Q8"/>
    <mergeCell ref="J10:Q15"/>
  </mergeCells>
  <conditionalFormatting sqref="C3">
    <cfRule type="expression" dxfId="11" priority="2">
      <formula>S4&gt;S6</formula>
    </cfRule>
  </conditionalFormatting>
  <conditionalFormatting sqref="C4">
    <cfRule type="expression" dxfId="10" priority="1">
      <formula>AND(S4&gt;S5,S4&lt;=S6)</formula>
    </cfRule>
  </conditionalFormatting>
  <conditionalFormatting sqref="C5">
    <cfRule type="expression" dxfId="9" priority="3">
      <formula>S4&lt;=S5</formula>
    </cfRule>
  </conditionalFormatting>
  <hyperlinks>
    <hyperlink ref="L1" location="'Distribution Dashboard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85473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57150</xdr:rowOff>
                  </from>
                  <to>
                    <xdr:col>9</xdr:col>
                    <xdr:colOff>628650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S30"/>
  <sheetViews>
    <sheetView zoomScale="90" zoomScaleNormal="90" zoomScalePageLayoutView="90" workbookViewId="0">
      <pane ySplit="2" topLeftCell="A9" activePane="bottomLeft" state="frozen"/>
      <selection activeCell="D26" sqref="D26:D30"/>
      <selection pane="bottomLeft"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 t="str">
        <f>'Distribution Dashboard'!A108</f>
        <v>Y (3)</v>
      </c>
      <c r="C1" s="124" t="str">
        <f>'Distribution Dashboard'!B108</f>
        <v>Volume Water Supplied-NJONJORO</v>
      </c>
      <c r="D1" s="124"/>
      <c r="E1" s="124"/>
      <c r="F1" s="124"/>
      <c r="G1" s="3" t="s">
        <v>10</v>
      </c>
      <c r="I1" s="12">
        <f>INDEX(E$18:P$18,Actual_month)</f>
        <v>46054</v>
      </c>
      <c r="L1" s="15" t="s">
        <v>21</v>
      </c>
      <c r="R1" s="5"/>
    </row>
    <row r="2" spans="1:19" x14ac:dyDescent="0.35">
      <c r="A2" s="3" t="s">
        <v>14</v>
      </c>
      <c r="C2" s="3" t="s">
        <v>15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25"/>
      <c r="K4" s="126"/>
      <c r="L4" s="126"/>
      <c r="M4" s="126"/>
      <c r="N4" s="126"/>
      <c r="O4" s="126"/>
      <c r="P4" s="126"/>
      <c r="Q4" s="127"/>
      <c r="R4" s="3" t="s">
        <v>25</v>
      </c>
      <c r="S4" s="43">
        <f>INDEX(E27:P27,Actual_month)</f>
        <v>1004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28"/>
      <c r="K5" s="129"/>
      <c r="L5" s="129"/>
      <c r="M5" s="129"/>
      <c r="N5" s="129"/>
      <c r="O5" s="129"/>
      <c r="P5" s="129"/>
      <c r="Q5" s="130"/>
      <c r="R5" s="3" t="s">
        <v>26</v>
      </c>
      <c r="S5" s="43">
        <f>INDEX(E26:P26,Actual_month)</f>
        <v>0</v>
      </c>
    </row>
    <row r="6" spans="1:19" x14ac:dyDescent="0.35">
      <c r="J6" s="128"/>
      <c r="K6" s="129"/>
      <c r="L6" s="129"/>
      <c r="M6" s="129"/>
      <c r="N6" s="129"/>
      <c r="O6" s="129"/>
      <c r="P6" s="129"/>
      <c r="Q6" s="130"/>
      <c r="R6" s="6">
        <v>0.9</v>
      </c>
      <c r="S6" s="43">
        <f>+S5*R6</f>
        <v>0</v>
      </c>
    </row>
    <row r="7" spans="1:19" x14ac:dyDescent="0.35">
      <c r="J7" s="128"/>
      <c r="K7" s="129"/>
      <c r="L7" s="129"/>
      <c r="M7" s="129"/>
      <c r="N7" s="129"/>
      <c r="O7" s="129"/>
      <c r="P7" s="129"/>
      <c r="Q7" s="130"/>
    </row>
    <row r="8" spans="1:19" ht="15" thickBot="1" x14ac:dyDescent="0.4">
      <c r="J8" s="131"/>
      <c r="K8" s="132"/>
      <c r="L8" s="132"/>
      <c r="M8" s="132"/>
      <c r="N8" s="132"/>
      <c r="O8" s="132"/>
      <c r="P8" s="132"/>
      <c r="Q8" s="133"/>
    </row>
    <row r="9" spans="1:19" ht="15" thickBot="1" x14ac:dyDescent="0.4">
      <c r="J9" s="3" t="s">
        <v>13</v>
      </c>
    </row>
    <row r="10" spans="1:19" x14ac:dyDescent="0.35">
      <c r="J10" s="125"/>
      <c r="K10" s="126"/>
      <c r="L10" s="126"/>
      <c r="M10" s="126"/>
      <c r="N10" s="126"/>
      <c r="O10" s="126"/>
      <c r="P10" s="126"/>
      <c r="Q10" s="127"/>
    </row>
    <row r="11" spans="1:19" x14ac:dyDescent="0.35">
      <c r="J11" s="128"/>
      <c r="K11" s="129"/>
      <c r="L11" s="129"/>
      <c r="M11" s="129"/>
      <c r="N11" s="129"/>
      <c r="O11" s="129"/>
      <c r="P11" s="129"/>
      <c r="Q11" s="130"/>
    </row>
    <row r="12" spans="1:19" x14ac:dyDescent="0.35">
      <c r="J12" s="128"/>
      <c r="K12" s="129"/>
      <c r="L12" s="129"/>
      <c r="M12" s="129"/>
      <c r="N12" s="129"/>
      <c r="O12" s="129"/>
      <c r="P12" s="129"/>
      <c r="Q12" s="130"/>
    </row>
    <row r="13" spans="1:19" x14ac:dyDescent="0.35">
      <c r="J13" s="128"/>
      <c r="K13" s="129"/>
      <c r="L13" s="129"/>
      <c r="M13" s="129"/>
      <c r="N13" s="129"/>
      <c r="O13" s="129"/>
      <c r="P13" s="129"/>
      <c r="Q13" s="130"/>
    </row>
    <row r="14" spans="1:19" x14ac:dyDescent="0.35">
      <c r="J14" s="128"/>
      <c r="K14" s="129"/>
      <c r="L14" s="129"/>
      <c r="M14" s="129"/>
      <c r="N14" s="129"/>
      <c r="O14" s="129"/>
      <c r="P14" s="129"/>
      <c r="Q14" s="130"/>
    </row>
    <row r="15" spans="1:19" ht="15" thickBot="1" x14ac:dyDescent="0.4">
      <c r="J15" s="131"/>
      <c r="K15" s="132"/>
      <c r="L15" s="132"/>
      <c r="M15" s="132"/>
      <c r="N15" s="132"/>
      <c r="O15" s="132"/>
      <c r="P15" s="132"/>
      <c r="Q15" s="133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43">
        <f>Budget2526!D117</f>
        <v>0</v>
      </c>
      <c r="F19" s="43">
        <f>Budget2526!E117</f>
        <v>0</v>
      </c>
      <c r="G19" s="43">
        <f>Budget2526!F117</f>
        <v>0</v>
      </c>
      <c r="H19" s="43">
        <f>Budget2526!G117</f>
        <v>0</v>
      </c>
      <c r="I19" s="43">
        <f>Budget2526!H117</f>
        <v>0</v>
      </c>
      <c r="J19" s="43">
        <f>Budget2526!I117</f>
        <v>0</v>
      </c>
      <c r="K19" s="43">
        <f>Budget2526!J117</f>
        <v>0</v>
      </c>
      <c r="L19" s="43">
        <f>Budget2526!K117</f>
        <v>0</v>
      </c>
      <c r="M19" s="43">
        <f>Budget2526!L117</f>
        <v>0</v>
      </c>
      <c r="N19" s="43">
        <f>Budget2526!M117</f>
        <v>0</v>
      </c>
      <c r="O19" s="43">
        <f>Budget2526!N117</f>
        <v>0</v>
      </c>
      <c r="P19" s="43">
        <f>Budget2526!O117</f>
        <v>0</v>
      </c>
      <c r="Q19" s="5"/>
    </row>
    <row r="20" spans="3:17" x14ac:dyDescent="0.35">
      <c r="D20" s="3" t="str">
        <f>'KPI 100'!D20</f>
        <v>Actual 2025/26</v>
      </c>
      <c r="E20" s="43">
        <f>Actual2223!D104</f>
        <v>136</v>
      </c>
      <c r="F20" s="43">
        <f>Actual2223!E104</f>
        <v>149</v>
      </c>
      <c r="G20" s="43">
        <f>Actual2223!F104</f>
        <v>70</v>
      </c>
      <c r="H20" s="43">
        <f>Actual2223!G104</f>
        <v>107</v>
      </c>
      <c r="I20" s="43">
        <f>Actual2223!H104</f>
        <v>250</v>
      </c>
      <c r="J20" s="43">
        <f>Actual2223!I104</f>
        <v>0</v>
      </c>
      <c r="K20" s="43">
        <f>Actual2223!J104</f>
        <v>0</v>
      </c>
      <c r="L20" s="43">
        <f>Actual2223!K104</f>
        <v>292</v>
      </c>
      <c r="M20" s="43">
        <f>Actual2223!L104</f>
        <v>0</v>
      </c>
      <c r="N20" s="43">
        <f>Actual2223!M104</f>
        <v>0</v>
      </c>
      <c r="O20" s="43">
        <f>Actual2223!N104</f>
        <v>0</v>
      </c>
      <c r="P20" s="43">
        <f>Actual2223!O104</f>
        <v>0</v>
      </c>
      <c r="Q20" s="5"/>
    </row>
    <row r="21" spans="3:17" x14ac:dyDescent="0.35">
      <c r="D21" s="3" t="str">
        <f>'KPI 100'!D21</f>
        <v>Difference</v>
      </c>
      <c r="E21" s="43">
        <f>IF(E20=0,0,E20-E19)</f>
        <v>136</v>
      </c>
      <c r="F21" s="43">
        <f t="shared" ref="F21:P21" si="0">IF(F20=0,0,F20-F19)</f>
        <v>149</v>
      </c>
      <c r="G21" s="43">
        <f t="shared" si="0"/>
        <v>70</v>
      </c>
      <c r="H21" s="43">
        <f t="shared" si="0"/>
        <v>107</v>
      </c>
      <c r="I21" s="43">
        <f t="shared" si="0"/>
        <v>250</v>
      </c>
      <c r="J21" s="43">
        <f t="shared" si="0"/>
        <v>0</v>
      </c>
      <c r="K21" s="43">
        <f t="shared" si="0"/>
        <v>0</v>
      </c>
      <c r="L21" s="43">
        <f t="shared" si="0"/>
        <v>292</v>
      </c>
      <c r="M21" s="43">
        <f t="shared" si="0"/>
        <v>0</v>
      </c>
      <c r="N21" s="43">
        <f t="shared" si="0"/>
        <v>0</v>
      </c>
      <c r="O21" s="43">
        <f t="shared" si="0"/>
        <v>0</v>
      </c>
      <c r="P21" s="43">
        <f t="shared" si="0"/>
        <v>0</v>
      </c>
      <c r="Q21" s="5"/>
    </row>
    <row r="22" spans="3:17" x14ac:dyDescent="0.35">
      <c r="D22" s="3" t="str">
        <f>'KPI 100'!D22</f>
        <v>% realisation</v>
      </c>
      <c r="E22" s="9" t="e">
        <f>E20/E19</f>
        <v>#DIV/0!</v>
      </c>
      <c r="F22" s="9" t="e">
        <f t="shared" ref="F22:P22" si="1">F20/F19</f>
        <v>#DIV/0!</v>
      </c>
      <c r="G22" s="9" t="e">
        <f t="shared" si="1"/>
        <v>#DIV/0!</v>
      </c>
      <c r="H22" s="9" t="e">
        <f t="shared" si="1"/>
        <v>#DIV/0!</v>
      </c>
      <c r="I22" s="9" t="e">
        <f t="shared" si="1"/>
        <v>#DIV/0!</v>
      </c>
      <c r="J22" s="9" t="e">
        <f t="shared" si="1"/>
        <v>#DIV/0!</v>
      </c>
      <c r="K22" s="9" t="e">
        <f t="shared" si="1"/>
        <v>#DIV/0!</v>
      </c>
      <c r="L22" s="9" t="e">
        <f t="shared" si="1"/>
        <v>#DIV/0!</v>
      </c>
      <c r="M22" s="9" t="e">
        <f t="shared" si="1"/>
        <v>#DIV/0!</v>
      </c>
      <c r="N22" s="9" t="e">
        <f t="shared" si="1"/>
        <v>#DIV/0!</v>
      </c>
      <c r="O22" s="9" t="e">
        <f t="shared" si="1"/>
        <v>#DIV/0!</v>
      </c>
      <c r="P22" s="9" t="e">
        <f t="shared" si="1"/>
        <v>#DIV/0!</v>
      </c>
    </row>
    <row r="23" spans="3:17" x14ac:dyDescent="0.35">
      <c r="D23" s="3" t="str">
        <f>'KPI 100'!D23</f>
        <v>Actual 2024/25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43">
        <f>SUM($E19:E19)</f>
        <v>0</v>
      </c>
      <c r="F26" s="43">
        <f>SUM($E19:F19)</f>
        <v>0</v>
      </c>
      <c r="G26" s="43">
        <f>SUM($E19:G19)</f>
        <v>0</v>
      </c>
      <c r="H26" s="43">
        <f>SUM($E19:H19)</f>
        <v>0</v>
      </c>
      <c r="I26" s="43">
        <f>SUM($E19:I19)</f>
        <v>0</v>
      </c>
      <c r="J26" s="43">
        <f>SUM($E19:J19)</f>
        <v>0</v>
      </c>
      <c r="K26" s="43">
        <f>SUM($E19:K19)</f>
        <v>0</v>
      </c>
      <c r="L26" s="43">
        <f>SUM($E19:L19)</f>
        <v>0</v>
      </c>
      <c r="M26" s="43">
        <f>SUM($E19:M19)</f>
        <v>0</v>
      </c>
      <c r="N26" s="43">
        <f>SUM($E19:N19)</f>
        <v>0</v>
      </c>
      <c r="O26" s="43">
        <f>SUM($E19:O19)</f>
        <v>0</v>
      </c>
      <c r="P26" s="43">
        <f>SUM($E19:P19)</f>
        <v>0</v>
      </c>
    </row>
    <row r="27" spans="3:17" x14ac:dyDescent="0.35">
      <c r="D27" s="3" t="str">
        <f t="shared" ref="D27:D30" si="3">D20</f>
        <v>Actual 2025/26</v>
      </c>
      <c r="E27" s="43">
        <f>SUM($E20:E20)</f>
        <v>136</v>
      </c>
      <c r="F27" s="43">
        <f>SUM($E20:F20)</f>
        <v>285</v>
      </c>
      <c r="G27" s="43">
        <f>SUM($E20:G20)</f>
        <v>355</v>
      </c>
      <c r="H27" s="43">
        <f>SUM($E20:H20)</f>
        <v>462</v>
      </c>
      <c r="I27" s="43">
        <f>SUM($E20:I20)</f>
        <v>712</v>
      </c>
      <c r="J27" s="43">
        <f>SUM($E20:J20)</f>
        <v>712</v>
      </c>
      <c r="K27" s="43">
        <f>SUM($E20:K20)</f>
        <v>712</v>
      </c>
      <c r="L27" s="43">
        <f>SUM($E20:L20)</f>
        <v>1004</v>
      </c>
      <c r="M27" s="43">
        <f>SUM($E20:M20)</f>
        <v>1004</v>
      </c>
      <c r="N27" s="43">
        <f>SUM($E20:N20)</f>
        <v>1004</v>
      </c>
      <c r="O27" s="43">
        <f>SUM($E20:O20)</f>
        <v>1004</v>
      </c>
      <c r="P27" s="43">
        <f>SUM($E20:P20)</f>
        <v>1004</v>
      </c>
    </row>
    <row r="28" spans="3:17" x14ac:dyDescent="0.35">
      <c r="D28" s="3" t="str">
        <f t="shared" si="3"/>
        <v>Difference</v>
      </c>
      <c r="E28" s="43">
        <f>IF(E27=0,0,E27-E26)</f>
        <v>136</v>
      </c>
      <c r="F28" s="43">
        <f t="shared" ref="F28:P28" si="4">IF(F27=0,0,F27-F26)</f>
        <v>285</v>
      </c>
      <c r="G28" s="43">
        <f t="shared" si="4"/>
        <v>355</v>
      </c>
      <c r="H28" s="43">
        <f t="shared" si="4"/>
        <v>462</v>
      </c>
      <c r="I28" s="43">
        <f t="shared" si="4"/>
        <v>712</v>
      </c>
      <c r="J28" s="43">
        <f t="shared" si="4"/>
        <v>712</v>
      </c>
      <c r="K28" s="43">
        <f t="shared" si="4"/>
        <v>712</v>
      </c>
      <c r="L28" s="43">
        <f t="shared" si="4"/>
        <v>1004</v>
      </c>
      <c r="M28" s="43">
        <f t="shared" si="4"/>
        <v>1004</v>
      </c>
      <c r="N28" s="43">
        <f t="shared" si="4"/>
        <v>1004</v>
      </c>
      <c r="O28" s="43">
        <f t="shared" si="4"/>
        <v>1004</v>
      </c>
      <c r="P28" s="43">
        <f t="shared" si="4"/>
        <v>1004</v>
      </c>
    </row>
    <row r="29" spans="3:17" x14ac:dyDescent="0.35">
      <c r="D29" s="3" t="str">
        <f t="shared" si="3"/>
        <v>% realisation</v>
      </c>
      <c r="E29" s="9" t="e">
        <f t="shared" ref="E29:P29" si="5">E27/E26</f>
        <v>#DIV/0!</v>
      </c>
      <c r="F29" s="9" t="e">
        <f t="shared" si="5"/>
        <v>#DIV/0!</v>
      </c>
      <c r="G29" s="9" t="e">
        <f t="shared" si="5"/>
        <v>#DIV/0!</v>
      </c>
      <c r="H29" s="9" t="e">
        <f t="shared" si="5"/>
        <v>#DIV/0!</v>
      </c>
      <c r="I29" s="9" t="e">
        <f t="shared" si="5"/>
        <v>#DIV/0!</v>
      </c>
      <c r="J29" s="9" t="e">
        <f t="shared" si="5"/>
        <v>#DIV/0!</v>
      </c>
      <c r="K29" s="9" t="e">
        <f t="shared" si="5"/>
        <v>#DIV/0!</v>
      </c>
      <c r="L29" s="9" t="e">
        <f t="shared" si="5"/>
        <v>#DIV/0!</v>
      </c>
      <c r="M29" s="9" t="e">
        <f t="shared" si="5"/>
        <v>#DIV/0!</v>
      </c>
      <c r="N29" s="9" t="e">
        <f t="shared" si="5"/>
        <v>#DIV/0!</v>
      </c>
      <c r="O29" s="9" t="e">
        <f t="shared" si="5"/>
        <v>#DIV/0!</v>
      </c>
      <c r="P29" s="9" t="e">
        <f t="shared" si="5"/>
        <v>#DIV/0!</v>
      </c>
    </row>
    <row r="30" spans="3:17" x14ac:dyDescent="0.35">
      <c r="D30" s="3" t="str">
        <f t="shared" si="3"/>
        <v>Actual 2024/25</v>
      </c>
      <c r="E30" s="43">
        <f>SUM($E23:E23)</f>
        <v>0</v>
      </c>
      <c r="F30" s="43">
        <f>SUM($E23:F23)</f>
        <v>0</v>
      </c>
      <c r="G30" s="43">
        <f>SUM($E23:G23)</f>
        <v>0</v>
      </c>
      <c r="H30" s="43">
        <f>SUM($E23:H23)</f>
        <v>0</v>
      </c>
      <c r="I30" s="43">
        <f>SUM($E23:I23)</f>
        <v>0</v>
      </c>
      <c r="J30" s="43">
        <f>SUM($E23:J23)</f>
        <v>0</v>
      </c>
      <c r="K30" s="43">
        <f>SUM($E23:K23)</f>
        <v>0</v>
      </c>
      <c r="L30" s="43">
        <f>SUM($E23:L23)</f>
        <v>0</v>
      </c>
      <c r="M30" s="43">
        <f>SUM($E23:M23)</f>
        <v>0</v>
      </c>
      <c r="N30" s="43">
        <f>SUM($E23:N23)</f>
        <v>0</v>
      </c>
      <c r="O30" s="43">
        <f>SUM($E23:O23)</f>
        <v>0</v>
      </c>
      <c r="P30" s="43">
        <f>SUM($E23:P23)</f>
        <v>0</v>
      </c>
    </row>
  </sheetData>
  <sheetProtection algorithmName="SHA-512" hashValue="ke1xDvkHUDJMSBFGBPOIkT4fO/09+Rh8uuvDlQjdW2fhh7uGg4yKMTFk0lxp7CvRjBcKrZZn/uSq3AZqGo2PLQ==" saltValue="3Wn7VPfNtio8enQjw3IVyQ==" spinCount="100000" sheet="1" objects="1" scenarios="1"/>
  <mergeCells count="3">
    <mergeCell ref="C1:F1"/>
    <mergeCell ref="J4:Q8"/>
    <mergeCell ref="J10:Q15"/>
  </mergeCells>
  <conditionalFormatting sqref="C3">
    <cfRule type="expression" dxfId="8" priority="2">
      <formula>S4&lt;S6</formula>
    </cfRule>
  </conditionalFormatting>
  <conditionalFormatting sqref="C4">
    <cfRule type="expression" dxfId="7" priority="1">
      <formula>AND(S4&gt;=S6,S4&lt;S5)</formula>
    </cfRule>
  </conditionalFormatting>
  <conditionalFormatting sqref="C5">
    <cfRule type="expression" dxfId="6" priority="3">
      <formula>S4&gt;=S5</formula>
    </cfRule>
  </conditionalFormatting>
  <hyperlinks>
    <hyperlink ref="L1" location="'Distribution Dashboard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86497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57150</xdr:rowOff>
                  </from>
                  <to>
                    <xdr:col>9</xdr:col>
                    <xdr:colOff>628650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S30"/>
  <sheetViews>
    <sheetView zoomScale="90" zoomScaleNormal="90" zoomScalePageLayoutView="90" workbookViewId="0">
      <pane ySplit="2" topLeftCell="A9" activePane="bottomLeft" state="frozen"/>
      <selection activeCell="D26" sqref="D26:D30"/>
      <selection pane="bottomLeft"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 t="str">
        <f>'Distribution Dashboard'!A109</f>
        <v>z (3)</v>
      </c>
      <c r="C1" s="124" t="str">
        <f>'Distribution Dashboard'!B109</f>
        <v>Volume Water Sold-NYONJORO</v>
      </c>
      <c r="D1" s="124"/>
      <c r="E1" s="124"/>
      <c r="F1" s="124"/>
      <c r="G1" s="3" t="s">
        <v>10</v>
      </c>
      <c r="I1" s="12">
        <f>INDEX(E$18:P$18,Actual_month)</f>
        <v>46054</v>
      </c>
      <c r="L1" s="15" t="s">
        <v>21</v>
      </c>
      <c r="R1" s="5"/>
    </row>
    <row r="2" spans="1:19" x14ac:dyDescent="0.35">
      <c r="A2" s="3" t="s">
        <v>14</v>
      </c>
      <c r="C2" s="3" t="s">
        <v>15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 t="e">
        <f>INDEX(#REF!,Actual_month)</f>
        <v>#REF!</v>
      </c>
      <c r="K4" s="135"/>
      <c r="L4" s="135"/>
      <c r="M4" s="135"/>
      <c r="N4" s="135"/>
      <c r="O4" s="135"/>
      <c r="P4" s="135"/>
      <c r="Q4" s="136"/>
      <c r="R4" s="3" t="s">
        <v>25</v>
      </c>
      <c r="S4" s="43">
        <f>INDEX(E27:P27,Actual_month)</f>
        <v>555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43">
        <f>INDEX(E26:P26,Actual_month)</f>
        <v>0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0.9</v>
      </c>
      <c r="S6" s="43">
        <f>+S5*R6</f>
        <v>0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11"/>
    </row>
    <row r="19" spans="3:17" x14ac:dyDescent="0.35">
      <c r="D19" s="3" t="str">
        <f>'KPI 100'!D19</f>
        <v>Budget 2025/26</v>
      </c>
      <c r="E19" s="43">
        <f>Budget2526!D118</f>
        <v>0</v>
      </c>
      <c r="F19" s="43">
        <f>Budget2526!E118</f>
        <v>0</v>
      </c>
      <c r="G19" s="43">
        <f>Budget2526!F118</f>
        <v>0</v>
      </c>
      <c r="H19" s="43">
        <f>Budget2526!G118</f>
        <v>0</v>
      </c>
      <c r="I19" s="43">
        <f>Budget2526!H118</f>
        <v>0</v>
      </c>
      <c r="J19" s="43">
        <f>Budget2526!I118</f>
        <v>0</v>
      </c>
      <c r="K19" s="43">
        <f>Budget2526!J118</f>
        <v>0</v>
      </c>
      <c r="L19" s="43">
        <f>Budget2526!K118</f>
        <v>0</v>
      </c>
      <c r="M19" s="43">
        <f>Budget2526!L118</f>
        <v>0</v>
      </c>
      <c r="N19" s="43">
        <f>Budget2526!M118</f>
        <v>0</v>
      </c>
      <c r="O19" s="43">
        <f>Budget2526!N118</f>
        <v>0</v>
      </c>
      <c r="P19" s="43">
        <f>Budget2526!O118</f>
        <v>0</v>
      </c>
      <c r="Q19" s="5"/>
    </row>
    <row r="20" spans="3:17" x14ac:dyDescent="0.35">
      <c r="D20" s="3" t="str">
        <f>'KPI 100'!D20</f>
        <v>Actual 2025/26</v>
      </c>
      <c r="E20" s="43">
        <f>Actual2223!D105</f>
        <v>78</v>
      </c>
      <c r="F20" s="43">
        <f>Actual2223!E105</f>
        <v>149</v>
      </c>
      <c r="G20" s="43">
        <f>Actual2223!F105</f>
        <v>70</v>
      </c>
      <c r="H20" s="43">
        <f>Actual2223!G105</f>
        <v>90</v>
      </c>
      <c r="I20" s="43">
        <f>Actual2223!H105</f>
        <v>0</v>
      </c>
      <c r="J20" s="43">
        <f>Actual2223!I105</f>
        <v>168</v>
      </c>
      <c r="K20" s="43">
        <f>Actual2223!J105</f>
        <v>0</v>
      </c>
      <c r="L20" s="43">
        <f>Actual2223!K105</f>
        <v>0</v>
      </c>
      <c r="M20" s="43">
        <f>Actual2223!L105</f>
        <v>0</v>
      </c>
      <c r="N20" s="43">
        <f>Actual2223!M105</f>
        <v>0</v>
      </c>
      <c r="O20" s="43">
        <f>Actual2223!N105</f>
        <v>0</v>
      </c>
      <c r="P20" s="43">
        <f>Actual2223!O105</f>
        <v>0</v>
      </c>
      <c r="Q20" s="5"/>
    </row>
    <row r="21" spans="3:17" x14ac:dyDescent="0.35">
      <c r="D21" s="3" t="str">
        <f>'KPI 100'!D21</f>
        <v>Difference</v>
      </c>
      <c r="E21" s="43">
        <f>IF(E20=0,0,E20-E19)</f>
        <v>78</v>
      </c>
      <c r="F21" s="43">
        <f t="shared" ref="F21:P21" si="0">IF(F20=0,0,F20-F19)</f>
        <v>149</v>
      </c>
      <c r="G21" s="43">
        <f t="shared" si="0"/>
        <v>70</v>
      </c>
      <c r="H21" s="43">
        <f t="shared" si="0"/>
        <v>90</v>
      </c>
      <c r="I21" s="43">
        <f t="shared" si="0"/>
        <v>0</v>
      </c>
      <c r="J21" s="43">
        <f t="shared" si="0"/>
        <v>168</v>
      </c>
      <c r="K21" s="43">
        <f t="shared" si="0"/>
        <v>0</v>
      </c>
      <c r="L21" s="43">
        <f t="shared" si="0"/>
        <v>0</v>
      </c>
      <c r="M21" s="43">
        <f t="shared" si="0"/>
        <v>0</v>
      </c>
      <c r="N21" s="43">
        <f t="shared" si="0"/>
        <v>0</v>
      </c>
      <c r="O21" s="43">
        <f t="shared" si="0"/>
        <v>0</v>
      </c>
      <c r="P21" s="43">
        <f t="shared" si="0"/>
        <v>0</v>
      </c>
      <c r="Q21" s="5"/>
    </row>
    <row r="22" spans="3:17" x14ac:dyDescent="0.35">
      <c r="D22" s="3" t="str">
        <f>'KPI 100'!D22</f>
        <v>% realisation</v>
      </c>
      <c r="E22" s="9" t="e">
        <f>E20/E19</f>
        <v>#DIV/0!</v>
      </c>
      <c r="F22" s="9" t="e">
        <f t="shared" ref="F22:P22" si="1">F20/F19</f>
        <v>#DIV/0!</v>
      </c>
      <c r="G22" s="9" t="e">
        <f t="shared" si="1"/>
        <v>#DIV/0!</v>
      </c>
      <c r="H22" s="9" t="e">
        <f t="shared" si="1"/>
        <v>#DIV/0!</v>
      </c>
      <c r="I22" s="9" t="e">
        <f t="shared" si="1"/>
        <v>#DIV/0!</v>
      </c>
      <c r="J22" s="9" t="e">
        <f t="shared" si="1"/>
        <v>#DIV/0!</v>
      </c>
      <c r="K22" s="9" t="e">
        <f t="shared" si="1"/>
        <v>#DIV/0!</v>
      </c>
      <c r="L22" s="9" t="e">
        <f t="shared" si="1"/>
        <v>#DIV/0!</v>
      </c>
      <c r="M22" s="9" t="e">
        <f t="shared" si="1"/>
        <v>#DIV/0!</v>
      </c>
      <c r="N22" s="9" t="e">
        <f t="shared" si="1"/>
        <v>#DIV/0!</v>
      </c>
      <c r="O22" s="9" t="e">
        <f t="shared" si="1"/>
        <v>#DIV/0!</v>
      </c>
      <c r="P22" s="9" t="e">
        <f t="shared" si="1"/>
        <v>#DIV/0!</v>
      </c>
    </row>
    <row r="23" spans="3:17" x14ac:dyDescent="0.35">
      <c r="D23" s="3" t="str">
        <f>'KPI 100'!D23</f>
        <v>Actual 2024/25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43">
        <f>SUM($E19:E19)</f>
        <v>0</v>
      </c>
      <c r="F26" s="43">
        <f>SUM($E19:F19)</f>
        <v>0</v>
      </c>
      <c r="G26" s="43">
        <f>SUM($E19:G19)</f>
        <v>0</v>
      </c>
      <c r="H26" s="43">
        <f>SUM($E19:H19)</f>
        <v>0</v>
      </c>
      <c r="I26" s="43">
        <f>SUM($E19:I19)</f>
        <v>0</v>
      </c>
      <c r="J26" s="43">
        <f>SUM($E19:J19)</f>
        <v>0</v>
      </c>
      <c r="K26" s="43">
        <f>SUM($E19:K19)</f>
        <v>0</v>
      </c>
      <c r="L26" s="43">
        <f>SUM($E19:L19)</f>
        <v>0</v>
      </c>
      <c r="M26" s="43">
        <f>SUM($E19:M19)</f>
        <v>0</v>
      </c>
      <c r="N26" s="43">
        <f>SUM($E19:N19)</f>
        <v>0</v>
      </c>
      <c r="O26" s="43">
        <f>SUM($E19:O19)</f>
        <v>0</v>
      </c>
      <c r="P26" s="43">
        <f>SUM($E19:P19)</f>
        <v>0</v>
      </c>
    </row>
    <row r="27" spans="3:17" x14ac:dyDescent="0.35">
      <c r="D27" s="3" t="str">
        <f t="shared" ref="D27:D30" si="3">D20</f>
        <v>Actual 2025/26</v>
      </c>
      <c r="E27" s="43">
        <f>SUM($E20:E20)</f>
        <v>78</v>
      </c>
      <c r="F27" s="43">
        <f>SUM($E20:F20)</f>
        <v>227</v>
      </c>
      <c r="G27" s="43">
        <f>SUM($E20:G20)</f>
        <v>297</v>
      </c>
      <c r="H27" s="43">
        <f>SUM($E20:H20)</f>
        <v>387</v>
      </c>
      <c r="I27" s="43">
        <f>SUM($E20:I20)</f>
        <v>387</v>
      </c>
      <c r="J27" s="43">
        <f>SUM($E20:J20)</f>
        <v>555</v>
      </c>
      <c r="K27" s="43">
        <f>SUM($E20:K20)</f>
        <v>555</v>
      </c>
      <c r="L27" s="43">
        <f>SUM($E20:L20)</f>
        <v>555</v>
      </c>
      <c r="M27" s="43">
        <f>SUM($E20:M20)</f>
        <v>555</v>
      </c>
      <c r="N27" s="43">
        <f>SUM($E20:N20)</f>
        <v>555</v>
      </c>
      <c r="O27" s="43">
        <f>SUM($E20:O20)</f>
        <v>555</v>
      </c>
      <c r="P27" s="43">
        <f>SUM($E20:P20)</f>
        <v>555</v>
      </c>
    </row>
    <row r="28" spans="3:17" x14ac:dyDescent="0.35">
      <c r="D28" s="3" t="str">
        <f t="shared" si="3"/>
        <v>Difference</v>
      </c>
      <c r="E28" s="43">
        <f>IF(E27=0,0,E27-E26)</f>
        <v>78</v>
      </c>
      <c r="F28" s="43">
        <f t="shared" ref="F28:P28" si="4">IF(F27=0,0,F27-F26)</f>
        <v>227</v>
      </c>
      <c r="G28" s="43">
        <f t="shared" si="4"/>
        <v>297</v>
      </c>
      <c r="H28" s="43">
        <f t="shared" si="4"/>
        <v>387</v>
      </c>
      <c r="I28" s="43">
        <f t="shared" si="4"/>
        <v>387</v>
      </c>
      <c r="J28" s="43">
        <f t="shared" si="4"/>
        <v>555</v>
      </c>
      <c r="K28" s="43">
        <f t="shared" si="4"/>
        <v>555</v>
      </c>
      <c r="L28" s="43">
        <f t="shared" si="4"/>
        <v>555</v>
      </c>
      <c r="M28" s="43">
        <f t="shared" si="4"/>
        <v>555</v>
      </c>
      <c r="N28" s="43">
        <f t="shared" si="4"/>
        <v>555</v>
      </c>
      <c r="O28" s="43">
        <f t="shared" si="4"/>
        <v>555</v>
      </c>
      <c r="P28" s="43">
        <f t="shared" si="4"/>
        <v>555</v>
      </c>
    </row>
    <row r="29" spans="3:17" x14ac:dyDescent="0.35">
      <c r="D29" s="3" t="str">
        <f t="shared" si="3"/>
        <v>% realisation</v>
      </c>
      <c r="E29" s="9" t="e">
        <f t="shared" ref="E29:P29" si="5">E27/E26</f>
        <v>#DIV/0!</v>
      </c>
      <c r="F29" s="9" t="e">
        <f t="shared" si="5"/>
        <v>#DIV/0!</v>
      </c>
      <c r="G29" s="9" t="e">
        <f t="shared" si="5"/>
        <v>#DIV/0!</v>
      </c>
      <c r="H29" s="9" t="e">
        <f t="shared" si="5"/>
        <v>#DIV/0!</v>
      </c>
      <c r="I29" s="9" t="e">
        <f t="shared" si="5"/>
        <v>#DIV/0!</v>
      </c>
      <c r="J29" s="9" t="e">
        <f t="shared" si="5"/>
        <v>#DIV/0!</v>
      </c>
      <c r="K29" s="9" t="e">
        <f t="shared" si="5"/>
        <v>#DIV/0!</v>
      </c>
      <c r="L29" s="9" t="e">
        <f t="shared" si="5"/>
        <v>#DIV/0!</v>
      </c>
      <c r="M29" s="9" t="e">
        <f t="shared" si="5"/>
        <v>#DIV/0!</v>
      </c>
      <c r="N29" s="9" t="e">
        <f t="shared" si="5"/>
        <v>#DIV/0!</v>
      </c>
      <c r="O29" s="9" t="e">
        <f t="shared" si="5"/>
        <v>#DIV/0!</v>
      </c>
      <c r="P29" s="9" t="e">
        <f t="shared" si="5"/>
        <v>#DIV/0!</v>
      </c>
    </row>
    <row r="30" spans="3:17" x14ac:dyDescent="0.35">
      <c r="D30" s="3" t="str">
        <f t="shared" si="3"/>
        <v>Actual 2024/25</v>
      </c>
      <c r="E30" s="43">
        <f>SUM($E23:E23)</f>
        <v>0</v>
      </c>
      <c r="F30" s="43">
        <f>SUM($E23:F23)</f>
        <v>0</v>
      </c>
      <c r="G30" s="43">
        <f>SUM($E23:G23)</f>
        <v>0</v>
      </c>
      <c r="H30" s="43">
        <f>SUM($E23:H23)</f>
        <v>0</v>
      </c>
      <c r="I30" s="43">
        <f>SUM($E23:I23)</f>
        <v>0</v>
      </c>
      <c r="J30" s="43">
        <f>SUM($E23:J23)</f>
        <v>0</v>
      </c>
      <c r="K30" s="43">
        <f>SUM($E23:K23)</f>
        <v>0</v>
      </c>
      <c r="L30" s="43">
        <f>SUM($E23:L23)</f>
        <v>0</v>
      </c>
      <c r="M30" s="43">
        <f>SUM($E23:M23)</f>
        <v>0</v>
      </c>
      <c r="N30" s="43">
        <f>SUM($E23:N23)</f>
        <v>0</v>
      </c>
      <c r="O30" s="43">
        <f>SUM($E23:O23)</f>
        <v>0</v>
      </c>
      <c r="P30" s="43">
        <f>SUM($E23:P23)</f>
        <v>0</v>
      </c>
    </row>
  </sheetData>
  <sheetProtection algorithmName="SHA-512" hashValue="5/IpCcAUfV7lJ6QMAhdRi4z1pbRKgfWyTt3UPbcUdZd0NuGC4OuRLZbqyfW2O2Lt5UVKAF1HdWJgOPXl/5jrFA==" saltValue="MpkjBZpaTX++kmJCUBZ1ww==" spinCount="100000" sheet="1" objects="1" scenarios="1"/>
  <mergeCells count="3">
    <mergeCell ref="C1:F1"/>
    <mergeCell ref="J4:Q8"/>
    <mergeCell ref="J10:Q15"/>
  </mergeCells>
  <conditionalFormatting sqref="C3">
    <cfRule type="expression" dxfId="5" priority="2">
      <formula>S4&lt;S6</formula>
    </cfRule>
  </conditionalFormatting>
  <conditionalFormatting sqref="C4">
    <cfRule type="expression" dxfId="4" priority="1">
      <formula>AND(S4&gt;=S6,S4&lt;S5)</formula>
    </cfRule>
  </conditionalFormatting>
  <conditionalFormatting sqref="C5">
    <cfRule type="expression" dxfId="3" priority="3">
      <formula>S4&gt;=S5</formula>
    </cfRule>
  </conditionalFormatting>
  <hyperlinks>
    <hyperlink ref="L1" location="'Distribution Dashboard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87521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57150</xdr:rowOff>
                  </from>
                  <to>
                    <xdr:col>9</xdr:col>
                    <xdr:colOff>628650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S30"/>
  <sheetViews>
    <sheetView zoomScale="90" zoomScaleNormal="90" zoomScalePageLayoutView="90" workbookViewId="0">
      <pane ySplit="2" topLeftCell="A3" activePane="bottomLeft" state="frozen"/>
      <selection activeCell="D26" sqref="D26:D30"/>
      <selection pane="bottomLeft" activeCell="S33" sqref="S33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 t="str">
        <f>'Distribution Dashboard'!A110</f>
        <v>K (3)</v>
      </c>
      <c r="C1" s="143" t="str">
        <f>'Distribution Dashboard'!B110</f>
        <v>NRW</v>
      </c>
      <c r="D1" s="124"/>
      <c r="E1" s="124"/>
      <c r="F1" s="124"/>
      <c r="G1" s="3" t="s">
        <v>10</v>
      </c>
      <c r="I1" s="12">
        <f>INDEX(E$18:P$18,Actual_month)</f>
        <v>46054</v>
      </c>
      <c r="L1" s="15" t="s">
        <v>21</v>
      </c>
      <c r="R1" s="5"/>
    </row>
    <row r="2" spans="1:19" x14ac:dyDescent="0.35">
      <c r="A2" s="3" t="s">
        <v>14</v>
      </c>
      <c r="C2" s="3" t="s">
        <v>1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/>
      <c r="K4" s="135"/>
      <c r="L4" s="135"/>
      <c r="M4" s="135"/>
      <c r="N4" s="135"/>
      <c r="O4" s="135"/>
      <c r="P4" s="135"/>
      <c r="Q4" s="136"/>
      <c r="R4" s="3" t="s">
        <v>25</v>
      </c>
      <c r="S4" s="9">
        <f>INDEX(E27:P27,Actual_month)</f>
        <v>0.39286040458468424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9" t="e">
        <f>INDEX(E26:P26,Actual_month)</f>
        <v>#DIV/0!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1.1000000000000001</v>
      </c>
      <c r="S6" s="9" t="e">
        <f>+S5*R6</f>
        <v>#DIV/0!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9" t="e">
        <f>Budget2526!D119</f>
        <v>#DIV/0!</v>
      </c>
      <c r="F19" s="9" t="e">
        <f>Budget2526!E119</f>
        <v>#DIV/0!</v>
      </c>
      <c r="G19" s="9" t="e">
        <f>Budget2526!F119</f>
        <v>#DIV/0!</v>
      </c>
      <c r="H19" s="9" t="e">
        <f>Budget2526!G119</f>
        <v>#DIV/0!</v>
      </c>
      <c r="I19" s="9" t="e">
        <f>Budget2526!H119</f>
        <v>#DIV/0!</v>
      </c>
      <c r="J19" s="9" t="e">
        <f>Budget2526!I119</f>
        <v>#DIV/0!</v>
      </c>
      <c r="K19" s="9" t="e">
        <f>Budget2526!J119</f>
        <v>#DIV/0!</v>
      </c>
      <c r="L19" s="9" t="e">
        <f>Budget2526!K119</f>
        <v>#DIV/0!</v>
      </c>
      <c r="M19" s="9" t="e">
        <f>Budget2526!L119</f>
        <v>#DIV/0!</v>
      </c>
      <c r="N19" s="9" t="e">
        <f>Budget2526!M119</f>
        <v>#DIV/0!</v>
      </c>
      <c r="O19" s="9" t="e">
        <f>Budget2526!N119</f>
        <v>#DIV/0!</v>
      </c>
      <c r="P19" s="9" t="e">
        <f>Budget2526!O119</f>
        <v>#DIV/0!</v>
      </c>
      <c r="Q19" s="5"/>
    </row>
    <row r="20" spans="3:17" x14ac:dyDescent="0.35">
      <c r="D20" s="3" t="str">
        <f>'KPI 100'!D20</f>
        <v>Actual 2025/26</v>
      </c>
      <c r="E20" s="9">
        <f>Actual2223!D106</f>
        <v>0.4264705882352941</v>
      </c>
      <c r="F20" s="9">
        <f>Actual2223!E106</f>
        <v>0</v>
      </c>
      <c r="G20" s="9">
        <f>Actual2223!F106</f>
        <v>0</v>
      </c>
      <c r="H20" s="9">
        <f>Actual2223!G106</f>
        <v>0.15887850467289719</v>
      </c>
      <c r="I20" s="9">
        <f>Actual2223!H106</f>
        <v>1</v>
      </c>
      <c r="J20" s="9" t="e">
        <f>Actual2223!I106</f>
        <v>#DIV/0!</v>
      </c>
      <c r="K20" s="9" t="e">
        <f>Actual2223!J106</f>
        <v>#DIV/0!</v>
      </c>
      <c r="L20" s="9">
        <f>Actual2223!K106</f>
        <v>1</v>
      </c>
      <c r="M20" s="9" t="e">
        <f>Actual2223!L106</f>
        <v>#DIV/0!</v>
      </c>
      <c r="N20" s="9" t="e">
        <f>Actual2223!M106</f>
        <v>#DIV/0!</v>
      </c>
      <c r="O20" s="9" t="e">
        <f>Actual2223!N106</f>
        <v>#DIV/0!</v>
      </c>
      <c r="P20" s="9" t="e">
        <f>Actual2223!O106</f>
        <v>#DIV/0!</v>
      </c>
      <c r="Q20" s="5"/>
    </row>
    <row r="21" spans="3:17" x14ac:dyDescent="0.35">
      <c r="D21" s="3" t="str">
        <f>'KPI 100'!D21</f>
        <v>Difference</v>
      </c>
      <c r="E21" s="9" t="e">
        <f>IF(E20=0,0,E20-E19)</f>
        <v>#DIV/0!</v>
      </c>
      <c r="F21" s="9">
        <f t="shared" ref="F21:P21" si="0">IF(F20=0,0,F20-F19)</f>
        <v>0</v>
      </c>
      <c r="G21" s="9">
        <f t="shared" si="0"/>
        <v>0</v>
      </c>
      <c r="H21" s="9" t="e">
        <f t="shared" si="0"/>
        <v>#DIV/0!</v>
      </c>
      <c r="I21" s="9" t="e">
        <f t="shared" si="0"/>
        <v>#DIV/0!</v>
      </c>
      <c r="J21" s="9" t="e">
        <f t="shared" si="0"/>
        <v>#DIV/0!</v>
      </c>
      <c r="K21" s="9" t="e">
        <f t="shared" si="0"/>
        <v>#DIV/0!</v>
      </c>
      <c r="L21" s="9" t="e">
        <f t="shared" si="0"/>
        <v>#DIV/0!</v>
      </c>
      <c r="M21" s="9" t="e">
        <f t="shared" si="0"/>
        <v>#DIV/0!</v>
      </c>
      <c r="N21" s="9" t="e">
        <f t="shared" si="0"/>
        <v>#DIV/0!</v>
      </c>
      <c r="O21" s="9" t="e">
        <f t="shared" si="0"/>
        <v>#DIV/0!</v>
      </c>
      <c r="P21" s="9" t="e">
        <f t="shared" si="0"/>
        <v>#DIV/0!</v>
      </c>
      <c r="Q21" s="5"/>
    </row>
    <row r="22" spans="3:17" x14ac:dyDescent="0.35">
      <c r="D22" s="3" t="str">
        <f>'KPI 100'!D22</f>
        <v>% realisation</v>
      </c>
      <c r="E22" s="9" t="e">
        <f>E20/E19</f>
        <v>#DIV/0!</v>
      </c>
      <c r="F22" s="9" t="e">
        <f t="shared" ref="F22:P22" si="1">F20/F19</f>
        <v>#DIV/0!</v>
      </c>
      <c r="G22" s="9" t="e">
        <f t="shared" si="1"/>
        <v>#DIV/0!</v>
      </c>
      <c r="H22" s="9" t="e">
        <f t="shared" si="1"/>
        <v>#DIV/0!</v>
      </c>
      <c r="I22" s="9" t="e">
        <f t="shared" si="1"/>
        <v>#DIV/0!</v>
      </c>
      <c r="J22" s="9" t="e">
        <f t="shared" si="1"/>
        <v>#DIV/0!</v>
      </c>
      <c r="K22" s="9" t="e">
        <f t="shared" si="1"/>
        <v>#DIV/0!</v>
      </c>
      <c r="L22" s="9" t="e">
        <f t="shared" si="1"/>
        <v>#DIV/0!</v>
      </c>
      <c r="M22" s="9" t="e">
        <f t="shared" si="1"/>
        <v>#DIV/0!</v>
      </c>
      <c r="N22" s="9" t="e">
        <f t="shared" si="1"/>
        <v>#DIV/0!</v>
      </c>
      <c r="O22" s="9" t="e">
        <f t="shared" si="1"/>
        <v>#DIV/0!</v>
      </c>
      <c r="P22" s="9" t="e">
        <f t="shared" si="1"/>
        <v>#DIV/0!</v>
      </c>
    </row>
    <row r="23" spans="3:17" x14ac:dyDescent="0.35">
      <c r="D23" s="3" t="str">
        <f>'KPI 100'!D23</f>
        <v>Actual 2024/25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9" t="e">
        <f>AVERAGE(E19:E19)</f>
        <v>#DIV/0!</v>
      </c>
      <c r="F26" s="9" t="e">
        <f>AVERAGE($E19:F19)</f>
        <v>#DIV/0!</v>
      </c>
      <c r="G26" s="9" t="e">
        <f>AVERAGE($E19:G19)</f>
        <v>#DIV/0!</v>
      </c>
      <c r="H26" s="9" t="e">
        <f>AVERAGE($E19:H19)</f>
        <v>#DIV/0!</v>
      </c>
      <c r="I26" s="9" t="e">
        <f>AVERAGE($E19:I19)</f>
        <v>#DIV/0!</v>
      </c>
      <c r="J26" s="9" t="e">
        <f>AVERAGE($E19:J19)</f>
        <v>#DIV/0!</v>
      </c>
      <c r="K26" s="9" t="e">
        <f>AVERAGE($E19:K19)</f>
        <v>#DIV/0!</v>
      </c>
      <c r="L26" s="9" t="e">
        <f>AVERAGE($E19:L19)</f>
        <v>#DIV/0!</v>
      </c>
      <c r="M26" s="9" t="e">
        <f>AVERAGE($E19:M19)</f>
        <v>#DIV/0!</v>
      </c>
      <c r="N26" s="9" t="e">
        <f>AVERAGE($E19:N19)</f>
        <v>#DIV/0!</v>
      </c>
      <c r="O26" s="9" t="e">
        <f>AVERAGE($E19:O19)</f>
        <v>#DIV/0!</v>
      </c>
      <c r="P26" s="9" t="e">
        <f>AVERAGE($E19:P19)</f>
        <v>#DIV/0!</v>
      </c>
    </row>
    <row r="27" spans="3:17" x14ac:dyDescent="0.35">
      <c r="D27" s="3" t="str">
        <f t="shared" ref="D27:D30" si="3">D20</f>
        <v>Actual 2025/26</v>
      </c>
      <c r="E27" s="9">
        <f>('KPI 103 (5)'!E27-'KPI 110 (5)'!E27)/'KPI 103 (5)'!E27</f>
        <v>0.38264778834229018</v>
      </c>
      <c r="F27" s="9">
        <f>('KPI 103 (5)'!F27-'KPI 110 (5)'!F27)/'KPI 103 (5)'!F27</f>
        <v>0.37425688687934355</v>
      </c>
      <c r="G27" s="9">
        <f>('KPI 103 (5)'!G27-'KPI 110 (5)'!G27)/'KPI 103 (5)'!G27</f>
        <v>0.37518825587586524</v>
      </c>
      <c r="H27" s="9">
        <f>('KPI 103 (5)'!H27-'KPI 110 (5)'!H27)/'KPI 103 (5)'!H27</f>
        <v>0.3823030408491756</v>
      </c>
      <c r="I27" s="9">
        <f>('KPI 103 (5)'!I27-'KPI 110 (5)'!I27)/'KPI 103 (5)'!I27</f>
        <v>0.37948943420076392</v>
      </c>
      <c r="J27" s="9">
        <f>('KPI 103 (5)'!J27-'KPI 110 (5)'!J27)/'KPI 103 (5)'!J27</f>
        <v>0.38702379802273534</v>
      </c>
      <c r="K27" s="9">
        <f>('KPI 103 (5)'!K27-'KPI 110 (5)'!K27)/'KPI 103 (5)'!K27</f>
        <v>0.39372919717747307</v>
      </c>
      <c r="L27" s="9">
        <f>('KPI 103 (5)'!L27-'KPI 110 (5)'!L27)/'KPI 103 (5)'!L27</f>
        <v>0.39286040458468424</v>
      </c>
      <c r="M27" s="9">
        <f>('KPI 103 (5)'!M27-'KPI 110 (5)'!M27)/'KPI 103 (5)'!M27</f>
        <v>0.39286040458468424</v>
      </c>
      <c r="N27" s="9">
        <f>('KPI 103 (5)'!N27-'KPI 110 (5)'!N27)/'KPI 103 (5)'!N27</f>
        <v>0.39286040458468424</v>
      </c>
      <c r="O27" s="9">
        <f>('KPI 103 (5)'!O27-'KPI 110 (5)'!O27)/'KPI 103 (5)'!O27</f>
        <v>0.39286040458468424</v>
      </c>
      <c r="P27" s="9">
        <f>('KPI 103 (5)'!P27-'KPI 110 (5)'!P27)/'KPI 103 (5)'!P27</f>
        <v>0.39286040458468424</v>
      </c>
    </row>
    <row r="28" spans="3:17" x14ac:dyDescent="0.35">
      <c r="D28" s="3" t="str">
        <f t="shared" si="3"/>
        <v>Difference</v>
      </c>
      <c r="E28" s="9" t="e">
        <f>IF(E27=0,0,E27-E26)</f>
        <v>#DIV/0!</v>
      </c>
      <c r="F28" s="9" t="e">
        <f t="shared" ref="F28:P28" si="4">IF(F27=0,0,F27-F26)</f>
        <v>#DIV/0!</v>
      </c>
      <c r="G28" s="9" t="e">
        <f t="shared" si="4"/>
        <v>#DIV/0!</v>
      </c>
      <c r="H28" s="9" t="e">
        <f t="shared" si="4"/>
        <v>#DIV/0!</v>
      </c>
      <c r="I28" s="9" t="e">
        <f t="shared" si="4"/>
        <v>#DIV/0!</v>
      </c>
      <c r="J28" s="9" t="e">
        <f t="shared" si="4"/>
        <v>#DIV/0!</v>
      </c>
      <c r="K28" s="9" t="e">
        <f t="shared" si="4"/>
        <v>#DIV/0!</v>
      </c>
      <c r="L28" s="9" t="e">
        <f t="shared" si="4"/>
        <v>#DIV/0!</v>
      </c>
      <c r="M28" s="9" t="e">
        <f t="shared" si="4"/>
        <v>#DIV/0!</v>
      </c>
      <c r="N28" s="9" t="e">
        <f t="shared" si="4"/>
        <v>#DIV/0!</v>
      </c>
      <c r="O28" s="9" t="e">
        <f t="shared" si="4"/>
        <v>#DIV/0!</v>
      </c>
      <c r="P28" s="9" t="e">
        <f t="shared" si="4"/>
        <v>#DIV/0!</v>
      </c>
    </row>
    <row r="29" spans="3:17" x14ac:dyDescent="0.35">
      <c r="D29" s="3" t="str">
        <f t="shared" si="3"/>
        <v>% realisation</v>
      </c>
      <c r="E29" s="9" t="e">
        <f t="shared" ref="E29:P29" si="5">E27/E26</f>
        <v>#DIV/0!</v>
      </c>
      <c r="F29" s="9" t="e">
        <f t="shared" si="5"/>
        <v>#DIV/0!</v>
      </c>
      <c r="G29" s="9" t="e">
        <f t="shared" si="5"/>
        <v>#DIV/0!</v>
      </c>
      <c r="H29" s="9" t="e">
        <f t="shared" si="5"/>
        <v>#DIV/0!</v>
      </c>
      <c r="I29" s="9" t="e">
        <f t="shared" si="5"/>
        <v>#DIV/0!</v>
      </c>
      <c r="J29" s="9" t="e">
        <f t="shared" si="5"/>
        <v>#DIV/0!</v>
      </c>
      <c r="K29" s="9" t="e">
        <f t="shared" si="5"/>
        <v>#DIV/0!</v>
      </c>
      <c r="L29" s="9" t="e">
        <f t="shared" si="5"/>
        <v>#DIV/0!</v>
      </c>
      <c r="M29" s="9" t="e">
        <f t="shared" si="5"/>
        <v>#DIV/0!</v>
      </c>
      <c r="N29" s="9" t="e">
        <f t="shared" si="5"/>
        <v>#DIV/0!</v>
      </c>
      <c r="O29" s="9" t="e">
        <f t="shared" si="5"/>
        <v>#DIV/0!</v>
      </c>
      <c r="P29" s="9" t="e">
        <f t="shared" si="5"/>
        <v>#DIV/0!</v>
      </c>
    </row>
    <row r="30" spans="3:17" x14ac:dyDescent="0.35">
      <c r="D30" s="3" t="str">
        <f t="shared" si="3"/>
        <v>Actual 2024/25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</row>
  </sheetData>
  <sheetProtection algorithmName="SHA-512" hashValue="dVyoq5hD/tJjfsS+bHxVO3Pjx/XdIFarJwBdVEMahXxSABbMBBNx0d03V1XOCnwaZ5FKV4B3LUCdENp7KG9FsQ==" saltValue="ePD2fPSFC7ENrLNPh3UEiA==" spinCount="100000" sheet="1" objects="1" scenarios="1"/>
  <mergeCells count="3">
    <mergeCell ref="C1:F1"/>
    <mergeCell ref="J4:Q8"/>
    <mergeCell ref="J10:Q15"/>
  </mergeCells>
  <conditionalFormatting sqref="C3">
    <cfRule type="expression" dxfId="2" priority="2">
      <formula>S4&gt;S6</formula>
    </cfRule>
  </conditionalFormatting>
  <conditionalFormatting sqref="C4">
    <cfRule type="expression" dxfId="1" priority="1">
      <formula>AND(S4&gt;S5,S4&lt;=S6)</formula>
    </cfRule>
  </conditionalFormatting>
  <conditionalFormatting sqref="C5">
    <cfRule type="expression" dxfId="0" priority="3">
      <formula>S4&lt;=S5</formula>
    </cfRule>
  </conditionalFormatting>
  <hyperlinks>
    <hyperlink ref="L1" location="'Distribution Dashboard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88545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57150</xdr:rowOff>
                  </from>
                  <to>
                    <xdr:col>9</xdr:col>
                    <xdr:colOff>628650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B3" sqref="B3"/>
    </sheetView>
  </sheetViews>
  <sheetFormatPr defaultColWidth="8.7265625" defaultRowHeight="14.5" x14ac:dyDescent="0.35"/>
  <cols>
    <col min="1" max="1" width="35.7265625" bestFit="1" customWidth="1"/>
  </cols>
  <sheetData>
    <row r="1" spans="1:2" x14ac:dyDescent="0.35">
      <c r="A1" t="s">
        <v>11</v>
      </c>
    </row>
    <row r="3" spans="1:2" x14ac:dyDescent="0.35">
      <c r="A3" t="s">
        <v>12</v>
      </c>
      <c r="B3">
        <v>8</v>
      </c>
    </row>
    <row r="4" spans="1:2" x14ac:dyDescent="0.35">
      <c r="A4" t="s">
        <v>16</v>
      </c>
      <c r="B4" s="2">
        <v>0.75</v>
      </c>
    </row>
    <row r="5" spans="1:2" x14ac:dyDescent="0.35">
      <c r="A5" t="s">
        <v>31</v>
      </c>
      <c r="B5">
        <v>30</v>
      </c>
    </row>
    <row r="6" spans="1:2" x14ac:dyDescent="0.35">
      <c r="B6">
        <v>1</v>
      </c>
    </row>
    <row r="7" spans="1:2" x14ac:dyDescent="0.35">
      <c r="A7" t="s">
        <v>32</v>
      </c>
      <c r="B7">
        <v>1000</v>
      </c>
    </row>
  </sheetData>
  <protectedRanges>
    <protectedRange sqref="B3" name="Actual month"/>
  </protectedRange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3F1B2CE-57F8-4DE2-8EB1-5F47430B28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78</vt:i4>
      </vt:variant>
      <vt:variant>
        <vt:lpstr>Named Ranges</vt:lpstr>
      </vt:variant>
      <vt:variant>
        <vt:i4>3</vt:i4>
      </vt:variant>
    </vt:vector>
  </HeadingPairs>
  <TitlesOfParts>
    <vt:vector size="81" baseType="lpstr">
      <vt:lpstr>Distribution Dashboard</vt:lpstr>
      <vt:lpstr>Budget2526</vt:lpstr>
      <vt:lpstr>Actuals2526</vt:lpstr>
      <vt:lpstr>Actuals2425</vt:lpstr>
      <vt:lpstr>Actual2223</vt:lpstr>
      <vt:lpstr>Actual2122</vt:lpstr>
      <vt:lpstr>Actual2021</vt:lpstr>
      <vt:lpstr>KPI A(1)</vt:lpstr>
      <vt:lpstr>KPI A</vt:lpstr>
      <vt:lpstr>KPI 100</vt:lpstr>
      <vt:lpstr>KPI B(2)</vt:lpstr>
      <vt:lpstr>KPI B</vt:lpstr>
      <vt:lpstr>KPI 128a</vt:lpstr>
      <vt:lpstr>KPI C(3)</vt:lpstr>
      <vt:lpstr>KPI C</vt:lpstr>
      <vt:lpstr>KPI 128</vt:lpstr>
      <vt:lpstr>KPI RA</vt:lpstr>
      <vt:lpstr>KPI RA2</vt:lpstr>
      <vt:lpstr>KPI RA3</vt:lpstr>
      <vt:lpstr>KPI RA4</vt:lpstr>
      <vt:lpstr>KPI RA6 (B)</vt:lpstr>
      <vt:lpstr>KPI RB2 (2)</vt:lpstr>
      <vt:lpstr>KPI RB2</vt:lpstr>
      <vt:lpstr>KPI RB3 (2)</vt:lpstr>
      <vt:lpstr>KPI RB4</vt:lpstr>
      <vt:lpstr>KPI RA6 (B) (2)</vt:lpstr>
      <vt:lpstr>KPI RB2 (3)</vt:lpstr>
      <vt:lpstr>KPI RB3 (3)</vt:lpstr>
      <vt:lpstr>KPI RB4 (2)</vt:lpstr>
      <vt:lpstr>KPI 101</vt:lpstr>
      <vt:lpstr>KPI 108</vt:lpstr>
      <vt:lpstr>KPI 122</vt:lpstr>
      <vt:lpstr>KPI 102</vt:lpstr>
      <vt:lpstr>KPI 109</vt:lpstr>
      <vt:lpstr>KPI 123</vt:lpstr>
      <vt:lpstr>KPI 104</vt:lpstr>
      <vt:lpstr>KPI 111</vt:lpstr>
      <vt:lpstr>KPI 125</vt:lpstr>
      <vt:lpstr>KPI 103</vt:lpstr>
      <vt:lpstr>KPI 110</vt:lpstr>
      <vt:lpstr>KPI 124</vt:lpstr>
      <vt:lpstr>KPI 105B</vt:lpstr>
      <vt:lpstr>KPI 105</vt:lpstr>
      <vt:lpstr>KPI 112B</vt:lpstr>
      <vt:lpstr>KPI 112</vt:lpstr>
      <vt:lpstr>KPI 126B</vt:lpstr>
      <vt:lpstr>KPI 126</vt:lpstr>
      <vt:lpstr>KPI 106</vt:lpstr>
      <vt:lpstr>KPI 113</vt:lpstr>
      <vt:lpstr>KPI 127</vt:lpstr>
      <vt:lpstr>KPI 103 (3)</vt:lpstr>
      <vt:lpstr>KPI 110 (3)</vt:lpstr>
      <vt:lpstr>KPI 124 (3)</vt:lpstr>
      <vt:lpstr>KPI 103 (2)</vt:lpstr>
      <vt:lpstr>KPI 110 (2)</vt:lpstr>
      <vt:lpstr>KPI 124 (2)</vt:lpstr>
      <vt:lpstr>KPI 103 (4)</vt:lpstr>
      <vt:lpstr>KPI 110 (4)</vt:lpstr>
      <vt:lpstr>KPI 124 (4)</vt:lpstr>
      <vt:lpstr>KPI 103 (5)</vt:lpstr>
      <vt:lpstr>KPI 103 (6)</vt:lpstr>
      <vt:lpstr>KPI 103(7)</vt:lpstr>
      <vt:lpstr>KPI 110(7)</vt:lpstr>
      <vt:lpstr>KPI 110 (6)</vt:lpstr>
      <vt:lpstr>KPI 110 (5)</vt:lpstr>
      <vt:lpstr>KPI 124 (5)</vt:lpstr>
      <vt:lpstr>KPI 124(7)</vt:lpstr>
      <vt:lpstr>KPI 124 (6)</vt:lpstr>
      <vt:lpstr>KPI Y</vt:lpstr>
      <vt:lpstr>KPI z</vt:lpstr>
      <vt:lpstr>KPI k</vt:lpstr>
      <vt:lpstr>KPI Y (2)</vt:lpstr>
      <vt:lpstr>KPI z (2)</vt:lpstr>
      <vt:lpstr>KPI k (2)</vt:lpstr>
      <vt:lpstr>KPI Y (3)</vt:lpstr>
      <vt:lpstr>KPI z (3)</vt:lpstr>
      <vt:lpstr>KPI k (3)</vt:lpstr>
      <vt:lpstr>General</vt:lpstr>
      <vt:lpstr>Actual_month</vt:lpstr>
      <vt:lpstr>'Distribution Dashboard'!Print_Area</vt:lpstr>
      <vt:lpstr>'Distribution Dashboard'!Print_Titles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ICT Assistant</cp:lastModifiedBy>
  <cp:lastPrinted>2025-12-04T10:57:01Z</cp:lastPrinted>
  <dcterms:created xsi:type="dcterms:W3CDTF">2014-08-18T15:14:05Z</dcterms:created>
  <dcterms:modified xsi:type="dcterms:W3CDTF">2026-04-15T15:49:43Z</dcterms:modified>
</cp:coreProperties>
</file>