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ta\Desktop\programs\NWS CODEX\NAIVAWASCO\"/>
    </mc:Choice>
  </mc:AlternateContent>
  <bookViews>
    <workbookView xWindow="0" yWindow="0" windowWidth="19160" windowHeight="5180"/>
  </bookViews>
  <sheets>
    <sheet name="SUPPLY VOL" sheetId="1" r:id="rId1"/>
    <sheet name="WEEKLY REPORT" sheetId="2" r:id="rId2"/>
  </sheets>
  <calcPr calcId="162913"/>
</workbook>
</file>

<file path=xl/calcChain.xml><?xml version="1.0" encoding="utf-8"?>
<calcChain xmlns="http://schemas.openxmlformats.org/spreadsheetml/2006/main">
  <c r="I1439" i="1" l="1"/>
  <c r="K1436" i="1"/>
  <c r="I1437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252" i="1"/>
  <c r="I1221" i="1"/>
  <c r="I1220" i="1"/>
  <c r="J1251" i="1"/>
  <c r="J1221" i="1"/>
  <c r="I1222" i="1" s="1"/>
  <c r="E1253" i="1"/>
  <c r="G1253" i="1" s="1"/>
  <c r="H1253" i="1" s="1"/>
  <c r="G1252" i="1"/>
  <c r="H1252" i="1" s="1"/>
  <c r="G1258" i="1"/>
  <c r="G1259" i="1"/>
  <c r="H1259" i="1" s="1"/>
  <c r="G1269" i="1"/>
  <c r="G1439" i="1"/>
  <c r="G1440" i="1"/>
  <c r="H1440" i="1" s="1"/>
  <c r="G1441" i="1"/>
  <c r="G1442" i="1"/>
  <c r="G1443" i="1"/>
  <c r="G1444" i="1"/>
  <c r="H1444" i="1" s="1"/>
  <c r="G1445" i="1"/>
  <c r="G1446" i="1"/>
  <c r="G1447" i="1"/>
  <c r="G1448" i="1"/>
  <c r="H1448" i="1" s="1"/>
  <c r="G1449" i="1"/>
  <c r="G1450" i="1"/>
  <c r="G1451" i="1"/>
  <c r="G1452" i="1"/>
  <c r="H1452" i="1" s="1"/>
  <c r="G1453" i="1"/>
  <c r="G1454" i="1"/>
  <c r="G1455" i="1"/>
  <c r="G1456" i="1"/>
  <c r="H1456" i="1" s="1"/>
  <c r="G1457" i="1"/>
  <c r="G1458" i="1"/>
  <c r="G1459" i="1"/>
  <c r="G1460" i="1"/>
  <c r="H1460" i="1" s="1"/>
  <c r="G1461" i="1"/>
  <c r="G1462" i="1"/>
  <c r="G1463" i="1"/>
  <c r="G1464" i="1"/>
  <c r="H1464" i="1" s="1"/>
  <c r="G1465" i="1"/>
  <c r="G1466" i="1"/>
  <c r="G1467" i="1"/>
  <c r="G1468" i="1"/>
  <c r="H1468" i="1" s="1"/>
  <c r="G1469" i="1"/>
  <c r="G1470" i="1"/>
  <c r="G1471" i="1"/>
  <c r="G1472" i="1"/>
  <c r="H1472" i="1" s="1"/>
  <c r="G1473" i="1"/>
  <c r="G1474" i="1"/>
  <c r="G1475" i="1"/>
  <c r="G1476" i="1"/>
  <c r="H1476" i="1" s="1"/>
  <c r="G1477" i="1"/>
  <c r="G1478" i="1"/>
  <c r="G1479" i="1"/>
  <c r="G1480" i="1"/>
  <c r="H1480" i="1" s="1"/>
  <c r="G1481" i="1"/>
  <c r="G1482" i="1"/>
  <c r="G1483" i="1"/>
  <c r="G1484" i="1"/>
  <c r="H1484" i="1" s="1"/>
  <c r="G1485" i="1"/>
  <c r="G1486" i="1"/>
  <c r="G1487" i="1"/>
  <c r="G1488" i="1"/>
  <c r="H1488" i="1" s="1"/>
  <c r="G1489" i="1"/>
  <c r="G1490" i="1"/>
  <c r="G1491" i="1"/>
  <c r="G1492" i="1"/>
  <c r="H1492" i="1" s="1"/>
  <c r="G1493" i="1"/>
  <c r="G1494" i="1"/>
  <c r="G1495" i="1"/>
  <c r="G1496" i="1"/>
  <c r="H1496" i="1" s="1"/>
  <c r="G1497" i="1"/>
  <c r="G1498" i="1"/>
  <c r="G1499" i="1"/>
  <c r="G1500" i="1"/>
  <c r="H1500" i="1" s="1"/>
  <c r="G1501" i="1"/>
  <c r="G1502" i="1"/>
  <c r="G1503" i="1"/>
  <c r="G1504" i="1"/>
  <c r="H1504" i="1" s="1"/>
  <c r="G1505" i="1"/>
  <c r="G1506" i="1"/>
  <c r="G1507" i="1"/>
  <c r="G1508" i="1"/>
  <c r="H1508" i="1" s="1"/>
  <c r="G1509" i="1"/>
  <c r="G1510" i="1"/>
  <c r="G1511" i="1"/>
  <c r="G1512" i="1"/>
  <c r="H1512" i="1" s="1"/>
  <c r="G1513" i="1"/>
  <c r="G1514" i="1"/>
  <c r="G1515" i="1"/>
  <c r="G1516" i="1"/>
  <c r="H1516" i="1" s="1"/>
  <c r="G1517" i="1"/>
  <c r="G1518" i="1"/>
  <c r="G1519" i="1"/>
  <c r="G1520" i="1"/>
  <c r="H1520" i="1" s="1"/>
  <c r="G1521" i="1"/>
  <c r="G1522" i="1"/>
  <c r="G1523" i="1"/>
  <c r="G1524" i="1"/>
  <c r="H1524" i="1" s="1"/>
  <c r="G1525" i="1"/>
  <c r="G1526" i="1"/>
  <c r="G1527" i="1"/>
  <c r="G1528" i="1"/>
  <c r="H1528" i="1" s="1"/>
  <c r="G1529" i="1"/>
  <c r="G1530" i="1"/>
  <c r="G1531" i="1"/>
  <c r="G1532" i="1"/>
  <c r="H1532" i="1" s="1"/>
  <c r="G1533" i="1"/>
  <c r="G1534" i="1"/>
  <c r="G1535" i="1"/>
  <c r="G1536" i="1"/>
  <c r="H1536" i="1" s="1"/>
  <c r="G1537" i="1"/>
  <c r="G1538" i="1"/>
  <c r="G1539" i="1"/>
  <c r="G1540" i="1"/>
  <c r="H1540" i="1" s="1"/>
  <c r="G1541" i="1"/>
  <c r="G1542" i="1"/>
  <c r="G1543" i="1"/>
  <c r="G1544" i="1"/>
  <c r="H1544" i="1" s="1"/>
  <c r="G1545" i="1"/>
  <c r="G1546" i="1"/>
  <c r="G1547" i="1"/>
  <c r="G1548" i="1"/>
  <c r="H1548" i="1" s="1"/>
  <c r="G1549" i="1"/>
  <c r="G1550" i="1"/>
  <c r="G1551" i="1"/>
  <c r="G1552" i="1"/>
  <c r="H1552" i="1" s="1"/>
  <c r="G1553" i="1"/>
  <c r="G1554" i="1"/>
  <c r="G1555" i="1"/>
  <c r="G1556" i="1"/>
  <c r="H1556" i="1" s="1"/>
  <c r="G1557" i="1"/>
  <c r="G1558" i="1"/>
  <c r="G1559" i="1"/>
  <c r="G1560" i="1"/>
  <c r="H1560" i="1" s="1"/>
  <c r="G1561" i="1"/>
  <c r="G1562" i="1"/>
  <c r="G1563" i="1"/>
  <c r="G1564" i="1"/>
  <c r="H1564" i="1" s="1"/>
  <c r="G1565" i="1"/>
  <c r="G1566" i="1"/>
  <c r="G1567" i="1"/>
  <c r="G1568" i="1"/>
  <c r="H1568" i="1" s="1"/>
  <c r="G1569" i="1"/>
  <c r="G1570" i="1"/>
  <c r="G1571" i="1"/>
  <c r="G1572" i="1"/>
  <c r="H1572" i="1" s="1"/>
  <c r="G1573" i="1"/>
  <c r="G1574" i="1"/>
  <c r="G1575" i="1"/>
  <c r="G1576" i="1"/>
  <c r="H1576" i="1" s="1"/>
  <c r="G1577" i="1"/>
  <c r="G1578" i="1"/>
  <c r="G1579" i="1"/>
  <c r="G1580" i="1"/>
  <c r="H1580" i="1" s="1"/>
  <c r="G1581" i="1"/>
  <c r="G1582" i="1"/>
  <c r="G1583" i="1"/>
  <c r="G1584" i="1"/>
  <c r="H1584" i="1" s="1"/>
  <c r="G1585" i="1"/>
  <c r="G1586" i="1"/>
  <c r="G1587" i="1"/>
  <c r="G1588" i="1"/>
  <c r="H1588" i="1" s="1"/>
  <c r="G1589" i="1"/>
  <c r="G1590" i="1"/>
  <c r="G1591" i="1"/>
  <c r="G1592" i="1"/>
  <c r="H1592" i="1" s="1"/>
  <c r="G1593" i="1"/>
  <c r="G1594" i="1"/>
  <c r="G1595" i="1"/>
  <c r="G1596" i="1"/>
  <c r="H1596" i="1" s="1"/>
  <c r="G1597" i="1"/>
  <c r="G1598" i="1"/>
  <c r="G1599" i="1"/>
  <c r="G1600" i="1"/>
  <c r="H1600" i="1" s="1"/>
  <c r="G1601" i="1"/>
  <c r="G1602" i="1"/>
  <c r="G1603" i="1"/>
  <c r="G1604" i="1"/>
  <c r="H1604" i="1" s="1"/>
  <c r="G1605" i="1"/>
  <c r="G1606" i="1"/>
  <c r="G1607" i="1"/>
  <c r="G1608" i="1"/>
  <c r="H1608" i="1" s="1"/>
  <c r="G1609" i="1"/>
  <c r="G1610" i="1"/>
  <c r="G1611" i="1"/>
  <c r="G1612" i="1"/>
  <c r="H1612" i="1" s="1"/>
  <c r="G1613" i="1"/>
  <c r="G1614" i="1"/>
  <c r="G1615" i="1"/>
  <c r="G1616" i="1"/>
  <c r="H1616" i="1" s="1"/>
  <c r="G1617" i="1"/>
  <c r="G1618" i="1"/>
  <c r="G1619" i="1"/>
  <c r="G1620" i="1"/>
  <c r="H1620" i="1" s="1"/>
  <c r="G1621" i="1"/>
  <c r="G1622" i="1"/>
  <c r="G1623" i="1"/>
  <c r="G1624" i="1"/>
  <c r="H1624" i="1" s="1"/>
  <c r="G1625" i="1"/>
  <c r="G1626" i="1"/>
  <c r="G1627" i="1"/>
  <c r="G1628" i="1"/>
  <c r="H1628" i="1" s="1"/>
  <c r="G1629" i="1"/>
  <c r="G1630" i="1"/>
  <c r="G1631" i="1"/>
  <c r="G1632" i="1"/>
  <c r="H1632" i="1" s="1"/>
  <c r="G1633" i="1"/>
  <c r="G1634" i="1"/>
  <c r="G1635" i="1"/>
  <c r="G1636" i="1"/>
  <c r="H1636" i="1" s="1"/>
  <c r="G1637" i="1"/>
  <c r="G1638" i="1"/>
  <c r="G1639" i="1"/>
  <c r="G1640" i="1"/>
  <c r="H1640" i="1" s="1"/>
  <c r="G1641" i="1"/>
  <c r="G1642" i="1"/>
  <c r="G1643" i="1"/>
  <c r="G1644" i="1"/>
  <c r="H1644" i="1" s="1"/>
  <c r="G1645" i="1"/>
  <c r="G1646" i="1"/>
  <c r="G1647" i="1"/>
  <c r="G1648" i="1"/>
  <c r="H1648" i="1" s="1"/>
  <c r="G1649" i="1"/>
  <c r="G1650" i="1"/>
  <c r="G1651" i="1"/>
  <c r="G1652" i="1"/>
  <c r="H1652" i="1" s="1"/>
  <c r="G1653" i="1"/>
  <c r="G1654" i="1"/>
  <c r="G1655" i="1"/>
  <c r="G1656" i="1"/>
  <c r="H1656" i="1" s="1"/>
  <c r="G1657" i="1"/>
  <c r="G1658" i="1"/>
  <c r="G1659" i="1"/>
  <c r="G1660" i="1"/>
  <c r="H1660" i="1" s="1"/>
  <c r="G1661" i="1"/>
  <c r="G1662" i="1"/>
  <c r="G1663" i="1"/>
  <c r="G1664" i="1"/>
  <c r="H1664" i="1" s="1"/>
  <c r="G1665" i="1"/>
  <c r="G1666" i="1"/>
  <c r="G1667" i="1"/>
  <c r="G1668" i="1"/>
  <c r="H1668" i="1" s="1"/>
  <c r="G1669" i="1"/>
  <c r="G1670" i="1"/>
  <c r="G1671" i="1"/>
  <c r="G1672" i="1"/>
  <c r="H1672" i="1" s="1"/>
  <c r="G1673" i="1"/>
  <c r="G1674" i="1"/>
  <c r="G1675" i="1"/>
  <c r="G1676" i="1"/>
  <c r="H1676" i="1" s="1"/>
  <c r="G1677" i="1"/>
  <c r="G1678" i="1"/>
  <c r="G1679" i="1"/>
  <c r="G1680" i="1"/>
  <c r="H1680" i="1" s="1"/>
  <c r="G1681" i="1"/>
  <c r="G1682" i="1"/>
  <c r="G1683" i="1"/>
  <c r="G1684" i="1"/>
  <c r="H1684" i="1" s="1"/>
  <c r="G1685" i="1"/>
  <c r="G1686" i="1"/>
  <c r="G1687" i="1"/>
  <c r="G1688" i="1"/>
  <c r="H1688" i="1" s="1"/>
  <c r="G1689" i="1"/>
  <c r="G1690" i="1"/>
  <c r="G1691" i="1"/>
  <c r="G1692" i="1"/>
  <c r="H1692" i="1" s="1"/>
  <c r="G1693" i="1"/>
  <c r="G1694" i="1"/>
  <c r="G1695" i="1"/>
  <c r="G1696" i="1"/>
  <c r="H1696" i="1" s="1"/>
  <c r="G1697" i="1"/>
  <c r="G1698" i="1"/>
  <c r="G1699" i="1"/>
  <c r="G1700" i="1"/>
  <c r="H1700" i="1" s="1"/>
  <c r="G1701" i="1"/>
  <c r="G1702" i="1"/>
  <c r="G1703" i="1"/>
  <c r="G1704" i="1"/>
  <c r="H1704" i="1" s="1"/>
  <c r="G1705" i="1"/>
  <c r="G1706" i="1"/>
  <c r="G1707" i="1"/>
  <c r="G1708" i="1"/>
  <c r="H1708" i="1" s="1"/>
  <c r="G1709" i="1"/>
  <c r="G1710" i="1"/>
  <c r="G1711" i="1"/>
  <c r="G1712" i="1"/>
  <c r="H1712" i="1" s="1"/>
  <c r="G1713" i="1"/>
  <c r="G1714" i="1"/>
  <c r="G1715" i="1"/>
  <c r="G1716" i="1"/>
  <c r="H1716" i="1" s="1"/>
  <c r="G1717" i="1"/>
  <c r="G1718" i="1"/>
  <c r="G1719" i="1"/>
  <c r="G1720" i="1"/>
  <c r="H1720" i="1" s="1"/>
  <c r="G1721" i="1"/>
  <c r="G1722" i="1"/>
  <c r="G1723" i="1"/>
  <c r="G1724" i="1"/>
  <c r="H1724" i="1" s="1"/>
  <c r="G1725" i="1"/>
  <c r="G1726" i="1"/>
  <c r="G1727" i="1"/>
  <c r="G1728" i="1"/>
  <c r="H1728" i="1" s="1"/>
  <c r="G1729" i="1"/>
  <c r="G1730" i="1"/>
  <c r="G1731" i="1"/>
  <c r="G1732" i="1"/>
  <c r="H1732" i="1" s="1"/>
  <c r="G1733" i="1"/>
  <c r="G1734" i="1"/>
  <c r="G1735" i="1"/>
  <c r="G1736" i="1"/>
  <c r="H1736" i="1" s="1"/>
  <c r="G1737" i="1"/>
  <c r="G1738" i="1"/>
  <c r="G1739" i="1"/>
  <c r="G1740" i="1"/>
  <c r="H1740" i="1" s="1"/>
  <c r="G1741" i="1"/>
  <c r="G1742" i="1"/>
  <c r="G1743" i="1"/>
  <c r="G1744" i="1"/>
  <c r="H1744" i="1" s="1"/>
  <c r="G1745" i="1"/>
  <c r="G1746" i="1"/>
  <c r="G1747" i="1"/>
  <c r="G1748" i="1"/>
  <c r="H1748" i="1" s="1"/>
  <c r="G1749" i="1"/>
  <c r="G1750" i="1"/>
  <c r="G1751" i="1"/>
  <c r="G1752" i="1"/>
  <c r="H1752" i="1" s="1"/>
  <c r="G1753" i="1"/>
  <c r="G1754" i="1"/>
  <c r="G1755" i="1"/>
  <c r="G1756" i="1"/>
  <c r="H1756" i="1" s="1"/>
  <c r="G1757" i="1"/>
  <c r="G1758" i="1"/>
  <c r="G1759" i="1"/>
  <c r="G1760" i="1"/>
  <c r="H1760" i="1" s="1"/>
  <c r="G1761" i="1"/>
  <c r="G1762" i="1"/>
  <c r="G1763" i="1"/>
  <c r="G1764" i="1"/>
  <c r="H1764" i="1" s="1"/>
  <c r="G1765" i="1"/>
  <c r="G1766" i="1"/>
  <c r="G1767" i="1"/>
  <c r="G1768" i="1"/>
  <c r="H1768" i="1" s="1"/>
  <c r="H1251" i="1"/>
  <c r="H1258" i="1"/>
  <c r="H1269" i="1"/>
  <c r="H1439" i="1"/>
  <c r="H1441" i="1"/>
  <c r="H1442" i="1"/>
  <c r="H1443" i="1"/>
  <c r="H1445" i="1"/>
  <c r="H1446" i="1"/>
  <c r="H1447" i="1"/>
  <c r="H1449" i="1"/>
  <c r="H1450" i="1"/>
  <c r="H1451" i="1"/>
  <c r="H1453" i="1"/>
  <c r="H1454" i="1"/>
  <c r="H1455" i="1"/>
  <c r="H1457" i="1"/>
  <c r="H1458" i="1"/>
  <c r="H1459" i="1"/>
  <c r="H1461" i="1"/>
  <c r="H1462" i="1"/>
  <c r="H1463" i="1"/>
  <c r="H1465" i="1"/>
  <c r="H1466" i="1"/>
  <c r="H1467" i="1"/>
  <c r="H1469" i="1"/>
  <c r="H1470" i="1"/>
  <c r="H1471" i="1"/>
  <c r="H1473" i="1"/>
  <c r="H1474" i="1"/>
  <c r="H1475" i="1"/>
  <c r="H1477" i="1"/>
  <c r="H1478" i="1"/>
  <c r="H1479" i="1"/>
  <c r="H1481" i="1"/>
  <c r="H1482" i="1"/>
  <c r="H1483" i="1"/>
  <c r="H1485" i="1"/>
  <c r="H1486" i="1"/>
  <c r="H1487" i="1"/>
  <c r="H1489" i="1"/>
  <c r="H1490" i="1"/>
  <c r="H1491" i="1"/>
  <c r="H1493" i="1"/>
  <c r="H1494" i="1"/>
  <c r="H1495" i="1"/>
  <c r="H1497" i="1"/>
  <c r="H1498" i="1"/>
  <c r="H1499" i="1"/>
  <c r="H1501" i="1"/>
  <c r="H1502" i="1"/>
  <c r="H1503" i="1"/>
  <c r="H1505" i="1"/>
  <c r="H1506" i="1"/>
  <c r="H1507" i="1"/>
  <c r="H1509" i="1"/>
  <c r="H1510" i="1"/>
  <c r="H1511" i="1"/>
  <c r="H1513" i="1"/>
  <c r="H1514" i="1"/>
  <c r="H1515" i="1"/>
  <c r="H1517" i="1"/>
  <c r="H1518" i="1"/>
  <c r="H1519" i="1"/>
  <c r="H1521" i="1"/>
  <c r="H1522" i="1"/>
  <c r="H1523" i="1"/>
  <c r="H1525" i="1"/>
  <c r="H1526" i="1"/>
  <c r="H1527" i="1"/>
  <c r="H1529" i="1"/>
  <c r="H1530" i="1"/>
  <c r="H1531" i="1"/>
  <c r="H1533" i="1"/>
  <c r="H1534" i="1"/>
  <c r="H1535" i="1"/>
  <c r="H1537" i="1"/>
  <c r="H1538" i="1"/>
  <c r="H1539" i="1"/>
  <c r="H1541" i="1"/>
  <c r="H1542" i="1"/>
  <c r="H1543" i="1"/>
  <c r="H1545" i="1"/>
  <c r="H1546" i="1"/>
  <c r="H1547" i="1"/>
  <c r="H1549" i="1"/>
  <c r="H1550" i="1"/>
  <c r="H1551" i="1"/>
  <c r="H1553" i="1"/>
  <c r="H1554" i="1"/>
  <c r="H1555" i="1"/>
  <c r="H1557" i="1"/>
  <c r="H1558" i="1"/>
  <c r="H1559" i="1"/>
  <c r="H1561" i="1"/>
  <c r="H1562" i="1"/>
  <c r="H1563" i="1"/>
  <c r="H1565" i="1"/>
  <c r="H1566" i="1"/>
  <c r="H1567" i="1"/>
  <c r="H1569" i="1"/>
  <c r="H1570" i="1"/>
  <c r="H1571" i="1"/>
  <c r="H1573" i="1"/>
  <c r="H1574" i="1"/>
  <c r="H1575" i="1"/>
  <c r="H1577" i="1"/>
  <c r="H1578" i="1"/>
  <c r="H1579" i="1"/>
  <c r="H1581" i="1"/>
  <c r="H1582" i="1"/>
  <c r="H1583" i="1"/>
  <c r="H1585" i="1"/>
  <c r="H1586" i="1"/>
  <c r="H1587" i="1"/>
  <c r="H1589" i="1"/>
  <c r="H1590" i="1"/>
  <c r="H1591" i="1"/>
  <c r="H1593" i="1"/>
  <c r="H1594" i="1"/>
  <c r="H1595" i="1"/>
  <c r="H1597" i="1"/>
  <c r="H1598" i="1"/>
  <c r="H1599" i="1"/>
  <c r="H1601" i="1"/>
  <c r="H1602" i="1"/>
  <c r="H1603" i="1"/>
  <c r="H1605" i="1"/>
  <c r="H1606" i="1"/>
  <c r="H1607" i="1"/>
  <c r="H1609" i="1"/>
  <c r="H1610" i="1"/>
  <c r="H1611" i="1"/>
  <c r="H1613" i="1"/>
  <c r="H1614" i="1"/>
  <c r="H1615" i="1"/>
  <c r="H1617" i="1"/>
  <c r="H1618" i="1"/>
  <c r="H1619" i="1"/>
  <c r="H1621" i="1"/>
  <c r="H1622" i="1"/>
  <c r="H1623" i="1"/>
  <c r="H1625" i="1"/>
  <c r="H1626" i="1"/>
  <c r="H1627" i="1"/>
  <c r="H1629" i="1"/>
  <c r="H1630" i="1"/>
  <c r="H1631" i="1"/>
  <c r="H1633" i="1"/>
  <c r="H1634" i="1"/>
  <c r="H1635" i="1"/>
  <c r="H1637" i="1"/>
  <c r="H1638" i="1"/>
  <c r="H1639" i="1"/>
  <c r="H1641" i="1"/>
  <c r="H1642" i="1"/>
  <c r="H1643" i="1"/>
  <c r="H1645" i="1"/>
  <c r="H1646" i="1"/>
  <c r="H1647" i="1"/>
  <c r="H1649" i="1"/>
  <c r="H1650" i="1"/>
  <c r="H1651" i="1"/>
  <c r="H1653" i="1"/>
  <c r="H1654" i="1"/>
  <c r="H1655" i="1"/>
  <c r="H1657" i="1"/>
  <c r="H1658" i="1"/>
  <c r="H1659" i="1"/>
  <c r="H1661" i="1"/>
  <c r="H1662" i="1"/>
  <c r="H1663" i="1"/>
  <c r="H1665" i="1"/>
  <c r="H1666" i="1"/>
  <c r="H1667" i="1"/>
  <c r="H1669" i="1"/>
  <c r="H1670" i="1"/>
  <c r="H1671" i="1"/>
  <c r="H1673" i="1"/>
  <c r="H1674" i="1"/>
  <c r="H1675" i="1"/>
  <c r="H1677" i="1"/>
  <c r="H1678" i="1"/>
  <c r="H1679" i="1"/>
  <c r="H1681" i="1"/>
  <c r="H1682" i="1"/>
  <c r="H1683" i="1"/>
  <c r="H1685" i="1"/>
  <c r="H1686" i="1"/>
  <c r="H1687" i="1"/>
  <c r="H1689" i="1"/>
  <c r="H1690" i="1"/>
  <c r="H1691" i="1"/>
  <c r="H1693" i="1"/>
  <c r="H1694" i="1"/>
  <c r="H1695" i="1"/>
  <c r="H1697" i="1"/>
  <c r="H1698" i="1"/>
  <c r="H1699" i="1"/>
  <c r="H1701" i="1"/>
  <c r="H1702" i="1"/>
  <c r="H1703" i="1"/>
  <c r="H1705" i="1"/>
  <c r="H1706" i="1"/>
  <c r="H1707" i="1"/>
  <c r="H1709" i="1"/>
  <c r="H1710" i="1"/>
  <c r="H1711" i="1"/>
  <c r="H1713" i="1"/>
  <c r="H1714" i="1"/>
  <c r="H1715" i="1"/>
  <c r="H1717" i="1"/>
  <c r="H1718" i="1"/>
  <c r="H1719" i="1"/>
  <c r="H1721" i="1"/>
  <c r="H1722" i="1"/>
  <c r="H1723" i="1"/>
  <c r="H1725" i="1"/>
  <c r="H1726" i="1"/>
  <c r="H1727" i="1"/>
  <c r="H1729" i="1"/>
  <c r="H1730" i="1"/>
  <c r="H1731" i="1"/>
  <c r="H1733" i="1"/>
  <c r="H1734" i="1"/>
  <c r="H1735" i="1"/>
  <c r="H1737" i="1"/>
  <c r="H1738" i="1"/>
  <c r="H1739" i="1"/>
  <c r="H1741" i="1"/>
  <c r="H1742" i="1"/>
  <c r="H1743" i="1"/>
  <c r="H1745" i="1"/>
  <c r="H1746" i="1"/>
  <c r="H1747" i="1"/>
  <c r="H1749" i="1"/>
  <c r="H1750" i="1"/>
  <c r="H1751" i="1"/>
  <c r="H1753" i="1"/>
  <c r="H1754" i="1"/>
  <c r="H1755" i="1"/>
  <c r="H1757" i="1"/>
  <c r="H1758" i="1"/>
  <c r="H1759" i="1"/>
  <c r="H1761" i="1"/>
  <c r="H1762" i="1"/>
  <c r="H1763" i="1"/>
  <c r="H1765" i="1"/>
  <c r="H1766" i="1"/>
  <c r="H1767" i="1"/>
  <c r="H1250" i="1"/>
  <c r="E1254" i="1"/>
  <c r="G1254" i="1" s="1"/>
  <c r="H1254" i="1" s="1"/>
  <c r="E1255" i="1"/>
  <c r="G1255" i="1" s="1"/>
  <c r="H1255" i="1" s="1"/>
  <c r="E1256" i="1"/>
  <c r="G1256" i="1" s="1"/>
  <c r="H1256" i="1" s="1"/>
  <c r="E1257" i="1"/>
  <c r="G1257" i="1" s="1"/>
  <c r="H1257" i="1" s="1"/>
  <c r="E1258" i="1"/>
  <c r="E1259" i="1"/>
  <c r="E1260" i="1"/>
  <c r="G1260" i="1" s="1"/>
  <c r="H1260" i="1" s="1"/>
  <c r="E1261" i="1"/>
  <c r="G1261" i="1" s="1"/>
  <c r="H1261" i="1" s="1"/>
  <c r="E1262" i="1"/>
  <c r="G1262" i="1" s="1"/>
  <c r="H1262" i="1" s="1"/>
  <c r="E1263" i="1"/>
  <c r="G1263" i="1" s="1"/>
  <c r="H1263" i="1" s="1"/>
  <c r="E1264" i="1"/>
  <c r="G1264" i="1" s="1"/>
  <c r="H1264" i="1" s="1"/>
  <c r="E1265" i="1"/>
  <c r="G1265" i="1" s="1"/>
  <c r="H1265" i="1" s="1"/>
  <c r="E1266" i="1"/>
  <c r="G1266" i="1" s="1"/>
  <c r="E1267" i="1"/>
  <c r="G1267" i="1" s="1"/>
  <c r="G1268" i="1"/>
  <c r="E1269" i="1"/>
  <c r="E1270" i="1"/>
  <c r="G1270" i="1" s="1"/>
  <c r="H1270" i="1" s="1"/>
  <c r="E1271" i="1"/>
  <c r="G1271" i="1" s="1"/>
  <c r="H1271" i="1" s="1"/>
  <c r="E1272" i="1"/>
  <c r="G1272" i="1" s="1"/>
  <c r="H1272" i="1" s="1"/>
  <c r="E1273" i="1"/>
  <c r="G1273" i="1" s="1"/>
  <c r="H1273" i="1" s="1"/>
  <c r="E1274" i="1"/>
  <c r="G1274" i="1" s="1"/>
  <c r="H1274" i="1" s="1"/>
  <c r="E1275" i="1"/>
  <c r="G1275" i="1" s="1"/>
  <c r="H1275" i="1" s="1"/>
  <c r="E1276" i="1"/>
  <c r="G1276" i="1" s="1"/>
  <c r="H1276" i="1" s="1"/>
  <c r="E1277" i="1"/>
  <c r="G1277" i="1" s="1"/>
  <c r="H1277" i="1" s="1"/>
  <c r="E1278" i="1"/>
  <c r="G1278" i="1" s="1"/>
  <c r="H1278" i="1" s="1"/>
  <c r="E1279" i="1"/>
  <c r="G1279" i="1" s="1"/>
  <c r="H1279" i="1" s="1"/>
  <c r="E1280" i="1"/>
  <c r="G1280" i="1" s="1"/>
  <c r="H1280" i="1" s="1"/>
  <c r="E1281" i="1"/>
  <c r="G1281" i="1" s="1"/>
  <c r="H1281" i="1" s="1"/>
  <c r="E1282" i="1"/>
  <c r="G1282" i="1" s="1"/>
  <c r="H1282" i="1" s="1"/>
  <c r="E1283" i="1"/>
  <c r="G1283" i="1" s="1"/>
  <c r="H1283" i="1" s="1"/>
  <c r="E1284" i="1"/>
  <c r="G1284" i="1" s="1"/>
  <c r="H1284" i="1" s="1"/>
  <c r="E1285" i="1"/>
  <c r="G1285" i="1" s="1"/>
  <c r="H1285" i="1" s="1"/>
  <c r="E1286" i="1"/>
  <c r="G1286" i="1" s="1"/>
  <c r="H1286" i="1" s="1"/>
  <c r="E1287" i="1"/>
  <c r="G1287" i="1" s="1"/>
  <c r="H1287" i="1" s="1"/>
  <c r="E1288" i="1"/>
  <c r="G1288" i="1" s="1"/>
  <c r="H1288" i="1" s="1"/>
  <c r="E1289" i="1"/>
  <c r="G1289" i="1" s="1"/>
  <c r="H1289" i="1" s="1"/>
  <c r="E1290" i="1"/>
  <c r="G1290" i="1" s="1"/>
  <c r="H1290" i="1" s="1"/>
  <c r="E1291" i="1"/>
  <c r="G1291" i="1" s="1"/>
  <c r="H1291" i="1" s="1"/>
  <c r="E1292" i="1"/>
  <c r="G1292" i="1" s="1"/>
  <c r="H1292" i="1" s="1"/>
  <c r="E1293" i="1"/>
  <c r="G1293" i="1" s="1"/>
  <c r="H1293" i="1" s="1"/>
  <c r="E1294" i="1"/>
  <c r="G1294" i="1" s="1"/>
  <c r="H1294" i="1" s="1"/>
  <c r="E1295" i="1"/>
  <c r="G1295" i="1" s="1"/>
  <c r="H1295" i="1" s="1"/>
  <c r="E1296" i="1"/>
  <c r="G1296" i="1" s="1"/>
  <c r="H1296" i="1" s="1"/>
  <c r="E1297" i="1"/>
  <c r="G1297" i="1" s="1"/>
  <c r="H1297" i="1" s="1"/>
  <c r="E1298" i="1"/>
  <c r="G1298" i="1" s="1"/>
  <c r="H1298" i="1" s="1"/>
  <c r="E1299" i="1"/>
  <c r="G1299" i="1" s="1"/>
  <c r="H1299" i="1" s="1"/>
  <c r="E1300" i="1"/>
  <c r="G1300" i="1" s="1"/>
  <c r="H1300" i="1" s="1"/>
  <c r="E1301" i="1"/>
  <c r="G1301" i="1" s="1"/>
  <c r="H1301" i="1" s="1"/>
  <c r="E1302" i="1"/>
  <c r="G1302" i="1" s="1"/>
  <c r="H1302" i="1" s="1"/>
  <c r="E1303" i="1"/>
  <c r="G1303" i="1" s="1"/>
  <c r="H1303" i="1" s="1"/>
  <c r="E1304" i="1"/>
  <c r="G1304" i="1" s="1"/>
  <c r="H1304" i="1" s="1"/>
  <c r="E1305" i="1"/>
  <c r="G1305" i="1" s="1"/>
  <c r="H1305" i="1" s="1"/>
  <c r="E1306" i="1"/>
  <c r="G1306" i="1" s="1"/>
  <c r="H1306" i="1" s="1"/>
  <c r="E1307" i="1"/>
  <c r="G1307" i="1" s="1"/>
  <c r="H1307" i="1" s="1"/>
  <c r="E1308" i="1"/>
  <c r="G1308" i="1" s="1"/>
  <c r="H1308" i="1" s="1"/>
  <c r="E1309" i="1"/>
  <c r="G1309" i="1" s="1"/>
  <c r="H1309" i="1" s="1"/>
  <c r="E1310" i="1"/>
  <c r="G1310" i="1" s="1"/>
  <c r="H1310" i="1" s="1"/>
  <c r="E1311" i="1"/>
  <c r="G1311" i="1" s="1"/>
  <c r="H1311" i="1" s="1"/>
  <c r="E1312" i="1"/>
  <c r="G1312" i="1" s="1"/>
  <c r="H1312" i="1" s="1"/>
  <c r="E1313" i="1"/>
  <c r="G1313" i="1" s="1"/>
  <c r="H1313" i="1" s="1"/>
  <c r="E1314" i="1"/>
  <c r="G1314" i="1" s="1"/>
  <c r="H1314" i="1" s="1"/>
  <c r="E1315" i="1"/>
  <c r="G1315" i="1" s="1"/>
  <c r="H1315" i="1" s="1"/>
  <c r="E1316" i="1"/>
  <c r="G1316" i="1" s="1"/>
  <c r="H1316" i="1" s="1"/>
  <c r="E1317" i="1"/>
  <c r="G1317" i="1" s="1"/>
  <c r="H1317" i="1" s="1"/>
  <c r="E1318" i="1"/>
  <c r="G1318" i="1" s="1"/>
  <c r="H1318" i="1" s="1"/>
  <c r="E1319" i="1"/>
  <c r="G1319" i="1" s="1"/>
  <c r="H1319" i="1" s="1"/>
  <c r="E1320" i="1"/>
  <c r="G1320" i="1" s="1"/>
  <c r="H1320" i="1" s="1"/>
  <c r="E1321" i="1"/>
  <c r="G1321" i="1" s="1"/>
  <c r="H1321" i="1" s="1"/>
  <c r="E1322" i="1"/>
  <c r="G1322" i="1" s="1"/>
  <c r="H1322" i="1" s="1"/>
  <c r="E1323" i="1"/>
  <c r="G1323" i="1" s="1"/>
  <c r="H1323" i="1" s="1"/>
  <c r="E1324" i="1"/>
  <c r="G1324" i="1" s="1"/>
  <c r="H1324" i="1" s="1"/>
  <c r="E1325" i="1"/>
  <c r="G1325" i="1" s="1"/>
  <c r="H1325" i="1" s="1"/>
  <c r="E1326" i="1"/>
  <c r="G1326" i="1" s="1"/>
  <c r="H1326" i="1" s="1"/>
  <c r="E1327" i="1"/>
  <c r="G1327" i="1" s="1"/>
  <c r="H1327" i="1" s="1"/>
  <c r="E1328" i="1"/>
  <c r="G1328" i="1" s="1"/>
  <c r="H1328" i="1" s="1"/>
  <c r="E1329" i="1"/>
  <c r="G1329" i="1" s="1"/>
  <c r="H1329" i="1" s="1"/>
  <c r="E1330" i="1"/>
  <c r="G1330" i="1" s="1"/>
  <c r="H1330" i="1" s="1"/>
  <c r="E1331" i="1"/>
  <c r="G1331" i="1" s="1"/>
  <c r="H1331" i="1" s="1"/>
  <c r="E1332" i="1"/>
  <c r="G1332" i="1" s="1"/>
  <c r="H1332" i="1" s="1"/>
  <c r="E1333" i="1"/>
  <c r="G1333" i="1" s="1"/>
  <c r="H1333" i="1" s="1"/>
  <c r="E1334" i="1"/>
  <c r="G1334" i="1" s="1"/>
  <c r="H1334" i="1" s="1"/>
  <c r="E1335" i="1"/>
  <c r="G1335" i="1" s="1"/>
  <c r="H1335" i="1" s="1"/>
  <c r="E1336" i="1"/>
  <c r="G1336" i="1" s="1"/>
  <c r="H1336" i="1" s="1"/>
  <c r="E1337" i="1"/>
  <c r="G1337" i="1" s="1"/>
  <c r="H1337" i="1" s="1"/>
  <c r="E1338" i="1"/>
  <c r="G1338" i="1" s="1"/>
  <c r="H1338" i="1" s="1"/>
  <c r="E1339" i="1"/>
  <c r="G1339" i="1" s="1"/>
  <c r="H1339" i="1" s="1"/>
  <c r="E1340" i="1"/>
  <c r="G1340" i="1" s="1"/>
  <c r="H1340" i="1" s="1"/>
  <c r="E1341" i="1"/>
  <c r="G1341" i="1" s="1"/>
  <c r="H1341" i="1" s="1"/>
  <c r="E1342" i="1"/>
  <c r="G1342" i="1" s="1"/>
  <c r="H1342" i="1" s="1"/>
  <c r="E1343" i="1"/>
  <c r="G1343" i="1" s="1"/>
  <c r="H1343" i="1" s="1"/>
  <c r="E1344" i="1"/>
  <c r="G1344" i="1" s="1"/>
  <c r="H1344" i="1" s="1"/>
  <c r="E1345" i="1"/>
  <c r="G1345" i="1" s="1"/>
  <c r="H1345" i="1" s="1"/>
  <c r="E1346" i="1"/>
  <c r="G1346" i="1" s="1"/>
  <c r="H1346" i="1" s="1"/>
  <c r="E1347" i="1"/>
  <c r="G1347" i="1" s="1"/>
  <c r="H1347" i="1" s="1"/>
  <c r="E1348" i="1"/>
  <c r="G1348" i="1" s="1"/>
  <c r="H1348" i="1" s="1"/>
  <c r="E1349" i="1"/>
  <c r="G1349" i="1" s="1"/>
  <c r="H1349" i="1" s="1"/>
  <c r="E1350" i="1"/>
  <c r="G1350" i="1" s="1"/>
  <c r="H1350" i="1" s="1"/>
  <c r="E1351" i="1"/>
  <c r="G1351" i="1" s="1"/>
  <c r="H1351" i="1" s="1"/>
  <c r="E1352" i="1"/>
  <c r="G1352" i="1" s="1"/>
  <c r="H1352" i="1" s="1"/>
  <c r="E1353" i="1"/>
  <c r="G1353" i="1" s="1"/>
  <c r="H1353" i="1" s="1"/>
  <c r="E1354" i="1"/>
  <c r="G1354" i="1" s="1"/>
  <c r="H1354" i="1" s="1"/>
  <c r="E1355" i="1"/>
  <c r="G1355" i="1" s="1"/>
  <c r="H1355" i="1" s="1"/>
  <c r="E1356" i="1"/>
  <c r="G1356" i="1" s="1"/>
  <c r="H1356" i="1" s="1"/>
  <c r="E1357" i="1"/>
  <c r="G1357" i="1" s="1"/>
  <c r="H1357" i="1" s="1"/>
  <c r="E1358" i="1"/>
  <c r="G1358" i="1" s="1"/>
  <c r="H1358" i="1" s="1"/>
  <c r="E1359" i="1"/>
  <c r="G1359" i="1" s="1"/>
  <c r="H1359" i="1" s="1"/>
  <c r="E1360" i="1"/>
  <c r="G1360" i="1" s="1"/>
  <c r="H1360" i="1" s="1"/>
  <c r="E1361" i="1"/>
  <c r="G1361" i="1" s="1"/>
  <c r="H1361" i="1" s="1"/>
  <c r="E1362" i="1"/>
  <c r="G1362" i="1" s="1"/>
  <c r="H1362" i="1" s="1"/>
  <c r="E1363" i="1"/>
  <c r="G1363" i="1" s="1"/>
  <c r="H1363" i="1" s="1"/>
  <c r="E1364" i="1"/>
  <c r="G1364" i="1" s="1"/>
  <c r="H1364" i="1" s="1"/>
  <c r="E1365" i="1"/>
  <c r="G1365" i="1" s="1"/>
  <c r="H1365" i="1" s="1"/>
  <c r="E1366" i="1"/>
  <c r="G1366" i="1" s="1"/>
  <c r="H1366" i="1" s="1"/>
  <c r="E1367" i="1"/>
  <c r="G1367" i="1" s="1"/>
  <c r="H1367" i="1" s="1"/>
  <c r="E1368" i="1"/>
  <c r="G1368" i="1" s="1"/>
  <c r="H1368" i="1" s="1"/>
  <c r="E1369" i="1"/>
  <c r="G1369" i="1" s="1"/>
  <c r="H1369" i="1" s="1"/>
  <c r="E1370" i="1"/>
  <c r="G1370" i="1" s="1"/>
  <c r="H1370" i="1" s="1"/>
  <c r="E1371" i="1"/>
  <c r="G1371" i="1" s="1"/>
  <c r="H1371" i="1" s="1"/>
  <c r="E1372" i="1"/>
  <c r="G1372" i="1" s="1"/>
  <c r="H1372" i="1" s="1"/>
  <c r="E1373" i="1"/>
  <c r="G1373" i="1" s="1"/>
  <c r="H1373" i="1" s="1"/>
  <c r="E1374" i="1"/>
  <c r="G1374" i="1" s="1"/>
  <c r="H1374" i="1" s="1"/>
  <c r="E1375" i="1"/>
  <c r="G1375" i="1" s="1"/>
  <c r="H1375" i="1" s="1"/>
  <c r="E1376" i="1"/>
  <c r="G1376" i="1" s="1"/>
  <c r="H1376" i="1" s="1"/>
  <c r="E1377" i="1"/>
  <c r="G1377" i="1" s="1"/>
  <c r="H1377" i="1" s="1"/>
  <c r="E1378" i="1"/>
  <c r="G1378" i="1" s="1"/>
  <c r="H1378" i="1" s="1"/>
  <c r="E1379" i="1"/>
  <c r="G1379" i="1" s="1"/>
  <c r="H1379" i="1" s="1"/>
  <c r="E1380" i="1"/>
  <c r="G1380" i="1" s="1"/>
  <c r="H1380" i="1" s="1"/>
  <c r="E1381" i="1"/>
  <c r="G1381" i="1" s="1"/>
  <c r="H1381" i="1" s="1"/>
  <c r="E1382" i="1"/>
  <c r="G1382" i="1" s="1"/>
  <c r="H1382" i="1" s="1"/>
  <c r="E1383" i="1"/>
  <c r="G1383" i="1" s="1"/>
  <c r="H1383" i="1" s="1"/>
  <c r="E1384" i="1"/>
  <c r="G1384" i="1" s="1"/>
  <c r="H1384" i="1" s="1"/>
  <c r="E1385" i="1"/>
  <c r="G1385" i="1" s="1"/>
  <c r="H1385" i="1" s="1"/>
  <c r="E1386" i="1"/>
  <c r="G1386" i="1" s="1"/>
  <c r="H1386" i="1" s="1"/>
  <c r="E1387" i="1"/>
  <c r="G1387" i="1" s="1"/>
  <c r="H1387" i="1" s="1"/>
  <c r="E1388" i="1"/>
  <c r="G1388" i="1" s="1"/>
  <c r="H1388" i="1" s="1"/>
  <c r="E1389" i="1"/>
  <c r="G1389" i="1" s="1"/>
  <c r="H1389" i="1" s="1"/>
  <c r="E1390" i="1"/>
  <c r="G1390" i="1" s="1"/>
  <c r="H1390" i="1" s="1"/>
  <c r="E1391" i="1"/>
  <c r="G1391" i="1" s="1"/>
  <c r="H1391" i="1" s="1"/>
  <c r="E1392" i="1"/>
  <c r="G1392" i="1" s="1"/>
  <c r="H1392" i="1" s="1"/>
  <c r="E1393" i="1"/>
  <c r="G1393" i="1" s="1"/>
  <c r="H1393" i="1" s="1"/>
  <c r="E1394" i="1"/>
  <c r="G1394" i="1" s="1"/>
  <c r="H1394" i="1" s="1"/>
  <c r="E1395" i="1"/>
  <c r="G1395" i="1" s="1"/>
  <c r="H1395" i="1" s="1"/>
  <c r="E1396" i="1"/>
  <c r="G1396" i="1" s="1"/>
  <c r="H1396" i="1" s="1"/>
  <c r="E1397" i="1"/>
  <c r="G1397" i="1" s="1"/>
  <c r="H1397" i="1" s="1"/>
  <c r="E1398" i="1"/>
  <c r="G1398" i="1" s="1"/>
  <c r="H1398" i="1" s="1"/>
  <c r="E1399" i="1"/>
  <c r="G1399" i="1" s="1"/>
  <c r="H1399" i="1" s="1"/>
  <c r="E1400" i="1"/>
  <c r="G1400" i="1" s="1"/>
  <c r="H1400" i="1" s="1"/>
  <c r="E1401" i="1"/>
  <c r="G1401" i="1" s="1"/>
  <c r="H1401" i="1" s="1"/>
  <c r="E1402" i="1"/>
  <c r="G1402" i="1" s="1"/>
  <c r="H1402" i="1" s="1"/>
  <c r="E1403" i="1"/>
  <c r="G1403" i="1" s="1"/>
  <c r="H1403" i="1" s="1"/>
  <c r="E1404" i="1"/>
  <c r="G1404" i="1" s="1"/>
  <c r="H1404" i="1" s="1"/>
  <c r="E1405" i="1"/>
  <c r="G1405" i="1" s="1"/>
  <c r="H1405" i="1" s="1"/>
  <c r="E1406" i="1"/>
  <c r="G1406" i="1" s="1"/>
  <c r="H1406" i="1" s="1"/>
  <c r="E1407" i="1"/>
  <c r="G1407" i="1" s="1"/>
  <c r="H1407" i="1" s="1"/>
  <c r="E1408" i="1"/>
  <c r="G1408" i="1" s="1"/>
  <c r="H1408" i="1" s="1"/>
  <c r="E1409" i="1"/>
  <c r="G1409" i="1" s="1"/>
  <c r="H1409" i="1" s="1"/>
  <c r="E1410" i="1"/>
  <c r="G1410" i="1" s="1"/>
  <c r="H1410" i="1" s="1"/>
  <c r="E1411" i="1"/>
  <c r="G1411" i="1" s="1"/>
  <c r="H1411" i="1" s="1"/>
  <c r="E1412" i="1"/>
  <c r="G1412" i="1" s="1"/>
  <c r="H1412" i="1" s="1"/>
  <c r="E1413" i="1"/>
  <c r="G1413" i="1" s="1"/>
  <c r="H1413" i="1" s="1"/>
  <c r="E1414" i="1"/>
  <c r="G1414" i="1" s="1"/>
  <c r="H1414" i="1" s="1"/>
  <c r="E1415" i="1"/>
  <c r="G1415" i="1" s="1"/>
  <c r="H1415" i="1" s="1"/>
  <c r="E1416" i="1"/>
  <c r="G1416" i="1" s="1"/>
  <c r="H1416" i="1" s="1"/>
  <c r="E1417" i="1"/>
  <c r="G1417" i="1" s="1"/>
  <c r="H1417" i="1" s="1"/>
  <c r="E1418" i="1"/>
  <c r="G1418" i="1" s="1"/>
  <c r="H1418" i="1" s="1"/>
  <c r="E1419" i="1"/>
  <c r="G1419" i="1" s="1"/>
  <c r="H1419" i="1" s="1"/>
  <c r="E1420" i="1"/>
  <c r="G1420" i="1" s="1"/>
  <c r="H1420" i="1" s="1"/>
  <c r="E1421" i="1"/>
  <c r="G1421" i="1" s="1"/>
  <c r="H1421" i="1" s="1"/>
  <c r="E1422" i="1"/>
  <c r="G1422" i="1" s="1"/>
  <c r="H1422" i="1" s="1"/>
  <c r="E1423" i="1"/>
  <c r="G1423" i="1" s="1"/>
  <c r="H1423" i="1" s="1"/>
  <c r="E1424" i="1"/>
  <c r="G1424" i="1" s="1"/>
  <c r="H1424" i="1" s="1"/>
  <c r="E1425" i="1"/>
  <c r="G1425" i="1" s="1"/>
  <c r="H1425" i="1" s="1"/>
  <c r="E1426" i="1"/>
  <c r="G1426" i="1" s="1"/>
  <c r="H1426" i="1" s="1"/>
  <c r="E1427" i="1"/>
  <c r="G1427" i="1" s="1"/>
  <c r="H1427" i="1" s="1"/>
  <c r="E1428" i="1"/>
  <c r="G1428" i="1" s="1"/>
  <c r="H1428" i="1" s="1"/>
  <c r="E1429" i="1"/>
  <c r="G1429" i="1" s="1"/>
  <c r="H1429" i="1" s="1"/>
  <c r="E1430" i="1"/>
  <c r="G1430" i="1" s="1"/>
  <c r="H1430" i="1" s="1"/>
  <c r="E1431" i="1"/>
  <c r="G1431" i="1" s="1"/>
  <c r="H1431" i="1" s="1"/>
  <c r="E1432" i="1"/>
  <c r="G1432" i="1" s="1"/>
  <c r="H1432" i="1" s="1"/>
  <c r="E1433" i="1"/>
  <c r="G1433" i="1" s="1"/>
  <c r="H1433" i="1" s="1"/>
  <c r="E1434" i="1"/>
  <c r="G1434" i="1" s="1"/>
  <c r="H1434" i="1" s="1"/>
  <c r="E1435" i="1"/>
  <c r="G1435" i="1" s="1"/>
  <c r="H1435" i="1" s="1"/>
  <c r="E1436" i="1"/>
  <c r="G1436" i="1" s="1"/>
  <c r="H1436" i="1" s="1"/>
  <c r="E1437" i="1"/>
  <c r="G1437" i="1" s="1"/>
  <c r="H1437" i="1" s="1"/>
  <c r="E1438" i="1"/>
  <c r="G1438" i="1" s="1"/>
  <c r="H1438" i="1" s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B1312" i="1"/>
  <c r="B1313" i="1"/>
  <c r="B1314" i="1"/>
  <c r="B1315" i="1"/>
  <c r="D1315" i="1" s="1"/>
  <c r="B1316" i="1"/>
  <c r="B1317" i="1"/>
  <c r="B1318" i="1"/>
  <c r="D1318" i="1" s="1"/>
  <c r="B1319" i="1"/>
  <c r="D1319" i="1" s="1"/>
  <c r="B1320" i="1"/>
  <c r="B1321" i="1"/>
  <c r="B1322" i="1"/>
  <c r="B1323" i="1"/>
  <c r="D1323" i="1" s="1"/>
  <c r="B1324" i="1"/>
  <c r="B1325" i="1"/>
  <c r="B1326" i="1"/>
  <c r="B1327" i="1"/>
  <c r="D1327" i="1" s="1"/>
  <c r="B1328" i="1"/>
  <c r="B1329" i="1"/>
  <c r="B1330" i="1"/>
  <c r="B1331" i="1"/>
  <c r="D1331" i="1" s="1"/>
  <c r="B1332" i="1"/>
  <c r="B1333" i="1"/>
  <c r="B1334" i="1"/>
  <c r="B1335" i="1"/>
  <c r="D1335" i="1" s="1"/>
  <c r="B1336" i="1"/>
  <c r="B1337" i="1"/>
  <c r="B1338" i="1"/>
  <c r="B1339" i="1"/>
  <c r="D1339" i="1" s="1"/>
  <c r="B1340" i="1"/>
  <c r="B1341" i="1"/>
  <c r="B1342" i="1"/>
  <c r="B1343" i="1"/>
  <c r="D1343" i="1" s="1"/>
  <c r="B1344" i="1"/>
  <c r="D1344" i="1" s="1"/>
  <c r="B1345" i="1"/>
  <c r="B1346" i="1"/>
  <c r="B1347" i="1"/>
  <c r="D1347" i="1" s="1"/>
  <c r="B1348" i="1"/>
  <c r="B1349" i="1"/>
  <c r="B1350" i="1"/>
  <c r="B1351" i="1"/>
  <c r="D1351" i="1" s="1"/>
  <c r="B1352" i="1"/>
  <c r="B1353" i="1"/>
  <c r="B1354" i="1"/>
  <c r="B1355" i="1"/>
  <c r="D1355" i="1" s="1"/>
  <c r="B1356" i="1"/>
  <c r="B1357" i="1"/>
  <c r="B1358" i="1"/>
  <c r="B1359" i="1"/>
  <c r="D1359" i="1" s="1"/>
  <c r="B1360" i="1"/>
  <c r="B1361" i="1"/>
  <c r="D1361" i="1" s="1"/>
  <c r="B1362" i="1"/>
  <c r="B1363" i="1"/>
  <c r="D1363" i="1" s="1"/>
  <c r="B1364" i="1"/>
  <c r="B1365" i="1"/>
  <c r="B1366" i="1"/>
  <c r="B1367" i="1"/>
  <c r="D1367" i="1" s="1"/>
  <c r="B1368" i="1"/>
  <c r="B1369" i="1"/>
  <c r="B1370" i="1"/>
  <c r="B1371" i="1"/>
  <c r="D1371" i="1" s="1"/>
  <c r="B1372" i="1"/>
  <c r="B1373" i="1"/>
  <c r="B1374" i="1"/>
  <c r="B1375" i="1"/>
  <c r="D1375" i="1" s="1"/>
  <c r="B1376" i="1"/>
  <c r="B1377" i="1"/>
  <c r="B1378" i="1"/>
  <c r="B1379" i="1"/>
  <c r="D1379" i="1" s="1"/>
  <c r="B1380" i="1"/>
  <c r="B1381" i="1"/>
  <c r="B1382" i="1"/>
  <c r="B1383" i="1"/>
  <c r="D1383" i="1" s="1"/>
  <c r="B1384" i="1"/>
  <c r="B1385" i="1"/>
  <c r="B1386" i="1"/>
  <c r="D1386" i="1" s="1"/>
  <c r="B1387" i="1"/>
  <c r="D1387" i="1" s="1"/>
  <c r="B1388" i="1"/>
  <c r="B1389" i="1"/>
  <c r="B1390" i="1"/>
  <c r="B1391" i="1"/>
  <c r="D1391" i="1" s="1"/>
  <c r="B1392" i="1"/>
  <c r="B1393" i="1"/>
  <c r="B1394" i="1"/>
  <c r="B1395" i="1"/>
  <c r="D1395" i="1" s="1"/>
  <c r="B1396" i="1"/>
  <c r="B1397" i="1"/>
  <c r="B1398" i="1"/>
  <c r="D1398" i="1" s="1"/>
  <c r="B1399" i="1"/>
  <c r="D1399" i="1" s="1"/>
  <c r="B1400" i="1"/>
  <c r="B1401" i="1"/>
  <c r="B1402" i="1"/>
  <c r="B1403" i="1"/>
  <c r="D1403" i="1" s="1"/>
  <c r="B1404" i="1"/>
  <c r="B1405" i="1"/>
  <c r="B1406" i="1"/>
  <c r="B1407" i="1"/>
  <c r="D1407" i="1" s="1"/>
  <c r="B1408" i="1"/>
  <c r="B1409" i="1"/>
  <c r="B1410" i="1"/>
  <c r="B1411" i="1"/>
  <c r="D1411" i="1" s="1"/>
  <c r="B1412" i="1"/>
  <c r="B1413" i="1"/>
  <c r="B1414" i="1"/>
  <c r="B1415" i="1"/>
  <c r="D1415" i="1" s="1"/>
  <c r="B1416" i="1"/>
  <c r="B1417" i="1"/>
  <c r="B1418" i="1"/>
  <c r="B1419" i="1"/>
  <c r="D1419" i="1" s="1"/>
  <c r="B1420" i="1"/>
  <c r="B1421" i="1"/>
  <c r="B1422" i="1"/>
  <c r="B1423" i="1"/>
  <c r="D1423" i="1" s="1"/>
  <c r="B1424" i="1"/>
  <c r="B1425" i="1"/>
  <c r="B1426" i="1"/>
  <c r="B1427" i="1"/>
  <c r="D1427" i="1" s="1"/>
  <c r="B1428" i="1"/>
  <c r="B1429" i="1"/>
  <c r="B1430" i="1"/>
  <c r="B1431" i="1"/>
  <c r="D1431" i="1" s="1"/>
  <c r="B1432" i="1"/>
  <c r="B1433" i="1"/>
  <c r="B1434" i="1"/>
  <c r="B1435" i="1"/>
  <c r="D1435" i="1" s="1"/>
  <c r="B1436" i="1"/>
  <c r="B1437" i="1"/>
  <c r="B1438" i="1"/>
  <c r="D1438" i="1" s="1"/>
  <c r="B1439" i="1"/>
  <c r="D1439" i="1" s="1"/>
  <c r="B1440" i="1"/>
  <c r="B1441" i="1"/>
  <c r="B1442" i="1"/>
  <c r="B1443" i="1"/>
  <c r="D1443" i="1" s="1"/>
  <c r="B1444" i="1"/>
  <c r="B1445" i="1"/>
  <c r="B1446" i="1"/>
  <c r="B1447" i="1"/>
  <c r="D1447" i="1" s="1"/>
  <c r="B1448" i="1"/>
  <c r="B1449" i="1"/>
  <c r="B1450" i="1"/>
  <c r="B1451" i="1"/>
  <c r="D1451" i="1" s="1"/>
  <c r="B1452" i="1"/>
  <c r="B1453" i="1"/>
  <c r="B1454" i="1"/>
  <c r="B1455" i="1"/>
  <c r="D1455" i="1" s="1"/>
  <c r="B1456" i="1"/>
  <c r="B1457" i="1"/>
  <c r="B1458" i="1"/>
  <c r="B1459" i="1"/>
  <c r="D1459" i="1" s="1"/>
  <c r="B1460" i="1"/>
  <c r="B1461" i="1"/>
  <c r="B1462" i="1"/>
  <c r="B1463" i="1"/>
  <c r="D1463" i="1" s="1"/>
  <c r="B1464" i="1"/>
  <c r="B1465" i="1"/>
  <c r="B1466" i="1"/>
  <c r="B1467" i="1"/>
  <c r="D1467" i="1" s="1"/>
  <c r="B1468" i="1"/>
  <c r="B1469" i="1"/>
  <c r="B1470" i="1"/>
  <c r="B1471" i="1"/>
  <c r="D1471" i="1" s="1"/>
  <c r="B1472" i="1"/>
  <c r="B1473" i="1"/>
  <c r="B1474" i="1"/>
  <c r="B1475" i="1"/>
  <c r="D1475" i="1" s="1"/>
  <c r="B1476" i="1"/>
  <c r="B1477" i="1"/>
  <c r="B1478" i="1"/>
  <c r="B1479" i="1"/>
  <c r="D1479" i="1" s="1"/>
  <c r="B1480" i="1"/>
  <c r="B1481" i="1"/>
  <c r="B1482" i="1"/>
  <c r="B1483" i="1"/>
  <c r="D1483" i="1" s="1"/>
  <c r="B1484" i="1"/>
  <c r="B1485" i="1"/>
  <c r="B1486" i="1"/>
  <c r="B1487" i="1"/>
  <c r="D1487" i="1" s="1"/>
  <c r="B1488" i="1"/>
  <c r="B1489" i="1"/>
  <c r="B1490" i="1"/>
  <c r="B1491" i="1"/>
  <c r="D1491" i="1" s="1"/>
  <c r="B1492" i="1"/>
  <c r="B1493" i="1"/>
  <c r="B1494" i="1"/>
  <c r="B1495" i="1"/>
  <c r="D1495" i="1" s="1"/>
  <c r="B1496" i="1"/>
  <c r="B1497" i="1"/>
  <c r="B1498" i="1"/>
  <c r="B1499" i="1"/>
  <c r="D1499" i="1" s="1"/>
  <c r="B1500" i="1"/>
  <c r="B1501" i="1"/>
  <c r="B1502" i="1"/>
  <c r="B1503" i="1"/>
  <c r="D1503" i="1" s="1"/>
  <c r="B1504" i="1"/>
  <c r="B1505" i="1"/>
  <c r="B1506" i="1"/>
  <c r="B1507" i="1"/>
  <c r="D1507" i="1" s="1"/>
  <c r="B1508" i="1"/>
  <c r="B1509" i="1"/>
  <c r="B1510" i="1"/>
  <c r="B1511" i="1"/>
  <c r="D1511" i="1" s="1"/>
  <c r="B1512" i="1"/>
  <c r="B1513" i="1"/>
  <c r="B1514" i="1"/>
  <c r="B1515" i="1"/>
  <c r="D1515" i="1" s="1"/>
  <c r="B1516" i="1"/>
  <c r="B1517" i="1"/>
  <c r="B1518" i="1"/>
  <c r="B1519" i="1"/>
  <c r="D1519" i="1" s="1"/>
  <c r="B1520" i="1"/>
  <c r="B1521" i="1"/>
  <c r="B1522" i="1"/>
  <c r="B1523" i="1"/>
  <c r="D1523" i="1" s="1"/>
  <c r="B1524" i="1"/>
  <c r="B1525" i="1"/>
  <c r="B1526" i="1"/>
  <c r="B1527" i="1"/>
  <c r="D1527" i="1" s="1"/>
  <c r="B1528" i="1"/>
  <c r="B1529" i="1"/>
  <c r="B1530" i="1"/>
  <c r="B1531" i="1"/>
  <c r="D1531" i="1" s="1"/>
  <c r="B1532" i="1"/>
  <c r="B1533" i="1"/>
  <c r="B1534" i="1"/>
  <c r="B1535" i="1"/>
  <c r="D1535" i="1" s="1"/>
  <c r="B1536" i="1"/>
  <c r="B1537" i="1"/>
  <c r="B1538" i="1"/>
  <c r="B1539" i="1"/>
  <c r="D1539" i="1" s="1"/>
  <c r="B1540" i="1"/>
  <c r="B1541" i="1"/>
  <c r="B1542" i="1"/>
  <c r="B1543" i="1"/>
  <c r="D1543" i="1" s="1"/>
  <c r="B1544" i="1"/>
  <c r="B1545" i="1"/>
  <c r="B1546" i="1"/>
  <c r="B1547" i="1"/>
  <c r="D1547" i="1" s="1"/>
  <c r="B1548" i="1"/>
  <c r="B1549" i="1"/>
  <c r="B1550" i="1"/>
  <c r="B1551" i="1"/>
  <c r="D1551" i="1" s="1"/>
  <c r="B1552" i="1"/>
  <c r="B1553" i="1"/>
  <c r="B1554" i="1"/>
  <c r="B1555" i="1"/>
  <c r="D1555" i="1" s="1"/>
  <c r="B1556" i="1"/>
  <c r="B1557" i="1"/>
  <c r="B1558" i="1"/>
  <c r="B1559" i="1"/>
  <c r="D1559" i="1" s="1"/>
  <c r="B1560" i="1"/>
  <c r="B1561" i="1"/>
  <c r="B1562" i="1"/>
  <c r="B1563" i="1"/>
  <c r="D1563" i="1" s="1"/>
  <c r="B1564" i="1"/>
  <c r="B1565" i="1"/>
  <c r="B1566" i="1"/>
  <c r="B1567" i="1"/>
  <c r="D1567" i="1" s="1"/>
  <c r="B1568" i="1"/>
  <c r="B1569" i="1"/>
  <c r="B1570" i="1"/>
  <c r="B1571" i="1"/>
  <c r="D1571" i="1" s="1"/>
  <c r="B1572" i="1"/>
  <c r="B1573" i="1"/>
  <c r="B1574" i="1"/>
  <c r="B1575" i="1"/>
  <c r="D1575" i="1" s="1"/>
  <c r="B1576" i="1"/>
  <c r="B1577" i="1"/>
  <c r="B1578" i="1"/>
  <c r="B1579" i="1"/>
  <c r="D1579" i="1" s="1"/>
  <c r="B1580" i="1"/>
  <c r="B1581" i="1"/>
  <c r="B1582" i="1"/>
  <c r="B1583" i="1"/>
  <c r="D1583" i="1" s="1"/>
  <c r="B1584" i="1"/>
  <c r="B1585" i="1"/>
  <c r="B1586" i="1"/>
  <c r="B1587" i="1"/>
  <c r="D1587" i="1" s="1"/>
  <c r="B1588" i="1"/>
  <c r="B1589" i="1"/>
  <c r="B1590" i="1"/>
  <c r="B1591" i="1"/>
  <c r="D1591" i="1" s="1"/>
  <c r="B1592" i="1"/>
  <c r="B1593" i="1"/>
  <c r="B1594" i="1"/>
  <c r="B1595" i="1"/>
  <c r="D1595" i="1" s="1"/>
  <c r="B1596" i="1"/>
  <c r="B1597" i="1"/>
  <c r="B1598" i="1"/>
  <c r="B1599" i="1"/>
  <c r="D1599" i="1" s="1"/>
  <c r="B1600" i="1"/>
  <c r="B1601" i="1"/>
  <c r="B1602" i="1"/>
  <c r="B1603" i="1"/>
  <c r="D1603" i="1" s="1"/>
  <c r="B1604" i="1"/>
  <c r="B1605" i="1"/>
  <c r="B1606" i="1"/>
  <c r="B1607" i="1"/>
  <c r="D1607" i="1" s="1"/>
  <c r="B1608" i="1"/>
  <c r="B1609" i="1"/>
  <c r="B1610" i="1"/>
  <c r="B1611" i="1"/>
  <c r="D1611" i="1" s="1"/>
  <c r="B1612" i="1"/>
  <c r="B1613" i="1"/>
  <c r="B1614" i="1"/>
  <c r="B1615" i="1"/>
  <c r="D1615" i="1" s="1"/>
  <c r="B1616" i="1"/>
  <c r="B1617" i="1"/>
  <c r="B1618" i="1"/>
  <c r="B1619" i="1"/>
  <c r="D1619" i="1" s="1"/>
  <c r="B1620" i="1"/>
  <c r="B1621" i="1"/>
  <c r="B1622" i="1"/>
  <c r="B1623" i="1"/>
  <c r="D1623" i="1" s="1"/>
  <c r="B1624" i="1"/>
  <c r="B1625" i="1"/>
  <c r="B1626" i="1"/>
  <c r="B1627" i="1"/>
  <c r="D1627" i="1" s="1"/>
  <c r="B1628" i="1"/>
  <c r="B1629" i="1"/>
  <c r="B1630" i="1"/>
  <c r="B1631" i="1"/>
  <c r="D1631" i="1" s="1"/>
  <c r="B1632" i="1"/>
  <c r="B1633" i="1"/>
  <c r="B1634" i="1"/>
  <c r="B1635" i="1"/>
  <c r="D1635" i="1" s="1"/>
  <c r="B1636" i="1"/>
  <c r="B1637" i="1"/>
  <c r="B1638" i="1"/>
  <c r="B1639" i="1"/>
  <c r="D1639" i="1" s="1"/>
  <c r="B1640" i="1"/>
  <c r="B1641" i="1"/>
  <c r="B1642" i="1"/>
  <c r="B1643" i="1"/>
  <c r="D1643" i="1" s="1"/>
  <c r="B1644" i="1"/>
  <c r="B1645" i="1"/>
  <c r="B1646" i="1"/>
  <c r="B1647" i="1"/>
  <c r="D1647" i="1" s="1"/>
  <c r="B1648" i="1"/>
  <c r="B1649" i="1"/>
  <c r="B1650" i="1"/>
  <c r="B1651" i="1"/>
  <c r="D1651" i="1" s="1"/>
  <c r="B1652" i="1"/>
  <c r="B1653" i="1"/>
  <c r="B1654" i="1"/>
  <c r="B1655" i="1"/>
  <c r="D1655" i="1" s="1"/>
  <c r="B1656" i="1"/>
  <c r="B1657" i="1"/>
  <c r="B1658" i="1"/>
  <c r="B1659" i="1"/>
  <c r="D1659" i="1" s="1"/>
  <c r="B1660" i="1"/>
  <c r="B1661" i="1"/>
  <c r="B1662" i="1"/>
  <c r="B1663" i="1"/>
  <c r="D1663" i="1" s="1"/>
  <c r="B1664" i="1"/>
  <c r="B1665" i="1"/>
  <c r="B1666" i="1"/>
  <c r="B1667" i="1"/>
  <c r="D1667" i="1" s="1"/>
  <c r="B1668" i="1"/>
  <c r="B1669" i="1"/>
  <c r="B1670" i="1"/>
  <c r="B1671" i="1"/>
  <c r="D1671" i="1" s="1"/>
  <c r="B1672" i="1"/>
  <c r="B1673" i="1"/>
  <c r="B1674" i="1"/>
  <c r="B1675" i="1"/>
  <c r="D1675" i="1" s="1"/>
  <c r="B1676" i="1"/>
  <c r="B1677" i="1"/>
  <c r="B1678" i="1"/>
  <c r="B1679" i="1"/>
  <c r="D1679" i="1" s="1"/>
  <c r="B1680" i="1"/>
  <c r="B1681" i="1"/>
  <c r="B1682" i="1"/>
  <c r="B1683" i="1"/>
  <c r="D1683" i="1" s="1"/>
  <c r="B1684" i="1"/>
  <c r="B1685" i="1"/>
  <c r="B1686" i="1"/>
  <c r="B1687" i="1"/>
  <c r="D1687" i="1" s="1"/>
  <c r="B1688" i="1"/>
  <c r="B1689" i="1"/>
  <c r="B1690" i="1"/>
  <c r="B1691" i="1"/>
  <c r="D1691" i="1" s="1"/>
  <c r="B1692" i="1"/>
  <c r="B1693" i="1"/>
  <c r="B1694" i="1"/>
  <c r="B1695" i="1"/>
  <c r="D1695" i="1" s="1"/>
  <c r="B1696" i="1"/>
  <c r="B1697" i="1"/>
  <c r="B1698" i="1"/>
  <c r="B1699" i="1"/>
  <c r="D1699" i="1" s="1"/>
  <c r="B1700" i="1"/>
  <c r="B1701" i="1"/>
  <c r="B1702" i="1"/>
  <c r="B1703" i="1"/>
  <c r="D1703" i="1" s="1"/>
  <c r="B1704" i="1"/>
  <c r="B1705" i="1"/>
  <c r="B1706" i="1"/>
  <c r="B1707" i="1"/>
  <c r="D1707" i="1" s="1"/>
  <c r="B1708" i="1"/>
  <c r="B1709" i="1"/>
  <c r="B1710" i="1"/>
  <c r="B1711" i="1"/>
  <c r="D1711" i="1" s="1"/>
  <c r="B1712" i="1"/>
  <c r="B1713" i="1"/>
  <c r="B1714" i="1"/>
  <c r="B1715" i="1"/>
  <c r="D1715" i="1" s="1"/>
  <c r="B1716" i="1"/>
  <c r="B1717" i="1"/>
  <c r="B1718" i="1"/>
  <c r="B1719" i="1"/>
  <c r="D1719" i="1" s="1"/>
  <c r="B1720" i="1"/>
  <c r="B1721" i="1"/>
  <c r="B1722" i="1"/>
  <c r="B1723" i="1"/>
  <c r="D1723" i="1" s="1"/>
  <c r="B1724" i="1"/>
  <c r="B1725" i="1"/>
  <c r="B1726" i="1"/>
  <c r="B1727" i="1"/>
  <c r="D1727" i="1" s="1"/>
  <c r="B1728" i="1"/>
  <c r="B1729" i="1"/>
  <c r="B1730" i="1"/>
  <c r="B1731" i="1"/>
  <c r="D1731" i="1" s="1"/>
  <c r="B1732" i="1"/>
  <c r="B1733" i="1"/>
  <c r="B1734" i="1"/>
  <c r="B1735" i="1"/>
  <c r="D1735" i="1" s="1"/>
  <c r="B1736" i="1"/>
  <c r="B1737" i="1"/>
  <c r="B1738" i="1"/>
  <c r="B1739" i="1"/>
  <c r="D1739" i="1" s="1"/>
  <c r="B1740" i="1"/>
  <c r="B1741" i="1"/>
  <c r="B1742" i="1"/>
  <c r="B1743" i="1"/>
  <c r="D1743" i="1" s="1"/>
  <c r="B1744" i="1"/>
  <c r="B1745" i="1"/>
  <c r="B1746" i="1"/>
  <c r="B1747" i="1"/>
  <c r="D1747" i="1" s="1"/>
  <c r="B1748" i="1"/>
  <c r="B1749" i="1"/>
  <c r="B1750" i="1"/>
  <c r="B1751" i="1"/>
  <c r="D1751" i="1" s="1"/>
  <c r="B1752" i="1"/>
  <c r="B1753" i="1"/>
  <c r="B1754" i="1"/>
  <c r="B1755" i="1"/>
  <c r="D1755" i="1" s="1"/>
  <c r="B1756" i="1"/>
  <c r="B1757" i="1"/>
  <c r="B1758" i="1"/>
  <c r="B1759" i="1"/>
  <c r="D1759" i="1" s="1"/>
  <c r="B1760" i="1"/>
  <c r="B1761" i="1"/>
  <c r="B1762" i="1"/>
  <c r="B1763" i="1"/>
  <c r="D1763" i="1" s="1"/>
  <c r="B1764" i="1"/>
  <c r="B1765" i="1"/>
  <c r="B1766" i="1"/>
  <c r="B1767" i="1"/>
  <c r="D1767" i="1" s="1"/>
  <c r="B1768" i="1"/>
  <c r="B1254" i="1"/>
  <c r="D1254" i="1"/>
  <c r="D1265" i="1"/>
  <c r="D1313" i="1"/>
  <c r="D1314" i="1"/>
  <c r="D1316" i="1"/>
  <c r="D1317" i="1"/>
  <c r="D1320" i="1"/>
  <c r="D1321" i="1"/>
  <c r="D1322" i="1"/>
  <c r="D1324" i="1"/>
  <c r="D1325" i="1"/>
  <c r="D1326" i="1"/>
  <c r="D1328" i="1"/>
  <c r="D1329" i="1"/>
  <c r="D1330" i="1"/>
  <c r="D1332" i="1"/>
  <c r="D1333" i="1"/>
  <c r="D1334" i="1"/>
  <c r="D1336" i="1"/>
  <c r="D1337" i="1"/>
  <c r="D1338" i="1"/>
  <c r="D1340" i="1"/>
  <c r="D1341" i="1"/>
  <c r="D1342" i="1"/>
  <c r="D1345" i="1"/>
  <c r="D1346" i="1"/>
  <c r="D1348" i="1"/>
  <c r="D1349" i="1"/>
  <c r="D1350" i="1"/>
  <c r="D1352" i="1"/>
  <c r="D1353" i="1"/>
  <c r="D1354" i="1"/>
  <c r="D1356" i="1"/>
  <c r="D1357" i="1"/>
  <c r="D1358" i="1"/>
  <c r="D1360" i="1"/>
  <c r="D1362" i="1"/>
  <c r="D1364" i="1"/>
  <c r="D1365" i="1"/>
  <c r="D1366" i="1"/>
  <c r="D1368" i="1"/>
  <c r="D1369" i="1"/>
  <c r="D1370" i="1"/>
  <c r="D1372" i="1"/>
  <c r="D1373" i="1"/>
  <c r="D1374" i="1"/>
  <c r="D1376" i="1"/>
  <c r="D1377" i="1"/>
  <c r="D1378" i="1"/>
  <c r="D1380" i="1"/>
  <c r="D1381" i="1"/>
  <c r="D1382" i="1"/>
  <c r="D1384" i="1"/>
  <c r="D1385" i="1"/>
  <c r="D1388" i="1"/>
  <c r="D1389" i="1"/>
  <c r="D1390" i="1"/>
  <c r="D1392" i="1"/>
  <c r="D1393" i="1"/>
  <c r="D1394" i="1"/>
  <c r="D1396" i="1"/>
  <c r="D1397" i="1"/>
  <c r="D1400" i="1"/>
  <c r="D1401" i="1"/>
  <c r="D1402" i="1"/>
  <c r="D1404" i="1"/>
  <c r="D1405" i="1"/>
  <c r="D1406" i="1"/>
  <c r="D1408" i="1"/>
  <c r="D1409" i="1"/>
  <c r="D1410" i="1"/>
  <c r="D1412" i="1"/>
  <c r="D1413" i="1"/>
  <c r="D1414" i="1"/>
  <c r="D1416" i="1"/>
  <c r="D1417" i="1"/>
  <c r="D1418" i="1"/>
  <c r="D1420" i="1"/>
  <c r="D1421" i="1"/>
  <c r="D1422" i="1"/>
  <c r="D1424" i="1"/>
  <c r="D1425" i="1"/>
  <c r="D1426" i="1"/>
  <c r="D1428" i="1"/>
  <c r="D1429" i="1"/>
  <c r="D1430" i="1"/>
  <c r="D1432" i="1"/>
  <c r="D1433" i="1"/>
  <c r="D1434" i="1"/>
  <c r="D1436" i="1"/>
  <c r="D1437" i="1"/>
  <c r="D1440" i="1"/>
  <c r="D1441" i="1"/>
  <c r="D1442" i="1"/>
  <c r="D1444" i="1"/>
  <c r="D1445" i="1"/>
  <c r="D1446" i="1"/>
  <c r="D1448" i="1"/>
  <c r="D1449" i="1"/>
  <c r="D1450" i="1"/>
  <c r="D1452" i="1"/>
  <c r="D1453" i="1"/>
  <c r="D1454" i="1"/>
  <c r="D1456" i="1"/>
  <c r="D1457" i="1"/>
  <c r="D1458" i="1"/>
  <c r="D1460" i="1"/>
  <c r="D1461" i="1"/>
  <c r="D1462" i="1"/>
  <c r="D1464" i="1"/>
  <c r="D1465" i="1"/>
  <c r="D1466" i="1"/>
  <c r="D1468" i="1"/>
  <c r="D1469" i="1"/>
  <c r="D1470" i="1"/>
  <c r="D1472" i="1"/>
  <c r="D1473" i="1"/>
  <c r="D1474" i="1"/>
  <c r="D1476" i="1"/>
  <c r="D1477" i="1"/>
  <c r="D1478" i="1"/>
  <c r="D1480" i="1"/>
  <c r="D1481" i="1"/>
  <c r="D1482" i="1"/>
  <c r="D1484" i="1"/>
  <c r="D1485" i="1"/>
  <c r="D1486" i="1"/>
  <c r="D1488" i="1"/>
  <c r="D1489" i="1"/>
  <c r="D1490" i="1"/>
  <c r="D1492" i="1"/>
  <c r="D1493" i="1"/>
  <c r="D1494" i="1"/>
  <c r="D1496" i="1"/>
  <c r="D1497" i="1"/>
  <c r="D1498" i="1"/>
  <c r="D1500" i="1"/>
  <c r="D1501" i="1"/>
  <c r="D1502" i="1"/>
  <c r="D1504" i="1"/>
  <c r="D1505" i="1"/>
  <c r="D1506" i="1"/>
  <c r="D1508" i="1"/>
  <c r="D1509" i="1"/>
  <c r="D1510" i="1"/>
  <c r="D1512" i="1"/>
  <c r="D1513" i="1"/>
  <c r="D1514" i="1"/>
  <c r="D1516" i="1"/>
  <c r="D1517" i="1"/>
  <c r="D1518" i="1"/>
  <c r="D1520" i="1"/>
  <c r="D1521" i="1"/>
  <c r="D1522" i="1"/>
  <c r="D1524" i="1"/>
  <c r="D1525" i="1"/>
  <c r="D1526" i="1"/>
  <c r="D1528" i="1"/>
  <c r="D1529" i="1"/>
  <c r="D1530" i="1"/>
  <c r="D1532" i="1"/>
  <c r="D1533" i="1"/>
  <c r="D1534" i="1"/>
  <c r="D1536" i="1"/>
  <c r="D1537" i="1"/>
  <c r="D1538" i="1"/>
  <c r="D1540" i="1"/>
  <c r="D1541" i="1"/>
  <c r="D1542" i="1"/>
  <c r="D1544" i="1"/>
  <c r="D1545" i="1"/>
  <c r="D1546" i="1"/>
  <c r="D1548" i="1"/>
  <c r="D1549" i="1"/>
  <c r="D1550" i="1"/>
  <c r="D1552" i="1"/>
  <c r="D1553" i="1"/>
  <c r="D1554" i="1"/>
  <c r="D1556" i="1"/>
  <c r="D1557" i="1"/>
  <c r="D1558" i="1"/>
  <c r="D1560" i="1"/>
  <c r="D1561" i="1"/>
  <c r="D1562" i="1"/>
  <c r="D1564" i="1"/>
  <c r="D1565" i="1"/>
  <c r="D1566" i="1"/>
  <c r="D1568" i="1"/>
  <c r="D1569" i="1"/>
  <c r="D1570" i="1"/>
  <c r="D1572" i="1"/>
  <c r="D1573" i="1"/>
  <c r="D1574" i="1"/>
  <c r="D1576" i="1"/>
  <c r="D1577" i="1"/>
  <c r="D1578" i="1"/>
  <c r="D1580" i="1"/>
  <c r="D1581" i="1"/>
  <c r="D1582" i="1"/>
  <c r="D1584" i="1"/>
  <c r="D1585" i="1"/>
  <c r="D1586" i="1"/>
  <c r="D1588" i="1"/>
  <c r="D1589" i="1"/>
  <c r="D1590" i="1"/>
  <c r="D1592" i="1"/>
  <c r="D1593" i="1"/>
  <c r="D1594" i="1"/>
  <c r="D1596" i="1"/>
  <c r="D1597" i="1"/>
  <c r="D1598" i="1"/>
  <c r="D1600" i="1"/>
  <c r="D1601" i="1"/>
  <c r="D1602" i="1"/>
  <c r="D1604" i="1"/>
  <c r="D1605" i="1"/>
  <c r="D1606" i="1"/>
  <c r="D1608" i="1"/>
  <c r="D1609" i="1"/>
  <c r="D1610" i="1"/>
  <c r="D1612" i="1"/>
  <c r="D1613" i="1"/>
  <c r="D1614" i="1"/>
  <c r="D1616" i="1"/>
  <c r="D1617" i="1"/>
  <c r="D1618" i="1"/>
  <c r="D1620" i="1"/>
  <c r="D1621" i="1"/>
  <c r="D1622" i="1"/>
  <c r="D1624" i="1"/>
  <c r="D1625" i="1"/>
  <c r="D1626" i="1"/>
  <c r="D1628" i="1"/>
  <c r="D1629" i="1"/>
  <c r="D1630" i="1"/>
  <c r="D1632" i="1"/>
  <c r="D1633" i="1"/>
  <c r="D1634" i="1"/>
  <c r="D1636" i="1"/>
  <c r="D1637" i="1"/>
  <c r="D1638" i="1"/>
  <c r="D1640" i="1"/>
  <c r="D1641" i="1"/>
  <c r="D1642" i="1"/>
  <c r="D1644" i="1"/>
  <c r="D1645" i="1"/>
  <c r="D1646" i="1"/>
  <c r="D1648" i="1"/>
  <c r="D1649" i="1"/>
  <c r="D1650" i="1"/>
  <c r="D1652" i="1"/>
  <c r="D1653" i="1"/>
  <c r="D1654" i="1"/>
  <c r="D1656" i="1"/>
  <c r="D1657" i="1"/>
  <c r="D1658" i="1"/>
  <c r="D1660" i="1"/>
  <c r="D1661" i="1"/>
  <c r="D1662" i="1"/>
  <c r="D1664" i="1"/>
  <c r="D1665" i="1"/>
  <c r="D1666" i="1"/>
  <c r="D1668" i="1"/>
  <c r="D1669" i="1"/>
  <c r="D1670" i="1"/>
  <c r="D1672" i="1"/>
  <c r="D1673" i="1"/>
  <c r="D1674" i="1"/>
  <c r="D1676" i="1"/>
  <c r="D1677" i="1"/>
  <c r="D1678" i="1"/>
  <c r="D1680" i="1"/>
  <c r="D1681" i="1"/>
  <c r="D1682" i="1"/>
  <c r="D1684" i="1"/>
  <c r="D1685" i="1"/>
  <c r="D1686" i="1"/>
  <c r="D1688" i="1"/>
  <c r="D1689" i="1"/>
  <c r="D1690" i="1"/>
  <c r="D1692" i="1"/>
  <c r="D1693" i="1"/>
  <c r="D1694" i="1"/>
  <c r="D1696" i="1"/>
  <c r="D1697" i="1"/>
  <c r="D1698" i="1"/>
  <c r="D1700" i="1"/>
  <c r="D1701" i="1"/>
  <c r="D1702" i="1"/>
  <c r="D1704" i="1"/>
  <c r="D1705" i="1"/>
  <c r="D1706" i="1"/>
  <c r="D1708" i="1"/>
  <c r="D1709" i="1"/>
  <c r="D1710" i="1"/>
  <c r="D1712" i="1"/>
  <c r="D1713" i="1"/>
  <c r="D1714" i="1"/>
  <c r="D1716" i="1"/>
  <c r="D1717" i="1"/>
  <c r="D1718" i="1"/>
  <c r="D1720" i="1"/>
  <c r="D1721" i="1"/>
  <c r="D1722" i="1"/>
  <c r="D1724" i="1"/>
  <c r="D1725" i="1"/>
  <c r="D1726" i="1"/>
  <c r="D1728" i="1"/>
  <c r="D1729" i="1"/>
  <c r="D1730" i="1"/>
  <c r="D1732" i="1"/>
  <c r="D1733" i="1"/>
  <c r="D1734" i="1"/>
  <c r="D1736" i="1"/>
  <c r="D1737" i="1"/>
  <c r="D1738" i="1"/>
  <c r="D1740" i="1"/>
  <c r="D1741" i="1"/>
  <c r="D1742" i="1"/>
  <c r="D1744" i="1"/>
  <c r="D1745" i="1"/>
  <c r="D1746" i="1"/>
  <c r="D1748" i="1"/>
  <c r="D1749" i="1"/>
  <c r="D1750" i="1"/>
  <c r="D1752" i="1"/>
  <c r="D1753" i="1"/>
  <c r="D1754" i="1"/>
  <c r="D1756" i="1"/>
  <c r="D1757" i="1"/>
  <c r="D1758" i="1"/>
  <c r="D1760" i="1"/>
  <c r="D1761" i="1"/>
  <c r="D1762" i="1"/>
  <c r="D1764" i="1"/>
  <c r="D1765" i="1"/>
  <c r="D1766" i="1"/>
  <c r="D1768" i="1"/>
  <c r="D1253" i="1"/>
  <c r="B1266" i="1" l="1"/>
  <c r="D1252" i="1"/>
  <c r="B1253" i="1"/>
  <c r="G1224" i="1" l="1"/>
  <c r="G1223" i="1"/>
  <c r="G1222" i="1"/>
  <c r="G1221" i="1"/>
  <c r="G1220" i="1"/>
  <c r="G1219" i="1"/>
  <c r="G1218" i="1"/>
  <c r="G1217" i="1"/>
  <c r="G1216" i="1"/>
  <c r="G1215" i="1"/>
  <c r="G1214" i="1" l="1"/>
  <c r="G1213" i="1"/>
  <c r="G1212" i="1"/>
  <c r="G1211" i="1"/>
  <c r="G1210" i="1"/>
  <c r="G1209" i="1"/>
  <c r="G1208" i="1"/>
  <c r="G1207" i="1" l="1"/>
  <c r="G1206" i="1"/>
  <c r="P1197" i="1"/>
  <c r="P1198" i="1"/>
  <c r="R1198" i="1" s="1"/>
  <c r="P1199" i="1"/>
  <c r="P1200" i="1"/>
  <c r="P1201" i="1"/>
  <c r="P1202" i="1"/>
  <c r="R1202" i="1" s="1"/>
  <c r="P1203" i="1"/>
  <c r="P1204" i="1"/>
  <c r="P1205" i="1"/>
  <c r="P1206" i="1"/>
  <c r="R1206" i="1" s="1"/>
  <c r="P1207" i="1"/>
  <c r="P1208" i="1"/>
  <c r="P1209" i="1"/>
  <c r="P1210" i="1"/>
  <c r="R1210" i="1" s="1"/>
  <c r="P1211" i="1"/>
  <c r="P1212" i="1"/>
  <c r="P1213" i="1"/>
  <c r="P1214" i="1"/>
  <c r="R1214" i="1" s="1"/>
  <c r="P1215" i="1"/>
  <c r="P1216" i="1"/>
  <c r="P1217" i="1"/>
  <c r="P1218" i="1"/>
  <c r="R1218" i="1" s="1"/>
  <c r="P1219" i="1"/>
  <c r="P1220" i="1"/>
  <c r="P1221" i="1"/>
  <c r="P1222" i="1"/>
  <c r="R1222" i="1" s="1"/>
  <c r="P1223" i="1"/>
  <c r="P1224" i="1"/>
  <c r="P1225" i="1"/>
  <c r="P1226" i="1"/>
  <c r="R1226" i="1" s="1"/>
  <c r="P1227" i="1"/>
  <c r="P1228" i="1"/>
  <c r="P1229" i="1"/>
  <c r="P1230" i="1"/>
  <c r="R1230" i="1" s="1"/>
  <c r="P1231" i="1"/>
  <c r="P1232" i="1"/>
  <c r="P1233" i="1"/>
  <c r="P1234" i="1"/>
  <c r="R1234" i="1" s="1"/>
  <c r="P1235" i="1"/>
  <c r="P1236" i="1"/>
  <c r="P1237" i="1"/>
  <c r="P1238" i="1"/>
  <c r="R1238" i="1" s="1"/>
  <c r="P1239" i="1"/>
  <c r="P1240" i="1"/>
  <c r="P1241" i="1"/>
  <c r="P1242" i="1"/>
  <c r="R1242" i="1" s="1"/>
  <c r="P1243" i="1"/>
  <c r="P1244" i="1"/>
  <c r="P1245" i="1"/>
  <c r="P1246" i="1"/>
  <c r="R1246" i="1" s="1"/>
  <c r="P1247" i="1"/>
  <c r="P1248" i="1"/>
  <c r="P1249" i="1"/>
  <c r="P1250" i="1"/>
  <c r="R1250" i="1" s="1"/>
  <c r="G1204" i="1"/>
  <c r="G1202" i="1"/>
  <c r="G1199" i="1"/>
  <c r="G1198" i="1"/>
  <c r="G1197" i="1"/>
  <c r="G1196" i="1"/>
  <c r="G1195" i="1"/>
  <c r="G1194" i="1"/>
  <c r="R1189" i="1"/>
  <c r="R1190" i="1"/>
  <c r="R1191" i="1"/>
  <c r="R1192" i="1"/>
  <c r="R1193" i="1"/>
  <c r="R1194" i="1"/>
  <c r="R1195" i="1"/>
  <c r="R1196" i="1"/>
  <c r="R1197" i="1"/>
  <c r="R1199" i="1"/>
  <c r="R1200" i="1"/>
  <c r="R1201" i="1"/>
  <c r="R1203" i="1"/>
  <c r="R1204" i="1"/>
  <c r="R1205" i="1"/>
  <c r="R1207" i="1"/>
  <c r="R1208" i="1"/>
  <c r="R1209" i="1"/>
  <c r="R1211" i="1"/>
  <c r="R1212" i="1"/>
  <c r="R1213" i="1"/>
  <c r="R1215" i="1"/>
  <c r="R1216" i="1"/>
  <c r="R1217" i="1"/>
  <c r="R1219" i="1"/>
  <c r="R1220" i="1"/>
  <c r="R1221" i="1"/>
  <c r="R1223" i="1"/>
  <c r="R1224" i="1"/>
  <c r="R1225" i="1"/>
  <c r="R1227" i="1"/>
  <c r="R1228" i="1"/>
  <c r="R1229" i="1"/>
  <c r="R1231" i="1"/>
  <c r="R1232" i="1"/>
  <c r="R1233" i="1"/>
  <c r="R1235" i="1"/>
  <c r="R1236" i="1"/>
  <c r="R1237" i="1"/>
  <c r="R1239" i="1"/>
  <c r="R1240" i="1"/>
  <c r="R1241" i="1"/>
  <c r="R1243" i="1"/>
  <c r="R1244" i="1"/>
  <c r="R1245" i="1"/>
  <c r="R1247" i="1"/>
  <c r="R1248" i="1"/>
  <c r="R1249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200" i="1"/>
  <c r="N1204" i="1"/>
  <c r="N1207" i="1"/>
  <c r="N1211" i="1"/>
  <c r="N1217" i="1"/>
  <c r="N1218" i="1"/>
  <c r="N1221" i="1"/>
  <c r="N1222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L1197" i="1"/>
  <c r="N1197" i="1" s="1"/>
  <c r="L1198" i="1"/>
  <c r="N1198" i="1" s="1"/>
  <c r="L1199" i="1"/>
  <c r="N1199" i="1" s="1"/>
  <c r="L1200" i="1"/>
  <c r="L1201" i="1"/>
  <c r="N1201" i="1" s="1"/>
  <c r="L1202" i="1"/>
  <c r="N1202" i="1" s="1"/>
  <c r="L1203" i="1"/>
  <c r="N1203" i="1" s="1"/>
  <c r="L1204" i="1"/>
  <c r="L1205" i="1"/>
  <c r="N1205" i="1" s="1"/>
  <c r="L1206" i="1"/>
  <c r="N1206" i="1" s="1"/>
  <c r="L1207" i="1"/>
  <c r="L1208" i="1"/>
  <c r="N1208" i="1" s="1"/>
  <c r="L1209" i="1"/>
  <c r="N1209" i="1" s="1"/>
  <c r="L1210" i="1"/>
  <c r="N1210" i="1" s="1"/>
  <c r="L1211" i="1"/>
  <c r="L1212" i="1"/>
  <c r="N1212" i="1" s="1"/>
  <c r="L1213" i="1"/>
  <c r="N1213" i="1" s="1"/>
  <c r="L1214" i="1"/>
  <c r="N1214" i="1" s="1"/>
  <c r="L1215" i="1"/>
  <c r="N1215" i="1" s="1"/>
  <c r="L1216" i="1"/>
  <c r="N1216" i="1" s="1"/>
  <c r="L1217" i="1"/>
  <c r="L1218" i="1"/>
  <c r="L1219" i="1"/>
  <c r="N1219" i="1" s="1"/>
  <c r="L1220" i="1"/>
  <c r="N1220" i="1" s="1"/>
  <c r="L1221" i="1"/>
  <c r="L1222" i="1"/>
  <c r="L1223" i="1"/>
  <c r="N1223" i="1" s="1"/>
  <c r="L1224" i="1"/>
  <c r="N1224" i="1" s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K1197" i="1"/>
  <c r="K1198" i="1"/>
  <c r="K1201" i="1"/>
  <c r="I1197" i="1"/>
  <c r="I1198" i="1"/>
  <c r="I1199" i="1"/>
  <c r="K1199" i="1" s="1"/>
  <c r="I1200" i="1"/>
  <c r="K1200" i="1" s="1"/>
  <c r="I1201" i="1"/>
  <c r="I1202" i="1"/>
  <c r="K1202" i="1" s="1"/>
  <c r="I1203" i="1"/>
  <c r="K1203" i="1" s="1"/>
  <c r="I1204" i="1"/>
  <c r="K1204" i="1" s="1"/>
  <c r="I1205" i="1"/>
  <c r="K1205" i="1" s="1"/>
  <c r="I1206" i="1"/>
  <c r="K1206" i="1" s="1"/>
  <c r="I1207" i="1"/>
  <c r="K1207" i="1" s="1"/>
  <c r="I1208" i="1"/>
  <c r="K1208" i="1" s="1"/>
  <c r="I1209" i="1"/>
  <c r="K1209" i="1" s="1"/>
  <c r="I1210" i="1"/>
  <c r="K1210" i="1" s="1"/>
  <c r="I1211" i="1"/>
  <c r="K1211" i="1" s="1"/>
  <c r="I1212" i="1"/>
  <c r="K1212" i="1" s="1"/>
  <c r="I1213" i="1"/>
  <c r="K1213" i="1" s="1"/>
  <c r="I1214" i="1"/>
  <c r="K1214" i="1" s="1"/>
  <c r="I1215" i="1"/>
  <c r="K1215" i="1" s="1"/>
  <c r="I1216" i="1"/>
  <c r="K1216" i="1" s="1"/>
  <c r="I1217" i="1"/>
  <c r="K1217" i="1" s="1"/>
  <c r="I1218" i="1"/>
  <c r="K1218" i="1" s="1"/>
  <c r="I1219" i="1"/>
  <c r="K1219" i="1" s="1"/>
  <c r="K1220" i="1"/>
  <c r="H1194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D1194" i="1"/>
  <c r="D1200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E1197" i="1"/>
  <c r="E1198" i="1"/>
  <c r="E1199" i="1"/>
  <c r="E1200" i="1"/>
  <c r="G1200" i="1" s="1"/>
  <c r="E1201" i="1"/>
  <c r="G1201" i="1" s="1"/>
  <c r="E1202" i="1"/>
  <c r="E1203" i="1"/>
  <c r="G1203" i="1" s="1"/>
  <c r="E1204" i="1"/>
  <c r="E1205" i="1"/>
  <c r="G1205" i="1" s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B1197" i="1"/>
  <c r="D1197" i="1" s="1"/>
  <c r="B1198" i="1"/>
  <c r="D1198" i="1" s="1"/>
  <c r="H1198" i="1" s="1"/>
  <c r="B1199" i="1"/>
  <c r="D1199" i="1" s="1"/>
  <c r="B1200" i="1"/>
  <c r="B1201" i="1"/>
  <c r="D1201" i="1" s="1"/>
  <c r="B1202" i="1"/>
  <c r="D1202" i="1" s="1"/>
  <c r="B1203" i="1"/>
  <c r="D1203" i="1" s="1"/>
  <c r="B1204" i="1"/>
  <c r="D1204" i="1" s="1"/>
  <c r="H1204" i="1" s="1"/>
  <c r="B1205" i="1"/>
  <c r="D1205" i="1" s="1"/>
  <c r="B1206" i="1"/>
  <c r="D1206" i="1" s="1"/>
  <c r="H1206" i="1" s="1"/>
  <c r="B1207" i="1"/>
  <c r="D1207" i="1" s="1"/>
  <c r="B1208" i="1"/>
  <c r="D1208" i="1" s="1"/>
  <c r="H1208" i="1" s="1"/>
  <c r="B1209" i="1"/>
  <c r="D1209" i="1" s="1"/>
  <c r="H1209" i="1" s="1"/>
  <c r="B1210" i="1"/>
  <c r="D1210" i="1" s="1"/>
  <c r="H1210" i="1" s="1"/>
  <c r="B1211" i="1"/>
  <c r="D1211" i="1" s="1"/>
  <c r="H1211" i="1" s="1"/>
  <c r="B1212" i="1"/>
  <c r="D1212" i="1" s="1"/>
  <c r="H1212" i="1" s="1"/>
  <c r="B1213" i="1"/>
  <c r="D1213" i="1" s="1"/>
  <c r="H1213" i="1" s="1"/>
  <c r="B1214" i="1"/>
  <c r="D1214" i="1" s="1"/>
  <c r="H1214" i="1" s="1"/>
  <c r="B1215" i="1"/>
  <c r="D1215" i="1" s="1"/>
  <c r="H1215" i="1" s="1"/>
  <c r="B1216" i="1"/>
  <c r="D1216" i="1" s="1"/>
  <c r="H1216" i="1" s="1"/>
  <c r="B1217" i="1"/>
  <c r="D1217" i="1" s="1"/>
  <c r="H1217" i="1" s="1"/>
  <c r="B1218" i="1"/>
  <c r="D1218" i="1" s="1"/>
  <c r="H1218" i="1" s="1"/>
  <c r="B1219" i="1"/>
  <c r="D1219" i="1" s="1"/>
  <c r="H1219" i="1" s="1"/>
  <c r="B1220" i="1"/>
  <c r="D1220" i="1" s="1"/>
  <c r="H1220" i="1" s="1"/>
  <c r="B1221" i="1"/>
  <c r="D1221" i="1" s="1"/>
  <c r="H1221" i="1" s="1"/>
  <c r="B1222" i="1"/>
  <c r="D1222" i="1" s="1"/>
  <c r="H1222" i="1" s="1"/>
  <c r="B1223" i="1"/>
  <c r="D1223" i="1" s="1"/>
  <c r="H1223" i="1" s="1"/>
  <c r="B1224" i="1"/>
  <c r="D1224" i="1" s="1"/>
  <c r="H1224" i="1" s="1"/>
  <c r="B1225" i="1"/>
  <c r="D1225" i="1" s="1"/>
  <c r="H1225" i="1" s="1"/>
  <c r="B1226" i="1"/>
  <c r="D1226" i="1" s="1"/>
  <c r="H1226" i="1" s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H1207" i="1" l="1"/>
  <c r="H1200" i="1"/>
  <c r="H1205" i="1"/>
  <c r="H1203" i="1"/>
  <c r="H1202" i="1"/>
  <c r="H1201" i="1"/>
  <c r="H1199" i="1"/>
  <c r="H1197" i="1"/>
  <c r="G1193" i="1"/>
  <c r="H1193" i="1"/>
  <c r="G1192" i="1"/>
  <c r="H1192" i="1"/>
  <c r="G1191" i="1"/>
  <c r="H1191" i="1"/>
  <c r="G1190" i="1"/>
  <c r="H1190" i="1"/>
  <c r="G1189" i="1"/>
  <c r="H1189" i="1" s="1"/>
  <c r="G1188" i="1"/>
  <c r="H1188" i="1"/>
  <c r="G1187" i="1"/>
  <c r="H1187" i="1" s="1"/>
  <c r="G1186" i="1"/>
  <c r="H1186" i="1"/>
  <c r="G1185" i="1"/>
  <c r="H1185" i="1"/>
  <c r="G1184" i="1"/>
  <c r="H1184" i="1"/>
  <c r="G1183" i="1"/>
  <c r="H1183" i="1"/>
  <c r="G1182" i="1"/>
  <c r="H1182" i="1"/>
  <c r="D1193" i="1"/>
  <c r="D1192" i="1"/>
  <c r="D1191" i="1"/>
  <c r="D1190" i="1"/>
  <c r="D1189" i="1"/>
  <c r="D1187" i="1"/>
  <c r="D1186" i="1"/>
  <c r="D1185" i="1"/>
  <c r="D1184" i="1"/>
  <c r="D1183" i="1"/>
  <c r="D1182" i="1"/>
  <c r="D1181" i="1"/>
  <c r="D1180" i="1" l="1"/>
  <c r="D1179" i="1" l="1"/>
  <c r="D2171" i="2" l="1"/>
  <c r="C2171" i="2"/>
  <c r="E2170" i="2"/>
  <c r="E2169" i="2"/>
  <c r="E2168" i="2"/>
  <c r="D2163" i="2"/>
  <c r="C2163" i="2"/>
  <c r="E2162" i="2"/>
  <c r="E2161" i="2"/>
  <c r="E2160" i="2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L1191" i="1"/>
  <c r="L1192" i="1"/>
  <c r="L1193" i="1"/>
  <c r="L1194" i="1"/>
  <c r="L1195" i="1"/>
  <c r="N1195" i="1" s="1"/>
  <c r="L1196" i="1"/>
  <c r="N1196" i="1" s="1"/>
  <c r="I1191" i="1"/>
  <c r="K1191" i="1" s="1"/>
  <c r="I1192" i="1"/>
  <c r="K1192" i="1" s="1"/>
  <c r="I1193" i="1"/>
  <c r="K1193" i="1" s="1"/>
  <c r="I1194" i="1"/>
  <c r="K1194" i="1" s="1"/>
  <c r="I1195" i="1"/>
  <c r="K1195" i="1" s="1"/>
  <c r="I1196" i="1"/>
  <c r="K1196" i="1" s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B1182" i="1"/>
  <c r="B1183" i="1"/>
  <c r="B1184" i="1"/>
  <c r="B1185" i="1"/>
  <c r="B1186" i="1"/>
  <c r="B1187" i="1"/>
  <c r="B1188" i="1"/>
  <c r="D1188" i="1" s="1"/>
  <c r="B1189" i="1"/>
  <c r="B1190" i="1"/>
  <c r="B1191" i="1"/>
  <c r="B1192" i="1"/>
  <c r="B1193" i="1"/>
  <c r="B1194" i="1"/>
  <c r="B1195" i="1"/>
  <c r="D1195" i="1" s="1"/>
  <c r="H1195" i="1" s="1"/>
  <c r="B1196" i="1"/>
  <c r="D1196" i="1" s="1"/>
  <c r="H1196" i="1" s="1"/>
  <c r="I1182" i="1"/>
  <c r="K1182" i="1" s="1"/>
  <c r="I1183" i="1"/>
  <c r="K1183" i="1" s="1"/>
  <c r="I1184" i="1"/>
  <c r="K1184" i="1" s="1"/>
  <c r="I1185" i="1"/>
  <c r="K1185" i="1" s="1"/>
  <c r="I1186" i="1"/>
  <c r="K1186" i="1" s="1"/>
  <c r="I1187" i="1"/>
  <c r="K1187" i="1" s="1"/>
  <c r="I1188" i="1"/>
  <c r="K1188" i="1" s="1"/>
  <c r="I1189" i="1"/>
  <c r="K1189" i="1" s="1"/>
  <c r="I1190" i="1"/>
  <c r="K1190" i="1" s="1"/>
  <c r="L1180" i="1"/>
  <c r="L1181" i="1"/>
  <c r="L1182" i="1"/>
  <c r="L1183" i="1"/>
  <c r="L1184" i="1"/>
  <c r="L1185" i="1"/>
  <c r="L1186" i="1"/>
  <c r="L1187" i="1"/>
  <c r="L1188" i="1"/>
  <c r="L1189" i="1"/>
  <c r="L1190" i="1"/>
  <c r="L1179" i="1"/>
  <c r="L1168" i="1"/>
  <c r="L1169" i="1"/>
  <c r="L1170" i="1"/>
  <c r="L1171" i="1"/>
  <c r="L1172" i="1"/>
  <c r="L1173" i="1"/>
  <c r="L1174" i="1"/>
  <c r="L1175" i="1"/>
  <c r="L1176" i="1"/>
  <c r="L1177" i="1"/>
  <c r="L1178" i="1"/>
  <c r="L1167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E2171" i="2" l="1"/>
  <c r="E2163" i="2"/>
  <c r="H1160" i="1"/>
  <c r="H1161" i="1"/>
  <c r="H1162" i="1"/>
  <c r="H1163" i="1"/>
  <c r="H1164" i="1"/>
  <c r="H1165" i="1"/>
  <c r="L1166" i="1"/>
  <c r="L1165" i="1"/>
  <c r="L1160" i="1"/>
  <c r="L1161" i="1"/>
  <c r="L1162" i="1"/>
  <c r="L1163" i="1"/>
  <c r="L1164" i="1"/>
  <c r="D1165" i="1"/>
  <c r="D1164" i="1"/>
  <c r="D1163" i="1"/>
  <c r="D1162" i="1"/>
  <c r="D1160" i="1"/>
  <c r="D1159" i="1"/>
  <c r="D1158" i="1" l="1"/>
  <c r="H1158" i="1"/>
  <c r="L1155" i="1"/>
  <c r="L1156" i="1"/>
  <c r="L1157" i="1"/>
  <c r="L1158" i="1"/>
  <c r="L1159" i="1"/>
  <c r="D1119" i="1" l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G1119" i="1"/>
  <c r="H1119" i="1" s="1"/>
  <c r="G1120" i="1"/>
  <c r="G1121" i="1"/>
  <c r="G1122" i="1"/>
  <c r="G1123" i="1"/>
  <c r="H1123" i="1" s="1"/>
  <c r="G1124" i="1"/>
  <c r="G1125" i="1"/>
  <c r="G1126" i="1"/>
  <c r="G1127" i="1"/>
  <c r="H1127" i="1" s="1"/>
  <c r="G1128" i="1"/>
  <c r="G1129" i="1"/>
  <c r="G1130" i="1"/>
  <c r="G1131" i="1"/>
  <c r="H1131" i="1" s="1"/>
  <c r="G1132" i="1"/>
  <c r="G1133" i="1"/>
  <c r="G1134" i="1"/>
  <c r="G1135" i="1"/>
  <c r="H1135" i="1" s="1"/>
  <c r="G1136" i="1"/>
  <c r="G1137" i="1"/>
  <c r="G1138" i="1"/>
  <c r="G1139" i="1"/>
  <c r="H1139" i="1" s="1"/>
  <c r="G1140" i="1"/>
  <c r="G1141" i="1"/>
  <c r="G1142" i="1"/>
  <c r="G1143" i="1"/>
  <c r="H1143" i="1" s="1"/>
  <c r="G1144" i="1"/>
  <c r="G1145" i="1"/>
  <c r="G1146" i="1"/>
  <c r="G1147" i="1"/>
  <c r="H1147" i="1" s="1"/>
  <c r="G1148" i="1"/>
  <c r="G1149" i="1"/>
  <c r="G1150" i="1"/>
  <c r="G1151" i="1"/>
  <c r="H1151" i="1" s="1"/>
  <c r="H1121" i="1"/>
  <c r="H1122" i="1"/>
  <c r="H1125" i="1"/>
  <c r="H1126" i="1"/>
  <c r="H1129" i="1"/>
  <c r="H1130" i="1"/>
  <c r="H1133" i="1"/>
  <c r="H1134" i="1"/>
  <c r="H1137" i="1"/>
  <c r="H1138" i="1"/>
  <c r="H1141" i="1"/>
  <c r="H1142" i="1"/>
  <c r="H1145" i="1"/>
  <c r="H1146" i="1"/>
  <c r="H1149" i="1"/>
  <c r="H1150" i="1"/>
  <c r="R1157" i="1"/>
  <c r="R1159" i="1"/>
  <c r="R1160" i="1"/>
  <c r="R1162" i="1"/>
  <c r="R1163" i="1"/>
  <c r="R1164" i="1"/>
  <c r="R1165" i="1"/>
  <c r="R1167" i="1"/>
  <c r="R1173" i="1"/>
  <c r="R1174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55" i="1"/>
  <c r="R1156" i="1"/>
  <c r="D1157" i="1"/>
  <c r="D1156" i="1"/>
  <c r="D1155" i="1"/>
  <c r="D1154" i="1"/>
  <c r="D1153" i="1"/>
  <c r="D1152" i="1"/>
  <c r="P1155" i="1"/>
  <c r="P1156" i="1"/>
  <c r="P1157" i="1"/>
  <c r="P1158" i="1"/>
  <c r="R1158" i="1" s="1"/>
  <c r="P1159" i="1"/>
  <c r="P1160" i="1"/>
  <c r="P1161" i="1"/>
  <c r="R1161" i="1" s="1"/>
  <c r="P1162" i="1"/>
  <c r="P1163" i="1"/>
  <c r="P1164" i="1"/>
  <c r="P1165" i="1"/>
  <c r="P1166" i="1"/>
  <c r="R1166" i="1" s="1"/>
  <c r="P1167" i="1"/>
  <c r="P1168" i="1"/>
  <c r="R1168" i="1" s="1"/>
  <c r="P1169" i="1"/>
  <c r="R1169" i="1" s="1"/>
  <c r="P1170" i="1"/>
  <c r="R1170" i="1" s="1"/>
  <c r="P1171" i="1"/>
  <c r="R1171" i="1" s="1"/>
  <c r="P1172" i="1"/>
  <c r="R1172" i="1" s="1"/>
  <c r="P1173" i="1"/>
  <c r="P1174" i="1"/>
  <c r="P1175" i="1"/>
  <c r="R1175" i="1" s="1"/>
  <c r="P1176" i="1"/>
  <c r="R1176" i="1" s="1"/>
  <c r="P1177" i="1"/>
  <c r="P1178" i="1"/>
  <c r="P1179" i="1"/>
  <c r="P1180" i="1"/>
  <c r="P1181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K1155" i="1"/>
  <c r="K1156" i="1"/>
  <c r="K1161" i="1"/>
  <c r="I1155" i="1"/>
  <c r="I1156" i="1"/>
  <c r="I1157" i="1"/>
  <c r="K1157" i="1" s="1"/>
  <c r="I1158" i="1"/>
  <c r="K1158" i="1" s="1"/>
  <c r="I1159" i="1"/>
  <c r="K1159" i="1" s="1"/>
  <c r="I1160" i="1"/>
  <c r="K1160" i="1" s="1"/>
  <c r="I1161" i="1"/>
  <c r="I1162" i="1"/>
  <c r="K1162" i="1" s="1"/>
  <c r="I1163" i="1"/>
  <c r="K1163" i="1" s="1"/>
  <c r="I1164" i="1"/>
  <c r="K1164" i="1" s="1"/>
  <c r="I1165" i="1"/>
  <c r="K1165" i="1" s="1"/>
  <c r="I1166" i="1"/>
  <c r="K1166" i="1" s="1"/>
  <c r="I1167" i="1"/>
  <c r="K1167" i="1" s="1"/>
  <c r="I1168" i="1"/>
  <c r="K1168" i="1" s="1"/>
  <c r="I1169" i="1"/>
  <c r="K1169" i="1" s="1"/>
  <c r="I1170" i="1"/>
  <c r="K1170" i="1" s="1"/>
  <c r="I1171" i="1"/>
  <c r="K1171" i="1" s="1"/>
  <c r="I1172" i="1"/>
  <c r="K1172" i="1" s="1"/>
  <c r="I1173" i="1"/>
  <c r="K1173" i="1" s="1"/>
  <c r="I1174" i="1"/>
  <c r="K1174" i="1" s="1"/>
  <c r="I1175" i="1"/>
  <c r="K1175" i="1" s="1"/>
  <c r="I1176" i="1"/>
  <c r="K1176" i="1" s="1"/>
  <c r="I1177" i="1"/>
  <c r="K1177" i="1" s="1"/>
  <c r="I1178" i="1"/>
  <c r="K1178" i="1" s="1"/>
  <c r="I1179" i="1"/>
  <c r="K1179" i="1" s="1"/>
  <c r="I1180" i="1"/>
  <c r="K1180" i="1" s="1"/>
  <c r="I1181" i="1"/>
  <c r="K1181" i="1" s="1"/>
  <c r="G1155" i="1"/>
  <c r="H1155" i="1" s="1"/>
  <c r="G1156" i="1"/>
  <c r="H1156" i="1" s="1"/>
  <c r="G1157" i="1"/>
  <c r="H1157" i="1" s="1"/>
  <c r="G1158" i="1"/>
  <c r="G1162" i="1"/>
  <c r="G1163" i="1"/>
  <c r="G1164" i="1"/>
  <c r="G1166" i="1"/>
  <c r="H1166" i="1" s="1"/>
  <c r="G1167" i="1"/>
  <c r="H1167" i="1" s="1"/>
  <c r="G1168" i="1"/>
  <c r="H1168" i="1" s="1"/>
  <c r="G1170" i="1"/>
  <c r="H1170" i="1" s="1"/>
  <c r="G1171" i="1"/>
  <c r="H1171" i="1" s="1"/>
  <c r="G1172" i="1"/>
  <c r="H1172" i="1" s="1"/>
  <c r="G1173" i="1"/>
  <c r="H1173" i="1" s="1"/>
  <c r="G1174" i="1"/>
  <c r="H1174" i="1" s="1"/>
  <c r="G1175" i="1"/>
  <c r="H1175" i="1" s="1"/>
  <c r="G1176" i="1"/>
  <c r="H1176" i="1" s="1"/>
  <c r="G1177" i="1"/>
  <c r="H1177" i="1" s="1"/>
  <c r="G1180" i="1"/>
  <c r="H1180" i="1" s="1"/>
  <c r="G1181" i="1"/>
  <c r="H1181" i="1" s="1"/>
  <c r="E1155" i="1"/>
  <c r="E1156" i="1"/>
  <c r="E1157" i="1"/>
  <c r="E1158" i="1"/>
  <c r="E1159" i="1"/>
  <c r="G1159" i="1" s="1"/>
  <c r="H1159" i="1" s="1"/>
  <c r="E1160" i="1"/>
  <c r="G1160" i="1" s="1"/>
  <c r="E1161" i="1"/>
  <c r="G1161" i="1" s="1"/>
  <c r="E1162" i="1"/>
  <c r="E1163" i="1"/>
  <c r="E1164" i="1"/>
  <c r="E1165" i="1"/>
  <c r="G1165" i="1" s="1"/>
  <c r="E1166" i="1"/>
  <c r="E1167" i="1"/>
  <c r="E1168" i="1"/>
  <c r="E1169" i="1"/>
  <c r="G1169" i="1" s="1"/>
  <c r="H1169" i="1" s="1"/>
  <c r="E1170" i="1"/>
  <c r="E1171" i="1"/>
  <c r="E1172" i="1"/>
  <c r="E1173" i="1"/>
  <c r="E1174" i="1"/>
  <c r="E1175" i="1"/>
  <c r="E1176" i="1"/>
  <c r="E1177" i="1"/>
  <c r="E1178" i="1"/>
  <c r="G1178" i="1" s="1"/>
  <c r="H1178" i="1" s="1"/>
  <c r="E1179" i="1"/>
  <c r="G1179" i="1" s="1"/>
  <c r="H1179" i="1" s="1"/>
  <c r="E1180" i="1"/>
  <c r="E1181" i="1"/>
  <c r="B1155" i="1"/>
  <c r="B1156" i="1"/>
  <c r="B1157" i="1"/>
  <c r="B1158" i="1"/>
  <c r="B1159" i="1"/>
  <c r="B1160" i="1"/>
  <c r="B1161" i="1"/>
  <c r="D1161" i="1" s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H1148" i="1" l="1"/>
  <c r="H1144" i="1"/>
  <c r="H1140" i="1"/>
  <c r="H1136" i="1"/>
  <c r="H1132" i="1"/>
  <c r="H1128" i="1"/>
  <c r="H1124" i="1"/>
  <c r="H1120" i="1"/>
  <c r="D2155" i="2"/>
  <c r="C2155" i="2"/>
  <c r="E2154" i="2"/>
  <c r="E2153" i="2"/>
  <c r="E2152" i="2"/>
  <c r="E2155" i="2" l="1"/>
  <c r="E2147" i="2" l="1"/>
  <c r="D2147" i="2"/>
  <c r="C2147" i="2"/>
  <c r="E2146" i="2"/>
  <c r="E2145" i="2"/>
  <c r="E2144" i="2"/>
  <c r="E1141" i="1" l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40" i="1"/>
  <c r="D2139" i="2"/>
  <c r="C2139" i="2"/>
  <c r="E2138" i="2"/>
  <c r="E2137" i="2"/>
  <c r="E2136" i="2"/>
  <c r="E2139" i="2" l="1"/>
  <c r="L1140" i="1"/>
  <c r="N1140" i="1" s="1"/>
  <c r="L1141" i="1"/>
  <c r="L1142" i="1"/>
  <c r="N1142" i="1" s="1"/>
  <c r="L1143" i="1"/>
  <c r="N1143" i="1" s="1"/>
  <c r="L1144" i="1"/>
  <c r="L1145" i="1"/>
  <c r="L1146" i="1"/>
  <c r="N1146" i="1" s="1"/>
  <c r="L1147" i="1"/>
  <c r="N1147" i="1" s="1"/>
  <c r="L1148" i="1"/>
  <c r="N1148" i="1" s="1"/>
  <c r="L1149" i="1"/>
  <c r="L1150" i="1"/>
  <c r="N1150" i="1" s="1"/>
  <c r="L1151" i="1"/>
  <c r="N1151" i="1" s="1"/>
  <c r="L1152" i="1"/>
  <c r="L1153" i="1"/>
  <c r="L1154" i="1"/>
  <c r="N1154" i="1" s="1"/>
  <c r="L1139" i="1"/>
  <c r="N1139" i="1" s="1"/>
  <c r="L1138" i="1"/>
  <c r="N1138" i="1" s="1"/>
  <c r="I1139" i="1"/>
  <c r="I1140" i="1"/>
  <c r="K1140" i="1" s="1"/>
  <c r="I1141" i="1"/>
  <c r="K1141" i="1" s="1"/>
  <c r="I1142" i="1"/>
  <c r="K1142" i="1" s="1"/>
  <c r="I1143" i="1"/>
  <c r="K1143" i="1" s="1"/>
  <c r="I1144" i="1"/>
  <c r="K1144" i="1" s="1"/>
  <c r="I1145" i="1"/>
  <c r="K1145" i="1" s="1"/>
  <c r="I1146" i="1"/>
  <c r="I1147" i="1"/>
  <c r="K1147" i="1" s="1"/>
  <c r="I1148" i="1"/>
  <c r="K1148" i="1" s="1"/>
  <c r="I1149" i="1"/>
  <c r="K1149" i="1" s="1"/>
  <c r="I1150" i="1"/>
  <c r="I1151" i="1"/>
  <c r="I1152" i="1"/>
  <c r="I1153" i="1"/>
  <c r="K1153" i="1" s="1"/>
  <c r="I1154" i="1"/>
  <c r="P1138" i="1"/>
  <c r="P1139" i="1"/>
  <c r="R1139" i="1" s="1"/>
  <c r="P1140" i="1"/>
  <c r="R1140" i="1" s="1"/>
  <c r="P1141" i="1"/>
  <c r="R1141" i="1" s="1"/>
  <c r="P1142" i="1"/>
  <c r="P1143" i="1"/>
  <c r="P1144" i="1"/>
  <c r="P1145" i="1"/>
  <c r="R1145" i="1" s="1"/>
  <c r="P1146" i="1"/>
  <c r="R1146" i="1" s="1"/>
  <c r="P1147" i="1"/>
  <c r="R1147" i="1" s="1"/>
  <c r="P1148" i="1"/>
  <c r="P1149" i="1"/>
  <c r="R1149" i="1" s="1"/>
  <c r="P1150" i="1"/>
  <c r="R1150" i="1" s="1"/>
  <c r="P1151" i="1"/>
  <c r="R1151" i="1" s="1"/>
  <c r="P1152" i="1"/>
  <c r="P1153" i="1"/>
  <c r="R1153" i="1" s="1"/>
  <c r="P1154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30" i="1"/>
  <c r="R1138" i="1"/>
  <c r="R1142" i="1"/>
  <c r="R1143" i="1"/>
  <c r="R1144" i="1"/>
  <c r="R1148" i="1"/>
  <c r="R1152" i="1"/>
  <c r="R1154" i="1"/>
  <c r="N1141" i="1"/>
  <c r="N1144" i="1"/>
  <c r="N1145" i="1"/>
  <c r="N1149" i="1"/>
  <c r="N1152" i="1"/>
  <c r="N1153" i="1"/>
  <c r="K1138" i="1"/>
  <c r="K1139" i="1"/>
  <c r="K1146" i="1"/>
  <c r="K1150" i="1"/>
  <c r="K1151" i="1"/>
  <c r="K1152" i="1"/>
  <c r="K1154" i="1"/>
  <c r="G1152" i="1"/>
  <c r="H1152" i="1" s="1"/>
  <c r="G1153" i="1"/>
  <c r="H1153" i="1" s="1"/>
  <c r="G1154" i="1"/>
  <c r="H1154" i="1" s="1"/>
  <c r="C2130" i="2"/>
  <c r="O1152" i="1" l="1"/>
  <c r="O1148" i="1"/>
  <c r="O1144" i="1"/>
  <c r="O1140" i="1"/>
  <c r="O1139" i="1"/>
  <c r="O1151" i="1"/>
  <c r="O1146" i="1"/>
  <c r="O1153" i="1"/>
  <c r="O1149" i="1"/>
  <c r="O1145" i="1"/>
  <c r="O1141" i="1"/>
  <c r="O1150" i="1"/>
  <c r="O1154" i="1"/>
  <c r="O1143" i="1"/>
  <c r="O1147" i="1"/>
  <c r="O1142" i="1"/>
  <c r="O1138" i="1"/>
  <c r="D2130" i="2"/>
  <c r="E2129" i="2"/>
  <c r="E2128" i="2"/>
  <c r="E2127" i="2"/>
  <c r="E2130" i="2" l="1"/>
  <c r="P1131" i="1" l="1"/>
  <c r="R1131" i="1" s="1"/>
  <c r="P1132" i="1"/>
  <c r="R1132" i="1" s="1"/>
  <c r="P1133" i="1"/>
  <c r="R1133" i="1" s="1"/>
  <c r="P1134" i="1"/>
  <c r="R1134" i="1" s="1"/>
  <c r="P1135" i="1"/>
  <c r="R1135" i="1" s="1"/>
  <c r="P1136" i="1"/>
  <c r="R1136" i="1" s="1"/>
  <c r="P1137" i="1"/>
  <c r="R1137" i="1" s="1"/>
  <c r="L1131" i="1"/>
  <c r="N1131" i="1" s="1"/>
  <c r="L1132" i="1"/>
  <c r="N1132" i="1" s="1"/>
  <c r="L1133" i="1"/>
  <c r="N1133" i="1" s="1"/>
  <c r="L1134" i="1"/>
  <c r="N1134" i="1" s="1"/>
  <c r="L1135" i="1"/>
  <c r="N1135" i="1" s="1"/>
  <c r="L1136" i="1"/>
  <c r="N1136" i="1" s="1"/>
  <c r="L1137" i="1"/>
  <c r="N1137" i="1" s="1"/>
  <c r="I1131" i="1"/>
  <c r="K1131" i="1" s="1"/>
  <c r="O1131" i="1" s="1"/>
  <c r="I1132" i="1"/>
  <c r="K1132" i="1" s="1"/>
  <c r="O1132" i="1" s="1"/>
  <c r="I1133" i="1"/>
  <c r="K1133" i="1" s="1"/>
  <c r="O1133" i="1" s="1"/>
  <c r="I1134" i="1"/>
  <c r="K1134" i="1" s="1"/>
  <c r="O1134" i="1" s="1"/>
  <c r="I1135" i="1"/>
  <c r="K1135" i="1" s="1"/>
  <c r="O1135" i="1" s="1"/>
  <c r="I1136" i="1"/>
  <c r="K1136" i="1" s="1"/>
  <c r="O1136" i="1" s="1"/>
  <c r="I1137" i="1"/>
  <c r="K1137" i="1" s="1"/>
  <c r="O1137" i="1" s="1"/>
  <c r="E1131" i="1"/>
  <c r="E1132" i="1"/>
  <c r="E1133" i="1"/>
  <c r="E1134" i="1"/>
  <c r="E1135" i="1"/>
  <c r="E1136" i="1"/>
  <c r="E1137" i="1"/>
  <c r="B1131" i="1"/>
  <c r="B1132" i="1"/>
  <c r="B1133" i="1"/>
  <c r="B1134" i="1"/>
  <c r="B1135" i="1"/>
  <c r="B1136" i="1"/>
  <c r="B1137" i="1"/>
  <c r="D2121" i="2" l="1"/>
  <c r="C2121" i="2"/>
  <c r="E2120" i="2"/>
  <c r="E2119" i="2"/>
  <c r="E2118" i="2"/>
  <c r="E2117" i="2"/>
  <c r="E2116" i="2"/>
  <c r="E2115" i="2"/>
  <c r="E2114" i="2"/>
  <c r="E2121" i="2" l="1"/>
  <c r="P1111" i="1" l="1"/>
  <c r="R1111" i="1" s="1"/>
  <c r="P1112" i="1"/>
  <c r="R1112" i="1" s="1"/>
  <c r="P1113" i="1"/>
  <c r="R1113" i="1" s="1"/>
  <c r="P1114" i="1"/>
  <c r="R1114" i="1" s="1"/>
  <c r="P1115" i="1"/>
  <c r="R1115" i="1" s="1"/>
  <c r="P1116" i="1"/>
  <c r="R1116" i="1" s="1"/>
  <c r="P1117" i="1"/>
  <c r="R1117" i="1" s="1"/>
  <c r="P1118" i="1"/>
  <c r="R1118" i="1" s="1"/>
  <c r="P1119" i="1"/>
  <c r="R1119" i="1" s="1"/>
  <c r="P1120" i="1"/>
  <c r="R1120" i="1" s="1"/>
  <c r="P1121" i="1"/>
  <c r="R1121" i="1" s="1"/>
  <c r="P1122" i="1"/>
  <c r="R1122" i="1" s="1"/>
  <c r="P1123" i="1"/>
  <c r="R1123" i="1" s="1"/>
  <c r="P1124" i="1"/>
  <c r="R1124" i="1" s="1"/>
  <c r="P1125" i="1"/>
  <c r="R1125" i="1" s="1"/>
  <c r="P1126" i="1"/>
  <c r="R1126" i="1" s="1"/>
  <c r="P1127" i="1"/>
  <c r="R1127" i="1" s="1"/>
  <c r="P1128" i="1"/>
  <c r="R1128" i="1" s="1"/>
  <c r="P1129" i="1"/>
  <c r="R1129" i="1" s="1"/>
  <c r="P1130" i="1"/>
  <c r="R1130" i="1" s="1"/>
  <c r="L1111" i="1"/>
  <c r="N1111" i="1" s="1"/>
  <c r="L1112" i="1"/>
  <c r="N1112" i="1" s="1"/>
  <c r="L1113" i="1"/>
  <c r="N1113" i="1" s="1"/>
  <c r="L1114" i="1"/>
  <c r="N1114" i="1" s="1"/>
  <c r="L1115" i="1"/>
  <c r="N1115" i="1" s="1"/>
  <c r="L1116" i="1"/>
  <c r="N1116" i="1" s="1"/>
  <c r="L1117" i="1"/>
  <c r="N1117" i="1" s="1"/>
  <c r="L1118" i="1"/>
  <c r="N1118" i="1" s="1"/>
  <c r="L1119" i="1"/>
  <c r="N1119" i="1" s="1"/>
  <c r="L1120" i="1"/>
  <c r="N1120" i="1" s="1"/>
  <c r="L1121" i="1"/>
  <c r="N1121" i="1" s="1"/>
  <c r="L1122" i="1"/>
  <c r="N1122" i="1" s="1"/>
  <c r="L1123" i="1"/>
  <c r="N1123" i="1" s="1"/>
  <c r="L1124" i="1"/>
  <c r="N1124" i="1" s="1"/>
  <c r="L1125" i="1"/>
  <c r="N1125" i="1" s="1"/>
  <c r="L1126" i="1"/>
  <c r="N1126" i="1" s="1"/>
  <c r="L1127" i="1"/>
  <c r="N1127" i="1" s="1"/>
  <c r="L1128" i="1"/>
  <c r="N1128" i="1" s="1"/>
  <c r="L1129" i="1"/>
  <c r="N1129" i="1" s="1"/>
  <c r="L1130" i="1"/>
  <c r="N1130" i="1" s="1"/>
  <c r="I1111" i="1"/>
  <c r="K1111" i="1" s="1"/>
  <c r="I1112" i="1"/>
  <c r="K1112" i="1" s="1"/>
  <c r="I1113" i="1"/>
  <c r="K1113" i="1" s="1"/>
  <c r="I1114" i="1"/>
  <c r="K1114" i="1" s="1"/>
  <c r="I1115" i="1"/>
  <c r="K1115" i="1" s="1"/>
  <c r="I1116" i="1"/>
  <c r="K1116" i="1" s="1"/>
  <c r="I1117" i="1"/>
  <c r="K1117" i="1" s="1"/>
  <c r="I1118" i="1"/>
  <c r="K1118" i="1" s="1"/>
  <c r="I1119" i="1"/>
  <c r="K1119" i="1" s="1"/>
  <c r="I1120" i="1"/>
  <c r="K1120" i="1" s="1"/>
  <c r="I1121" i="1"/>
  <c r="K1121" i="1" s="1"/>
  <c r="I1122" i="1"/>
  <c r="K1122" i="1" s="1"/>
  <c r="I1123" i="1"/>
  <c r="K1123" i="1" s="1"/>
  <c r="I1124" i="1"/>
  <c r="K1124" i="1" s="1"/>
  <c r="I1125" i="1"/>
  <c r="K1125" i="1" s="1"/>
  <c r="I1126" i="1"/>
  <c r="K1126" i="1" s="1"/>
  <c r="I1127" i="1"/>
  <c r="K1127" i="1" s="1"/>
  <c r="I1128" i="1"/>
  <c r="K1128" i="1" s="1"/>
  <c r="I1129" i="1"/>
  <c r="K1129" i="1" s="1"/>
  <c r="I1130" i="1"/>
  <c r="K1130" i="1" s="1"/>
  <c r="O1130" i="1" s="1"/>
  <c r="E1111" i="1"/>
  <c r="G1111" i="1" s="1"/>
  <c r="E1112" i="1"/>
  <c r="G1112" i="1" s="1"/>
  <c r="E1113" i="1"/>
  <c r="G1113" i="1" s="1"/>
  <c r="E1114" i="1"/>
  <c r="G1114" i="1" s="1"/>
  <c r="E1115" i="1"/>
  <c r="G1115" i="1" s="1"/>
  <c r="E1116" i="1"/>
  <c r="G1116" i="1" s="1"/>
  <c r="E1117" i="1"/>
  <c r="G1117" i="1" s="1"/>
  <c r="E1118" i="1"/>
  <c r="G1118" i="1" s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B1111" i="1"/>
  <c r="D1111" i="1" s="1"/>
  <c r="B1112" i="1"/>
  <c r="D1112" i="1" s="1"/>
  <c r="B1113" i="1"/>
  <c r="D1113" i="1" s="1"/>
  <c r="B1114" i="1"/>
  <c r="D1114" i="1" s="1"/>
  <c r="B1115" i="1"/>
  <c r="D1115" i="1" s="1"/>
  <c r="B1116" i="1"/>
  <c r="D1116" i="1" s="1"/>
  <c r="B1117" i="1"/>
  <c r="D1117" i="1" s="1"/>
  <c r="B1118" i="1"/>
  <c r="D1118" i="1" s="1"/>
  <c r="B1119" i="1"/>
  <c r="B1120" i="1"/>
  <c r="B1121" i="1"/>
  <c r="B1122" i="1"/>
  <c r="B1123" i="1"/>
  <c r="B1124" i="1"/>
  <c r="B1125" i="1"/>
  <c r="B1126" i="1"/>
  <c r="B1127" i="1"/>
  <c r="B1128" i="1"/>
  <c r="B1129" i="1"/>
  <c r="H1116" i="1" l="1"/>
  <c r="O1127" i="1"/>
  <c r="O1123" i="1"/>
  <c r="O1122" i="1"/>
  <c r="O1129" i="1"/>
  <c r="O1125" i="1"/>
  <c r="O1121" i="1"/>
  <c r="O1119" i="1"/>
  <c r="H1118" i="1"/>
  <c r="H1117" i="1"/>
  <c r="O1117" i="1"/>
  <c r="H1115" i="1"/>
  <c r="O1113" i="1"/>
  <c r="H1113" i="1"/>
  <c r="H1112" i="1"/>
  <c r="H1111" i="1"/>
  <c r="O1118" i="1"/>
  <c r="O1114" i="1"/>
  <c r="O1126" i="1"/>
  <c r="H1114" i="1"/>
  <c r="O1128" i="1"/>
  <c r="O1124" i="1"/>
  <c r="O1120" i="1"/>
  <c r="O1116" i="1"/>
  <c r="O1112" i="1"/>
  <c r="O1115" i="1"/>
  <c r="O1111" i="1"/>
  <c r="B1088" i="1" l="1"/>
  <c r="D1088" i="1" s="1"/>
  <c r="B1089" i="1"/>
  <c r="D1089" i="1" s="1"/>
  <c r="B1090" i="1"/>
  <c r="D1090" i="1" s="1"/>
  <c r="B1091" i="1"/>
  <c r="D1091" i="1" s="1"/>
  <c r="B1092" i="1"/>
  <c r="D1092" i="1" s="1"/>
  <c r="B1093" i="1"/>
  <c r="D1093" i="1" s="1"/>
  <c r="B1094" i="1"/>
  <c r="D1094" i="1" s="1"/>
  <c r="B1095" i="1"/>
  <c r="D1095" i="1" s="1"/>
  <c r="B1096" i="1"/>
  <c r="D1096" i="1" s="1"/>
  <c r="B1097" i="1"/>
  <c r="D1097" i="1" s="1"/>
  <c r="B1098" i="1"/>
  <c r="D1098" i="1" s="1"/>
  <c r="B1099" i="1"/>
  <c r="D1099" i="1" s="1"/>
  <c r="B1100" i="1"/>
  <c r="D1100" i="1" s="1"/>
  <c r="B1101" i="1"/>
  <c r="D1101" i="1" s="1"/>
  <c r="B1102" i="1"/>
  <c r="B1103" i="1"/>
  <c r="D1103" i="1" s="1"/>
  <c r="B1104" i="1"/>
  <c r="D1104" i="1" s="1"/>
  <c r="B1105" i="1"/>
  <c r="D1105" i="1" s="1"/>
  <c r="B1106" i="1"/>
  <c r="D1106" i="1" s="1"/>
  <c r="B1107" i="1"/>
  <c r="D1107" i="1" s="1"/>
  <c r="B1108" i="1"/>
  <c r="D1108" i="1" s="1"/>
  <c r="B1109" i="1"/>
  <c r="D1109" i="1" s="1"/>
  <c r="B1110" i="1"/>
  <c r="D1110" i="1" s="1"/>
  <c r="D1102" i="1"/>
  <c r="E1088" i="1"/>
  <c r="G1088" i="1" s="1"/>
  <c r="E1089" i="1"/>
  <c r="G1089" i="1" s="1"/>
  <c r="E1090" i="1"/>
  <c r="G1090" i="1" s="1"/>
  <c r="E1091" i="1"/>
  <c r="G1091" i="1" s="1"/>
  <c r="E1092" i="1"/>
  <c r="G1092" i="1" s="1"/>
  <c r="E1093" i="1"/>
  <c r="E1094" i="1"/>
  <c r="G1094" i="1" s="1"/>
  <c r="E1095" i="1"/>
  <c r="G1095" i="1" s="1"/>
  <c r="E1096" i="1"/>
  <c r="G1096" i="1" s="1"/>
  <c r="E1097" i="1"/>
  <c r="G1097" i="1" s="1"/>
  <c r="E1098" i="1"/>
  <c r="G1098" i="1" s="1"/>
  <c r="E1099" i="1"/>
  <c r="G1099" i="1" s="1"/>
  <c r="E1100" i="1"/>
  <c r="G1100" i="1" s="1"/>
  <c r="E1101" i="1"/>
  <c r="G1101" i="1" s="1"/>
  <c r="E1102" i="1"/>
  <c r="G1102" i="1" s="1"/>
  <c r="E1103" i="1"/>
  <c r="G1103" i="1" s="1"/>
  <c r="E1104" i="1"/>
  <c r="G1104" i="1" s="1"/>
  <c r="E1105" i="1"/>
  <c r="G1105" i="1" s="1"/>
  <c r="E1106" i="1"/>
  <c r="G1106" i="1" s="1"/>
  <c r="E1107" i="1"/>
  <c r="G1107" i="1" s="1"/>
  <c r="E1108" i="1"/>
  <c r="G1108" i="1" s="1"/>
  <c r="E1109" i="1"/>
  <c r="G1109" i="1" s="1"/>
  <c r="E1110" i="1"/>
  <c r="G1110" i="1" s="1"/>
  <c r="I1088" i="1"/>
  <c r="K1088" i="1" s="1"/>
  <c r="I1089" i="1"/>
  <c r="K1089" i="1" s="1"/>
  <c r="I1090" i="1"/>
  <c r="K1090" i="1" s="1"/>
  <c r="I1091" i="1"/>
  <c r="K1091" i="1" s="1"/>
  <c r="I1092" i="1"/>
  <c r="K1092" i="1" s="1"/>
  <c r="I1093" i="1"/>
  <c r="K1093" i="1" s="1"/>
  <c r="I1094" i="1"/>
  <c r="K1094" i="1" s="1"/>
  <c r="I1095" i="1"/>
  <c r="K1095" i="1" s="1"/>
  <c r="I1096" i="1"/>
  <c r="K1096" i="1" s="1"/>
  <c r="I1097" i="1"/>
  <c r="K1097" i="1" s="1"/>
  <c r="I1098" i="1"/>
  <c r="K1098" i="1" s="1"/>
  <c r="I1099" i="1"/>
  <c r="K1099" i="1" s="1"/>
  <c r="I1100" i="1"/>
  <c r="K1100" i="1" s="1"/>
  <c r="I1101" i="1"/>
  <c r="K1101" i="1" s="1"/>
  <c r="I1102" i="1"/>
  <c r="K1102" i="1" s="1"/>
  <c r="I1103" i="1"/>
  <c r="K1103" i="1" s="1"/>
  <c r="I1104" i="1"/>
  <c r="K1104" i="1" s="1"/>
  <c r="I1105" i="1"/>
  <c r="K1105" i="1" s="1"/>
  <c r="I1106" i="1"/>
  <c r="K1106" i="1" s="1"/>
  <c r="I1107" i="1"/>
  <c r="K1107" i="1" s="1"/>
  <c r="I1108" i="1"/>
  <c r="K1108" i="1" s="1"/>
  <c r="I1109" i="1"/>
  <c r="K1109" i="1" s="1"/>
  <c r="I1110" i="1"/>
  <c r="K1110" i="1" s="1"/>
  <c r="L1110" i="1"/>
  <c r="N1110" i="1" s="1"/>
  <c r="L1088" i="1"/>
  <c r="N1088" i="1" s="1"/>
  <c r="L1089" i="1"/>
  <c r="N1089" i="1" s="1"/>
  <c r="L1090" i="1"/>
  <c r="N1090" i="1" s="1"/>
  <c r="L1091" i="1"/>
  <c r="N1091" i="1" s="1"/>
  <c r="L1092" i="1"/>
  <c r="N1092" i="1" s="1"/>
  <c r="L1093" i="1"/>
  <c r="N1093" i="1" s="1"/>
  <c r="L1094" i="1"/>
  <c r="N1094" i="1" s="1"/>
  <c r="L1095" i="1"/>
  <c r="N1095" i="1" s="1"/>
  <c r="L1096" i="1"/>
  <c r="N1096" i="1" s="1"/>
  <c r="L1097" i="1"/>
  <c r="N1097" i="1" s="1"/>
  <c r="L1098" i="1"/>
  <c r="N1098" i="1" s="1"/>
  <c r="L1099" i="1"/>
  <c r="N1099" i="1" s="1"/>
  <c r="L1100" i="1"/>
  <c r="L1101" i="1"/>
  <c r="N1101" i="1" s="1"/>
  <c r="L1102" i="1"/>
  <c r="N1102" i="1" s="1"/>
  <c r="L1103" i="1"/>
  <c r="N1103" i="1" s="1"/>
  <c r="L1104" i="1"/>
  <c r="N1104" i="1" s="1"/>
  <c r="L1105" i="1"/>
  <c r="N1105" i="1" s="1"/>
  <c r="L1106" i="1"/>
  <c r="N1106" i="1" s="1"/>
  <c r="L1107" i="1"/>
  <c r="N1107" i="1" s="1"/>
  <c r="L1108" i="1"/>
  <c r="N1108" i="1" s="1"/>
  <c r="L1109" i="1"/>
  <c r="N1109" i="1" s="1"/>
  <c r="N1100" i="1"/>
  <c r="P1110" i="1"/>
  <c r="R1110" i="1" s="1"/>
  <c r="P1088" i="1"/>
  <c r="R1088" i="1" s="1"/>
  <c r="P1089" i="1"/>
  <c r="R1089" i="1" s="1"/>
  <c r="P1090" i="1"/>
  <c r="R1090" i="1" s="1"/>
  <c r="P1091" i="1"/>
  <c r="R1091" i="1" s="1"/>
  <c r="P1092" i="1"/>
  <c r="R1092" i="1" s="1"/>
  <c r="P1093" i="1"/>
  <c r="R1093" i="1" s="1"/>
  <c r="P1094" i="1"/>
  <c r="R1094" i="1" s="1"/>
  <c r="P1095" i="1"/>
  <c r="R1095" i="1" s="1"/>
  <c r="P1096" i="1"/>
  <c r="R1096" i="1" s="1"/>
  <c r="P1097" i="1"/>
  <c r="R1097" i="1" s="1"/>
  <c r="P1098" i="1"/>
  <c r="R1098" i="1" s="1"/>
  <c r="P1099" i="1"/>
  <c r="R1099" i="1" s="1"/>
  <c r="P1100" i="1"/>
  <c r="R1100" i="1" s="1"/>
  <c r="P1101" i="1"/>
  <c r="R1101" i="1" s="1"/>
  <c r="P1102" i="1"/>
  <c r="R1102" i="1" s="1"/>
  <c r="P1103" i="1"/>
  <c r="R1103" i="1" s="1"/>
  <c r="P1104" i="1"/>
  <c r="R1104" i="1" s="1"/>
  <c r="P1105" i="1"/>
  <c r="R1105" i="1" s="1"/>
  <c r="P1106" i="1"/>
  <c r="R1106" i="1" s="1"/>
  <c r="P1107" i="1"/>
  <c r="R1107" i="1" s="1"/>
  <c r="P1108" i="1"/>
  <c r="R1108" i="1" s="1"/>
  <c r="P1109" i="1"/>
  <c r="R1109" i="1"/>
  <c r="O1088" i="1" l="1"/>
  <c r="H1092" i="1"/>
  <c r="H1104" i="1"/>
  <c r="H1109" i="1"/>
  <c r="H1101" i="1"/>
  <c r="H1108" i="1"/>
  <c r="O1104" i="1"/>
  <c r="O1108" i="1"/>
  <c r="H1105" i="1"/>
  <c r="O1102" i="1"/>
  <c r="O1098" i="1"/>
  <c r="O1101" i="1"/>
  <c r="H1097" i="1"/>
  <c r="H1096" i="1"/>
  <c r="H1093" i="1"/>
  <c r="O1093" i="1"/>
  <c r="O1092" i="1"/>
  <c r="O1110" i="1"/>
  <c r="O1109" i="1"/>
  <c r="O1097" i="1"/>
  <c r="H1100" i="1"/>
  <c r="O1106" i="1"/>
  <c r="O1094" i="1"/>
  <c r="O1090" i="1"/>
  <c r="H1089" i="1"/>
  <c r="H1088" i="1"/>
  <c r="H1110" i="1"/>
  <c r="H1106" i="1"/>
  <c r="H1102" i="1"/>
  <c r="H1098" i="1"/>
  <c r="H1094" i="1"/>
  <c r="H1090" i="1"/>
  <c r="H1107" i="1"/>
  <c r="H1103" i="1"/>
  <c r="H1099" i="1"/>
  <c r="H1095" i="1"/>
  <c r="H1091" i="1"/>
  <c r="O1096" i="1"/>
  <c r="O1105" i="1"/>
  <c r="O1100" i="1"/>
  <c r="O1089" i="1"/>
  <c r="O1107" i="1"/>
  <c r="O1103" i="1"/>
  <c r="O1099" i="1"/>
  <c r="O1095" i="1"/>
  <c r="O1091" i="1"/>
  <c r="E2110" i="2" l="1"/>
  <c r="E2106" i="2"/>
  <c r="E2107" i="2"/>
  <c r="E2108" i="2"/>
  <c r="E2109" i="2"/>
  <c r="E2105" i="2"/>
  <c r="D2111" i="2"/>
  <c r="E2111" i="2" s="1"/>
  <c r="E2104" i="2"/>
  <c r="P1072" i="1" l="1"/>
  <c r="R1072" i="1" s="1"/>
  <c r="P1073" i="1"/>
  <c r="R1073" i="1" s="1"/>
  <c r="P1074" i="1"/>
  <c r="R1074" i="1" s="1"/>
  <c r="P1075" i="1"/>
  <c r="R1075" i="1" s="1"/>
  <c r="P1076" i="1"/>
  <c r="R1076" i="1" s="1"/>
  <c r="P1077" i="1"/>
  <c r="R1077" i="1" s="1"/>
  <c r="P1078" i="1"/>
  <c r="R1078" i="1" s="1"/>
  <c r="P1079" i="1"/>
  <c r="R1079" i="1" s="1"/>
  <c r="P1080" i="1"/>
  <c r="R1080" i="1" s="1"/>
  <c r="P1081" i="1"/>
  <c r="R1081" i="1" s="1"/>
  <c r="P1082" i="1"/>
  <c r="R1082" i="1" s="1"/>
  <c r="P1083" i="1"/>
  <c r="R1083" i="1" s="1"/>
  <c r="P1084" i="1"/>
  <c r="R1084" i="1" s="1"/>
  <c r="P1085" i="1"/>
  <c r="R1085" i="1" s="1"/>
  <c r="P1086" i="1"/>
  <c r="R1086" i="1" s="1"/>
  <c r="P1087" i="1"/>
  <c r="R1087" i="1" s="1"/>
  <c r="L1072" i="1"/>
  <c r="N1072" i="1" s="1"/>
  <c r="L1073" i="1"/>
  <c r="N1073" i="1" s="1"/>
  <c r="L1074" i="1"/>
  <c r="N1074" i="1" s="1"/>
  <c r="L1075" i="1"/>
  <c r="N1075" i="1" s="1"/>
  <c r="L1076" i="1"/>
  <c r="N1076" i="1" s="1"/>
  <c r="L1077" i="1"/>
  <c r="N1077" i="1" s="1"/>
  <c r="L1078" i="1"/>
  <c r="L1079" i="1"/>
  <c r="N1079" i="1" s="1"/>
  <c r="L1080" i="1"/>
  <c r="N1080" i="1" s="1"/>
  <c r="L1081" i="1"/>
  <c r="N1081" i="1" s="1"/>
  <c r="L1082" i="1"/>
  <c r="L1083" i="1"/>
  <c r="N1083" i="1" s="1"/>
  <c r="L1084" i="1"/>
  <c r="N1084" i="1" s="1"/>
  <c r="L1085" i="1"/>
  <c r="N1085" i="1" s="1"/>
  <c r="L1086" i="1"/>
  <c r="N1086" i="1" s="1"/>
  <c r="L1087" i="1"/>
  <c r="N1087" i="1" s="1"/>
  <c r="I1072" i="1"/>
  <c r="K1072" i="1" s="1"/>
  <c r="I1073" i="1"/>
  <c r="K1073" i="1" s="1"/>
  <c r="I1074" i="1"/>
  <c r="K1074" i="1" s="1"/>
  <c r="I1075" i="1"/>
  <c r="K1075" i="1" s="1"/>
  <c r="I1076" i="1"/>
  <c r="K1076" i="1" s="1"/>
  <c r="I1077" i="1"/>
  <c r="K1077" i="1" s="1"/>
  <c r="I1078" i="1"/>
  <c r="K1078" i="1" s="1"/>
  <c r="I1079" i="1"/>
  <c r="K1079" i="1" s="1"/>
  <c r="I1080" i="1"/>
  <c r="K1080" i="1" s="1"/>
  <c r="I1081" i="1"/>
  <c r="K1081" i="1" s="1"/>
  <c r="I1082" i="1"/>
  <c r="K1082" i="1" s="1"/>
  <c r="I1083" i="1"/>
  <c r="K1083" i="1" s="1"/>
  <c r="I1084" i="1"/>
  <c r="K1084" i="1" s="1"/>
  <c r="I1085" i="1"/>
  <c r="K1085" i="1" s="1"/>
  <c r="I1086" i="1"/>
  <c r="K1086" i="1" s="1"/>
  <c r="I1087" i="1"/>
  <c r="K1087" i="1" s="1"/>
  <c r="E1072" i="1"/>
  <c r="G1072" i="1" s="1"/>
  <c r="E1073" i="1"/>
  <c r="G1073" i="1" s="1"/>
  <c r="E1074" i="1"/>
  <c r="G1074" i="1" s="1"/>
  <c r="E1075" i="1"/>
  <c r="G1075" i="1" s="1"/>
  <c r="E1076" i="1"/>
  <c r="G1076" i="1" s="1"/>
  <c r="E1077" i="1"/>
  <c r="G1077" i="1" s="1"/>
  <c r="E1078" i="1"/>
  <c r="G1078" i="1" s="1"/>
  <c r="E1079" i="1"/>
  <c r="G1079" i="1" s="1"/>
  <c r="E1080" i="1"/>
  <c r="G1080" i="1" s="1"/>
  <c r="E1081" i="1"/>
  <c r="G1081" i="1" s="1"/>
  <c r="E1082" i="1"/>
  <c r="G1082" i="1" s="1"/>
  <c r="E1083" i="1"/>
  <c r="G1083" i="1" s="1"/>
  <c r="E1084" i="1"/>
  <c r="G1084" i="1" s="1"/>
  <c r="E1085" i="1"/>
  <c r="G1085" i="1" s="1"/>
  <c r="E1086" i="1"/>
  <c r="G1086" i="1" s="1"/>
  <c r="E1087" i="1"/>
  <c r="G1087" i="1" s="1"/>
  <c r="B1072" i="1"/>
  <c r="D1072" i="1" s="1"/>
  <c r="B1073" i="1"/>
  <c r="D1073" i="1" s="1"/>
  <c r="B1074" i="1"/>
  <c r="D1074" i="1" s="1"/>
  <c r="B1075" i="1"/>
  <c r="D1075" i="1" s="1"/>
  <c r="B1076" i="1"/>
  <c r="D1076" i="1" s="1"/>
  <c r="B1077" i="1"/>
  <c r="D1077" i="1" s="1"/>
  <c r="B1078" i="1"/>
  <c r="D1078" i="1" s="1"/>
  <c r="B1079" i="1"/>
  <c r="D1079" i="1" s="1"/>
  <c r="H1079" i="1" s="1"/>
  <c r="B1080" i="1"/>
  <c r="D1080" i="1" s="1"/>
  <c r="B1081" i="1"/>
  <c r="D1081" i="1" s="1"/>
  <c r="H1081" i="1" s="1"/>
  <c r="B1082" i="1"/>
  <c r="D1082" i="1" s="1"/>
  <c r="B1083" i="1"/>
  <c r="D1083" i="1" s="1"/>
  <c r="H1083" i="1" s="1"/>
  <c r="B1084" i="1"/>
  <c r="D1084" i="1" s="1"/>
  <c r="B1085" i="1"/>
  <c r="D1085" i="1" s="1"/>
  <c r="H1085" i="1" s="1"/>
  <c r="B1086" i="1"/>
  <c r="D1086" i="1" s="1"/>
  <c r="H1086" i="1" s="1"/>
  <c r="B1087" i="1"/>
  <c r="D1087" i="1" s="1"/>
  <c r="H1078" i="1" l="1"/>
  <c r="H1087" i="1"/>
  <c r="O1086" i="1"/>
  <c r="H1084" i="1"/>
  <c r="H1080" i="1"/>
  <c r="N1082" i="1"/>
  <c r="O1082" i="1" s="1"/>
  <c r="N1078" i="1"/>
  <c r="O1078" i="1" s="1"/>
  <c r="H1077" i="1"/>
  <c r="H1076" i="1"/>
  <c r="H1075" i="1"/>
  <c r="O1074" i="1"/>
  <c r="H1074" i="1"/>
  <c r="H1073" i="1"/>
  <c r="H1072" i="1"/>
  <c r="H1082" i="1"/>
  <c r="O1087" i="1"/>
  <c r="O1083" i="1"/>
  <c r="O1075" i="1"/>
  <c r="O1079" i="1"/>
  <c r="O1085" i="1"/>
  <c r="O1081" i="1"/>
  <c r="O1077" i="1"/>
  <c r="O1073" i="1"/>
  <c r="O1084" i="1"/>
  <c r="O1080" i="1"/>
  <c r="O1076" i="1"/>
  <c r="O1072" i="1"/>
  <c r="D2097" i="2"/>
  <c r="E2097" i="2" s="1"/>
  <c r="E2096" i="2"/>
  <c r="E2095" i="2"/>
  <c r="E2094" i="2"/>
  <c r="E2093" i="2"/>
  <c r="E2092" i="2"/>
  <c r="E2091" i="2"/>
  <c r="E2090" i="2"/>
  <c r="D2084" i="2" l="1"/>
  <c r="E2084" i="2" s="1"/>
  <c r="E2078" i="2"/>
  <c r="E2079" i="2"/>
  <c r="E2080" i="2"/>
  <c r="E2081" i="2"/>
  <c r="E2082" i="2"/>
  <c r="E2083" i="2"/>
  <c r="E2077" i="2"/>
  <c r="E2064" i="2"/>
  <c r="P1071" i="1" l="1"/>
  <c r="R1071" i="1" s="1"/>
  <c r="P1050" i="1"/>
  <c r="R1050" i="1" s="1"/>
  <c r="P1051" i="1"/>
  <c r="R1051" i="1" s="1"/>
  <c r="P1052" i="1"/>
  <c r="R1052" i="1" s="1"/>
  <c r="P1053" i="1"/>
  <c r="R1053" i="1" s="1"/>
  <c r="P1054" i="1"/>
  <c r="R1054" i="1" s="1"/>
  <c r="P1055" i="1"/>
  <c r="R1055" i="1" s="1"/>
  <c r="P1056" i="1"/>
  <c r="R1056" i="1" s="1"/>
  <c r="P1057" i="1"/>
  <c r="R1057" i="1" s="1"/>
  <c r="P1058" i="1"/>
  <c r="R1058" i="1" s="1"/>
  <c r="P1059" i="1"/>
  <c r="R1059" i="1" s="1"/>
  <c r="P1060" i="1"/>
  <c r="R1060" i="1" s="1"/>
  <c r="P1061" i="1"/>
  <c r="R1061" i="1" s="1"/>
  <c r="P1062" i="1"/>
  <c r="R1062" i="1" s="1"/>
  <c r="P1063" i="1"/>
  <c r="R1063" i="1" s="1"/>
  <c r="P1064" i="1"/>
  <c r="R1064" i="1" s="1"/>
  <c r="P1065" i="1"/>
  <c r="R1065" i="1" s="1"/>
  <c r="P1066" i="1"/>
  <c r="R1066" i="1" s="1"/>
  <c r="P1067" i="1"/>
  <c r="R1067" i="1" s="1"/>
  <c r="P1068" i="1"/>
  <c r="R1068" i="1" s="1"/>
  <c r="P1069" i="1"/>
  <c r="R1069" i="1" s="1"/>
  <c r="P1070" i="1"/>
  <c r="R1070" i="1" s="1"/>
  <c r="L1050" i="1"/>
  <c r="N1050" i="1" s="1"/>
  <c r="L1051" i="1"/>
  <c r="N1051" i="1" s="1"/>
  <c r="L1052" i="1"/>
  <c r="N1052" i="1" s="1"/>
  <c r="L1053" i="1"/>
  <c r="N1053" i="1" s="1"/>
  <c r="L1054" i="1"/>
  <c r="N1054" i="1" s="1"/>
  <c r="L1055" i="1"/>
  <c r="N1055" i="1" s="1"/>
  <c r="L1056" i="1"/>
  <c r="N1056" i="1" s="1"/>
  <c r="L1057" i="1"/>
  <c r="N1057" i="1" s="1"/>
  <c r="L1058" i="1"/>
  <c r="N1058" i="1" s="1"/>
  <c r="L1059" i="1"/>
  <c r="N1059" i="1" s="1"/>
  <c r="L1060" i="1"/>
  <c r="N1060" i="1" s="1"/>
  <c r="L1061" i="1"/>
  <c r="N1061" i="1" s="1"/>
  <c r="L1062" i="1"/>
  <c r="N1062" i="1" s="1"/>
  <c r="L1063" i="1"/>
  <c r="N1063" i="1" s="1"/>
  <c r="L1064" i="1"/>
  <c r="N1064" i="1" s="1"/>
  <c r="L1065" i="1"/>
  <c r="N1065" i="1" s="1"/>
  <c r="L1066" i="1"/>
  <c r="N1066" i="1" s="1"/>
  <c r="L1067" i="1"/>
  <c r="N1067" i="1" s="1"/>
  <c r="L1068" i="1"/>
  <c r="N1068" i="1" s="1"/>
  <c r="L1069" i="1"/>
  <c r="N1069" i="1" s="1"/>
  <c r="L1070" i="1"/>
  <c r="N1070" i="1" s="1"/>
  <c r="L1071" i="1"/>
  <c r="N1071" i="1" s="1"/>
  <c r="I1071" i="1"/>
  <c r="K1071" i="1" s="1"/>
  <c r="I1050" i="1"/>
  <c r="K1050" i="1" s="1"/>
  <c r="I1051" i="1"/>
  <c r="K1051" i="1" s="1"/>
  <c r="I1052" i="1"/>
  <c r="K1052" i="1" s="1"/>
  <c r="I1053" i="1"/>
  <c r="K1053" i="1" s="1"/>
  <c r="I1054" i="1"/>
  <c r="K1054" i="1" s="1"/>
  <c r="I1055" i="1"/>
  <c r="K1055" i="1" s="1"/>
  <c r="I1056" i="1"/>
  <c r="K1056" i="1" s="1"/>
  <c r="I1057" i="1"/>
  <c r="K1057" i="1" s="1"/>
  <c r="I1058" i="1"/>
  <c r="K1058" i="1" s="1"/>
  <c r="I1059" i="1"/>
  <c r="K1059" i="1" s="1"/>
  <c r="I1060" i="1"/>
  <c r="K1060" i="1" s="1"/>
  <c r="I1061" i="1"/>
  <c r="K1061" i="1" s="1"/>
  <c r="I1062" i="1"/>
  <c r="K1062" i="1" s="1"/>
  <c r="I1063" i="1"/>
  <c r="K1063" i="1" s="1"/>
  <c r="I1064" i="1"/>
  <c r="K1064" i="1" s="1"/>
  <c r="I1065" i="1"/>
  <c r="K1065" i="1" s="1"/>
  <c r="I1066" i="1"/>
  <c r="K1066" i="1" s="1"/>
  <c r="I1067" i="1"/>
  <c r="K1067" i="1" s="1"/>
  <c r="I1068" i="1"/>
  <c r="K1068" i="1" s="1"/>
  <c r="I1069" i="1"/>
  <c r="K1069" i="1" s="1"/>
  <c r="I1070" i="1"/>
  <c r="K1070" i="1" s="1"/>
  <c r="E1050" i="1"/>
  <c r="G1050" i="1" s="1"/>
  <c r="E1051" i="1"/>
  <c r="G1051" i="1" s="1"/>
  <c r="E1052" i="1"/>
  <c r="G1052" i="1" s="1"/>
  <c r="E1053" i="1"/>
  <c r="G1053" i="1" s="1"/>
  <c r="E1054" i="1"/>
  <c r="G1054" i="1" s="1"/>
  <c r="E1055" i="1"/>
  <c r="G1055" i="1" s="1"/>
  <c r="E1056" i="1"/>
  <c r="G1056" i="1" s="1"/>
  <c r="E1057" i="1"/>
  <c r="G1057" i="1" s="1"/>
  <c r="E1058" i="1"/>
  <c r="G1058" i="1" s="1"/>
  <c r="E1059" i="1"/>
  <c r="G1059" i="1" s="1"/>
  <c r="E1060" i="1"/>
  <c r="G1060" i="1" s="1"/>
  <c r="E1061" i="1"/>
  <c r="G1061" i="1" s="1"/>
  <c r="E1062" i="1"/>
  <c r="G1062" i="1" s="1"/>
  <c r="E1063" i="1"/>
  <c r="G1063" i="1" s="1"/>
  <c r="E1064" i="1"/>
  <c r="G1064" i="1" s="1"/>
  <c r="E1065" i="1"/>
  <c r="G1065" i="1" s="1"/>
  <c r="E1066" i="1"/>
  <c r="G1066" i="1" s="1"/>
  <c r="E1067" i="1"/>
  <c r="G1067" i="1" s="1"/>
  <c r="E1068" i="1"/>
  <c r="G1068" i="1" s="1"/>
  <c r="E1069" i="1"/>
  <c r="G1069" i="1" s="1"/>
  <c r="E1070" i="1"/>
  <c r="G1070" i="1" s="1"/>
  <c r="E1071" i="1"/>
  <c r="G1071" i="1" s="1"/>
  <c r="B1071" i="1"/>
  <c r="D1071" i="1" s="1"/>
  <c r="B1050" i="1"/>
  <c r="D1050" i="1" s="1"/>
  <c r="B1051" i="1"/>
  <c r="D1051" i="1" s="1"/>
  <c r="B1052" i="1"/>
  <c r="D1052" i="1" s="1"/>
  <c r="B1053" i="1"/>
  <c r="D1053" i="1" s="1"/>
  <c r="B1054" i="1"/>
  <c r="D1054" i="1" s="1"/>
  <c r="B1055" i="1"/>
  <c r="D1055" i="1" s="1"/>
  <c r="B1056" i="1"/>
  <c r="D1056" i="1" s="1"/>
  <c r="B1057" i="1"/>
  <c r="D1057" i="1" s="1"/>
  <c r="B1058" i="1"/>
  <c r="D1058" i="1" s="1"/>
  <c r="B1059" i="1"/>
  <c r="D1059" i="1" s="1"/>
  <c r="B1060" i="1"/>
  <c r="D1060" i="1" s="1"/>
  <c r="B1061" i="1"/>
  <c r="D1061" i="1" s="1"/>
  <c r="B1062" i="1"/>
  <c r="D1062" i="1" s="1"/>
  <c r="B1063" i="1"/>
  <c r="D1063" i="1" s="1"/>
  <c r="B1064" i="1"/>
  <c r="D1064" i="1" s="1"/>
  <c r="B1065" i="1"/>
  <c r="D1065" i="1" s="1"/>
  <c r="B1066" i="1"/>
  <c r="D1066" i="1" s="1"/>
  <c r="B1067" i="1"/>
  <c r="D1067" i="1" s="1"/>
  <c r="B1068" i="1"/>
  <c r="D1068" i="1" s="1"/>
  <c r="B1069" i="1"/>
  <c r="D1069" i="1" s="1"/>
  <c r="B1070" i="1"/>
  <c r="D1070" i="1" s="1"/>
  <c r="O1054" i="1" l="1"/>
  <c r="H1069" i="1"/>
  <c r="H1068" i="1"/>
  <c r="H1065" i="1"/>
  <c r="H1064" i="1"/>
  <c r="H1071" i="1"/>
  <c r="H1060" i="1"/>
  <c r="O1064" i="1"/>
  <c r="O1070" i="1"/>
  <c r="H1062" i="1"/>
  <c r="H1053" i="1"/>
  <c r="H1052" i="1"/>
  <c r="H1057" i="1"/>
  <c r="O1056" i="1"/>
  <c r="H1056" i="1"/>
  <c r="O1067" i="1"/>
  <c r="O1063" i="1"/>
  <c r="O1059" i="1"/>
  <c r="O1055" i="1"/>
  <c r="O1051" i="1"/>
  <c r="H1067" i="1"/>
  <c r="H1063" i="1"/>
  <c r="H1059" i="1"/>
  <c r="H1055" i="1"/>
  <c r="H1051" i="1"/>
  <c r="O1066" i="1"/>
  <c r="O1062" i="1"/>
  <c r="O1058" i="1"/>
  <c r="O1050" i="1"/>
  <c r="O1071" i="1"/>
  <c r="O1060" i="1"/>
  <c r="H1070" i="1"/>
  <c r="H1066" i="1"/>
  <c r="H1058" i="1"/>
  <c r="H1054" i="1"/>
  <c r="H1050" i="1"/>
  <c r="H1061" i="1"/>
  <c r="O1069" i="1"/>
  <c r="O1065" i="1"/>
  <c r="O1061" i="1"/>
  <c r="O1057" i="1"/>
  <c r="O1053" i="1"/>
  <c r="O1068" i="1"/>
  <c r="O1052" i="1"/>
  <c r="D2071" i="2"/>
  <c r="E2071" i="2" s="1"/>
  <c r="E2065" i="2"/>
  <c r="E2066" i="2"/>
  <c r="E2067" i="2"/>
  <c r="E2068" i="2"/>
  <c r="E2069" i="2"/>
  <c r="E2070" i="2"/>
  <c r="D2057" i="2" l="1"/>
  <c r="E2051" i="2"/>
  <c r="E2052" i="2"/>
  <c r="E2053" i="2"/>
  <c r="E2054" i="2"/>
  <c r="E2055" i="2"/>
  <c r="E2056" i="2"/>
  <c r="E2050" i="2"/>
  <c r="E2057" i="2" l="1"/>
  <c r="P1036" i="1" l="1"/>
  <c r="R1036" i="1" s="1"/>
  <c r="P1037" i="1"/>
  <c r="R1037" i="1" s="1"/>
  <c r="P1038" i="1"/>
  <c r="R1038" i="1" s="1"/>
  <c r="P1039" i="1"/>
  <c r="R1039" i="1" s="1"/>
  <c r="P1040" i="1"/>
  <c r="R1040" i="1" s="1"/>
  <c r="P1041" i="1"/>
  <c r="R1041" i="1" s="1"/>
  <c r="P1042" i="1"/>
  <c r="R1042" i="1" s="1"/>
  <c r="P1043" i="1"/>
  <c r="R1043" i="1" s="1"/>
  <c r="P1044" i="1"/>
  <c r="R1044" i="1" s="1"/>
  <c r="P1045" i="1"/>
  <c r="R1045" i="1" s="1"/>
  <c r="P1046" i="1"/>
  <c r="R1046" i="1" s="1"/>
  <c r="P1047" i="1"/>
  <c r="R1047" i="1" s="1"/>
  <c r="P1048" i="1"/>
  <c r="R1048" i="1" s="1"/>
  <c r="P1049" i="1"/>
  <c r="R1049" i="1" s="1"/>
  <c r="L1035" i="1"/>
  <c r="L1036" i="1"/>
  <c r="N1036" i="1" s="1"/>
  <c r="L1037" i="1"/>
  <c r="N1037" i="1" s="1"/>
  <c r="L1038" i="1"/>
  <c r="N1038" i="1" s="1"/>
  <c r="L1039" i="1"/>
  <c r="N1039" i="1" s="1"/>
  <c r="L1040" i="1"/>
  <c r="N1040" i="1" s="1"/>
  <c r="L1041" i="1"/>
  <c r="N1041" i="1" s="1"/>
  <c r="L1042" i="1"/>
  <c r="N1042" i="1" s="1"/>
  <c r="L1043" i="1"/>
  <c r="N1043" i="1" s="1"/>
  <c r="L1044" i="1"/>
  <c r="N1044" i="1" s="1"/>
  <c r="L1045" i="1"/>
  <c r="N1045" i="1" s="1"/>
  <c r="L1046" i="1"/>
  <c r="N1046" i="1" s="1"/>
  <c r="L1047" i="1"/>
  <c r="N1047" i="1" s="1"/>
  <c r="L1048" i="1"/>
  <c r="N1048" i="1" s="1"/>
  <c r="L1049" i="1"/>
  <c r="N1049" i="1" s="1"/>
  <c r="I1035" i="1"/>
  <c r="K1035" i="1" s="1"/>
  <c r="I1036" i="1"/>
  <c r="K1036" i="1" s="1"/>
  <c r="I1037" i="1"/>
  <c r="K1037" i="1" s="1"/>
  <c r="I1038" i="1"/>
  <c r="K1038" i="1" s="1"/>
  <c r="I1039" i="1"/>
  <c r="K1039" i="1" s="1"/>
  <c r="I1040" i="1"/>
  <c r="K1040" i="1" s="1"/>
  <c r="I1041" i="1"/>
  <c r="K1041" i="1" s="1"/>
  <c r="I1042" i="1"/>
  <c r="K1042" i="1" s="1"/>
  <c r="I1043" i="1"/>
  <c r="K1043" i="1" s="1"/>
  <c r="I1044" i="1"/>
  <c r="K1044" i="1" s="1"/>
  <c r="I1045" i="1"/>
  <c r="K1045" i="1" s="1"/>
  <c r="I1046" i="1"/>
  <c r="K1046" i="1" s="1"/>
  <c r="I1047" i="1"/>
  <c r="K1047" i="1" s="1"/>
  <c r="I1048" i="1"/>
  <c r="K1048" i="1" s="1"/>
  <c r="I1049" i="1"/>
  <c r="K1049" i="1" s="1"/>
  <c r="E1035" i="1"/>
  <c r="G1035" i="1" s="1"/>
  <c r="E1036" i="1"/>
  <c r="G1036" i="1" s="1"/>
  <c r="E1037" i="1"/>
  <c r="G1037" i="1" s="1"/>
  <c r="E1038" i="1"/>
  <c r="G1038" i="1" s="1"/>
  <c r="E1039" i="1"/>
  <c r="G1039" i="1" s="1"/>
  <c r="E1040" i="1"/>
  <c r="G1040" i="1" s="1"/>
  <c r="E1041" i="1"/>
  <c r="G1041" i="1" s="1"/>
  <c r="E1042" i="1"/>
  <c r="G1042" i="1" s="1"/>
  <c r="E1043" i="1"/>
  <c r="G1043" i="1" s="1"/>
  <c r="E1044" i="1"/>
  <c r="G1044" i="1" s="1"/>
  <c r="E1045" i="1"/>
  <c r="G1045" i="1" s="1"/>
  <c r="E1046" i="1"/>
  <c r="G1046" i="1" s="1"/>
  <c r="E1047" i="1"/>
  <c r="G1047" i="1" s="1"/>
  <c r="E1048" i="1"/>
  <c r="G1048" i="1" s="1"/>
  <c r="E1049" i="1"/>
  <c r="G1049" i="1" s="1"/>
  <c r="B1049" i="1"/>
  <c r="D1049" i="1" s="1"/>
  <c r="B1035" i="1"/>
  <c r="D1035" i="1" s="1"/>
  <c r="B1036" i="1"/>
  <c r="D1036" i="1" s="1"/>
  <c r="B1037" i="1"/>
  <c r="D1037" i="1" s="1"/>
  <c r="B1038" i="1"/>
  <c r="D1038" i="1" s="1"/>
  <c r="B1039" i="1"/>
  <c r="D1039" i="1" s="1"/>
  <c r="H1039" i="1" s="1"/>
  <c r="B1040" i="1"/>
  <c r="D1040" i="1" s="1"/>
  <c r="B1041" i="1"/>
  <c r="D1041" i="1" s="1"/>
  <c r="B1042" i="1"/>
  <c r="D1042" i="1" s="1"/>
  <c r="B1043" i="1"/>
  <c r="D1043" i="1" s="1"/>
  <c r="B1044" i="1"/>
  <c r="D1044" i="1" s="1"/>
  <c r="B1045" i="1"/>
  <c r="D1045" i="1" s="1"/>
  <c r="H1045" i="1" s="1"/>
  <c r="B1046" i="1"/>
  <c r="D1046" i="1" s="1"/>
  <c r="B1047" i="1"/>
  <c r="D1047" i="1" s="1"/>
  <c r="B1048" i="1"/>
  <c r="D1048" i="1" s="1"/>
  <c r="H1049" i="1" l="1"/>
  <c r="H1041" i="1"/>
  <c r="O1043" i="1"/>
  <c r="H1048" i="1"/>
  <c r="H1044" i="1"/>
  <c r="H1040" i="1"/>
  <c r="H1036" i="1"/>
  <c r="O1047" i="1"/>
  <c r="O1039" i="1"/>
  <c r="H1046" i="1"/>
  <c r="H1042" i="1"/>
  <c r="O1048" i="1"/>
  <c r="O1044" i="1"/>
  <c r="O1040" i="1"/>
  <c r="H1038" i="1"/>
  <c r="H1037" i="1"/>
  <c r="O1036" i="1"/>
  <c r="H1035" i="1"/>
  <c r="O1037" i="1"/>
  <c r="O1041" i="1"/>
  <c r="H1047" i="1"/>
  <c r="O1046" i="1"/>
  <c r="O1042" i="1"/>
  <c r="O1038" i="1"/>
  <c r="O1049" i="1"/>
  <c r="H1043" i="1"/>
  <c r="O1045" i="1"/>
  <c r="P1027" i="1" l="1"/>
  <c r="R1027" i="1" s="1"/>
  <c r="P1028" i="1"/>
  <c r="R1028" i="1" s="1"/>
  <c r="P1029" i="1"/>
  <c r="R1029" i="1" s="1"/>
  <c r="P1030" i="1"/>
  <c r="R1030" i="1" s="1"/>
  <c r="P1031" i="1"/>
  <c r="R1031" i="1" s="1"/>
  <c r="P1032" i="1"/>
  <c r="R1032" i="1" s="1"/>
  <c r="P1033" i="1"/>
  <c r="R1033" i="1" s="1"/>
  <c r="P1034" i="1"/>
  <c r="R1034" i="1" s="1"/>
  <c r="P1035" i="1"/>
  <c r="R1035" i="1" s="1"/>
  <c r="N1035" i="1"/>
  <c r="O1035" i="1" s="1"/>
  <c r="L1027" i="1"/>
  <c r="N1027" i="1" s="1"/>
  <c r="L1028" i="1"/>
  <c r="N1028" i="1" s="1"/>
  <c r="L1029" i="1"/>
  <c r="N1029" i="1" s="1"/>
  <c r="L1030" i="1"/>
  <c r="N1030" i="1" s="1"/>
  <c r="L1031" i="1"/>
  <c r="N1031" i="1" s="1"/>
  <c r="L1032" i="1"/>
  <c r="N1032" i="1" s="1"/>
  <c r="L1033" i="1"/>
  <c r="N1033" i="1" s="1"/>
  <c r="L1034" i="1"/>
  <c r="N1034" i="1" s="1"/>
  <c r="I1027" i="1"/>
  <c r="K1027" i="1" s="1"/>
  <c r="I1028" i="1"/>
  <c r="K1028" i="1" s="1"/>
  <c r="I1029" i="1"/>
  <c r="K1029" i="1" s="1"/>
  <c r="I1030" i="1"/>
  <c r="K1030" i="1" s="1"/>
  <c r="I1031" i="1"/>
  <c r="K1031" i="1" s="1"/>
  <c r="I1032" i="1"/>
  <c r="K1032" i="1" s="1"/>
  <c r="I1033" i="1"/>
  <c r="K1033" i="1" s="1"/>
  <c r="I1034" i="1"/>
  <c r="K1034" i="1" s="1"/>
  <c r="E1027" i="1"/>
  <c r="G1027" i="1" s="1"/>
  <c r="E1028" i="1"/>
  <c r="G1028" i="1" s="1"/>
  <c r="E1029" i="1"/>
  <c r="G1029" i="1" s="1"/>
  <c r="E1030" i="1"/>
  <c r="G1030" i="1" s="1"/>
  <c r="E1031" i="1"/>
  <c r="G1031" i="1" s="1"/>
  <c r="E1032" i="1"/>
  <c r="G1032" i="1" s="1"/>
  <c r="E1033" i="1"/>
  <c r="G1033" i="1" s="1"/>
  <c r="E1034" i="1"/>
  <c r="G1034" i="1" s="1"/>
  <c r="B1027" i="1"/>
  <c r="D1027" i="1" s="1"/>
  <c r="B1028" i="1"/>
  <c r="D1028" i="1" s="1"/>
  <c r="H1028" i="1" s="1"/>
  <c r="B1029" i="1"/>
  <c r="D1029" i="1" s="1"/>
  <c r="B1030" i="1"/>
  <c r="D1030" i="1" s="1"/>
  <c r="B1031" i="1"/>
  <c r="D1031" i="1" s="1"/>
  <c r="B1032" i="1"/>
  <c r="D1032" i="1" s="1"/>
  <c r="H1032" i="1" s="1"/>
  <c r="B1033" i="1"/>
  <c r="D1033" i="1" s="1"/>
  <c r="B1034" i="1"/>
  <c r="D1034" i="1" s="1"/>
  <c r="H1034" i="1" s="1"/>
  <c r="H1033" i="1" l="1"/>
  <c r="H1030" i="1"/>
  <c r="H1029" i="1"/>
  <c r="H1027" i="1"/>
  <c r="O1031" i="1"/>
  <c r="O1027" i="1"/>
  <c r="O1034" i="1"/>
  <c r="O1030" i="1"/>
  <c r="O1033" i="1"/>
  <c r="O1029" i="1"/>
  <c r="O1032" i="1"/>
  <c r="H1031" i="1"/>
  <c r="O1028" i="1"/>
  <c r="I1026" i="1" l="1"/>
  <c r="P1017" i="1" l="1"/>
  <c r="R1017" i="1" s="1"/>
  <c r="P1018" i="1"/>
  <c r="R1018" i="1" s="1"/>
  <c r="P1019" i="1"/>
  <c r="R1019" i="1" s="1"/>
  <c r="P1020" i="1"/>
  <c r="R1020" i="1" s="1"/>
  <c r="P1021" i="1"/>
  <c r="R1021" i="1" s="1"/>
  <c r="P1022" i="1"/>
  <c r="R1022" i="1" s="1"/>
  <c r="P1023" i="1"/>
  <c r="R1023" i="1" s="1"/>
  <c r="P1024" i="1"/>
  <c r="R1024" i="1" s="1"/>
  <c r="P1025" i="1"/>
  <c r="R1025" i="1" s="1"/>
  <c r="P1026" i="1"/>
  <c r="R1026" i="1" s="1"/>
  <c r="L1017" i="1"/>
  <c r="N1017" i="1" s="1"/>
  <c r="L1018" i="1"/>
  <c r="N1018" i="1" s="1"/>
  <c r="L1019" i="1"/>
  <c r="N1019" i="1" s="1"/>
  <c r="L1020" i="1"/>
  <c r="N1020" i="1" s="1"/>
  <c r="L1021" i="1"/>
  <c r="N1021" i="1" s="1"/>
  <c r="L1022" i="1"/>
  <c r="N1022" i="1" s="1"/>
  <c r="L1023" i="1"/>
  <c r="N1023" i="1" s="1"/>
  <c r="L1024" i="1"/>
  <c r="N1024" i="1" s="1"/>
  <c r="L1025" i="1"/>
  <c r="N1025" i="1" s="1"/>
  <c r="L1026" i="1"/>
  <c r="N1026" i="1" s="1"/>
  <c r="I1017" i="1"/>
  <c r="K1017" i="1" s="1"/>
  <c r="I1018" i="1"/>
  <c r="K1018" i="1" s="1"/>
  <c r="I1019" i="1"/>
  <c r="K1019" i="1" s="1"/>
  <c r="I1020" i="1"/>
  <c r="K1020" i="1" s="1"/>
  <c r="I1021" i="1"/>
  <c r="K1021" i="1" s="1"/>
  <c r="I1022" i="1"/>
  <c r="K1022" i="1" s="1"/>
  <c r="I1023" i="1"/>
  <c r="K1023" i="1" s="1"/>
  <c r="I1024" i="1"/>
  <c r="K1024" i="1" s="1"/>
  <c r="I1025" i="1"/>
  <c r="K1025" i="1" s="1"/>
  <c r="K1026" i="1"/>
  <c r="E1017" i="1"/>
  <c r="G1017" i="1" s="1"/>
  <c r="E1018" i="1"/>
  <c r="G1018" i="1" s="1"/>
  <c r="E1019" i="1"/>
  <c r="G1019" i="1" s="1"/>
  <c r="E1020" i="1"/>
  <c r="G1020" i="1" s="1"/>
  <c r="E1021" i="1"/>
  <c r="G1021" i="1" s="1"/>
  <c r="E1022" i="1"/>
  <c r="G1022" i="1" s="1"/>
  <c r="E1023" i="1"/>
  <c r="G1023" i="1" s="1"/>
  <c r="E1024" i="1"/>
  <c r="G1024" i="1" s="1"/>
  <c r="E1025" i="1"/>
  <c r="G1025" i="1" s="1"/>
  <c r="E1026" i="1"/>
  <c r="G1026" i="1" s="1"/>
  <c r="B1017" i="1"/>
  <c r="D1017" i="1" s="1"/>
  <c r="B1018" i="1"/>
  <c r="D1018" i="1" s="1"/>
  <c r="B1019" i="1"/>
  <c r="D1019" i="1" s="1"/>
  <c r="B1020" i="1"/>
  <c r="D1020" i="1" s="1"/>
  <c r="B1021" i="1"/>
  <c r="D1021" i="1" s="1"/>
  <c r="B1022" i="1"/>
  <c r="D1022" i="1" s="1"/>
  <c r="B1023" i="1"/>
  <c r="D1023" i="1" s="1"/>
  <c r="B1024" i="1"/>
  <c r="D1024" i="1" s="1"/>
  <c r="B1025" i="1"/>
  <c r="D1025" i="1" s="1"/>
  <c r="B1026" i="1"/>
  <c r="D1026" i="1" s="1"/>
  <c r="P985" i="1"/>
  <c r="R985" i="1" s="1"/>
  <c r="P986" i="1"/>
  <c r="R986" i="1" s="1"/>
  <c r="P987" i="1"/>
  <c r="R987" i="1" s="1"/>
  <c r="P988" i="1"/>
  <c r="R988" i="1" s="1"/>
  <c r="P989" i="1"/>
  <c r="R989" i="1" s="1"/>
  <c r="P990" i="1"/>
  <c r="R990" i="1" s="1"/>
  <c r="P991" i="1"/>
  <c r="R991" i="1" s="1"/>
  <c r="P992" i="1"/>
  <c r="R992" i="1" s="1"/>
  <c r="P993" i="1"/>
  <c r="R993" i="1" s="1"/>
  <c r="P994" i="1"/>
  <c r="R994" i="1" s="1"/>
  <c r="P995" i="1"/>
  <c r="R995" i="1" s="1"/>
  <c r="P996" i="1"/>
  <c r="R997" i="1"/>
  <c r="R998" i="1"/>
  <c r="P999" i="1"/>
  <c r="R999" i="1" s="1"/>
  <c r="P1000" i="1"/>
  <c r="R1000" i="1" s="1"/>
  <c r="P1001" i="1"/>
  <c r="R1001" i="1" s="1"/>
  <c r="P1002" i="1"/>
  <c r="P1004" i="1"/>
  <c r="P1006" i="1"/>
  <c r="R1006" i="1" s="1"/>
  <c r="P1007" i="1"/>
  <c r="R1007" i="1" s="1"/>
  <c r="P1008" i="1"/>
  <c r="R1008" i="1" s="1"/>
  <c r="P1009" i="1"/>
  <c r="R1009" i="1" s="1"/>
  <c r="P1010" i="1"/>
  <c r="R1010" i="1" s="1"/>
  <c r="P1011" i="1"/>
  <c r="R1011" i="1" s="1"/>
  <c r="P1012" i="1"/>
  <c r="R1012" i="1" s="1"/>
  <c r="P1013" i="1"/>
  <c r="R1013" i="1" s="1"/>
  <c r="P1014" i="1"/>
  <c r="R1014" i="1" s="1"/>
  <c r="P1015" i="1"/>
  <c r="R1015" i="1" s="1"/>
  <c r="P1016" i="1"/>
  <c r="R1016" i="1" s="1"/>
  <c r="L985" i="1"/>
  <c r="N985" i="1" s="1"/>
  <c r="L986" i="1"/>
  <c r="N986" i="1" s="1"/>
  <c r="L987" i="1"/>
  <c r="N987" i="1" s="1"/>
  <c r="L988" i="1"/>
  <c r="N990" i="1"/>
  <c r="L991" i="1"/>
  <c r="N991" i="1" s="1"/>
  <c r="L992" i="1"/>
  <c r="N992" i="1" s="1"/>
  <c r="L993" i="1"/>
  <c r="N993" i="1" s="1"/>
  <c r="L994" i="1"/>
  <c r="N994" i="1" s="1"/>
  <c r="L995" i="1"/>
  <c r="N995" i="1" s="1"/>
  <c r="L996" i="1"/>
  <c r="N997" i="1"/>
  <c r="L998" i="1"/>
  <c r="N998" i="1" s="1"/>
  <c r="L999" i="1"/>
  <c r="N999" i="1" s="1"/>
  <c r="L1000" i="1"/>
  <c r="N1000" i="1" s="1"/>
  <c r="L1001" i="1"/>
  <c r="N1001" i="1" s="1"/>
  <c r="L1002" i="1"/>
  <c r="N1002" i="1" s="1"/>
  <c r="L1003" i="1"/>
  <c r="N1003" i="1" s="1"/>
  <c r="L1004" i="1"/>
  <c r="N1004" i="1" s="1"/>
  <c r="L1005" i="1"/>
  <c r="N1005" i="1" s="1"/>
  <c r="L1006" i="1"/>
  <c r="N1006" i="1" s="1"/>
  <c r="L1007" i="1"/>
  <c r="N1007" i="1" s="1"/>
  <c r="L1008" i="1"/>
  <c r="N1008" i="1" s="1"/>
  <c r="L1009" i="1"/>
  <c r="N1009" i="1" s="1"/>
  <c r="L1010" i="1"/>
  <c r="N1010" i="1" s="1"/>
  <c r="L1011" i="1"/>
  <c r="N1011" i="1" s="1"/>
  <c r="L1012" i="1"/>
  <c r="N1012" i="1" s="1"/>
  <c r="L1013" i="1"/>
  <c r="N1013" i="1" s="1"/>
  <c r="L1014" i="1"/>
  <c r="N1014" i="1" s="1"/>
  <c r="L1015" i="1"/>
  <c r="N1015" i="1" s="1"/>
  <c r="L1016" i="1"/>
  <c r="N1016" i="1" s="1"/>
  <c r="I985" i="1"/>
  <c r="K985" i="1" s="1"/>
  <c r="I986" i="1"/>
  <c r="K986" i="1" s="1"/>
  <c r="I987" i="1"/>
  <c r="K987" i="1" s="1"/>
  <c r="I988" i="1"/>
  <c r="K988" i="1" s="1"/>
  <c r="I989" i="1"/>
  <c r="K989" i="1" s="1"/>
  <c r="I990" i="1"/>
  <c r="K990" i="1" s="1"/>
  <c r="I991" i="1"/>
  <c r="K991" i="1" s="1"/>
  <c r="I992" i="1"/>
  <c r="K992" i="1" s="1"/>
  <c r="I993" i="1"/>
  <c r="K993" i="1" s="1"/>
  <c r="I994" i="1"/>
  <c r="K994" i="1" s="1"/>
  <c r="I995" i="1"/>
  <c r="K995" i="1" s="1"/>
  <c r="I996" i="1"/>
  <c r="K996" i="1" s="1"/>
  <c r="I997" i="1"/>
  <c r="K997" i="1" s="1"/>
  <c r="I998" i="1"/>
  <c r="K998" i="1" s="1"/>
  <c r="I999" i="1"/>
  <c r="K999" i="1" s="1"/>
  <c r="I1000" i="1"/>
  <c r="K1000" i="1" s="1"/>
  <c r="I1001" i="1"/>
  <c r="K1001" i="1" s="1"/>
  <c r="I1002" i="1"/>
  <c r="K1002" i="1" s="1"/>
  <c r="I1003" i="1"/>
  <c r="K1003" i="1" s="1"/>
  <c r="I1004" i="1"/>
  <c r="K1004" i="1" s="1"/>
  <c r="I1005" i="1"/>
  <c r="K1005" i="1" s="1"/>
  <c r="I1006" i="1"/>
  <c r="K1006" i="1" s="1"/>
  <c r="I1007" i="1"/>
  <c r="K1007" i="1" s="1"/>
  <c r="I1008" i="1"/>
  <c r="K1008" i="1" s="1"/>
  <c r="I1009" i="1"/>
  <c r="K1009" i="1" s="1"/>
  <c r="I1010" i="1"/>
  <c r="K1010" i="1" s="1"/>
  <c r="I1011" i="1"/>
  <c r="K1011" i="1" s="1"/>
  <c r="I1012" i="1"/>
  <c r="K1012" i="1" s="1"/>
  <c r="I1013" i="1"/>
  <c r="K1013" i="1" s="1"/>
  <c r="I1014" i="1"/>
  <c r="K1014" i="1" s="1"/>
  <c r="I1015" i="1"/>
  <c r="K1015" i="1" s="1"/>
  <c r="I1016" i="1"/>
  <c r="K1016" i="1" s="1"/>
  <c r="E985" i="1"/>
  <c r="G985" i="1" s="1"/>
  <c r="E986" i="1"/>
  <c r="G986" i="1" s="1"/>
  <c r="E987" i="1"/>
  <c r="G987" i="1" s="1"/>
  <c r="E988" i="1"/>
  <c r="G988" i="1" s="1"/>
  <c r="E989" i="1"/>
  <c r="G989" i="1" s="1"/>
  <c r="E990" i="1"/>
  <c r="G990" i="1" s="1"/>
  <c r="E991" i="1"/>
  <c r="G991" i="1" s="1"/>
  <c r="E992" i="1"/>
  <c r="G992" i="1" s="1"/>
  <c r="E993" i="1"/>
  <c r="G993" i="1" s="1"/>
  <c r="E994" i="1"/>
  <c r="G994" i="1" s="1"/>
  <c r="E995" i="1"/>
  <c r="G995" i="1" s="1"/>
  <c r="E996" i="1"/>
  <c r="G996" i="1" s="1"/>
  <c r="E997" i="1"/>
  <c r="G997" i="1" s="1"/>
  <c r="E998" i="1"/>
  <c r="G998" i="1" s="1"/>
  <c r="E999" i="1"/>
  <c r="G999" i="1" s="1"/>
  <c r="E1000" i="1"/>
  <c r="G1000" i="1" s="1"/>
  <c r="E1001" i="1"/>
  <c r="G1001" i="1" s="1"/>
  <c r="E1002" i="1"/>
  <c r="G1002" i="1" s="1"/>
  <c r="E1003" i="1"/>
  <c r="G1003" i="1" s="1"/>
  <c r="E1004" i="1"/>
  <c r="G1004" i="1" s="1"/>
  <c r="E1005" i="1"/>
  <c r="G1005" i="1" s="1"/>
  <c r="E1006" i="1"/>
  <c r="G1006" i="1" s="1"/>
  <c r="E1007" i="1"/>
  <c r="G1007" i="1" s="1"/>
  <c r="E1008" i="1"/>
  <c r="G1008" i="1" s="1"/>
  <c r="E1009" i="1"/>
  <c r="G1009" i="1" s="1"/>
  <c r="E1010" i="1"/>
  <c r="G1010" i="1" s="1"/>
  <c r="E1011" i="1"/>
  <c r="G1011" i="1" s="1"/>
  <c r="E1012" i="1"/>
  <c r="G1012" i="1" s="1"/>
  <c r="E1013" i="1"/>
  <c r="G1013" i="1" s="1"/>
  <c r="E1014" i="1"/>
  <c r="G1014" i="1" s="1"/>
  <c r="E1015" i="1"/>
  <c r="G1015" i="1" s="1"/>
  <c r="E1016" i="1"/>
  <c r="G1016" i="1" s="1"/>
  <c r="B985" i="1"/>
  <c r="D985" i="1" s="1"/>
  <c r="H985" i="1" s="1"/>
  <c r="B986" i="1"/>
  <c r="D986" i="1" s="1"/>
  <c r="B987" i="1"/>
  <c r="D987" i="1" s="1"/>
  <c r="B988" i="1"/>
  <c r="D988" i="1" s="1"/>
  <c r="B989" i="1"/>
  <c r="D989" i="1" s="1"/>
  <c r="B990" i="1"/>
  <c r="D990" i="1" s="1"/>
  <c r="B991" i="1"/>
  <c r="D991" i="1" s="1"/>
  <c r="B992" i="1"/>
  <c r="D992" i="1" s="1"/>
  <c r="B993" i="1"/>
  <c r="D993" i="1" s="1"/>
  <c r="B994" i="1"/>
  <c r="D994" i="1" s="1"/>
  <c r="B995" i="1"/>
  <c r="D995" i="1" s="1"/>
  <c r="B996" i="1"/>
  <c r="D996" i="1" s="1"/>
  <c r="B997" i="1"/>
  <c r="D997" i="1" s="1"/>
  <c r="B998" i="1"/>
  <c r="D998" i="1" s="1"/>
  <c r="B999" i="1"/>
  <c r="D999" i="1" s="1"/>
  <c r="B1000" i="1"/>
  <c r="D1000" i="1" s="1"/>
  <c r="B1001" i="1"/>
  <c r="D1001" i="1" s="1"/>
  <c r="B1002" i="1"/>
  <c r="D1002" i="1" s="1"/>
  <c r="B1003" i="1"/>
  <c r="D1003" i="1" s="1"/>
  <c r="B1004" i="1"/>
  <c r="D1004" i="1" s="1"/>
  <c r="B1005" i="1"/>
  <c r="D1005" i="1" s="1"/>
  <c r="B1006" i="1"/>
  <c r="D1006" i="1" s="1"/>
  <c r="B1007" i="1"/>
  <c r="D1007" i="1" s="1"/>
  <c r="B1008" i="1"/>
  <c r="D1008" i="1" s="1"/>
  <c r="B1009" i="1"/>
  <c r="D1009" i="1" s="1"/>
  <c r="B1010" i="1"/>
  <c r="D1010" i="1" s="1"/>
  <c r="H1010" i="1" s="1"/>
  <c r="B1011" i="1"/>
  <c r="D1011" i="1" s="1"/>
  <c r="H1011" i="1" s="1"/>
  <c r="B1012" i="1"/>
  <c r="D1012" i="1" s="1"/>
  <c r="H1012" i="1" s="1"/>
  <c r="B1013" i="1"/>
  <c r="D1013" i="1" s="1"/>
  <c r="H1013" i="1" s="1"/>
  <c r="B1014" i="1"/>
  <c r="D1014" i="1" s="1"/>
  <c r="H1014" i="1" s="1"/>
  <c r="B1015" i="1"/>
  <c r="D1015" i="1" s="1"/>
  <c r="H1015" i="1" s="1"/>
  <c r="B1016" i="1"/>
  <c r="D1016" i="1" s="1"/>
  <c r="H1016" i="1" s="1"/>
  <c r="H1022" i="1" l="1"/>
  <c r="H1018" i="1"/>
  <c r="H1019" i="1"/>
  <c r="H1023" i="1"/>
  <c r="H1026" i="1"/>
  <c r="O1022" i="1"/>
  <c r="O1015" i="1"/>
  <c r="O1011" i="1"/>
  <c r="H1025" i="1"/>
  <c r="H1021" i="1"/>
  <c r="H1017" i="1"/>
  <c r="O1025" i="1"/>
  <c r="O1021" i="1"/>
  <c r="O1017" i="1"/>
  <c r="O1026" i="1"/>
  <c r="O1018" i="1"/>
  <c r="O1014" i="1"/>
  <c r="O1010" i="1"/>
  <c r="H1024" i="1"/>
  <c r="H1020" i="1"/>
  <c r="O1013" i="1"/>
  <c r="O1023" i="1"/>
  <c r="O1019" i="1"/>
  <c r="O1012" i="1"/>
  <c r="O1020" i="1"/>
  <c r="O1024" i="1"/>
  <c r="O1016" i="1"/>
  <c r="H1009" i="1"/>
  <c r="O1009" i="1"/>
  <c r="H1008" i="1"/>
  <c r="O1008" i="1"/>
  <c r="O1007" i="1"/>
  <c r="H1007" i="1"/>
  <c r="H1006" i="1"/>
  <c r="O1006" i="1"/>
  <c r="O1005" i="1"/>
  <c r="H1005" i="1"/>
  <c r="O1004" i="1"/>
  <c r="H1004" i="1"/>
  <c r="O1003" i="1"/>
  <c r="H1003" i="1"/>
  <c r="O1002" i="1"/>
  <c r="H1002" i="1"/>
  <c r="O1001" i="1"/>
  <c r="H1001" i="1"/>
  <c r="O1000" i="1"/>
  <c r="H1000" i="1"/>
  <c r="H999" i="1"/>
  <c r="O999" i="1"/>
  <c r="H998" i="1"/>
  <c r="O998" i="1"/>
  <c r="O997" i="1"/>
  <c r="H997" i="1"/>
  <c r="O996" i="1"/>
  <c r="H996" i="1"/>
  <c r="O995" i="1"/>
  <c r="H995" i="1"/>
  <c r="O994" i="1"/>
  <c r="H994" i="1"/>
  <c r="H993" i="1"/>
  <c r="O993" i="1"/>
  <c r="H992" i="1"/>
  <c r="O992" i="1"/>
  <c r="O991" i="1"/>
  <c r="H991" i="1"/>
  <c r="H990" i="1"/>
  <c r="O990" i="1"/>
  <c r="O989" i="1"/>
  <c r="O985" i="1"/>
  <c r="H989" i="1"/>
  <c r="O988" i="1"/>
  <c r="H988" i="1"/>
  <c r="O987" i="1"/>
  <c r="H987" i="1"/>
  <c r="O986" i="1"/>
  <c r="H986" i="1"/>
  <c r="E978" i="1" l="1"/>
  <c r="L973" i="1" l="1"/>
  <c r="N973" i="1" s="1"/>
  <c r="L974" i="1"/>
  <c r="N974" i="1" s="1"/>
  <c r="L975" i="1"/>
  <c r="N975" i="1" s="1"/>
  <c r="L976" i="1"/>
  <c r="N976" i="1" s="1"/>
  <c r="L977" i="1"/>
  <c r="N977" i="1" s="1"/>
  <c r="L978" i="1"/>
  <c r="N978" i="1" s="1"/>
  <c r="L979" i="1"/>
  <c r="N979" i="1" s="1"/>
  <c r="L980" i="1"/>
  <c r="L981" i="1"/>
  <c r="N981" i="1" s="1"/>
  <c r="L982" i="1"/>
  <c r="N982" i="1" s="1"/>
  <c r="L983" i="1"/>
  <c r="N983" i="1" s="1"/>
  <c r="L984" i="1"/>
  <c r="N984" i="1" s="1"/>
  <c r="P967" i="1" l="1"/>
  <c r="R967" i="1" s="1"/>
  <c r="P968" i="1"/>
  <c r="R968" i="1" s="1"/>
  <c r="P969" i="1"/>
  <c r="R969" i="1" s="1"/>
  <c r="P970" i="1"/>
  <c r="R970" i="1" s="1"/>
  <c r="P971" i="1"/>
  <c r="R971" i="1" s="1"/>
  <c r="P972" i="1"/>
  <c r="R972" i="1" s="1"/>
  <c r="P973" i="1"/>
  <c r="R973" i="1" s="1"/>
  <c r="P974" i="1"/>
  <c r="R974" i="1" s="1"/>
  <c r="P975" i="1"/>
  <c r="R975" i="1" s="1"/>
  <c r="P976" i="1"/>
  <c r="R976" i="1" s="1"/>
  <c r="P977" i="1"/>
  <c r="R977" i="1" s="1"/>
  <c r="P978" i="1"/>
  <c r="R978" i="1" s="1"/>
  <c r="P979" i="1"/>
  <c r="R979" i="1" s="1"/>
  <c r="P980" i="1"/>
  <c r="R980" i="1" s="1"/>
  <c r="P981" i="1"/>
  <c r="R981" i="1" s="1"/>
  <c r="P982" i="1"/>
  <c r="R982" i="1" s="1"/>
  <c r="P983" i="1"/>
  <c r="R983" i="1" s="1"/>
  <c r="P984" i="1"/>
  <c r="R984" i="1" s="1"/>
  <c r="L967" i="1"/>
  <c r="N967" i="1" s="1"/>
  <c r="L968" i="1"/>
  <c r="N968" i="1" s="1"/>
  <c r="L969" i="1"/>
  <c r="N969" i="1" s="1"/>
  <c r="L970" i="1"/>
  <c r="N970" i="1" s="1"/>
  <c r="L971" i="1"/>
  <c r="N971" i="1" s="1"/>
  <c r="L972" i="1"/>
  <c r="N972" i="1" s="1"/>
  <c r="I967" i="1"/>
  <c r="K967" i="1" s="1"/>
  <c r="I968" i="1"/>
  <c r="K968" i="1" s="1"/>
  <c r="I969" i="1"/>
  <c r="K969" i="1" s="1"/>
  <c r="I970" i="1"/>
  <c r="K970" i="1" s="1"/>
  <c r="I971" i="1"/>
  <c r="K971" i="1" s="1"/>
  <c r="I972" i="1"/>
  <c r="K972" i="1" s="1"/>
  <c r="I973" i="1"/>
  <c r="K973" i="1" s="1"/>
  <c r="I974" i="1"/>
  <c r="K974" i="1" s="1"/>
  <c r="O974" i="1" s="1"/>
  <c r="I975" i="1"/>
  <c r="K975" i="1" s="1"/>
  <c r="I976" i="1"/>
  <c r="K976" i="1" s="1"/>
  <c r="I977" i="1"/>
  <c r="K977" i="1" s="1"/>
  <c r="I978" i="1"/>
  <c r="K978" i="1" s="1"/>
  <c r="O978" i="1" s="1"/>
  <c r="I979" i="1"/>
  <c r="K979" i="1" s="1"/>
  <c r="I980" i="1"/>
  <c r="K980" i="1" s="1"/>
  <c r="I981" i="1"/>
  <c r="K981" i="1" s="1"/>
  <c r="I982" i="1"/>
  <c r="K982" i="1" s="1"/>
  <c r="I983" i="1"/>
  <c r="K983" i="1" s="1"/>
  <c r="I984" i="1"/>
  <c r="K984" i="1" s="1"/>
  <c r="G978" i="1"/>
  <c r="E967" i="1"/>
  <c r="G967" i="1" s="1"/>
  <c r="E968" i="1"/>
  <c r="G968" i="1" s="1"/>
  <c r="E969" i="1"/>
  <c r="G969" i="1" s="1"/>
  <c r="E970" i="1"/>
  <c r="G970" i="1" s="1"/>
  <c r="E971" i="1"/>
  <c r="G971" i="1" s="1"/>
  <c r="E972" i="1"/>
  <c r="G972" i="1" s="1"/>
  <c r="E973" i="1"/>
  <c r="G973" i="1" s="1"/>
  <c r="E974" i="1"/>
  <c r="G974" i="1" s="1"/>
  <c r="E975" i="1"/>
  <c r="G975" i="1" s="1"/>
  <c r="E976" i="1"/>
  <c r="G976" i="1" s="1"/>
  <c r="E977" i="1"/>
  <c r="G977" i="1" s="1"/>
  <c r="E979" i="1"/>
  <c r="G979" i="1" s="1"/>
  <c r="E980" i="1"/>
  <c r="G980" i="1" s="1"/>
  <c r="E981" i="1"/>
  <c r="G981" i="1" s="1"/>
  <c r="E982" i="1"/>
  <c r="G982" i="1" s="1"/>
  <c r="E983" i="1"/>
  <c r="G983" i="1" s="1"/>
  <c r="E984" i="1"/>
  <c r="G984" i="1" s="1"/>
  <c r="B967" i="1"/>
  <c r="D967" i="1" s="1"/>
  <c r="B968" i="1"/>
  <c r="D968" i="1" s="1"/>
  <c r="B969" i="1"/>
  <c r="D969" i="1" s="1"/>
  <c r="B970" i="1"/>
  <c r="D970" i="1" s="1"/>
  <c r="B971" i="1"/>
  <c r="D971" i="1" s="1"/>
  <c r="B972" i="1"/>
  <c r="D972" i="1" s="1"/>
  <c r="B973" i="1"/>
  <c r="D973" i="1" s="1"/>
  <c r="B974" i="1"/>
  <c r="D974" i="1" s="1"/>
  <c r="B975" i="1"/>
  <c r="D975" i="1" s="1"/>
  <c r="B976" i="1"/>
  <c r="D976" i="1" s="1"/>
  <c r="B977" i="1"/>
  <c r="D977" i="1" s="1"/>
  <c r="B978" i="1"/>
  <c r="D978" i="1" s="1"/>
  <c r="B979" i="1"/>
  <c r="D979" i="1" s="1"/>
  <c r="B980" i="1"/>
  <c r="D980" i="1" s="1"/>
  <c r="B981" i="1"/>
  <c r="D981" i="1" s="1"/>
  <c r="B982" i="1"/>
  <c r="D982" i="1" s="1"/>
  <c r="B983" i="1"/>
  <c r="D983" i="1" s="1"/>
  <c r="B984" i="1"/>
  <c r="D984" i="1" s="1"/>
  <c r="H982" i="1" l="1"/>
  <c r="H981" i="1"/>
  <c r="H977" i="1"/>
  <c r="O983" i="1"/>
  <c r="H984" i="1"/>
  <c r="H980" i="1"/>
  <c r="H975" i="1"/>
  <c r="O982" i="1"/>
  <c r="O976" i="1"/>
  <c r="O981" i="1"/>
  <c r="H983" i="1"/>
  <c r="H979" i="1"/>
  <c r="O980" i="1"/>
  <c r="O975" i="1"/>
  <c r="O977" i="1"/>
  <c r="H976" i="1"/>
  <c r="H978" i="1"/>
  <c r="O984" i="1"/>
  <c r="O979" i="1"/>
  <c r="H974" i="1"/>
  <c r="O973" i="1"/>
  <c r="H973" i="1"/>
  <c r="O972" i="1"/>
  <c r="H972" i="1"/>
  <c r="O971" i="1"/>
  <c r="H971" i="1"/>
  <c r="O970" i="1"/>
  <c r="H970" i="1"/>
  <c r="O969" i="1"/>
  <c r="H969" i="1"/>
  <c r="O968" i="1"/>
  <c r="H968" i="1"/>
  <c r="H967" i="1"/>
  <c r="O967" i="1"/>
  <c r="P955" i="1" l="1"/>
  <c r="R955" i="1" s="1"/>
  <c r="P956" i="1"/>
  <c r="R956" i="1" s="1"/>
  <c r="P957" i="1"/>
  <c r="R957" i="1" s="1"/>
  <c r="P958" i="1"/>
  <c r="R958" i="1" s="1"/>
  <c r="P959" i="1"/>
  <c r="R959" i="1" s="1"/>
  <c r="P960" i="1"/>
  <c r="R960" i="1" s="1"/>
  <c r="P961" i="1"/>
  <c r="R961" i="1" s="1"/>
  <c r="P962" i="1"/>
  <c r="R962" i="1" s="1"/>
  <c r="P963" i="1"/>
  <c r="R963" i="1" s="1"/>
  <c r="P964" i="1"/>
  <c r="R964" i="1" s="1"/>
  <c r="P965" i="1"/>
  <c r="R965" i="1" s="1"/>
  <c r="P966" i="1"/>
  <c r="R966" i="1" s="1"/>
  <c r="L955" i="1"/>
  <c r="N955" i="1" s="1"/>
  <c r="L956" i="1"/>
  <c r="N956" i="1" s="1"/>
  <c r="L957" i="1"/>
  <c r="N957" i="1" s="1"/>
  <c r="L958" i="1"/>
  <c r="N958" i="1" s="1"/>
  <c r="L959" i="1"/>
  <c r="N959" i="1" s="1"/>
  <c r="L960" i="1"/>
  <c r="N960" i="1" s="1"/>
  <c r="L961" i="1"/>
  <c r="N961" i="1" s="1"/>
  <c r="L962" i="1"/>
  <c r="N962" i="1" s="1"/>
  <c r="L963" i="1"/>
  <c r="N963" i="1" s="1"/>
  <c r="L964" i="1"/>
  <c r="N964" i="1" s="1"/>
  <c r="L965" i="1"/>
  <c r="N965" i="1" s="1"/>
  <c r="L966" i="1"/>
  <c r="N966" i="1" s="1"/>
  <c r="I955" i="1"/>
  <c r="K955" i="1" s="1"/>
  <c r="I956" i="1"/>
  <c r="K956" i="1" s="1"/>
  <c r="I957" i="1"/>
  <c r="K957" i="1" s="1"/>
  <c r="I958" i="1"/>
  <c r="K958" i="1" s="1"/>
  <c r="I959" i="1"/>
  <c r="K959" i="1" s="1"/>
  <c r="I960" i="1"/>
  <c r="K960" i="1" s="1"/>
  <c r="I961" i="1"/>
  <c r="K961" i="1" s="1"/>
  <c r="I962" i="1"/>
  <c r="K962" i="1" s="1"/>
  <c r="I963" i="1"/>
  <c r="K963" i="1" s="1"/>
  <c r="I964" i="1"/>
  <c r="K964" i="1" s="1"/>
  <c r="I965" i="1"/>
  <c r="K965" i="1" s="1"/>
  <c r="I966" i="1"/>
  <c r="K966" i="1" s="1"/>
  <c r="E955" i="1"/>
  <c r="G955" i="1" s="1"/>
  <c r="E956" i="1"/>
  <c r="G956" i="1" s="1"/>
  <c r="E957" i="1"/>
  <c r="G957" i="1" s="1"/>
  <c r="E958" i="1"/>
  <c r="G958" i="1" s="1"/>
  <c r="E959" i="1"/>
  <c r="G959" i="1" s="1"/>
  <c r="E960" i="1"/>
  <c r="G960" i="1" s="1"/>
  <c r="E961" i="1"/>
  <c r="G961" i="1" s="1"/>
  <c r="E962" i="1"/>
  <c r="G962" i="1" s="1"/>
  <c r="E963" i="1"/>
  <c r="G963" i="1" s="1"/>
  <c r="E964" i="1"/>
  <c r="G964" i="1" s="1"/>
  <c r="E965" i="1"/>
  <c r="G965" i="1" s="1"/>
  <c r="E966" i="1"/>
  <c r="G966" i="1" s="1"/>
  <c r="B955" i="1"/>
  <c r="D955" i="1" s="1"/>
  <c r="B956" i="1"/>
  <c r="D956" i="1" s="1"/>
  <c r="B957" i="1"/>
  <c r="D957" i="1" s="1"/>
  <c r="B958" i="1"/>
  <c r="D958" i="1" s="1"/>
  <c r="B959" i="1"/>
  <c r="D959" i="1" s="1"/>
  <c r="B960" i="1"/>
  <c r="D960" i="1" s="1"/>
  <c r="B961" i="1"/>
  <c r="D961" i="1" s="1"/>
  <c r="B962" i="1"/>
  <c r="D962" i="1" s="1"/>
  <c r="B963" i="1"/>
  <c r="D963" i="1" s="1"/>
  <c r="B964" i="1"/>
  <c r="D964" i="1" s="1"/>
  <c r="B965" i="1"/>
  <c r="D965" i="1" s="1"/>
  <c r="B966" i="1"/>
  <c r="D966" i="1" s="1"/>
  <c r="O966" i="1" l="1"/>
  <c r="H966" i="1"/>
  <c r="O965" i="1"/>
  <c r="H965" i="1"/>
  <c r="O964" i="1"/>
  <c r="H964" i="1"/>
  <c r="O963" i="1"/>
  <c r="H963" i="1"/>
  <c r="O962" i="1"/>
  <c r="H962" i="1"/>
  <c r="H961" i="1"/>
  <c r="O961" i="1"/>
  <c r="O960" i="1"/>
  <c r="H960" i="1"/>
  <c r="O959" i="1"/>
  <c r="H959" i="1"/>
  <c r="H958" i="1"/>
  <c r="O958" i="1"/>
  <c r="O957" i="1"/>
  <c r="H957" i="1"/>
  <c r="O956" i="1"/>
  <c r="H956" i="1"/>
  <c r="H955" i="1"/>
  <c r="O955" i="1"/>
  <c r="P941" i="1"/>
  <c r="R941" i="1" s="1"/>
  <c r="P942" i="1"/>
  <c r="R942" i="1" s="1"/>
  <c r="P943" i="1"/>
  <c r="R943" i="1" s="1"/>
  <c r="P944" i="1"/>
  <c r="R944" i="1" s="1"/>
  <c r="P945" i="1"/>
  <c r="R945" i="1" s="1"/>
  <c r="P946" i="1"/>
  <c r="R946" i="1" s="1"/>
  <c r="P947" i="1"/>
  <c r="R947" i="1" s="1"/>
  <c r="P948" i="1"/>
  <c r="R948" i="1" s="1"/>
  <c r="P949" i="1"/>
  <c r="R949" i="1" s="1"/>
  <c r="P950" i="1"/>
  <c r="R950" i="1" s="1"/>
  <c r="P951" i="1"/>
  <c r="R951" i="1" s="1"/>
  <c r="P952" i="1"/>
  <c r="R952" i="1" s="1"/>
  <c r="P953" i="1"/>
  <c r="R953" i="1" s="1"/>
  <c r="P954" i="1"/>
  <c r="R954" i="1" s="1"/>
  <c r="L941" i="1"/>
  <c r="N941" i="1" s="1"/>
  <c r="L942" i="1"/>
  <c r="N942" i="1" s="1"/>
  <c r="L943" i="1"/>
  <c r="N943" i="1" s="1"/>
  <c r="L944" i="1"/>
  <c r="N944" i="1" s="1"/>
  <c r="L945" i="1"/>
  <c r="N945" i="1" s="1"/>
  <c r="L946" i="1"/>
  <c r="N946" i="1" s="1"/>
  <c r="L947" i="1"/>
  <c r="N947" i="1" s="1"/>
  <c r="L948" i="1"/>
  <c r="N948" i="1" s="1"/>
  <c r="L949" i="1"/>
  <c r="N949" i="1" s="1"/>
  <c r="L950" i="1"/>
  <c r="N950" i="1" s="1"/>
  <c r="L951" i="1"/>
  <c r="N951" i="1" s="1"/>
  <c r="L952" i="1"/>
  <c r="N952" i="1" s="1"/>
  <c r="L953" i="1"/>
  <c r="N953" i="1" s="1"/>
  <c r="L954" i="1"/>
  <c r="N954" i="1" s="1"/>
  <c r="I941" i="1"/>
  <c r="K941" i="1" s="1"/>
  <c r="I942" i="1"/>
  <c r="K942" i="1" s="1"/>
  <c r="I943" i="1"/>
  <c r="K943" i="1" s="1"/>
  <c r="I944" i="1"/>
  <c r="K944" i="1" s="1"/>
  <c r="I945" i="1"/>
  <c r="K945" i="1" s="1"/>
  <c r="I946" i="1"/>
  <c r="K946" i="1" s="1"/>
  <c r="I947" i="1"/>
  <c r="K947" i="1" s="1"/>
  <c r="I948" i="1"/>
  <c r="K948" i="1" s="1"/>
  <c r="I949" i="1"/>
  <c r="K949" i="1" s="1"/>
  <c r="I950" i="1"/>
  <c r="K950" i="1" s="1"/>
  <c r="I951" i="1"/>
  <c r="K951" i="1" s="1"/>
  <c r="I952" i="1"/>
  <c r="K952" i="1" s="1"/>
  <c r="I953" i="1"/>
  <c r="K953" i="1" s="1"/>
  <c r="I954" i="1"/>
  <c r="K954" i="1" s="1"/>
  <c r="E941" i="1"/>
  <c r="G941" i="1" s="1"/>
  <c r="E942" i="1"/>
  <c r="G942" i="1" s="1"/>
  <c r="E943" i="1"/>
  <c r="G943" i="1" s="1"/>
  <c r="E944" i="1"/>
  <c r="G944" i="1" s="1"/>
  <c r="E945" i="1"/>
  <c r="G945" i="1" s="1"/>
  <c r="E946" i="1"/>
  <c r="G946" i="1" s="1"/>
  <c r="E947" i="1"/>
  <c r="G947" i="1" s="1"/>
  <c r="E948" i="1"/>
  <c r="G948" i="1" s="1"/>
  <c r="E949" i="1"/>
  <c r="G949" i="1" s="1"/>
  <c r="E950" i="1"/>
  <c r="G950" i="1" s="1"/>
  <c r="E951" i="1"/>
  <c r="G951" i="1" s="1"/>
  <c r="E952" i="1"/>
  <c r="G952" i="1" s="1"/>
  <c r="E953" i="1"/>
  <c r="G953" i="1" s="1"/>
  <c r="E954" i="1"/>
  <c r="G954" i="1" s="1"/>
  <c r="B941" i="1"/>
  <c r="D941" i="1" s="1"/>
  <c r="B942" i="1"/>
  <c r="D942" i="1" s="1"/>
  <c r="B943" i="1"/>
  <c r="D943" i="1" s="1"/>
  <c r="B944" i="1"/>
  <c r="D944" i="1" s="1"/>
  <c r="B945" i="1"/>
  <c r="D945" i="1" s="1"/>
  <c r="B946" i="1"/>
  <c r="D946" i="1" s="1"/>
  <c r="B947" i="1"/>
  <c r="D947" i="1" s="1"/>
  <c r="B948" i="1"/>
  <c r="D948" i="1" s="1"/>
  <c r="B949" i="1"/>
  <c r="D949" i="1" s="1"/>
  <c r="B950" i="1"/>
  <c r="D950" i="1" s="1"/>
  <c r="B951" i="1"/>
  <c r="D951" i="1" s="1"/>
  <c r="B952" i="1"/>
  <c r="D952" i="1" s="1"/>
  <c r="B953" i="1"/>
  <c r="D953" i="1" s="1"/>
  <c r="B954" i="1"/>
  <c r="D954" i="1" s="1"/>
  <c r="H946" i="1" l="1"/>
  <c r="H954" i="1"/>
  <c r="O953" i="1"/>
  <c r="O951" i="1"/>
  <c r="H952" i="1"/>
  <c r="O949" i="1"/>
  <c r="H948" i="1"/>
  <c r="O947" i="1"/>
  <c r="O945" i="1"/>
  <c r="H944" i="1"/>
  <c r="H953" i="1"/>
  <c r="H949" i="1"/>
  <c r="H945" i="1"/>
  <c r="O952" i="1"/>
  <c r="O948" i="1"/>
  <c r="O944" i="1"/>
  <c r="O954" i="1"/>
  <c r="O950" i="1"/>
  <c r="H951" i="1"/>
  <c r="H947" i="1"/>
  <c r="H950" i="1"/>
  <c r="O946" i="1"/>
  <c r="O943" i="1"/>
  <c r="H943" i="1"/>
  <c r="O942" i="1"/>
  <c r="H942" i="1"/>
  <c r="O941" i="1"/>
  <c r="H941" i="1"/>
  <c r="P925" i="1" l="1"/>
  <c r="R925" i="1" s="1"/>
  <c r="P926" i="1"/>
  <c r="R926" i="1" s="1"/>
  <c r="P927" i="1"/>
  <c r="R927" i="1" s="1"/>
  <c r="P928" i="1"/>
  <c r="R928" i="1" s="1"/>
  <c r="P929" i="1"/>
  <c r="R929" i="1" s="1"/>
  <c r="P930" i="1"/>
  <c r="R930" i="1" s="1"/>
  <c r="P931" i="1"/>
  <c r="R931" i="1" s="1"/>
  <c r="P932" i="1"/>
  <c r="R932" i="1" s="1"/>
  <c r="P933" i="1"/>
  <c r="R933" i="1" s="1"/>
  <c r="P934" i="1"/>
  <c r="R934" i="1" s="1"/>
  <c r="P935" i="1"/>
  <c r="R935" i="1" s="1"/>
  <c r="P936" i="1"/>
  <c r="R936" i="1" s="1"/>
  <c r="P937" i="1"/>
  <c r="R937" i="1" s="1"/>
  <c r="P938" i="1"/>
  <c r="R938" i="1" s="1"/>
  <c r="P939" i="1"/>
  <c r="R939" i="1" s="1"/>
  <c r="P940" i="1"/>
  <c r="R940" i="1" s="1"/>
  <c r="L926" i="1"/>
  <c r="L927" i="1"/>
  <c r="N927" i="1" s="1"/>
  <c r="L928" i="1"/>
  <c r="N928" i="1" s="1"/>
  <c r="L929" i="1"/>
  <c r="N929" i="1" s="1"/>
  <c r="L930" i="1"/>
  <c r="N930" i="1" s="1"/>
  <c r="L931" i="1"/>
  <c r="N931" i="1" s="1"/>
  <c r="L932" i="1"/>
  <c r="N932" i="1" s="1"/>
  <c r="L933" i="1"/>
  <c r="N933" i="1" s="1"/>
  <c r="L934" i="1"/>
  <c r="N934" i="1" s="1"/>
  <c r="L935" i="1"/>
  <c r="N935" i="1" s="1"/>
  <c r="L936" i="1"/>
  <c r="N936" i="1" s="1"/>
  <c r="L937" i="1"/>
  <c r="N937" i="1" s="1"/>
  <c r="L938" i="1"/>
  <c r="L939" i="1"/>
  <c r="N939" i="1" s="1"/>
  <c r="L940" i="1"/>
  <c r="N940" i="1" s="1"/>
  <c r="I926" i="1"/>
  <c r="K926" i="1" s="1"/>
  <c r="I927" i="1"/>
  <c r="K927" i="1" s="1"/>
  <c r="I928" i="1"/>
  <c r="K928" i="1" s="1"/>
  <c r="I929" i="1"/>
  <c r="K929" i="1" s="1"/>
  <c r="I930" i="1"/>
  <c r="K930" i="1" s="1"/>
  <c r="I931" i="1"/>
  <c r="K931" i="1" s="1"/>
  <c r="I932" i="1"/>
  <c r="K932" i="1" s="1"/>
  <c r="I933" i="1"/>
  <c r="K933" i="1" s="1"/>
  <c r="I934" i="1"/>
  <c r="K934" i="1" s="1"/>
  <c r="I935" i="1"/>
  <c r="K935" i="1" s="1"/>
  <c r="I936" i="1"/>
  <c r="K936" i="1" s="1"/>
  <c r="I937" i="1"/>
  <c r="K937" i="1" s="1"/>
  <c r="I938" i="1"/>
  <c r="K938" i="1" s="1"/>
  <c r="I939" i="1"/>
  <c r="K939" i="1" s="1"/>
  <c r="I940" i="1"/>
  <c r="K940" i="1" s="1"/>
  <c r="E927" i="1"/>
  <c r="G927" i="1" s="1"/>
  <c r="E928" i="1"/>
  <c r="G928" i="1" s="1"/>
  <c r="E929" i="1"/>
  <c r="G929" i="1" s="1"/>
  <c r="E930" i="1"/>
  <c r="G930" i="1" s="1"/>
  <c r="E931" i="1"/>
  <c r="G931" i="1" s="1"/>
  <c r="E932" i="1"/>
  <c r="G932" i="1" s="1"/>
  <c r="E933" i="1"/>
  <c r="G933" i="1" s="1"/>
  <c r="E934" i="1"/>
  <c r="G934" i="1" s="1"/>
  <c r="E935" i="1"/>
  <c r="G935" i="1" s="1"/>
  <c r="E936" i="1"/>
  <c r="G936" i="1" s="1"/>
  <c r="E937" i="1"/>
  <c r="G937" i="1" s="1"/>
  <c r="E938" i="1"/>
  <c r="G938" i="1" s="1"/>
  <c r="E939" i="1"/>
  <c r="G939" i="1" s="1"/>
  <c r="E940" i="1"/>
  <c r="G940" i="1" s="1"/>
  <c r="B927" i="1"/>
  <c r="D927" i="1" s="1"/>
  <c r="B928" i="1"/>
  <c r="D928" i="1" s="1"/>
  <c r="B929" i="1"/>
  <c r="D929" i="1" s="1"/>
  <c r="B930" i="1"/>
  <c r="D930" i="1" s="1"/>
  <c r="B931" i="1"/>
  <c r="D931" i="1" s="1"/>
  <c r="B932" i="1"/>
  <c r="D932" i="1" s="1"/>
  <c r="B933" i="1"/>
  <c r="D933" i="1" s="1"/>
  <c r="B934" i="1"/>
  <c r="D934" i="1" s="1"/>
  <c r="B935" i="1"/>
  <c r="D935" i="1" s="1"/>
  <c r="B936" i="1"/>
  <c r="D936" i="1" s="1"/>
  <c r="B937" i="1"/>
  <c r="D937" i="1" s="1"/>
  <c r="B938" i="1"/>
  <c r="D938" i="1" s="1"/>
  <c r="B939" i="1"/>
  <c r="D939" i="1" s="1"/>
  <c r="B940" i="1"/>
  <c r="D940" i="1" s="1"/>
  <c r="O940" i="1" l="1"/>
  <c r="H940" i="1"/>
  <c r="O939" i="1"/>
  <c r="H939" i="1"/>
  <c r="O938" i="1"/>
  <c r="H938" i="1"/>
  <c r="O937" i="1"/>
  <c r="H937" i="1"/>
  <c r="O936" i="1"/>
  <c r="H936" i="1"/>
  <c r="O935" i="1"/>
  <c r="H935" i="1"/>
  <c r="O934" i="1"/>
  <c r="H934" i="1"/>
  <c r="H933" i="1"/>
  <c r="O933" i="1"/>
  <c r="O932" i="1"/>
  <c r="H932" i="1"/>
  <c r="O931" i="1"/>
  <c r="H931" i="1"/>
  <c r="O930" i="1"/>
  <c r="H930" i="1"/>
  <c r="O929" i="1"/>
  <c r="H929" i="1"/>
  <c r="O928" i="1"/>
  <c r="H928" i="1"/>
  <c r="O927" i="1"/>
  <c r="H927" i="1"/>
  <c r="O926" i="1"/>
  <c r="P908" i="1" l="1"/>
  <c r="R908" i="1" s="1"/>
  <c r="P909" i="1"/>
  <c r="R909" i="1" s="1"/>
  <c r="P910" i="1"/>
  <c r="R910" i="1" s="1"/>
  <c r="P911" i="1"/>
  <c r="R911" i="1" s="1"/>
  <c r="P912" i="1"/>
  <c r="R912" i="1" s="1"/>
  <c r="P913" i="1"/>
  <c r="R913" i="1" s="1"/>
  <c r="P914" i="1"/>
  <c r="R914" i="1" s="1"/>
  <c r="P915" i="1"/>
  <c r="R915" i="1" s="1"/>
  <c r="P916" i="1"/>
  <c r="R916" i="1" s="1"/>
  <c r="P917" i="1"/>
  <c r="R917" i="1" s="1"/>
  <c r="P918" i="1"/>
  <c r="R918" i="1" s="1"/>
  <c r="P919" i="1"/>
  <c r="R919" i="1" s="1"/>
  <c r="P920" i="1"/>
  <c r="R920" i="1" s="1"/>
  <c r="P921" i="1"/>
  <c r="R921" i="1" s="1"/>
  <c r="P922" i="1"/>
  <c r="R922" i="1" s="1"/>
  <c r="P923" i="1"/>
  <c r="R923" i="1" s="1"/>
  <c r="P924" i="1"/>
  <c r="R924" i="1" s="1"/>
  <c r="L908" i="1"/>
  <c r="N908" i="1" s="1"/>
  <c r="L909" i="1"/>
  <c r="N909" i="1" s="1"/>
  <c r="L910" i="1"/>
  <c r="N910" i="1" s="1"/>
  <c r="L911" i="1"/>
  <c r="N911" i="1" s="1"/>
  <c r="L912" i="1"/>
  <c r="N912" i="1" s="1"/>
  <c r="L913" i="1"/>
  <c r="N913" i="1" s="1"/>
  <c r="L914" i="1"/>
  <c r="N914" i="1" s="1"/>
  <c r="L915" i="1"/>
  <c r="N915" i="1" s="1"/>
  <c r="L916" i="1"/>
  <c r="N916" i="1" s="1"/>
  <c r="L917" i="1"/>
  <c r="N917" i="1" s="1"/>
  <c r="L918" i="1"/>
  <c r="N918" i="1" s="1"/>
  <c r="L919" i="1"/>
  <c r="N919" i="1" s="1"/>
  <c r="L920" i="1"/>
  <c r="N920" i="1" s="1"/>
  <c r="L921" i="1"/>
  <c r="N921" i="1" s="1"/>
  <c r="L922" i="1"/>
  <c r="N922" i="1" s="1"/>
  <c r="L923" i="1"/>
  <c r="N923" i="1" s="1"/>
  <c r="L924" i="1"/>
  <c r="N924" i="1" s="1"/>
  <c r="L925" i="1"/>
  <c r="N925" i="1" s="1"/>
  <c r="I908" i="1"/>
  <c r="K908" i="1" s="1"/>
  <c r="I909" i="1"/>
  <c r="K909" i="1" s="1"/>
  <c r="I910" i="1"/>
  <c r="K910" i="1" s="1"/>
  <c r="I911" i="1"/>
  <c r="K911" i="1" s="1"/>
  <c r="I912" i="1"/>
  <c r="K912" i="1" s="1"/>
  <c r="I913" i="1"/>
  <c r="K913" i="1" s="1"/>
  <c r="I914" i="1"/>
  <c r="K914" i="1" s="1"/>
  <c r="I915" i="1"/>
  <c r="K915" i="1" s="1"/>
  <c r="I916" i="1"/>
  <c r="K916" i="1" s="1"/>
  <c r="I917" i="1"/>
  <c r="K917" i="1" s="1"/>
  <c r="I918" i="1"/>
  <c r="K918" i="1" s="1"/>
  <c r="I919" i="1"/>
  <c r="K919" i="1" s="1"/>
  <c r="I920" i="1"/>
  <c r="K920" i="1" s="1"/>
  <c r="I921" i="1"/>
  <c r="K921" i="1" s="1"/>
  <c r="I922" i="1"/>
  <c r="K922" i="1" s="1"/>
  <c r="I923" i="1"/>
  <c r="K923" i="1" s="1"/>
  <c r="I924" i="1"/>
  <c r="K924" i="1" s="1"/>
  <c r="I925" i="1"/>
  <c r="K925" i="1" s="1"/>
  <c r="E908" i="1"/>
  <c r="G908" i="1" s="1"/>
  <c r="E909" i="1"/>
  <c r="G909" i="1" s="1"/>
  <c r="E910" i="1"/>
  <c r="G910" i="1" s="1"/>
  <c r="E911" i="1"/>
  <c r="G911" i="1" s="1"/>
  <c r="E912" i="1"/>
  <c r="G912" i="1" s="1"/>
  <c r="E913" i="1"/>
  <c r="G913" i="1" s="1"/>
  <c r="E914" i="1"/>
  <c r="G914" i="1" s="1"/>
  <c r="E915" i="1"/>
  <c r="G915" i="1" s="1"/>
  <c r="E916" i="1"/>
  <c r="G916" i="1" s="1"/>
  <c r="E917" i="1"/>
  <c r="G917" i="1" s="1"/>
  <c r="E918" i="1"/>
  <c r="G918" i="1" s="1"/>
  <c r="E919" i="1"/>
  <c r="G919" i="1" s="1"/>
  <c r="E920" i="1"/>
  <c r="G920" i="1" s="1"/>
  <c r="E921" i="1"/>
  <c r="G921" i="1" s="1"/>
  <c r="E922" i="1"/>
  <c r="G922" i="1" s="1"/>
  <c r="E923" i="1"/>
  <c r="G923" i="1" s="1"/>
  <c r="E924" i="1"/>
  <c r="G924" i="1" s="1"/>
  <c r="E925" i="1"/>
  <c r="G925" i="1" s="1"/>
  <c r="E926" i="1"/>
  <c r="G926" i="1" s="1"/>
  <c r="B908" i="1"/>
  <c r="D908" i="1" s="1"/>
  <c r="B909" i="1"/>
  <c r="D909" i="1" s="1"/>
  <c r="B910" i="1"/>
  <c r="D910" i="1" s="1"/>
  <c r="B911" i="1"/>
  <c r="D911" i="1" s="1"/>
  <c r="B912" i="1"/>
  <c r="D912" i="1" s="1"/>
  <c r="B913" i="1"/>
  <c r="D913" i="1" s="1"/>
  <c r="B914" i="1"/>
  <c r="D914" i="1" s="1"/>
  <c r="B915" i="1"/>
  <c r="D915" i="1" s="1"/>
  <c r="B916" i="1"/>
  <c r="D916" i="1" s="1"/>
  <c r="B917" i="1"/>
  <c r="D917" i="1" s="1"/>
  <c r="B918" i="1"/>
  <c r="D918" i="1" s="1"/>
  <c r="B919" i="1"/>
  <c r="D919" i="1" s="1"/>
  <c r="B920" i="1"/>
  <c r="D920" i="1" s="1"/>
  <c r="B921" i="1"/>
  <c r="D921" i="1" s="1"/>
  <c r="B922" i="1"/>
  <c r="D922" i="1" s="1"/>
  <c r="B923" i="1"/>
  <c r="D923" i="1" s="1"/>
  <c r="B924" i="1"/>
  <c r="D924" i="1" s="1"/>
  <c r="B925" i="1"/>
  <c r="D925" i="1" s="1"/>
  <c r="B926" i="1"/>
  <c r="D926" i="1" s="1"/>
  <c r="H919" i="1" l="1"/>
  <c r="H926" i="1"/>
  <c r="H925" i="1"/>
  <c r="O925" i="1"/>
  <c r="O924" i="1"/>
  <c r="H924" i="1"/>
  <c r="O923" i="1"/>
  <c r="H923" i="1"/>
  <c r="O922" i="1"/>
  <c r="H922" i="1"/>
  <c r="O921" i="1"/>
  <c r="H921" i="1"/>
  <c r="O920" i="1"/>
  <c r="H920" i="1"/>
  <c r="O919" i="1"/>
  <c r="H918" i="1"/>
  <c r="O918" i="1"/>
  <c r="H917" i="1"/>
  <c r="O917" i="1"/>
  <c r="O916" i="1"/>
  <c r="H916" i="1"/>
  <c r="O915" i="1"/>
  <c r="H915" i="1"/>
  <c r="H914" i="1"/>
  <c r="O914" i="1"/>
  <c r="H913" i="1"/>
  <c r="O913" i="1"/>
  <c r="H912" i="1"/>
  <c r="O912" i="1"/>
  <c r="H911" i="1"/>
  <c r="O911" i="1"/>
  <c r="O910" i="1"/>
  <c r="H910" i="1"/>
  <c r="O909" i="1"/>
  <c r="H909" i="1"/>
  <c r="H908" i="1"/>
  <c r="O908" i="1"/>
  <c r="P889" i="1" l="1"/>
  <c r="R889" i="1" s="1"/>
  <c r="P890" i="1"/>
  <c r="R890" i="1" s="1"/>
  <c r="P891" i="1"/>
  <c r="R891" i="1" s="1"/>
  <c r="P892" i="1"/>
  <c r="R892" i="1" s="1"/>
  <c r="P893" i="1"/>
  <c r="R893" i="1" s="1"/>
  <c r="P894" i="1"/>
  <c r="R894" i="1" s="1"/>
  <c r="P895" i="1"/>
  <c r="R895" i="1" s="1"/>
  <c r="P896" i="1"/>
  <c r="R896" i="1" s="1"/>
  <c r="P897" i="1"/>
  <c r="R897" i="1" s="1"/>
  <c r="P898" i="1"/>
  <c r="R898" i="1" s="1"/>
  <c r="P899" i="1"/>
  <c r="R899" i="1" s="1"/>
  <c r="P900" i="1"/>
  <c r="R900" i="1" s="1"/>
  <c r="P901" i="1"/>
  <c r="R901" i="1" s="1"/>
  <c r="P902" i="1"/>
  <c r="R902" i="1" s="1"/>
  <c r="P903" i="1"/>
  <c r="R903" i="1" s="1"/>
  <c r="P904" i="1"/>
  <c r="R904" i="1" s="1"/>
  <c r="P905" i="1"/>
  <c r="R905" i="1" s="1"/>
  <c r="P906" i="1"/>
  <c r="R906" i="1" s="1"/>
  <c r="P907" i="1"/>
  <c r="R907" i="1" s="1"/>
  <c r="L885" i="1"/>
  <c r="N885" i="1" s="1"/>
  <c r="L886" i="1"/>
  <c r="N886" i="1" s="1"/>
  <c r="L887" i="1"/>
  <c r="N887" i="1" s="1"/>
  <c r="L888" i="1"/>
  <c r="N888" i="1" s="1"/>
  <c r="L889" i="1"/>
  <c r="N889" i="1" s="1"/>
  <c r="L890" i="1"/>
  <c r="N890" i="1" s="1"/>
  <c r="L891" i="1"/>
  <c r="N891" i="1" s="1"/>
  <c r="L892" i="1"/>
  <c r="N892" i="1" s="1"/>
  <c r="L893" i="1"/>
  <c r="N893" i="1" s="1"/>
  <c r="L894" i="1"/>
  <c r="N894" i="1" s="1"/>
  <c r="L895" i="1"/>
  <c r="N895" i="1" s="1"/>
  <c r="L896" i="1"/>
  <c r="N896" i="1" s="1"/>
  <c r="L897" i="1"/>
  <c r="N897" i="1" s="1"/>
  <c r="L898" i="1"/>
  <c r="N898" i="1" s="1"/>
  <c r="L899" i="1"/>
  <c r="N899" i="1" s="1"/>
  <c r="L900" i="1"/>
  <c r="N900" i="1" s="1"/>
  <c r="L901" i="1"/>
  <c r="N901" i="1" s="1"/>
  <c r="L902" i="1"/>
  <c r="N902" i="1" s="1"/>
  <c r="L903" i="1"/>
  <c r="N903" i="1" s="1"/>
  <c r="L904" i="1"/>
  <c r="L905" i="1"/>
  <c r="L906" i="1"/>
  <c r="N906" i="1" s="1"/>
  <c r="L907" i="1"/>
  <c r="N907" i="1" s="1"/>
  <c r="I885" i="1"/>
  <c r="K885" i="1" s="1"/>
  <c r="I886" i="1"/>
  <c r="K886" i="1" s="1"/>
  <c r="I887" i="1"/>
  <c r="K887" i="1" s="1"/>
  <c r="I888" i="1"/>
  <c r="K888" i="1" s="1"/>
  <c r="I889" i="1"/>
  <c r="K889" i="1" s="1"/>
  <c r="I890" i="1"/>
  <c r="K890" i="1" s="1"/>
  <c r="I891" i="1"/>
  <c r="K891" i="1" s="1"/>
  <c r="I892" i="1"/>
  <c r="K892" i="1" s="1"/>
  <c r="I893" i="1"/>
  <c r="K893" i="1" s="1"/>
  <c r="I894" i="1"/>
  <c r="K894" i="1" s="1"/>
  <c r="I895" i="1"/>
  <c r="K895" i="1" s="1"/>
  <c r="I896" i="1"/>
  <c r="K896" i="1" s="1"/>
  <c r="I897" i="1"/>
  <c r="K897" i="1" s="1"/>
  <c r="I898" i="1"/>
  <c r="K898" i="1" s="1"/>
  <c r="I899" i="1"/>
  <c r="K899" i="1" s="1"/>
  <c r="I900" i="1"/>
  <c r="K900" i="1" s="1"/>
  <c r="I901" i="1"/>
  <c r="K901" i="1" s="1"/>
  <c r="I902" i="1"/>
  <c r="K902" i="1" s="1"/>
  <c r="I903" i="1"/>
  <c r="K903" i="1" s="1"/>
  <c r="I904" i="1"/>
  <c r="K904" i="1" s="1"/>
  <c r="I905" i="1"/>
  <c r="K905" i="1" s="1"/>
  <c r="I906" i="1"/>
  <c r="K906" i="1" s="1"/>
  <c r="I907" i="1"/>
  <c r="K907" i="1" s="1"/>
  <c r="E885" i="1"/>
  <c r="G885" i="1" s="1"/>
  <c r="E886" i="1"/>
  <c r="G886" i="1" s="1"/>
  <c r="E887" i="1"/>
  <c r="G887" i="1" s="1"/>
  <c r="E888" i="1"/>
  <c r="G888" i="1" s="1"/>
  <c r="E889" i="1"/>
  <c r="G889" i="1" s="1"/>
  <c r="E890" i="1"/>
  <c r="G890" i="1" s="1"/>
  <c r="E891" i="1"/>
  <c r="G891" i="1" s="1"/>
  <c r="E892" i="1"/>
  <c r="G892" i="1" s="1"/>
  <c r="E893" i="1"/>
  <c r="G893" i="1" s="1"/>
  <c r="E894" i="1"/>
  <c r="G894" i="1" s="1"/>
  <c r="E895" i="1"/>
  <c r="G895" i="1" s="1"/>
  <c r="E896" i="1"/>
  <c r="G896" i="1" s="1"/>
  <c r="E897" i="1"/>
  <c r="G897" i="1" s="1"/>
  <c r="E898" i="1"/>
  <c r="G898" i="1" s="1"/>
  <c r="E899" i="1"/>
  <c r="G899" i="1" s="1"/>
  <c r="E900" i="1"/>
  <c r="G900" i="1" s="1"/>
  <c r="E901" i="1"/>
  <c r="G901" i="1" s="1"/>
  <c r="E902" i="1"/>
  <c r="G902" i="1" s="1"/>
  <c r="E903" i="1"/>
  <c r="G903" i="1" s="1"/>
  <c r="E904" i="1"/>
  <c r="G904" i="1" s="1"/>
  <c r="E905" i="1"/>
  <c r="G905" i="1" s="1"/>
  <c r="E906" i="1"/>
  <c r="G906" i="1" s="1"/>
  <c r="E907" i="1"/>
  <c r="G907" i="1" s="1"/>
  <c r="B885" i="1"/>
  <c r="D885" i="1" s="1"/>
  <c r="B886" i="1"/>
  <c r="D886" i="1" s="1"/>
  <c r="B887" i="1"/>
  <c r="D887" i="1" s="1"/>
  <c r="B888" i="1"/>
  <c r="D888" i="1" s="1"/>
  <c r="B889" i="1"/>
  <c r="D889" i="1" s="1"/>
  <c r="B890" i="1"/>
  <c r="D890" i="1" s="1"/>
  <c r="B891" i="1"/>
  <c r="D891" i="1" s="1"/>
  <c r="B892" i="1"/>
  <c r="D892" i="1" s="1"/>
  <c r="B893" i="1"/>
  <c r="D893" i="1" s="1"/>
  <c r="B894" i="1"/>
  <c r="D894" i="1" s="1"/>
  <c r="B895" i="1"/>
  <c r="D895" i="1" s="1"/>
  <c r="B896" i="1"/>
  <c r="D896" i="1" s="1"/>
  <c r="B897" i="1"/>
  <c r="D897" i="1" s="1"/>
  <c r="B898" i="1"/>
  <c r="D898" i="1" s="1"/>
  <c r="B899" i="1"/>
  <c r="D899" i="1" s="1"/>
  <c r="B900" i="1"/>
  <c r="D900" i="1" s="1"/>
  <c r="B901" i="1"/>
  <c r="D901" i="1" s="1"/>
  <c r="B902" i="1"/>
  <c r="D902" i="1" s="1"/>
  <c r="B903" i="1"/>
  <c r="D903" i="1" s="1"/>
  <c r="B904" i="1"/>
  <c r="D904" i="1" s="1"/>
  <c r="B905" i="1"/>
  <c r="D905" i="1" s="1"/>
  <c r="B906" i="1"/>
  <c r="D906" i="1" s="1"/>
  <c r="B907" i="1"/>
  <c r="D907" i="1" s="1"/>
  <c r="H905" i="1" l="1"/>
  <c r="H907" i="1"/>
  <c r="H903" i="1"/>
  <c r="H901" i="1"/>
  <c r="O906" i="1"/>
  <c r="O902" i="1"/>
  <c r="O904" i="1"/>
  <c r="O900" i="1"/>
  <c r="H906" i="1"/>
  <c r="H902" i="1"/>
  <c r="O907" i="1"/>
  <c r="O903" i="1"/>
  <c r="O899" i="1"/>
  <c r="H904" i="1"/>
  <c r="H900" i="1"/>
  <c r="H899" i="1"/>
  <c r="O905" i="1"/>
  <c r="O901" i="1"/>
  <c r="H898" i="1"/>
  <c r="O898" i="1"/>
  <c r="O897" i="1"/>
  <c r="H897" i="1"/>
  <c r="O896" i="1"/>
  <c r="H896" i="1"/>
  <c r="O895" i="1"/>
  <c r="H895" i="1"/>
  <c r="H894" i="1"/>
  <c r="O894" i="1"/>
  <c r="O893" i="1"/>
  <c r="H893" i="1"/>
  <c r="O892" i="1"/>
  <c r="O891" i="1"/>
  <c r="H892" i="1"/>
  <c r="H891" i="1"/>
  <c r="O890" i="1"/>
  <c r="O889" i="1"/>
  <c r="H890" i="1"/>
  <c r="H889" i="1"/>
  <c r="O888" i="1"/>
  <c r="H888" i="1"/>
  <c r="O887" i="1"/>
  <c r="H887" i="1"/>
  <c r="O886" i="1"/>
  <c r="H886" i="1"/>
  <c r="H885" i="1"/>
  <c r="O885" i="1"/>
  <c r="B870" i="1" l="1"/>
  <c r="D870" i="1" s="1"/>
  <c r="B871" i="1"/>
  <c r="D871" i="1" s="1"/>
  <c r="B872" i="1"/>
  <c r="D872" i="1" s="1"/>
  <c r="B873" i="1"/>
  <c r="D873" i="1" s="1"/>
  <c r="B874" i="1"/>
  <c r="D874" i="1" s="1"/>
  <c r="B875" i="1"/>
  <c r="D875" i="1" s="1"/>
  <c r="B876" i="1"/>
  <c r="D876" i="1" s="1"/>
  <c r="B877" i="1"/>
  <c r="D877" i="1" s="1"/>
  <c r="B878" i="1"/>
  <c r="D878" i="1" s="1"/>
  <c r="B879" i="1"/>
  <c r="D879" i="1" s="1"/>
  <c r="B880" i="1"/>
  <c r="D880" i="1" s="1"/>
  <c r="B881" i="1"/>
  <c r="D881" i="1" s="1"/>
  <c r="B882" i="1"/>
  <c r="D882" i="1" s="1"/>
  <c r="B883" i="1"/>
  <c r="D883" i="1" s="1"/>
  <c r="B884" i="1"/>
  <c r="D884" i="1" s="1"/>
  <c r="E870" i="1"/>
  <c r="G870" i="1" s="1"/>
  <c r="E871" i="1"/>
  <c r="G871" i="1" s="1"/>
  <c r="E872" i="1"/>
  <c r="G872" i="1" s="1"/>
  <c r="E873" i="1"/>
  <c r="G873" i="1" s="1"/>
  <c r="E874" i="1"/>
  <c r="G874" i="1" s="1"/>
  <c r="E875" i="1"/>
  <c r="G875" i="1" s="1"/>
  <c r="E876" i="1"/>
  <c r="G876" i="1" s="1"/>
  <c r="E877" i="1"/>
  <c r="G877" i="1" s="1"/>
  <c r="E878" i="1"/>
  <c r="G878" i="1" s="1"/>
  <c r="E879" i="1"/>
  <c r="G879" i="1" s="1"/>
  <c r="E880" i="1"/>
  <c r="G880" i="1" s="1"/>
  <c r="E881" i="1"/>
  <c r="G881" i="1" s="1"/>
  <c r="E882" i="1"/>
  <c r="G882" i="1" s="1"/>
  <c r="E883" i="1"/>
  <c r="G883" i="1" s="1"/>
  <c r="E884" i="1"/>
  <c r="G884" i="1" s="1"/>
  <c r="I870" i="1"/>
  <c r="K870" i="1" s="1"/>
  <c r="I871" i="1"/>
  <c r="K871" i="1" s="1"/>
  <c r="I872" i="1"/>
  <c r="K872" i="1" s="1"/>
  <c r="I873" i="1"/>
  <c r="K873" i="1" s="1"/>
  <c r="I874" i="1"/>
  <c r="K874" i="1" s="1"/>
  <c r="I875" i="1"/>
  <c r="K875" i="1" s="1"/>
  <c r="I876" i="1"/>
  <c r="K876" i="1" s="1"/>
  <c r="I877" i="1"/>
  <c r="K877" i="1" s="1"/>
  <c r="I878" i="1"/>
  <c r="K878" i="1" s="1"/>
  <c r="I879" i="1"/>
  <c r="K879" i="1" s="1"/>
  <c r="I880" i="1"/>
  <c r="K880" i="1" s="1"/>
  <c r="I881" i="1"/>
  <c r="K881" i="1" s="1"/>
  <c r="I882" i="1"/>
  <c r="K882" i="1" s="1"/>
  <c r="I883" i="1"/>
  <c r="K883" i="1" s="1"/>
  <c r="I884" i="1"/>
  <c r="K884" i="1" s="1"/>
  <c r="L870" i="1"/>
  <c r="N870" i="1" s="1"/>
  <c r="L871" i="1"/>
  <c r="N871" i="1" s="1"/>
  <c r="L872" i="1"/>
  <c r="N872" i="1" s="1"/>
  <c r="L873" i="1"/>
  <c r="N873" i="1" s="1"/>
  <c r="L874" i="1"/>
  <c r="N874" i="1" s="1"/>
  <c r="L875" i="1"/>
  <c r="N875" i="1" s="1"/>
  <c r="L876" i="1"/>
  <c r="N876" i="1" s="1"/>
  <c r="L877" i="1"/>
  <c r="N877" i="1" s="1"/>
  <c r="L878" i="1"/>
  <c r="N878" i="1" s="1"/>
  <c r="L879" i="1"/>
  <c r="N879" i="1" s="1"/>
  <c r="L880" i="1"/>
  <c r="N880" i="1" s="1"/>
  <c r="L881" i="1"/>
  <c r="N881" i="1" s="1"/>
  <c r="L882" i="1"/>
  <c r="N882" i="1" s="1"/>
  <c r="L883" i="1"/>
  <c r="N883" i="1" s="1"/>
  <c r="L884" i="1"/>
  <c r="N884" i="1" s="1"/>
  <c r="H876" i="1" l="1"/>
  <c r="H874" i="1"/>
  <c r="H884" i="1"/>
  <c r="H883" i="1"/>
  <c r="O883" i="1"/>
  <c r="H882" i="1"/>
  <c r="H880" i="1"/>
  <c r="O880" i="1"/>
  <c r="O879" i="1"/>
  <c r="H879" i="1"/>
  <c r="O878" i="1"/>
  <c r="O876" i="1"/>
  <c r="O875" i="1"/>
  <c r="H875" i="1"/>
  <c r="H872" i="1"/>
  <c r="O871" i="1"/>
  <c r="H871" i="1"/>
  <c r="H878" i="1"/>
  <c r="H870" i="1"/>
  <c r="H881" i="1"/>
  <c r="H877" i="1"/>
  <c r="H873" i="1"/>
  <c r="O882" i="1"/>
  <c r="O870" i="1"/>
  <c r="O874" i="1"/>
  <c r="O881" i="1"/>
  <c r="O877" i="1"/>
  <c r="O873" i="1"/>
  <c r="O884" i="1"/>
  <c r="O872" i="1"/>
  <c r="L865" i="1" l="1"/>
  <c r="N865" i="1" s="1"/>
  <c r="L866" i="1"/>
  <c r="N866" i="1" s="1"/>
  <c r="L867" i="1"/>
  <c r="N867" i="1" s="1"/>
  <c r="L868" i="1"/>
  <c r="N868" i="1" s="1"/>
  <c r="L869" i="1"/>
  <c r="N869" i="1" s="1"/>
  <c r="I863" i="1"/>
  <c r="I864" i="1"/>
  <c r="I865" i="1"/>
  <c r="K865" i="1" s="1"/>
  <c r="I866" i="1"/>
  <c r="K866" i="1" s="1"/>
  <c r="I867" i="1"/>
  <c r="K867" i="1" s="1"/>
  <c r="I868" i="1"/>
  <c r="K868" i="1" s="1"/>
  <c r="I869" i="1"/>
  <c r="K869" i="1" s="1"/>
  <c r="E861" i="1"/>
  <c r="E862" i="1"/>
  <c r="E863" i="1"/>
  <c r="E864" i="1"/>
  <c r="E865" i="1"/>
  <c r="E866" i="1"/>
  <c r="G866" i="1" s="1"/>
  <c r="E867" i="1"/>
  <c r="G867" i="1" s="1"/>
  <c r="E868" i="1"/>
  <c r="G868" i="1" s="1"/>
  <c r="E869" i="1"/>
  <c r="G869" i="1" s="1"/>
  <c r="B861" i="1"/>
  <c r="B862" i="1"/>
  <c r="B863" i="1"/>
  <c r="D863" i="1" s="1"/>
  <c r="B864" i="1"/>
  <c r="D864" i="1" s="1"/>
  <c r="B865" i="1"/>
  <c r="D865" i="1" s="1"/>
  <c r="B866" i="1"/>
  <c r="D866" i="1" s="1"/>
  <c r="B867" i="1"/>
  <c r="D867" i="1" s="1"/>
  <c r="B868" i="1"/>
  <c r="D868" i="1" s="1"/>
  <c r="B869" i="1"/>
  <c r="D869" i="1" s="1"/>
  <c r="O869" i="1" l="1"/>
  <c r="O868" i="1"/>
  <c r="H869" i="1"/>
  <c r="H868" i="1"/>
  <c r="O867" i="1"/>
  <c r="H867" i="1"/>
  <c r="O866" i="1"/>
  <c r="H866" i="1"/>
  <c r="O865" i="1"/>
  <c r="I851" i="1"/>
  <c r="K851" i="1" s="1"/>
  <c r="I850" i="1"/>
  <c r="K850" i="1" s="1"/>
  <c r="I849" i="1"/>
  <c r="I852" i="1"/>
  <c r="K852" i="1" s="1"/>
  <c r="I853" i="1"/>
  <c r="K853" i="1" s="1"/>
  <c r="I854" i="1"/>
  <c r="K854" i="1" s="1"/>
  <c r="I855" i="1"/>
  <c r="I856" i="1"/>
  <c r="K856" i="1" s="1"/>
  <c r="I857" i="1"/>
  <c r="K857" i="1" s="1"/>
  <c r="K863" i="1"/>
  <c r="K864" i="1"/>
  <c r="G861" i="1" l="1"/>
  <c r="G862" i="1"/>
  <c r="G863" i="1"/>
  <c r="H863" i="1" s="1"/>
  <c r="G864" i="1"/>
  <c r="H864" i="1" s="1"/>
  <c r="G865" i="1"/>
  <c r="H865" i="1" s="1"/>
  <c r="D861" i="1"/>
  <c r="D862" i="1"/>
  <c r="H862" i="1" l="1"/>
  <c r="H861" i="1"/>
  <c r="I836" i="1"/>
  <c r="K836" i="1" s="1"/>
  <c r="P810" i="1" l="1"/>
  <c r="P811" i="1"/>
  <c r="P812" i="1"/>
  <c r="R812" i="1" s="1"/>
  <c r="P813" i="1"/>
  <c r="R813" i="1" s="1"/>
  <c r="P814" i="1"/>
  <c r="R814" i="1" s="1"/>
  <c r="P815" i="1"/>
  <c r="R815" i="1" s="1"/>
  <c r="P816" i="1"/>
  <c r="R816" i="1" s="1"/>
  <c r="P817" i="1"/>
  <c r="R817" i="1" s="1"/>
  <c r="P818" i="1"/>
  <c r="R818" i="1" s="1"/>
  <c r="P819" i="1"/>
  <c r="R819" i="1" s="1"/>
  <c r="P820" i="1"/>
  <c r="R820" i="1" s="1"/>
  <c r="P821" i="1"/>
  <c r="R821" i="1" s="1"/>
  <c r="P822" i="1"/>
  <c r="R822" i="1" s="1"/>
  <c r="P823" i="1"/>
  <c r="R823" i="1" s="1"/>
  <c r="P824" i="1"/>
  <c r="R824" i="1" s="1"/>
  <c r="P825" i="1"/>
  <c r="R825" i="1" s="1"/>
  <c r="P826" i="1"/>
  <c r="R826" i="1" s="1"/>
  <c r="P827" i="1"/>
  <c r="R827" i="1" s="1"/>
  <c r="P828" i="1"/>
  <c r="R828" i="1" s="1"/>
  <c r="P829" i="1"/>
  <c r="R829" i="1" s="1"/>
  <c r="P830" i="1"/>
  <c r="R830" i="1" s="1"/>
  <c r="P831" i="1"/>
  <c r="R831" i="1" s="1"/>
  <c r="P832" i="1"/>
  <c r="R832" i="1" s="1"/>
  <c r="P833" i="1"/>
  <c r="R833" i="1" s="1"/>
  <c r="P834" i="1"/>
  <c r="R834" i="1" s="1"/>
  <c r="P835" i="1"/>
  <c r="R835" i="1" s="1"/>
  <c r="P836" i="1"/>
  <c r="R836" i="1" s="1"/>
  <c r="P837" i="1"/>
  <c r="R837" i="1" s="1"/>
  <c r="P838" i="1"/>
  <c r="R838" i="1" s="1"/>
  <c r="P839" i="1"/>
  <c r="R839" i="1" s="1"/>
  <c r="P840" i="1"/>
  <c r="R840" i="1" s="1"/>
  <c r="P841" i="1"/>
  <c r="R841" i="1" s="1"/>
  <c r="P842" i="1"/>
  <c r="R842" i="1" s="1"/>
  <c r="P843" i="1"/>
  <c r="R843" i="1" s="1"/>
  <c r="P844" i="1"/>
  <c r="R844" i="1" s="1"/>
  <c r="P845" i="1"/>
  <c r="R845" i="1" s="1"/>
  <c r="P846" i="1"/>
  <c r="R846" i="1" s="1"/>
  <c r="P847" i="1"/>
  <c r="R847" i="1" s="1"/>
  <c r="P848" i="1"/>
  <c r="R848" i="1" s="1"/>
  <c r="P849" i="1"/>
  <c r="R849" i="1" s="1"/>
  <c r="P850" i="1"/>
  <c r="R850" i="1" s="1"/>
  <c r="P851" i="1"/>
  <c r="R851" i="1" s="1"/>
  <c r="P852" i="1"/>
  <c r="R852" i="1" s="1"/>
  <c r="P853" i="1"/>
  <c r="R853" i="1" s="1"/>
  <c r="P854" i="1"/>
  <c r="R854" i="1" s="1"/>
  <c r="P855" i="1"/>
  <c r="R855" i="1" s="1"/>
  <c r="P856" i="1"/>
  <c r="R856" i="1" s="1"/>
  <c r="P857" i="1"/>
  <c r="R857" i="1" s="1"/>
  <c r="P858" i="1"/>
  <c r="R858" i="1" s="1"/>
  <c r="P859" i="1"/>
  <c r="R859" i="1" s="1"/>
  <c r="P860" i="1"/>
  <c r="R860" i="1" s="1"/>
  <c r="P861" i="1"/>
  <c r="R861" i="1" s="1"/>
  <c r="P862" i="1"/>
  <c r="R862" i="1" s="1"/>
  <c r="P863" i="1"/>
  <c r="R863" i="1" s="1"/>
  <c r="P864" i="1"/>
  <c r="R864" i="1" s="1"/>
  <c r="P865" i="1"/>
  <c r="R865" i="1" s="1"/>
  <c r="P866" i="1"/>
  <c r="R866" i="1" s="1"/>
  <c r="P867" i="1"/>
  <c r="R867" i="1" s="1"/>
  <c r="P868" i="1"/>
  <c r="R868" i="1" s="1"/>
  <c r="P869" i="1"/>
  <c r="R869" i="1" s="1"/>
  <c r="P870" i="1"/>
  <c r="R870" i="1" s="1"/>
  <c r="P871" i="1"/>
  <c r="R871" i="1" s="1"/>
  <c r="P872" i="1"/>
  <c r="R872" i="1" s="1"/>
  <c r="P873" i="1"/>
  <c r="R873" i="1" s="1"/>
  <c r="P874" i="1"/>
  <c r="R874" i="1" s="1"/>
  <c r="P875" i="1"/>
  <c r="R875" i="1" s="1"/>
  <c r="P876" i="1"/>
  <c r="R876" i="1" s="1"/>
  <c r="P877" i="1"/>
  <c r="R877" i="1" s="1"/>
  <c r="P878" i="1"/>
  <c r="R878" i="1" s="1"/>
  <c r="P879" i="1"/>
  <c r="R879" i="1" s="1"/>
  <c r="P880" i="1"/>
  <c r="R880" i="1" s="1"/>
  <c r="P881" i="1"/>
  <c r="R881" i="1" s="1"/>
  <c r="P882" i="1"/>
  <c r="R882" i="1" s="1"/>
  <c r="P883" i="1"/>
  <c r="R883" i="1" s="1"/>
  <c r="P884" i="1"/>
  <c r="R884" i="1" s="1"/>
  <c r="P885" i="1"/>
  <c r="R885" i="1" s="1"/>
  <c r="P886" i="1"/>
  <c r="R886" i="1" s="1"/>
  <c r="P887" i="1"/>
  <c r="R887" i="1" s="1"/>
  <c r="P888" i="1"/>
  <c r="R888" i="1" s="1"/>
  <c r="P809" i="1"/>
  <c r="L814" i="1"/>
  <c r="N814" i="1" s="1"/>
  <c r="L815" i="1"/>
  <c r="N815" i="1" s="1"/>
  <c r="L816" i="1"/>
  <c r="N816" i="1" s="1"/>
  <c r="L817" i="1"/>
  <c r="N817" i="1" s="1"/>
  <c r="L818" i="1"/>
  <c r="N818" i="1" s="1"/>
  <c r="L819" i="1"/>
  <c r="N819" i="1" s="1"/>
  <c r="L820" i="1"/>
  <c r="N820" i="1" s="1"/>
  <c r="L821" i="1"/>
  <c r="N821" i="1" s="1"/>
  <c r="L822" i="1"/>
  <c r="N822" i="1" s="1"/>
  <c r="L823" i="1"/>
  <c r="N823" i="1" s="1"/>
  <c r="L824" i="1"/>
  <c r="N824" i="1" s="1"/>
  <c r="L825" i="1"/>
  <c r="N825" i="1" s="1"/>
  <c r="L826" i="1"/>
  <c r="N826" i="1" s="1"/>
  <c r="L827" i="1"/>
  <c r="N827" i="1" s="1"/>
  <c r="L828" i="1"/>
  <c r="N828" i="1" s="1"/>
  <c r="L829" i="1"/>
  <c r="N829" i="1" s="1"/>
  <c r="L830" i="1"/>
  <c r="L831" i="1"/>
  <c r="N831" i="1" s="1"/>
  <c r="L832" i="1"/>
  <c r="N832" i="1" s="1"/>
  <c r="L833" i="1"/>
  <c r="N833" i="1" s="1"/>
  <c r="L834" i="1"/>
  <c r="N834" i="1" s="1"/>
  <c r="L835" i="1"/>
  <c r="N835" i="1" s="1"/>
  <c r="L836" i="1"/>
  <c r="N836" i="1" s="1"/>
  <c r="L837" i="1"/>
  <c r="N837" i="1" s="1"/>
  <c r="L838" i="1"/>
  <c r="N838" i="1" s="1"/>
  <c r="L839" i="1"/>
  <c r="N839" i="1" s="1"/>
  <c r="L840" i="1"/>
  <c r="N840" i="1" s="1"/>
  <c r="L841" i="1"/>
  <c r="N841" i="1" s="1"/>
  <c r="L842" i="1"/>
  <c r="N842" i="1" s="1"/>
  <c r="L843" i="1"/>
  <c r="N843" i="1" s="1"/>
  <c r="L844" i="1"/>
  <c r="N844" i="1" s="1"/>
  <c r="L845" i="1"/>
  <c r="N845" i="1" s="1"/>
  <c r="L846" i="1"/>
  <c r="N846" i="1" s="1"/>
  <c r="L847" i="1"/>
  <c r="N847" i="1" s="1"/>
  <c r="L848" i="1"/>
  <c r="N848" i="1" s="1"/>
  <c r="L849" i="1"/>
  <c r="N849" i="1" s="1"/>
  <c r="L850" i="1"/>
  <c r="N850" i="1" s="1"/>
  <c r="L851" i="1"/>
  <c r="N851" i="1" s="1"/>
  <c r="O851" i="1" s="1"/>
  <c r="L852" i="1"/>
  <c r="N852" i="1" s="1"/>
  <c r="O852" i="1" s="1"/>
  <c r="L853" i="1"/>
  <c r="N853" i="1" s="1"/>
  <c r="O853" i="1" s="1"/>
  <c r="L854" i="1"/>
  <c r="N854" i="1" s="1"/>
  <c r="O854" i="1" s="1"/>
  <c r="L855" i="1"/>
  <c r="N855" i="1" s="1"/>
  <c r="L856" i="1"/>
  <c r="N856" i="1" s="1"/>
  <c r="O856" i="1" s="1"/>
  <c r="L857" i="1"/>
  <c r="N857" i="1" s="1"/>
  <c r="O857" i="1" s="1"/>
  <c r="L858" i="1"/>
  <c r="N858" i="1" s="1"/>
  <c r="L859" i="1"/>
  <c r="N859" i="1" s="1"/>
  <c r="L860" i="1"/>
  <c r="N860" i="1" s="1"/>
  <c r="L861" i="1"/>
  <c r="N861" i="1" s="1"/>
  <c r="L862" i="1"/>
  <c r="N862" i="1" s="1"/>
  <c r="L863" i="1"/>
  <c r="N863" i="1" s="1"/>
  <c r="O863" i="1" s="1"/>
  <c r="N864" i="1"/>
  <c r="O864" i="1" s="1"/>
  <c r="L813" i="1"/>
  <c r="N813" i="1" s="1"/>
  <c r="I814" i="1"/>
  <c r="K814" i="1" s="1"/>
  <c r="I815" i="1"/>
  <c r="K815" i="1" s="1"/>
  <c r="I816" i="1"/>
  <c r="K816" i="1" s="1"/>
  <c r="I817" i="1"/>
  <c r="K817" i="1" s="1"/>
  <c r="I818" i="1"/>
  <c r="K818" i="1" s="1"/>
  <c r="I819" i="1"/>
  <c r="K819" i="1" s="1"/>
  <c r="I820" i="1"/>
  <c r="K820" i="1" s="1"/>
  <c r="I821" i="1"/>
  <c r="K821" i="1" s="1"/>
  <c r="I822" i="1"/>
  <c r="K822" i="1" s="1"/>
  <c r="I823" i="1"/>
  <c r="K823" i="1" s="1"/>
  <c r="I824" i="1"/>
  <c r="I825" i="1"/>
  <c r="K825" i="1" s="1"/>
  <c r="I826" i="1"/>
  <c r="K826" i="1" s="1"/>
  <c r="I827" i="1"/>
  <c r="K827" i="1" s="1"/>
  <c r="I828" i="1"/>
  <c r="I829" i="1"/>
  <c r="K829" i="1" s="1"/>
  <c r="I830" i="1"/>
  <c r="K830" i="1" s="1"/>
  <c r="I831" i="1"/>
  <c r="K831" i="1" s="1"/>
  <c r="I832" i="1"/>
  <c r="K832" i="1" s="1"/>
  <c r="I833" i="1"/>
  <c r="K833" i="1" s="1"/>
  <c r="I834" i="1"/>
  <c r="K834" i="1" s="1"/>
  <c r="I835" i="1"/>
  <c r="O836" i="1"/>
  <c r="I837" i="1"/>
  <c r="I838" i="1"/>
  <c r="K838" i="1" s="1"/>
  <c r="I839" i="1"/>
  <c r="K839" i="1" s="1"/>
  <c r="I840" i="1"/>
  <c r="K840" i="1" s="1"/>
  <c r="I841" i="1"/>
  <c r="K841" i="1" s="1"/>
  <c r="I842" i="1"/>
  <c r="K842" i="1" s="1"/>
  <c r="I843" i="1"/>
  <c r="K843" i="1" s="1"/>
  <c r="O843" i="1" s="1"/>
  <c r="I844" i="1"/>
  <c r="K844" i="1" s="1"/>
  <c r="O844" i="1" s="1"/>
  <c r="I845" i="1"/>
  <c r="K845" i="1" s="1"/>
  <c r="O845" i="1" s="1"/>
  <c r="I846" i="1"/>
  <c r="K846" i="1" s="1"/>
  <c r="I847" i="1"/>
  <c r="K847" i="1" s="1"/>
  <c r="I848" i="1"/>
  <c r="K848" i="1" s="1"/>
  <c r="K849" i="1"/>
  <c r="O849" i="1" s="1"/>
  <c r="O850" i="1"/>
  <c r="K855" i="1"/>
  <c r="I858" i="1"/>
  <c r="K858" i="1" s="1"/>
  <c r="I859" i="1"/>
  <c r="K859" i="1" s="1"/>
  <c r="I860" i="1"/>
  <c r="K860" i="1" s="1"/>
  <c r="I861" i="1"/>
  <c r="K861" i="1" s="1"/>
  <c r="I862" i="1"/>
  <c r="K862" i="1" s="1"/>
  <c r="I813" i="1"/>
  <c r="K813" i="1" s="1"/>
  <c r="E810" i="1"/>
  <c r="E811" i="1"/>
  <c r="E812" i="1"/>
  <c r="G812" i="1" s="1"/>
  <c r="E813" i="1"/>
  <c r="G813" i="1" s="1"/>
  <c r="E814" i="1"/>
  <c r="G814" i="1" s="1"/>
  <c r="E815" i="1"/>
  <c r="G815" i="1" s="1"/>
  <c r="E816" i="1"/>
  <c r="G816" i="1" s="1"/>
  <c r="E817" i="1"/>
  <c r="G817" i="1" s="1"/>
  <c r="E818" i="1"/>
  <c r="G818" i="1" s="1"/>
  <c r="E819" i="1"/>
  <c r="G819" i="1" s="1"/>
  <c r="E820" i="1"/>
  <c r="G820" i="1" s="1"/>
  <c r="E821" i="1"/>
  <c r="G821" i="1" s="1"/>
  <c r="E822" i="1"/>
  <c r="G822" i="1" s="1"/>
  <c r="E823" i="1"/>
  <c r="G823" i="1" s="1"/>
  <c r="E824" i="1"/>
  <c r="G824" i="1" s="1"/>
  <c r="E825" i="1"/>
  <c r="G825" i="1" s="1"/>
  <c r="E826" i="1"/>
  <c r="G826" i="1" s="1"/>
  <c r="E827" i="1"/>
  <c r="G827" i="1" s="1"/>
  <c r="E828" i="1"/>
  <c r="G828" i="1" s="1"/>
  <c r="E829" i="1"/>
  <c r="G829" i="1" s="1"/>
  <c r="E830" i="1"/>
  <c r="G830" i="1" s="1"/>
  <c r="E831" i="1"/>
  <c r="G831" i="1" s="1"/>
  <c r="E832" i="1"/>
  <c r="G832" i="1" s="1"/>
  <c r="E833" i="1"/>
  <c r="G833" i="1" s="1"/>
  <c r="E834" i="1"/>
  <c r="G834" i="1" s="1"/>
  <c r="E835" i="1"/>
  <c r="G835" i="1" s="1"/>
  <c r="E836" i="1"/>
  <c r="G836" i="1" s="1"/>
  <c r="E837" i="1"/>
  <c r="G837" i="1" s="1"/>
  <c r="E838" i="1"/>
  <c r="G838" i="1" s="1"/>
  <c r="E839" i="1"/>
  <c r="G839" i="1" s="1"/>
  <c r="E840" i="1"/>
  <c r="G840" i="1" s="1"/>
  <c r="E841" i="1"/>
  <c r="G841" i="1" s="1"/>
  <c r="E842" i="1"/>
  <c r="G842" i="1" s="1"/>
  <c r="E843" i="1"/>
  <c r="G843" i="1" s="1"/>
  <c r="E844" i="1"/>
  <c r="G844" i="1" s="1"/>
  <c r="E845" i="1"/>
  <c r="G845" i="1" s="1"/>
  <c r="E846" i="1"/>
  <c r="G846" i="1" s="1"/>
  <c r="E847" i="1"/>
  <c r="G847" i="1" s="1"/>
  <c r="E848" i="1"/>
  <c r="G848" i="1" s="1"/>
  <c r="E849" i="1"/>
  <c r="G849" i="1" s="1"/>
  <c r="E850" i="1"/>
  <c r="G850" i="1" s="1"/>
  <c r="E851" i="1"/>
  <c r="G851" i="1" s="1"/>
  <c r="E852" i="1"/>
  <c r="G852" i="1" s="1"/>
  <c r="E853" i="1"/>
  <c r="G853" i="1" s="1"/>
  <c r="E854" i="1"/>
  <c r="G854" i="1" s="1"/>
  <c r="E855" i="1"/>
  <c r="G855" i="1" s="1"/>
  <c r="E856" i="1"/>
  <c r="G856" i="1" s="1"/>
  <c r="E857" i="1"/>
  <c r="G857" i="1" s="1"/>
  <c r="E858" i="1"/>
  <c r="G858" i="1" s="1"/>
  <c r="E859" i="1"/>
  <c r="G859" i="1" s="1"/>
  <c r="E860" i="1"/>
  <c r="G860" i="1" s="1"/>
  <c r="E809" i="1"/>
  <c r="B810" i="1"/>
  <c r="B811" i="1"/>
  <c r="B812" i="1"/>
  <c r="D812" i="1" s="1"/>
  <c r="B813" i="1"/>
  <c r="D813" i="1" s="1"/>
  <c r="H813" i="1" s="1"/>
  <c r="B814" i="1"/>
  <c r="D814" i="1" s="1"/>
  <c r="H814" i="1" s="1"/>
  <c r="B815" i="1"/>
  <c r="D815" i="1" s="1"/>
  <c r="H815" i="1" s="1"/>
  <c r="B816" i="1"/>
  <c r="D816" i="1" s="1"/>
  <c r="H816" i="1" s="1"/>
  <c r="B817" i="1"/>
  <c r="D817" i="1" s="1"/>
  <c r="H817" i="1" s="1"/>
  <c r="B818" i="1"/>
  <c r="D818" i="1" s="1"/>
  <c r="H818" i="1" s="1"/>
  <c r="B819" i="1"/>
  <c r="D819" i="1" s="1"/>
  <c r="H819" i="1" s="1"/>
  <c r="B820" i="1"/>
  <c r="D820" i="1" s="1"/>
  <c r="H820" i="1" s="1"/>
  <c r="B821" i="1"/>
  <c r="D821" i="1" s="1"/>
  <c r="B822" i="1"/>
  <c r="D822" i="1" s="1"/>
  <c r="H822" i="1" s="1"/>
  <c r="B823" i="1"/>
  <c r="D823" i="1" s="1"/>
  <c r="H823" i="1" s="1"/>
  <c r="B824" i="1"/>
  <c r="D824" i="1" s="1"/>
  <c r="H824" i="1" s="1"/>
  <c r="B825" i="1"/>
  <c r="D825" i="1" s="1"/>
  <c r="B826" i="1"/>
  <c r="D826" i="1" s="1"/>
  <c r="H826" i="1" s="1"/>
  <c r="B827" i="1"/>
  <c r="D827" i="1" s="1"/>
  <c r="H827" i="1" s="1"/>
  <c r="B828" i="1"/>
  <c r="D828" i="1" s="1"/>
  <c r="H828" i="1" s="1"/>
  <c r="B829" i="1"/>
  <c r="D829" i="1" s="1"/>
  <c r="H829" i="1" s="1"/>
  <c r="B830" i="1"/>
  <c r="D830" i="1" s="1"/>
  <c r="H830" i="1" s="1"/>
  <c r="B831" i="1"/>
  <c r="D831" i="1" s="1"/>
  <c r="H831" i="1" s="1"/>
  <c r="B832" i="1"/>
  <c r="D832" i="1" s="1"/>
  <c r="H832" i="1" s="1"/>
  <c r="B833" i="1"/>
  <c r="D833" i="1" s="1"/>
  <c r="H833" i="1" s="1"/>
  <c r="B834" i="1"/>
  <c r="D834" i="1" s="1"/>
  <c r="H834" i="1" s="1"/>
  <c r="B835" i="1"/>
  <c r="D835" i="1" s="1"/>
  <c r="H835" i="1" s="1"/>
  <c r="B836" i="1"/>
  <c r="D836" i="1" s="1"/>
  <c r="H836" i="1" s="1"/>
  <c r="B837" i="1"/>
  <c r="D837" i="1" s="1"/>
  <c r="B838" i="1"/>
  <c r="D838" i="1" s="1"/>
  <c r="B839" i="1"/>
  <c r="D839" i="1" s="1"/>
  <c r="H839" i="1" s="1"/>
  <c r="B840" i="1"/>
  <c r="D840" i="1" s="1"/>
  <c r="H840" i="1" s="1"/>
  <c r="B841" i="1"/>
  <c r="B842" i="1"/>
  <c r="D842" i="1" s="1"/>
  <c r="B843" i="1"/>
  <c r="D843" i="1" s="1"/>
  <c r="H843" i="1" s="1"/>
  <c r="B844" i="1"/>
  <c r="D844" i="1" s="1"/>
  <c r="H844" i="1" s="1"/>
  <c r="B845" i="1"/>
  <c r="D845" i="1" s="1"/>
  <c r="H845" i="1" s="1"/>
  <c r="B846" i="1"/>
  <c r="D846" i="1" s="1"/>
  <c r="H846" i="1" s="1"/>
  <c r="B847" i="1"/>
  <c r="D847" i="1" s="1"/>
  <c r="H847" i="1" s="1"/>
  <c r="B848" i="1"/>
  <c r="D848" i="1" s="1"/>
  <c r="H848" i="1" s="1"/>
  <c r="B849" i="1"/>
  <c r="D849" i="1" s="1"/>
  <c r="B850" i="1"/>
  <c r="D850" i="1" s="1"/>
  <c r="H850" i="1" s="1"/>
  <c r="B851" i="1"/>
  <c r="D851" i="1" s="1"/>
  <c r="B852" i="1"/>
  <c r="B853" i="1"/>
  <c r="D853" i="1" s="1"/>
  <c r="B854" i="1"/>
  <c r="D854" i="1" s="1"/>
  <c r="H854" i="1" s="1"/>
  <c r="B855" i="1"/>
  <c r="D855" i="1" s="1"/>
  <c r="H855" i="1" s="1"/>
  <c r="B856" i="1"/>
  <c r="D856" i="1" s="1"/>
  <c r="B857" i="1"/>
  <c r="D857" i="1" s="1"/>
  <c r="B858" i="1"/>
  <c r="D858" i="1" s="1"/>
  <c r="H858" i="1" s="1"/>
  <c r="B859" i="1"/>
  <c r="D859" i="1" s="1"/>
  <c r="H859" i="1" s="1"/>
  <c r="B860" i="1"/>
  <c r="D860" i="1" s="1"/>
  <c r="H860" i="1" s="1"/>
  <c r="B809" i="1"/>
  <c r="N812" i="1"/>
  <c r="K812" i="1"/>
  <c r="O862" i="1" l="1"/>
  <c r="H825" i="1"/>
  <c r="H821" i="1"/>
  <c r="H857" i="1"/>
  <c r="H856" i="1"/>
  <c r="D852" i="1"/>
  <c r="H852" i="1" s="1"/>
  <c r="O861" i="1"/>
  <c r="O858" i="1"/>
  <c r="O860" i="1"/>
  <c r="O812" i="1"/>
  <c r="O859" i="1"/>
  <c r="O855" i="1"/>
  <c r="H853" i="1"/>
  <c r="H851" i="1"/>
  <c r="H849" i="1"/>
  <c r="O834" i="1"/>
  <c r="N830" i="1"/>
  <c r="O830" i="1" s="1"/>
  <c r="D841" i="1"/>
  <c r="H841" i="1" s="1"/>
  <c r="H837" i="1"/>
  <c r="K835" i="1"/>
  <c r="O835" i="1" s="1"/>
  <c r="K837" i="1"/>
  <c r="O837" i="1" s="1"/>
  <c r="O841" i="1"/>
  <c r="K828" i="1"/>
  <c r="O828" i="1" s="1"/>
  <c r="K824" i="1"/>
  <c r="O824" i="1" s="1"/>
  <c r="O848" i="1"/>
  <c r="O847" i="1"/>
  <c r="O846" i="1"/>
  <c r="H842" i="1"/>
  <c r="O842" i="1"/>
  <c r="O839" i="1"/>
  <c r="O840" i="1"/>
  <c r="O838" i="1"/>
  <c r="H838" i="1"/>
  <c r="O833" i="1"/>
  <c r="O832" i="1"/>
  <c r="O831" i="1"/>
  <c r="O822" i="1"/>
  <c r="O818" i="1"/>
  <c r="O814" i="1"/>
  <c r="O815" i="1"/>
  <c r="O813" i="1"/>
  <c r="O829" i="1"/>
  <c r="O821" i="1"/>
  <c r="O817" i="1"/>
  <c r="O819" i="1"/>
  <c r="O820" i="1"/>
  <c r="O816" i="1"/>
  <c r="O827" i="1"/>
  <c r="O826" i="1"/>
  <c r="O825" i="1"/>
  <c r="O823" i="1"/>
  <c r="H812" i="1"/>
  <c r="R809" i="1" l="1"/>
  <c r="R810" i="1"/>
  <c r="R811" i="1"/>
  <c r="N809" i="1"/>
  <c r="N810" i="1"/>
  <c r="N811" i="1"/>
  <c r="K809" i="1"/>
  <c r="K810" i="1"/>
  <c r="K811" i="1"/>
  <c r="G809" i="1"/>
  <c r="G810" i="1"/>
  <c r="G811" i="1"/>
  <c r="D808" i="1"/>
  <c r="D809" i="1"/>
  <c r="D810" i="1"/>
  <c r="D811" i="1"/>
  <c r="H811" i="1" l="1"/>
  <c r="H810" i="1"/>
  <c r="H809" i="1"/>
  <c r="O810" i="1"/>
  <c r="O809" i="1"/>
  <c r="O811" i="1"/>
  <c r="R803" i="1" l="1"/>
  <c r="R804" i="1"/>
  <c r="R805" i="1"/>
  <c r="R806" i="1"/>
  <c r="R807" i="1"/>
  <c r="R808" i="1"/>
  <c r="K803" i="1"/>
  <c r="K804" i="1"/>
  <c r="K805" i="1"/>
  <c r="K806" i="1"/>
  <c r="K807" i="1"/>
  <c r="K808" i="1"/>
  <c r="N807" i="1"/>
  <c r="N808" i="1"/>
  <c r="O807" i="1" l="1"/>
  <c r="O808" i="1"/>
  <c r="N804" i="1" l="1"/>
  <c r="O804" i="1" s="1"/>
  <c r="N805" i="1"/>
  <c r="O805" i="1" s="1"/>
  <c r="N806" i="1"/>
  <c r="O806" i="1" s="1"/>
  <c r="N802" i="1" l="1"/>
  <c r="N803" i="1"/>
  <c r="O803" i="1" s="1"/>
  <c r="K802" i="1"/>
  <c r="D802" i="1"/>
  <c r="D803" i="1"/>
  <c r="D804" i="1"/>
  <c r="D805" i="1"/>
  <c r="D806" i="1"/>
  <c r="D807" i="1"/>
  <c r="G803" i="1"/>
  <c r="G804" i="1"/>
  <c r="G805" i="1"/>
  <c r="G806" i="1"/>
  <c r="G807" i="1"/>
  <c r="G808" i="1"/>
  <c r="H808" i="1" s="1"/>
  <c r="R802" i="1"/>
  <c r="O802" i="1" l="1"/>
  <c r="H805" i="1"/>
  <c r="H804" i="1"/>
  <c r="H807" i="1"/>
  <c r="H803" i="1"/>
  <c r="H806" i="1"/>
  <c r="N801" i="1"/>
  <c r="K801" i="1"/>
  <c r="R801" i="1"/>
  <c r="G801" i="1"/>
  <c r="G802" i="1"/>
  <c r="H802" i="1" s="1"/>
  <c r="D801" i="1"/>
  <c r="O801" i="1" l="1"/>
  <c r="H801" i="1"/>
  <c r="K800" i="1"/>
  <c r="D800" i="1"/>
  <c r="G800" i="1"/>
  <c r="N799" i="1"/>
  <c r="N800" i="1"/>
  <c r="R800" i="1"/>
  <c r="H800" i="1" l="1"/>
  <c r="O800" i="1"/>
  <c r="N798" i="1"/>
  <c r="R798" i="1"/>
  <c r="R799" i="1"/>
  <c r="K799" i="1"/>
  <c r="O799" i="1" s="1"/>
  <c r="D798" i="1"/>
  <c r="D799" i="1"/>
  <c r="R794" i="1" l="1"/>
  <c r="R795" i="1"/>
  <c r="R796" i="1"/>
  <c r="R797" i="1"/>
  <c r="G798" i="1" l="1"/>
  <c r="D797" i="1"/>
  <c r="D796" i="1"/>
  <c r="D795" i="1"/>
  <c r="G795" i="1"/>
  <c r="G796" i="1"/>
  <c r="G797" i="1"/>
  <c r="G799" i="1"/>
  <c r="H799" i="1" s="1"/>
  <c r="K795" i="1"/>
  <c r="K796" i="1"/>
  <c r="K797" i="1"/>
  <c r="K798" i="1"/>
  <c r="N795" i="1"/>
  <c r="N796" i="1"/>
  <c r="N797" i="1"/>
  <c r="H797" i="1" l="1"/>
  <c r="H796" i="1"/>
  <c r="O798" i="1"/>
  <c r="O796" i="1"/>
  <c r="O795" i="1"/>
  <c r="O797" i="1"/>
  <c r="H795" i="1"/>
  <c r="H798" i="1"/>
  <c r="K793" i="1"/>
  <c r="K794" i="1"/>
  <c r="R793" i="1"/>
  <c r="D793" i="1"/>
  <c r="D794" i="1"/>
  <c r="G793" i="1"/>
  <c r="G794" i="1"/>
  <c r="N794" i="1"/>
  <c r="O794" i="1" l="1"/>
  <c r="N793" i="1"/>
  <c r="O793" i="1" s="1"/>
  <c r="H793" i="1"/>
  <c r="H794" i="1"/>
  <c r="R788" i="1" l="1"/>
  <c r="R789" i="1"/>
  <c r="R790" i="1"/>
  <c r="R791" i="1"/>
  <c r="R792" i="1"/>
  <c r="N788" i="1"/>
  <c r="N789" i="1"/>
  <c r="N790" i="1"/>
  <c r="N791" i="1"/>
  <c r="N792" i="1"/>
  <c r="G788" i="1"/>
  <c r="G789" i="1"/>
  <c r="G790" i="1"/>
  <c r="G791" i="1"/>
  <c r="G792" i="1"/>
  <c r="K788" i="1"/>
  <c r="K789" i="1"/>
  <c r="K790" i="1"/>
  <c r="K791" i="1"/>
  <c r="K792" i="1"/>
  <c r="D791" i="1"/>
  <c r="D792" i="1"/>
  <c r="H792" i="1" l="1"/>
  <c r="O791" i="1"/>
  <c r="O789" i="1"/>
  <c r="O788" i="1"/>
  <c r="H791" i="1"/>
  <c r="O790" i="1"/>
  <c r="O792" i="1"/>
  <c r="D788" i="1"/>
  <c r="H788" i="1" s="1"/>
  <c r="D789" i="1"/>
  <c r="H789" i="1" s="1"/>
  <c r="D790" i="1"/>
  <c r="H790" i="1" s="1"/>
  <c r="K786" i="1" l="1"/>
  <c r="K787" i="1"/>
  <c r="G787" i="1"/>
  <c r="D787" i="1"/>
  <c r="N787" i="1"/>
  <c r="R787" i="1"/>
  <c r="G782" i="1"/>
  <c r="G783" i="1"/>
  <c r="G784" i="1"/>
  <c r="G785" i="1"/>
  <c r="G786" i="1"/>
  <c r="D786" i="1"/>
  <c r="H787" i="1" l="1"/>
  <c r="O787" i="1"/>
  <c r="H786" i="1"/>
  <c r="R781" i="1"/>
  <c r="R782" i="1"/>
  <c r="R783" i="1"/>
  <c r="R784" i="1"/>
  <c r="R785" i="1"/>
  <c r="R786" i="1"/>
  <c r="N781" i="1"/>
  <c r="N782" i="1"/>
  <c r="N783" i="1"/>
  <c r="N784" i="1"/>
  <c r="N785" i="1"/>
  <c r="N786" i="1"/>
  <c r="K781" i="1"/>
  <c r="K782" i="1"/>
  <c r="K783" i="1"/>
  <c r="K784" i="1"/>
  <c r="K785" i="1"/>
  <c r="G781" i="1"/>
  <c r="D781" i="1"/>
  <c r="D782" i="1"/>
  <c r="D783" i="1"/>
  <c r="D784" i="1"/>
  <c r="D785" i="1"/>
  <c r="O781" i="1" l="1"/>
  <c r="O784" i="1"/>
  <c r="O783" i="1"/>
  <c r="O786" i="1"/>
  <c r="O782" i="1"/>
  <c r="H785" i="1"/>
  <c r="H784" i="1"/>
  <c r="H783" i="1"/>
  <c r="H782" i="1"/>
  <c r="H781" i="1"/>
  <c r="O785" i="1"/>
  <c r="K779" i="1" l="1"/>
  <c r="K780" i="1"/>
  <c r="N780" i="1"/>
  <c r="R780" i="1"/>
  <c r="G780" i="1"/>
  <c r="D780" i="1"/>
  <c r="H780" i="1" l="1"/>
  <c r="O780" i="1"/>
  <c r="R779" i="1"/>
  <c r="N777" i="1"/>
  <c r="N778" i="1"/>
  <c r="N779" i="1"/>
  <c r="G779" i="1"/>
  <c r="D779" i="1"/>
  <c r="K777" i="1"/>
  <c r="K778" i="1"/>
  <c r="R776" i="1"/>
  <c r="R777" i="1"/>
  <c r="R778" i="1"/>
  <c r="G777" i="1"/>
  <c r="G778" i="1"/>
  <c r="D777" i="1"/>
  <c r="D778" i="1"/>
  <c r="G776" i="1"/>
  <c r="H777" i="1" l="1"/>
  <c r="O778" i="1"/>
  <c r="H778" i="1"/>
  <c r="O777" i="1"/>
  <c r="H779" i="1"/>
  <c r="O779" i="1"/>
  <c r="K774" i="1"/>
  <c r="K775" i="1"/>
  <c r="K776" i="1"/>
  <c r="D775" i="1"/>
  <c r="D776" i="1"/>
  <c r="G775" i="1"/>
  <c r="G773" i="1"/>
  <c r="G774" i="1"/>
  <c r="N774" i="1"/>
  <c r="N775" i="1"/>
  <c r="N776" i="1"/>
  <c r="R774" i="1"/>
  <c r="R775" i="1"/>
  <c r="D773" i="1"/>
  <c r="D774" i="1"/>
  <c r="H774" i="1" l="1"/>
  <c r="H773" i="1"/>
  <c r="O774" i="1"/>
  <c r="O775" i="1"/>
  <c r="O776" i="1"/>
  <c r="H776" i="1"/>
  <c r="H775" i="1"/>
  <c r="K772" i="1"/>
  <c r="K773" i="1"/>
  <c r="R772" i="1"/>
  <c r="R773" i="1"/>
  <c r="N771" i="1"/>
  <c r="N772" i="1"/>
  <c r="N773" i="1"/>
  <c r="G772" i="1"/>
  <c r="D771" i="1"/>
  <c r="D772" i="1"/>
  <c r="O773" i="1" l="1"/>
  <c r="O772" i="1"/>
  <c r="H772" i="1"/>
  <c r="K769" i="1"/>
  <c r="K770" i="1"/>
  <c r="K771" i="1"/>
  <c r="O771" i="1" s="1"/>
  <c r="R766" i="1"/>
  <c r="R767" i="1"/>
  <c r="R768" i="1"/>
  <c r="R769" i="1"/>
  <c r="R770" i="1"/>
  <c r="R771" i="1"/>
  <c r="K766" i="1"/>
  <c r="K767" i="1"/>
  <c r="K768" i="1"/>
  <c r="N767" i="1"/>
  <c r="N768" i="1"/>
  <c r="N769" i="1"/>
  <c r="N770" i="1"/>
  <c r="D767" i="1"/>
  <c r="D768" i="1"/>
  <c r="D769" i="1"/>
  <c r="D770" i="1"/>
  <c r="G767" i="1"/>
  <c r="G768" i="1"/>
  <c r="G769" i="1"/>
  <c r="G770" i="1"/>
  <c r="G771" i="1"/>
  <c r="H771" i="1" s="1"/>
  <c r="O767" i="1" l="1"/>
  <c r="H770" i="1"/>
  <c r="O770" i="1"/>
  <c r="H768" i="1"/>
  <c r="H767" i="1"/>
  <c r="O769" i="1"/>
  <c r="O768" i="1"/>
  <c r="H769" i="1"/>
  <c r="R763" i="1" l="1"/>
  <c r="R764" i="1"/>
  <c r="R765" i="1"/>
  <c r="D762" i="1"/>
  <c r="D763" i="1"/>
  <c r="D764" i="1"/>
  <c r="D765" i="1"/>
  <c r="D766" i="1"/>
  <c r="N763" i="1"/>
  <c r="N764" i="1"/>
  <c r="N765" i="1"/>
  <c r="N766" i="1"/>
  <c r="O766" i="1" s="1"/>
  <c r="K763" i="1"/>
  <c r="K764" i="1"/>
  <c r="K765" i="1"/>
  <c r="G764" i="1"/>
  <c r="G765" i="1"/>
  <c r="G766" i="1"/>
  <c r="H764" i="1" l="1"/>
  <c r="H765" i="1"/>
  <c r="H766" i="1"/>
  <c r="O765" i="1"/>
  <c r="O764" i="1"/>
  <c r="O763" i="1"/>
  <c r="N732" i="1" l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K759" i="1" l="1"/>
  <c r="K760" i="1"/>
  <c r="K761" i="1"/>
  <c r="K762" i="1"/>
  <c r="R760" i="1"/>
  <c r="R761" i="1"/>
  <c r="R762" i="1"/>
  <c r="N760" i="1"/>
  <c r="N761" i="1"/>
  <c r="N762" i="1"/>
  <c r="G761" i="1"/>
  <c r="G762" i="1"/>
  <c r="H762" i="1" s="1"/>
  <c r="G763" i="1"/>
  <c r="H763" i="1" s="1"/>
  <c r="D760" i="1"/>
  <c r="D761" i="1"/>
  <c r="H761" i="1" s="1"/>
  <c r="O760" i="1" l="1"/>
  <c r="O762" i="1"/>
  <c r="O761" i="1"/>
  <c r="N755" i="1"/>
  <c r="N756" i="1"/>
  <c r="N757" i="1"/>
  <c r="N758" i="1"/>
  <c r="N759" i="1"/>
  <c r="O759" i="1" s="1"/>
  <c r="D756" i="1"/>
  <c r="D757" i="1"/>
  <c r="D758" i="1"/>
  <c r="D759" i="1"/>
  <c r="G756" i="1"/>
  <c r="G757" i="1"/>
  <c r="G758" i="1"/>
  <c r="G759" i="1"/>
  <c r="G760" i="1"/>
  <c r="H760" i="1" s="1"/>
  <c r="R757" i="1"/>
  <c r="R758" i="1"/>
  <c r="R759" i="1"/>
  <c r="K758" i="1"/>
  <c r="K757" i="1"/>
  <c r="K756" i="1"/>
  <c r="O757" i="1" l="1"/>
  <c r="H758" i="1"/>
  <c r="H757" i="1"/>
  <c r="H759" i="1"/>
  <c r="O758" i="1"/>
  <c r="H756" i="1"/>
  <c r="R756" i="1"/>
  <c r="O756" i="1"/>
  <c r="R753" i="1"/>
  <c r="R754" i="1"/>
  <c r="R755" i="1"/>
  <c r="G752" i="1"/>
  <c r="G753" i="1"/>
  <c r="G754" i="1"/>
  <c r="G755" i="1"/>
  <c r="D753" i="1"/>
  <c r="D754" i="1"/>
  <c r="D755" i="1"/>
  <c r="N753" i="1"/>
  <c r="N754" i="1"/>
  <c r="K753" i="1"/>
  <c r="K754" i="1"/>
  <c r="K755" i="1"/>
  <c r="O755" i="1" s="1"/>
  <c r="O753" i="1" l="1"/>
  <c r="O754" i="1"/>
  <c r="H755" i="1"/>
  <c r="H754" i="1"/>
  <c r="H753" i="1"/>
  <c r="K750" i="1"/>
  <c r="K751" i="1"/>
  <c r="K752" i="1"/>
  <c r="D750" i="1"/>
  <c r="D751" i="1"/>
  <c r="D752" i="1"/>
  <c r="H752" i="1" s="1"/>
  <c r="G751" i="1"/>
  <c r="R751" i="1"/>
  <c r="R752" i="1"/>
  <c r="N752" i="1"/>
  <c r="O752" i="1" l="1"/>
  <c r="H751" i="1"/>
  <c r="K748" i="1"/>
  <c r="K749" i="1"/>
  <c r="D749" i="1"/>
  <c r="R748" i="1"/>
  <c r="R749" i="1"/>
  <c r="R750" i="1"/>
  <c r="N751" i="1"/>
  <c r="O751" i="1" l="1"/>
  <c r="G748" i="1" l="1"/>
  <c r="G749" i="1"/>
  <c r="H749" i="1" s="1"/>
  <c r="G750" i="1"/>
  <c r="H750" i="1" s="1"/>
  <c r="O749" i="1" l="1"/>
  <c r="O748" i="1"/>
  <c r="O750" i="1"/>
  <c r="D747" i="1"/>
  <c r="D748" i="1"/>
  <c r="H748" i="1" s="1"/>
  <c r="K746" i="1" l="1"/>
  <c r="O746" i="1" s="1"/>
  <c r="K747" i="1"/>
  <c r="O747" i="1" s="1"/>
  <c r="D746" i="1"/>
  <c r="R744" i="1"/>
  <c r="R745" i="1"/>
  <c r="R746" i="1"/>
  <c r="R747" i="1"/>
  <c r="G745" i="1"/>
  <c r="G746" i="1"/>
  <c r="G747" i="1"/>
  <c r="H747" i="1" s="1"/>
  <c r="H746" i="1" l="1"/>
  <c r="K744" i="1"/>
  <c r="O744" i="1" s="1"/>
  <c r="K745" i="1"/>
  <c r="O745" i="1" s="1"/>
  <c r="K743" i="1"/>
  <c r="O743" i="1" s="1"/>
  <c r="D745" i="1"/>
  <c r="H745" i="1" s="1"/>
  <c r="R741" i="1"/>
  <c r="R742" i="1"/>
  <c r="R743" i="1"/>
  <c r="G743" i="1"/>
  <c r="D742" i="1"/>
  <c r="D743" i="1"/>
  <c r="D744" i="1"/>
  <c r="H744" i="1" s="1"/>
  <c r="K741" i="1"/>
  <c r="O741" i="1" s="1"/>
  <c r="K742" i="1"/>
  <c r="O742" i="1" s="1"/>
  <c r="R740" i="1"/>
  <c r="G741" i="1"/>
  <c r="G742" i="1"/>
  <c r="D741" i="1"/>
  <c r="H743" i="1" l="1"/>
  <c r="H742" i="1"/>
  <c r="H741" i="1" l="1"/>
  <c r="G740" i="1"/>
  <c r="D739" i="1"/>
  <c r="D740" i="1"/>
  <c r="G738" i="1"/>
  <c r="G739" i="1"/>
  <c r="H740" i="1" l="1"/>
  <c r="H739" i="1"/>
  <c r="R739" i="1"/>
  <c r="K739" i="1"/>
  <c r="K740" i="1"/>
  <c r="O740" i="1" l="1"/>
  <c r="O739" i="1"/>
  <c r="D738" i="1"/>
  <c r="R738" i="1"/>
  <c r="K738" i="1"/>
  <c r="G737" i="1"/>
  <c r="O738" i="1" l="1"/>
  <c r="H738" i="1"/>
  <c r="D737" i="1"/>
  <c r="H737" i="1" s="1"/>
  <c r="R737" i="1"/>
  <c r="K737" i="1"/>
  <c r="O737" i="1" s="1"/>
  <c r="K730" i="1" l="1"/>
  <c r="K731" i="1"/>
  <c r="K732" i="1"/>
  <c r="K733" i="1"/>
  <c r="O733" i="1" s="1"/>
  <c r="K734" i="1"/>
  <c r="O734" i="1" s="1"/>
  <c r="K735" i="1"/>
  <c r="O735" i="1" s="1"/>
  <c r="K736" i="1"/>
  <c r="O736" i="1" s="1"/>
  <c r="G732" i="1"/>
  <c r="G733" i="1"/>
  <c r="G734" i="1"/>
  <c r="G735" i="1"/>
  <c r="G736" i="1"/>
  <c r="D731" i="1"/>
  <c r="D732" i="1"/>
  <c r="D733" i="1"/>
  <c r="D734" i="1"/>
  <c r="D735" i="1"/>
  <c r="D736" i="1"/>
  <c r="H734" i="1" l="1"/>
  <c r="H735" i="1"/>
  <c r="H736" i="1"/>
  <c r="H733" i="1"/>
  <c r="H732" i="1"/>
  <c r="R732" i="1"/>
  <c r="R733" i="1"/>
  <c r="R734" i="1"/>
  <c r="R735" i="1"/>
  <c r="R736" i="1"/>
  <c r="N731" i="1" l="1"/>
  <c r="O731" i="1" s="1"/>
  <c r="O732" i="1"/>
  <c r="D729" i="1" l="1"/>
  <c r="D730" i="1"/>
  <c r="R730" i="1"/>
  <c r="R731" i="1"/>
  <c r="R727" i="1" l="1"/>
  <c r="R728" i="1"/>
  <c r="R729" i="1"/>
  <c r="N727" i="1"/>
  <c r="N728" i="1"/>
  <c r="N729" i="1"/>
  <c r="N730" i="1"/>
  <c r="O730" i="1" s="1"/>
  <c r="G728" i="1"/>
  <c r="G729" i="1"/>
  <c r="H729" i="1" s="1"/>
  <c r="G730" i="1"/>
  <c r="H730" i="1" s="1"/>
  <c r="G731" i="1"/>
  <c r="H731" i="1" s="1"/>
  <c r="D728" i="1"/>
  <c r="H728" i="1" s="1"/>
  <c r="K729" i="1"/>
  <c r="O729" i="1" l="1"/>
  <c r="G726" i="1" l="1"/>
  <c r="G727" i="1"/>
  <c r="D727" i="1"/>
  <c r="K728" i="1"/>
  <c r="O728" i="1" s="1"/>
  <c r="H727" i="1" l="1"/>
  <c r="R725" i="1"/>
  <c r="R726" i="1"/>
  <c r="N726" i="1"/>
  <c r="K725" i="1"/>
  <c r="K726" i="1"/>
  <c r="K727" i="1"/>
  <c r="O727" i="1" s="1"/>
  <c r="D726" i="1"/>
  <c r="H726" i="1" s="1"/>
  <c r="O726" i="1" l="1"/>
  <c r="R724" i="1"/>
  <c r="N724" i="1"/>
  <c r="N725" i="1"/>
  <c r="O725" i="1" s="1"/>
  <c r="G725" i="1"/>
  <c r="G720" i="1" l="1"/>
  <c r="G721" i="1"/>
  <c r="G722" i="1"/>
  <c r="G723" i="1"/>
  <c r="G724" i="1"/>
  <c r="D719" i="1"/>
  <c r="D720" i="1"/>
  <c r="D721" i="1"/>
  <c r="D722" i="1"/>
  <c r="D723" i="1"/>
  <c r="D724" i="1"/>
  <c r="D725" i="1"/>
  <c r="H725" i="1" s="1"/>
  <c r="H721" i="1" l="1"/>
  <c r="H722" i="1"/>
  <c r="H723" i="1"/>
  <c r="H724" i="1"/>
  <c r="G718" i="1"/>
  <c r="G719" i="1"/>
  <c r="K718" i="1"/>
  <c r="K719" i="1"/>
  <c r="K720" i="1"/>
  <c r="K721" i="1"/>
  <c r="K722" i="1"/>
  <c r="K723" i="1"/>
  <c r="K724" i="1"/>
  <c r="O724" i="1" s="1"/>
  <c r="N719" i="1"/>
  <c r="N720" i="1"/>
  <c r="N721" i="1"/>
  <c r="N722" i="1"/>
  <c r="N723" i="1"/>
  <c r="R718" i="1"/>
  <c r="R719" i="1"/>
  <c r="R720" i="1"/>
  <c r="R721" i="1"/>
  <c r="R722" i="1"/>
  <c r="R723" i="1"/>
  <c r="O720" i="1" l="1"/>
  <c r="O719" i="1"/>
  <c r="O723" i="1"/>
  <c r="O722" i="1"/>
  <c r="O721" i="1"/>
  <c r="H720" i="1"/>
  <c r="N714" i="1" l="1"/>
  <c r="N715" i="1"/>
  <c r="N716" i="1"/>
  <c r="N717" i="1"/>
  <c r="N718" i="1"/>
  <c r="O718" i="1" s="1"/>
  <c r="G715" i="1"/>
  <c r="G716" i="1"/>
  <c r="G717" i="1"/>
  <c r="D715" i="1"/>
  <c r="D716" i="1"/>
  <c r="D717" i="1"/>
  <c r="D718" i="1"/>
  <c r="H718" i="1" s="1"/>
  <c r="H719" i="1"/>
  <c r="K714" i="1"/>
  <c r="K715" i="1"/>
  <c r="K716" i="1"/>
  <c r="K717" i="1"/>
  <c r="R715" i="1"/>
  <c r="R716" i="1"/>
  <c r="R717" i="1"/>
  <c r="O717" i="1" l="1"/>
  <c r="H717" i="1"/>
  <c r="O715" i="1"/>
  <c r="O716" i="1"/>
  <c r="H716" i="1"/>
  <c r="H715" i="1"/>
  <c r="G714" i="1"/>
  <c r="K711" i="1" l="1"/>
  <c r="K712" i="1"/>
  <c r="K713" i="1"/>
  <c r="O714" i="1"/>
  <c r="R714" i="1"/>
  <c r="D709" i="1" l="1"/>
  <c r="D710" i="1"/>
  <c r="D711" i="1"/>
  <c r="D712" i="1"/>
  <c r="D713" i="1"/>
  <c r="D714" i="1"/>
  <c r="H714" i="1" s="1"/>
  <c r="N711" i="1"/>
  <c r="O711" i="1" s="1"/>
  <c r="N712" i="1"/>
  <c r="O712" i="1" s="1"/>
  <c r="N713" i="1"/>
  <c r="O713" i="1" s="1"/>
  <c r="R711" i="1"/>
  <c r="R712" i="1"/>
  <c r="R713" i="1"/>
  <c r="R704" i="1" l="1"/>
  <c r="R705" i="1"/>
  <c r="R706" i="1"/>
  <c r="R707" i="1"/>
  <c r="R708" i="1"/>
  <c r="R709" i="1"/>
  <c r="R710" i="1"/>
  <c r="K703" i="1"/>
  <c r="K704" i="1"/>
  <c r="K705" i="1"/>
  <c r="K706" i="1"/>
  <c r="K707" i="1"/>
  <c r="K708" i="1"/>
  <c r="K709" i="1"/>
  <c r="K710" i="1"/>
  <c r="N705" i="1"/>
  <c r="N706" i="1"/>
  <c r="N707" i="1"/>
  <c r="N708" i="1"/>
  <c r="N709" i="1"/>
  <c r="N710" i="1"/>
  <c r="G703" i="1"/>
  <c r="G704" i="1"/>
  <c r="G705" i="1"/>
  <c r="G706" i="1"/>
  <c r="G707" i="1"/>
  <c r="G708" i="1"/>
  <c r="G709" i="1"/>
  <c r="H709" i="1" s="1"/>
  <c r="G710" i="1"/>
  <c r="H710" i="1" s="1"/>
  <c r="G711" i="1"/>
  <c r="H711" i="1" s="1"/>
  <c r="G712" i="1"/>
  <c r="H712" i="1" s="1"/>
  <c r="G713" i="1"/>
  <c r="H713" i="1" s="1"/>
  <c r="D705" i="1"/>
  <c r="D706" i="1"/>
  <c r="D707" i="1"/>
  <c r="D708" i="1"/>
  <c r="H708" i="1" l="1"/>
  <c r="H707" i="1"/>
  <c r="O707" i="1"/>
  <c r="H705" i="1"/>
  <c r="H706" i="1"/>
  <c r="O708" i="1"/>
  <c r="O710" i="1"/>
  <c r="O706" i="1"/>
  <c r="O709" i="1"/>
  <c r="O705" i="1"/>
  <c r="R698" i="1" l="1"/>
  <c r="R699" i="1"/>
  <c r="R700" i="1"/>
  <c r="R701" i="1"/>
  <c r="R702" i="1"/>
  <c r="R703" i="1"/>
  <c r="K702" i="1"/>
  <c r="G702" i="1"/>
  <c r="N700" i="1" l="1"/>
  <c r="N701" i="1"/>
  <c r="N702" i="1"/>
  <c r="O702" i="1" s="1"/>
  <c r="N703" i="1"/>
  <c r="O703" i="1" s="1"/>
  <c r="N704" i="1"/>
  <c r="O704" i="1" s="1"/>
  <c r="K699" i="1"/>
  <c r="K700" i="1"/>
  <c r="K701" i="1"/>
  <c r="D699" i="1"/>
  <c r="D700" i="1"/>
  <c r="D701" i="1"/>
  <c r="D702" i="1"/>
  <c r="H702" i="1" s="1"/>
  <c r="D703" i="1"/>
  <c r="H703" i="1" s="1"/>
  <c r="D704" i="1"/>
  <c r="H704" i="1" s="1"/>
  <c r="G700" i="1"/>
  <c r="G701" i="1"/>
  <c r="H700" i="1" l="1"/>
  <c r="H701" i="1"/>
  <c r="O701" i="1"/>
  <c r="O700" i="1"/>
  <c r="R691" i="1" l="1"/>
  <c r="R692" i="1"/>
  <c r="R693" i="1"/>
  <c r="R694" i="1"/>
  <c r="R695" i="1"/>
  <c r="R696" i="1"/>
  <c r="R697" i="1"/>
  <c r="N696" i="1"/>
  <c r="N697" i="1"/>
  <c r="N698" i="1"/>
  <c r="N699" i="1"/>
  <c r="O699" i="1" s="1"/>
  <c r="K696" i="1"/>
  <c r="O696" i="1" s="1"/>
  <c r="K697" i="1"/>
  <c r="K698" i="1"/>
  <c r="O698" i="1" s="1"/>
  <c r="G697" i="1"/>
  <c r="G698" i="1"/>
  <c r="G699" i="1"/>
  <c r="H699" i="1" s="1"/>
  <c r="O697" i="1" l="1"/>
  <c r="D696" i="1"/>
  <c r="D697" i="1"/>
  <c r="H697" i="1" s="1"/>
  <c r="D698" i="1"/>
  <c r="H698" i="1" s="1"/>
  <c r="K694" i="1" l="1"/>
  <c r="K695" i="1"/>
  <c r="G694" i="1"/>
  <c r="G695" i="1"/>
  <c r="G696" i="1"/>
  <c r="H696" i="1" s="1"/>
  <c r="N694" i="1"/>
  <c r="N695" i="1"/>
  <c r="D693" i="1"/>
  <c r="D694" i="1"/>
  <c r="D695" i="1"/>
  <c r="H694" i="1" l="1"/>
  <c r="O694" i="1"/>
  <c r="O695" i="1"/>
  <c r="H695" i="1"/>
  <c r="K693" i="1"/>
  <c r="G693" i="1"/>
  <c r="R689" i="1" l="1"/>
  <c r="R690" i="1"/>
  <c r="D690" i="1"/>
  <c r="D691" i="1"/>
  <c r="D692" i="1"/>
  <c r="H693" i="1"/>
  <c r="G689" i="1"/>
  <c r="G690" i="1"/>
  <c r="G691" i="1"/>
  <c r="G692" i="1"/>
  <c r="N690" i="1"/>
  <c r="N691" i="1"/>
  <c r="N692" i="1"/>
  <c r="N693" i="1"/>
  <c r="O693" i="1" s="1"/>
  <c r="K691" i="1"/>
  <c r="K692" i="1"/>
  <c r="O691" i="1" l="1"/>
  <c r="H691" i="1"/>
  <c r="H692" i="1"/>
  <c r="H690" i="1"/>
  <c r="O692" i="1"/>
  <c r="K686" i="1"/>
  <c r="K687" i="1"/>
  <c r="K688" i="1"/>
  <c r="K689" i="1"/>
  <c r="K690" i="1"/>
  <c r="O690" i="1" s="1"/>
  <c r="R684" i="1"/>
  <c r="R685" i="1"/>
  <c r="R686" i="1"/>
  <c r="R687" i="1"/>
  <c r="R688" i="1"/>
  <c r="N687" i="1"/>
  <c r="N688" i="1"/>
  <c r="N689" i="1"/>
  <c r="G687" i="1"/>
  <c r="G688" i="1"/>
  <c r="D687" i="1"/>
  <c r="D688" i="1"/>
  <c r="D689" i="1"/>
  <c r="H689" i="1" s="1"/>
  <c r="O688" i="1" l="1"/>
  <c r="H687" i="1"/>
  <c r="O687" i="1"/>
  <c r="H688" i="1"/>
  <c r="O689" i="1"/>
  <c r="O686" i="1" l="1"/>
  <c r="D686" i="1"/>
  <c r="G686" i="1"/>
  <c r="H686" i="1" l="1"/>
  <c r="D683" i="1"/>
  <c r="D684" i="1"/>
  <c r="D685" i="1"/>
  <c r="R683" i="1"/>
  <c r="N685" i="1"/>
  <c r="N683" i="1"/>
  <c r="N684" i="1"/>
  <c r="K683" i="1"/>
  <c r="K684" i="1"/>
  <c r="K685" i="1"/>
  <c r="G683" i="1"/>
  <c r="G684" i="1"/>
  <c r="G685" i="1"/>
  <c r="O684" i="1" l="1"/>
  <c r="O685" i="1"/>
  <c r="H685" i="1"/>
  <c r="H683" i="1"/>
  <c r="H684" i="1"/>
  <c r="R678" i="1"/>
  <c r="R679" i="1"/>
  <c r="R680" i="1"/>
  <c r="R681" i="1"/>
  <c r="R682" i="1"/>
  <c r="O683" i="1"/>
  <c r="K679" i="1"/>
  <c r="K680" i="1"/>
  <c r="K681" i="1"/>
  <c r="K682" i="1"/>
  <c r="G682" i="1"/>
  <c r="N678" i="1"/>
  <c r="N679" i="1"/>
  <c r="N680" i="1"/>
  <c r="N681" i="1"/>
  <c r="N682" i="1"/>
  <c r="G678" i="1"/>
  <c r="G679" i="1"/>
  <c r="G680" i="1"/>
  <c r="G681" i="1"/>
  <c r="D678" i="1"/>
  <c r="H678" i="1" s="1"/>
  <c r="D679" i="1"/>
  <c r="H679" i="1" s="1"/>
  <c r="D680" i="1"/>
  <c r="H680" i="1" s="1"/>
  <c r="D681" i="1"/>
  <c r="H681" i="1" s="1"/>
  <c r="D682" i="1"/>
  <c r="O680" i="1" l="1"/>
  <c r="O682" i="1"/>
  <c r="O681" i="1"/>
  <c r="O679" i="1"/>
  <c r="H682" i="1"/>
  <c r="R675" i="1"/>
  <c r="R676" i="1"/>
  <c r="R677" i="1"/>
  <c r="K675" i="1"/>
  <c r="K676" i="1"/>
  <c r="K677" i="1"/>
  <c r="K678" i="1"/>
  <c r="O678" i="1" s="1"/>
  <c r="N675" i="1"/>
  <c r="N676" i="1"/>
  <c r="N677" i="1"/>
  <c r="O677" i="1" s="1"/>
  <c r="G675" i="1"/>
  <c r="G676" i="1"/>
  <c r="G677" i="1"/>
  <c r="O676" i="1" l="1"/>
  <c r="D675" i="1"/>
  <c r="H675" i="1" s="1"/>
  <c r="D676" i="1"/>
  <c r="H676" i="1" s="1"/>
  <c r="D677" i="1"/>
  <c r="H677" i="1" s="1"/>
  <c r="O675" i="1"/>
  <c r="K673" i="1" l="1"/>
  <c r="K674" i="1"/>
  <c r="G673" i="1"/>
  <c r="G674" i="1"/>
  <c r="D672" i="1"/>
  <c r="D673" i="1"/>
  <c r="D674" i="1"/>
  <c r="R672" i="1"/>
  <c r="R673" i="1"/>
  <c r="R674" i="1"/>
  <c r="H674" i="1" l="1"/>
  <c r="H673" i="1"/>
  <c r="G672" i="1"/>
  <c r="G643" i="1" l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N670" i="1" l="1"/>
  <c r="N671" i="1"/>
  <c r="N672" i="1"/>
  <c r="N673" i="1"/>
  <c r="O673" i="1" s="1"/>
  <c r="N674" i="1"/>
  <c r="O674" i="1" s="1"/>
  <c r="H672" i="1"/>
  <c r="G670" i="1"/>
  <c r="G671" i="1"/>
  <c r="K670" i="1"/>
  <c r="K671" i="1"/>
  <c r="K672" i="1"/>
  <c r="D670" i="1"/>
  <c r="D671" i="1"/>
  <c r="H670" i="1" l="1"/>
  <c r="H671" i="1"/>
  <c r="O672" i="1"/>
  <c r="O671" i="1"/>
  <c r="O670" i="1"/>
  <c r="N667" i="1"/>
  <c r="N668" i="1"/>
  <c r="N669" i="1"/>
  <c r="G667" i="1"/>
  <c r="G668" i="1"/>
  <c r="G669" i="1"/>
  <c r="D667" i="1"/>
  <c r="D668" i="1"/>
  <c r="D669" i="1"/>
  <c r="N666" i="1" l="1"/>
  <c r="K666" i="1"/>
  <c r="K667" i="1"/>
  <c r="O667" i="1" s="1"/>
  <c r="K668" i="1"/>
  <c r="O668" i="1" s="1"/>
  <c r="K669" i="1"/>
  <c r="O669" i="1" s="1"/>
  <c r="G666" i="1"/>
  <c r="R667" i="1"/>
  <c r="R668" i="1"/>
  <c r="R669" i="1"/>
  <c r="R670" i="1"/>
  <c r="R671" i="1"/>
  <c r="O666" i="1" l="1"/>
  <c r="R665" i="1"/>
  <c r="R666" i="1"/>
  <c r="N664" i="1"/>
  <c r="N665" i="1"/>
  <c r="H669" i="1"/>
  <c r="G663" i="1"/>
  <c r="G664" i="1"/>
  <c r="G665" i="1"/>
  <c r="N663" i="1" l="1"/>
  <c r="D661" i="1"/>
  <c r="H661" i="1" s="1"/>
  <c r="D662" i="1"/>
  <c r="H662" i="1" s="1"/>
  <c r="D663" i="1"/>
  <c r="H663" i="1" s="1"/>
  <c r="D664" i="1"/>
  <c r="H664" i="1" s="1"/>
  <c r="D665" i="1"/>
  <c r="H665" i="1" s="1"/>
  <c r="D666" i="1"/>
  <c r="H666" i="1" s="1"/>
  <c r="H667" i="1"/>
  <c r="H668" i="1"/>
  <c r="K660" i="1"/>
  <c r="K661" i="1"/>
  <c r="K662" i="1"/>
  <c r="K663" i="1"/>
  <c r="K664" i="1"/>
  <c r="O664" i="1" s="1"/>
  <c r="K665" i="1"/>
  <c r="O665" i="1" s="1"/>
  <c r="N660" i="1"/>
  <c r="N661" i="1"/>
  <c r="N662" i="1"/>
  <c r="R656" i="1"/>
  <c r="R657" i="1"/>
  <c r="R658" i="1"/>
  <c r="R659" i="1"/>
  <c r="R660" i="1"/>
  <c r="R661" i="1"/>
  <c r="R662" i="1"/>
  <c r="R663" i="1"/>
  <c r="R664" i="1"/>
  <c r="O662" i="1" l="1"/>
  <c r="O661" i="1"/>
  <c r="O663" i="1"/>
  <c r="N659" i="1" l="1"/>
  <c r="O660" i="1"/>
  <c r="D659" i="1" l="1"/>
  <c r="H659" i="1" s="1"/>
  <c r="D660" i="1"/>
  <c r="H660" i="1" s="1"/>
  <c r="N658" i="1" l="1"/>
  <c r="K659" i="1"/>
  <c r="O659" i="1" s="1"/>
  <c r="K658" i="1"/>
  <c r="D658" i="1"/>
  <c r="H658" i="1" s="1"/>
  <c r="R655" i="1" l="1"/>
  <c r="K655" i="1"/>
  <c r="K656" i="1"/>
  <c r="K657" i="1"/>
  <c r="O658" i="1"/>
  <c r="D655" i="1"/>
  <c r="H655" i="1" s="1"/>
  <c r="D656" i="1"/>
  <c r="H656" i="1" s="1"/>
  <c r="D657" i="1"/>
  <c r="H657" i="1" s="1"/>
  <c r="K652" i="1" l="1"/>
  <c r="K653" i="1"/>
  <c r="K654" i="1"/>
  <c r="R653" i="1" l="1"/>
  <c r="R654" i="1"/>
  <c r="K650" i="1" l="1"/>
  <c r="K651" i="1"/>
  <c r="D650" i="1"/>
  <c r="H650" i="1" s="1"/>
  <c r="D651" i="1"/>
  <c r="H651" i="1" s="1"/>
  <c r="D652" i="1"/>
  <c r="H652" i="1" s="1"/>
  <c r="D653" i="1"/>
  <c r="D654" i="1"/>
  <c r="N649" i="1"/>
  <c r="N650" i="1"/>
  <c r="N651" i="1"/>
  <c r="N652" i="1"/>
  <c r="O652" i="1" s="1"/>
  <c r="N653" i="1"/>
  <c r="O653" i="1" s="1"/>
  <c r="N654" i="1"/>
  <c r="O654" i="1" s="1"/>
  <c r="N655" i="1"/>
  <c r="O655" i="1" s="1"/>
  <c r="N656" i="1"/>
  <c r="O656" i="1" s="1"/>
  <c r="N657" i="1"/>
  <c r="O657" i="1" s="1"/>
  <c r="R649" i="1"/>
  <c r="R650" i="1"/>
  <c r="R651" i="1"/>
  <c r="R652" i="1"/>
  <c r="H654" i="1" l="1"/>
  <c r="H653" i="1"/>
  <c r="K649" i="1" l="1"/>
  <c r="D648" i="1"/>
  <c r="D649" i="1"/>
  <c r="H649" i="1" s="1"/>
  <c r="R645" i="1" l="1"/>
  <c r="R646" i="1"/>
  <c r="R647" i="1"/>
  <c r="R648" i="1"/>
  <c r="S656" i="1"/>
  <c r="N645" i="1"/>
  <c r="N646" i="1"/>
  <c r="N647" i="1"/>
  <c r="N648" i="1"/>
  <c r="K645" i="1"/>
  <c r="K646" i="1"/>
  <c r="K647" i="1"/>
  <c r="K648" i="1"/>
  <c r="H648" i="1"/>
  <c r="O645" i="1" l="1"/>
  <c r="O646" i="1"/>
  <c r="O647" i="1"/>
  <c r="O648" i="1"/>
  <c r="O649" i="1"/>
  <c r="O650" i="1"/>
  <c r="O651" i="1"/>
  <c r="N643" i="1"/>
  <c r="N644" i="1"/>
  <c r="K644" i="1"/>
  <c r="R644" i="1"/>
  <c r="O644" i="1" l="1"/>
  <c r="N641" i="1" l="1"/>
  <c r="N642" i="1"/>
  <c r="K642" i="1"/>
  <c r="K643" i="1"/>
  <c r="O643" i="1" s="1"/>
  <c r="G641" i="1"/>
  <c r="G642" i="1"/>
  <c r="R643" i="1"/>
  <c r="O642" i="1" l="1"/>
  <c r="D638" i="1"/>
  <c r="D639" i="1"/>
  <c r="D640" i="1"/>
  <c r="D641" i="1"/>
  <c r="H641" i="1" s="1"/>
  <c r="D642" i="1"/>
  <c r="H642" i="1" s="1"/>
  <c r="D643" i="1"/>
  <c r="H643" i="1" s="1"/>
  <c r="D644" i="1"/>
  <c r="H644" i="1" s="1"/>
  <c r="D645" i="1"/>
  <c r="H645" i="1" s="1"/>
  <c r="D646" i="1"/>
  <c r="D647" i="1"/>
  <c r="H647" i="1" s="1"/>
  <c r="R640" i="1"/>
  <c r="R641" i="1"/>
  <c r="R642" i="1"/>
  <c r="K640" i="1"/>
  <c r="K641" i="1"/>
  <c r="O641" i="1" s="1"/>
  <c r="H646" i="1" l="1"/>
  <c r="G640" i="1"/>
  <c r="H640" i="1" s="1"/>
  <c r="N640" i="1"/>
  <c r="O640" i="1" s="1"/>
  <c r="G639" i="1" l="1"/>
  <c r="H639" i="1" s="1"/>
  <c r="N639" i="1"/>
  <c r="K639" i="1"/>
  <c r="R639" i="1"/>
  <c r="O639" i="1" l="1"/>
  <c r="R638" i="1" l="1"/>
  <c r="N638" i="1"/>
  <c r="K638" i="1" l="1"/>
  <c r="O638" i="1" s="1"/>
  <c r="R637" i="1" l="1"/>
  <c r="N637" i="1"/>
  <c r="D637" i="1"/>
  <c r="K637" i="1"/>
  <c r="O637" i="1" l="1"/>
  <c r="R635" i="1" l="1"/>
  <c r="R636" i="1"/>
  <c r="N635" i="1"/>
  <c r="N636" i="1"/>
  <c r="K634" i="1"/>
  <c r="K635" i="1"/>
  <c r="K636" i="1"/>
  <c r="D636" i="1"/>
  <c r="O635" i="1" l="1"/>
  <c r="O636" i="1"/>
  <c r="N631" i="1"/>
  <c r="N632" i="1"/>
  <c r="N633" i="1"/>
  <c r="N634" i="1"/>
  <c r="O634" i="1" s="1"/>
  <c r="G629" i="1"/>
  <c r="G630" i="1"/>
  <c r="G631" i="1"/>
  <c r="G632" i="1"/>
  <c r="G633" i="1"/>
  <c r="G634" i="1"/>
  <c r="G635" i="1"/>
  <c r="G636" i="1"/>
  <c r="H636" i="1" s="1"/>
  <c r="G637" i="1"/>
  <c r="H637" i="1" s="1"/>
  <c r="G638" i="1"/>
  <c r="H638" i="1" s="1"/>
  <c r="D630" i="1"/>
  <c r="D631" i="1"/>
  <c r="D632" i="1"/>
  <c r="D633" i="1"/>
  <c r="D634" i="1"/>
  <c r="D635" i="1"/>
  <c r="H631" i="1" l="1"/>
  <c r="H632" i="1"/>
  <c r="H630" i="1"/>
  <c r="H633" i="1"/>
  <c r="H635" i="1"/>
  <c r="H634" i="1"/>
  <c r="N628" i="1" l="1"/>
  <c r="N629" i="1"/>
  <c r="N630" i="1"/>
  <c r="D628" i="1" l="1"/>
  <c r="D629" i="1"/>
  <c r="H629" i="1" s="1"/>
  <c r="D626" i="1"/>
  <c r="D627" i="1"/>
  <c r="R620" i="1" l="1"/>
  <c r="R621" i="1"/>
  <c r="R622" i="1"/>
  <c r="R623" i="1"/>
  <c r="R624" i="1"/>
  <c r="R625" i="1"/>
  <c r="R626" i="1"/>
  <c r="R627" i="1"/>
  <c r="R628" i="1"/>
  <c r="R629" i="1"/>
  <c r="N624" i="1" l="1"/>
  <c r="N625" i="1"/>
  <c r="N626" i="1"/>
  <c r="N627" i="1"/>
  <c r="R619" i="1" l="1"/>
  <c r="R630" i="1"/>
  <c r="R631" i="1"/>
  <c r="R632" i="1"/>
  <c r="R633" i="1"/>
  <c r="R634" i="1"/>
  <c r="N618" i="1"/>
  <c r="N619" i="1"/>
  <c r="N620" i="1"/>
  <c r="N621" i="1"/>
  <c r="N622" i="1"/>
  <c r="N623" i="1"/>
  <c r="K619" i="1"/>
  <c r="K620" i="1"/>
  <c r="K621" i="1"/>
  <c r="K622" i="1"/>
  <c r="K623" i="1"/>
  <c r="K624" i="1"/>
  <c r="K625" i="1"/>
  <c r="K626" i="1"/>
  <c r="K627" i="1"/>
  <c r="O627" i="1" s="1"/>
  <c r="K628" i="1"/>
  <c r="O628" i="1" s="1"/>
  <c r="K629" i="1"/>
  <c r="K630" i="1"/>
  <c r="O630" i="1" s="1"/>
  <c r="K631" i="1"/>
  <c r="O631" i="1" s="1"/>
  <c r="K632" i="1"/>
  <c r="O632" i="1" s="1"/>
  <c r="K633" i="1"/>
  <c r="O633" i="1" s="1"/>
  <c r="G619" i="1"/>
  <c r="G620" i="1"/>
  <c r="G621" i="1"/>
  <c r="G622" i="1"/>
  <c r="G623" i="1"/>
  <c r="G624" i="1"/>
  <c r="G625" i="1"/>
  <c r="G626" i="1"/>
  <c r="G627" i="1"/>
  <c r="G628" i="1"/>
  <c r="H628" i="1" s="1"/>
  <c r="D614" i="1"/>
  <c r="D615" i="1"/>
  <c r="D616" i="1"/>
  <c r="D617" i="1"/>
  <c r="D618" i="1"/>
  <c r="D619" i="1"/>
  <c r="D620" i="1"/>
  <c r="D621" i="1"/>
  <c r="D622" i="1"/>
  <c r="D623" i="1"/>
  <c r="D624" i="1"/>
  <c r="D625" i="1"/>
  <c r="G618" i="1"/>
  <c r="H620" i="1" l="1"/>
  <c r="H619" i="1"/>
  <c r="H618" i="1"/>
  <c r="O619" i="1"/>
  <c r="H623" i="1"/>
  <c r="O620" i="1"/>
  <c r="O629" i="1"/>
  <c r="H627" i="1"/>
  <c r="O626" i="1"/>
  <c r="H626" i="1"/>
  <c r="O625" i="1"/>
  <c r="H625" i="1"/>
  <c r="H624" i="1"/>
  <c r="O624" i="1"/>
  <c r="O623" i="1"/>
  <c r="O622" i="1"/>
  <c r="O621" i="1"/>
  <c r="H622" i="1"/>
  <c r="H621" i="1"/>
  <c r="N617" i="1"/>
  <c r="K612" i="1" l="1"/>
  <c r="K613" i="1"/>
  <c r="K614" i="1"/>
  <c r="K615" i="1"/>
  <c r="K616" i="1"/>
  <c r="K617" i="1"/>
  <c r="O617" i="1" s="1"/>
  <c r="K618" i="1"/>
  <c r="O618" i="1" s="1"/>
  <c r="R616" i="1"/>
  <c r="R617" i="1"/>
  <c r="R618" i="1"/>
  <c r="G617" i="1"/>
  <c r="H617" i="1" s="1"/>
  <c r="N615" i="1" l="1"/>
  <c r="O615" i="1" s="1"/>
  <c r="N616" i="1"/>
  <c r="O616" i="1" s="1"/>
  <c r="G616" i="1"/>
  <c r="H616" i="1" l="1"/>
  <c r="R614" i="1" l="1"/>
  <c r="R615" i="1"/>
  <c r="G615" i="1"/>
  <c r="N612" i="1"/>
  <c r="N613" i="1"/>
  <c r="N614" i="1"/>
  <c r="O614" i="1" s="1"/>
  <c r="K611" i="1"/>
  <c r="R611" i="1"/>
  <c r="R612" i="1"/>
  <c r="R613" i="1"/>
  <c r="H615" i="1" l="1"/>
  <c r="N609" i="1" l="1"/>
  <c r="N610" i="1"/>
  <c r="N611" i="1"/>
  <c r="K610" i="1"/>
  <c r="G609" i="1"/>
  <c r="G610" i="1"/>
  <c r="G611" i="1"/>
  <c r="G612" i="1"/>
  <c r="G613" i="1"/>
  <c r="G614" i="1"/>
  <c r="H614" i="1" s="1"/>
  <c r="D609" i="1"/>
  <c r="D610" i="1"/>
  <c r="D611" i="1"/>
  <c r="D612" i="1"/>
  <c r="D613" i="1"/>
  <c r="H611" i="1" l="1"/>
  <c r="H610" i="1"/>
  <c r="H609" i="1"/>
  <c r="H613" i="1"/>
  <c r="H612" i="1"/>
  <c r="R610" i="1" l="1"/>
  <c r="R609" i="1" l="1"/>
  <c r="K609" i="1"/>
  <c r="O609" i="1" s="1"/>
  <c r="R607" i="1" l="1"/>
  <c r="R608" i="1"/>
  <c r="N606" i="1"/>
  <c r="N607" i="1"/>
  <c r="N608" i="1"/>
  <c r="K607" i="1"/>
  <c r="K608" i="1"/>
  <c r="G607" i="1"/>
  <c r="G608" i="1"/>
  <c r="D607" i="1"/>
  <c r="D608" i="1"/>
  <c r="H608" i="1" l="1"/>
  <c r="O607" i="1"/>
  <c r="H607" i="1"/>
  <c r="O608" i="1"/>
  <c r="G605" i="1"/>
  <c r="G606" i="1"/>
  <c r="K605" i="1"/>
  <c r="K606" i="1"/>
  <c r="O606" i="1" s="1"/>
  <c r="R605" i="1"/>
  <c r="R606" i="1"/>
  <c r="R603" i="1" l="1"/>
  <c r="R604" i="1"/>
  <c r="N604" i="1"/>
  <c r="N605" i="1"/>
  <c r="O605" i="1" s="1"/>
  <c r="G603" i="1"/>
  <c r="G604" i="1"/>
  <c r="D603" i="1"/>
  <c r="D604" i="1"/>
  <c r="D605" i="1"/>
  <c r="H605" i="1" s="1"/>
  <c r="D606" i="1"/>
  <c r="H606" i="1" s="1"/>
  <c r="D602" i="1"/>
  <c r="R601" i="1"/>
  <c r="R602" i="1"/>
  <c r="G601" i="1"/>
  <c r="G602" i="1"/>
  <c r="K602" i="1"/>
  <c r="K603" i="1"/>
  <c r="K604" i="1"/>
  <c r="N601" i="1"/>
  <c r="N602" i="1"/>
  <c r="N603" i="1"/>
  <c r="O603" i="1" s="1"/>
  <c r="O602" i="1" l="1"/>
  <c r="H604" i="1"/>
  <c r="H603" i="1"/>
  <c r="O604" i="1"/>
  <c r="H602" i="1"/>
  <c r="K601" i="1" l="1"/>
  <c r="O601" i="1" s="1"/>
  <c r="R600" i="1"/>
  <c r="D601" i="1"/>
  <c r="H601" i="1" s="1"/>
  <c r="G600" i="1"/>
  <c r="R596" i="1" l="1"/>
  <c r="R597" i="1"/>
  <c r="R598" i="1"/>
  <c r="R599" i="1"/>
  <c r="G597" i="1"/>
  <c r="G598" i="1"/>
  <c r="G599" i="1"/>
  <c r="D596" i="1"/>
  <c r="D597" i="1"/>
  <c r="H597" i="1" s="1"/>
  <c r="D598" i="1"/>
  <c r="H598" i="1" s="1"/>
  <c r="D599" i="1"/>
  <c r="D600" i="1"/>
  <c r="H600" i="1" s="1"/>
  <c r="N598" i="1"/>
  <c r="N599" i="1"/>
  <c r="N600" i="1"/>
  <c r="K597" i="1"/>
  <c r="K598" i="1"/>
  <c r="K599" i="1"/>
  <c r="K600" i="1"/>
  <c r="H599" i="1" l="1"/>
  <c r="O600" i="1"/>
  <c r="O599" i="1"/>
  <c r="O598" i="1"/>
  <c r="O610" i="1"/>
  <c r="O611" i="1"/>
  <c r="O612" i="1"/>
  <c r="O613" i="1"/>
  <c r="N596" i="1" l="1"/>
  <c r="N597" i="1"/>
  <c r="O597" i="1" s="1"/>
  <c r="K596" i="1" l="1"/>
  <c r="O596" i="1" s="1"/>
  <c r="G596" i="1"/>
  <c r="H596" i="1" s="1"/>
  <c r="R595" i="1" l="1"/>
  <c r="N595" i="1"/>
  <c r="G595" i="1"/>
  <c r="D595" i="1"/>
  <c r="H595" i="1" l="1"/>
  <c r="K595" i="1" l="1"/>
  <c r="O595" i="1" s="1"/>
  <c r="R593" i="1"/>
  <c r="R594" i="1"/>
  <c r="N594" i="1"/>
  <c r="K594" i="1" l="1"/>
  <c r="O594" i="1" s="1"/>
  <c r="G592" i="1"/>
  <c r="G593" i="1"/>
  <c r="G594" i="1"/>
  <c r="D592" i="1"/>
  <c r="D593" i="1"/>
  <c r="D594" i="1"/>
  <c r="K592" i="1"/>
  <c r="K593" i="1"/>
  <c r="N592" i="1"/>
  <c r="N593" i="1"/>
  <c r="R592" i="1"/>
  <c r="H593" i="1" l="1"/>
  <c r="O593" i="1"/>
  <c r="H594" i="1"/>
  <c r="H592" i="1"/>
  <c r="O592" i="1"/>
  <c r="D591" i="1"/>
  <c r="G591" i="1"/>
  <c r="K591" i="1"/>
  <c r="N591" i="1"/>
  <c r="O591" i="1" l="1"/>
  <c r="H591" i="1"/>
  <c r="R591" i="1"/>
  <c r="D590" i="1" l="1"/>
  <c r="G590" i="1"/>
  <c r="K590" i="1"/>
  <c r="N590" i="1"/>
  <c r="R590" i="1"/>
  <c r="H590" i="1" l="1"/>
  <c r="O590" i="1"/>
  <c r="R588" i="1" l="1"/>
  <c r="R589" i="1"/>
  <c r="K588" i="1"/>
  <c r="K589" i="1"/>
  <c r="N588" i="1"/>
  <c r="N589" i="1"/>
  <c r="G588" i="1"/>
  <c r="G589" i="1"/>
  <c r="D588" i="1"/>
  <c r="D589" i="1"/>
  <c r="H589" i="1" l="1"/>
  <c r="O589" i="1"/>
  <c r="H588" i="1"/>
  <c r="O588" i="1"/>
  <c r="R587" i="1" l="1"/>
  <c r="D587" i="1"/>
  <c r="G587" i="1"/>
  <c r="N587" i="1"/>
  <c r="K587" i="1"/>
  <c r="K585" i="1"/>
  <c r="K586" i="1"/>
  <c r="R585" i="1"/>
  <c r="N585" i="1"/>
  <c r="N586" i="1"/>
  <c r="D585" i="1"/>
  <c r="D586" i="1"/>
  <c r="G585" i="1"/>
  <c r="G586" i="1"/>
  <c r="O585" i="1" l="1"/>
  <c r="O586" i="1"/>
  <c r="O587" i="1"/>
  <c r="H586" i="1"/>
  <c r="H587" i="1"/>
  <c r="H585" i="1"/>
  <c r="K579" i="1"/>
  <c r="K580" i="1"/>
  <c r="K581" i="1"/>
  <c r="K582" i="1"/>
  <c r="K583" i="1"/>
  <c r="K584" i="1"/>
  <c r="K578" i="1"/>
  <c r="R578" i="1"/>
  <c r="R579" i="1"/>
  <c r="R580" i="1"/>
  <c r="R581" i="1"/>
  <c r="R582" i="1"/>
  <c r="R583" i="1"/>
  <c r="R584" i="1"/>
  <c r="R586" i="1"/>
  <c r="N575" i="1"/>
  <c r="N576" i="1"/>
  <c r="N577" i="1"/>
  <c r="N578" i="1"/>
  <c r="N579" i="1"/>
  <c r="N580" i="1"/>
  <c r="N581" i="1"/>
  <c r="N582" i="1"/>
  <c r="N583" i="1"/>
  <c r="N584" i="1"/>
  <c r="G580" i="1"/>
  <c r="G581" i="1"/>
  <c r="G582" i="1"/>
  <c r="G583" i="1"/>
  <c r="G584" i="1"/>
  <c r="D581" i="1"/>
  <c r="H581" i="1" s="1"/>
  <c r="D582" i="1"/>
  <c r="H582" i="1" s="1"/>
  <c r="D583" i="1"/>
  <c r="D584" i="1"/>
  <c r="H584" i="1" s="1"/>
  <c r="D580" i="1"/>
  <c r="G577" i="1"/>
  <c r="G578" i="1"/>
  <c r="G579" i="1"/>
  <c r="D577" i="1"/>
  <c r="D578" i="1"/>
  <c r="D579" i="1"/>
  <c r="O579" i="1" l="1"/>
  <c r="O583" i="1"/>
  <c r="H583" i="1"/>
  <c r="H580" i="1"/>
  <c r="H579" i="1"/>
  <c r="O584" i="1"/>
  <c r="O580" i="1"/>
  <c r="H578" i="1"/>
  <c r="O581" i="1"/>
  <c r="H577" i="1"/>
  <c r="O582" i="1"/>
  <c r="O578" i="1"/>
  <c r="R577" i="1"/>
  <c r="K577" i="1"/>
  <c r="O577" i="1" s="1"/>
  <c r="G576" i="1" l="1"/>
  <c r="R576" i="1"/>
  <c r="K576" i="1"/>
  <c r="O576" i="1" s="1"/>
  <c r="D576" i="1"/>
  <c r="H576" i="1" l="1"/>
  <c r="R575" i="1"/>
  <c r="K575" i="1"/>
  <c r="O575" i="1" s="1"/>
  <c r="G575" i="1"/>
  <c r="D575" i="1"/>
  <c r="R574" i="1"/>
  <c r="N574" i="1"/>
  <c r="K574" i="1"/>
  <c r="G574" i="1"/>
  <c r="D574" i="1"/>
  <c r="H575" i="1" l="1"/>
  <c r="O574" i="1"/>
  <c r="H574" i="1"/>
  <c r="N572" i="1"/>
  <c r="N573" i="1"/>
  <c r="R572" i="1"/>
  <c r="R573" i="1"/>
  <c r="K572" i="1"/>
  <c r="K573" i="1"/>
  <c r="G572" i="1"/>
  <c r="G573" i="1"/>
  <c r="D572" i="1"/>
  <c r="D573" i="1"/>
  <c r="H572" i="1" l="1"/>
  <c r="H573" i="1"/>
  <c r="O573" i="1"/>
  <c r="O572" i="1"/>
  <c r="R571" i="1"/>
  <c r="N571" i="1"/>
  <c r="K571" i="1"/>
  <c r="G571" i="1"/>
  <c r="D571" i="1"/>
  <c r="H571" i="1" l="1"/>
  <c r="O571" i="1"/>
  <c r="R570" i="1"/>
  <c r="K570" i="1"/>
  <c r="N570" i="1"/>
  <c r="G570" i="1"/>
  <c r="D570" i="1"/>
  <c r="D569" i="1"/>
  <c r="G569" i="1"/>
  <c r="K569" i="1"/>
  <c r="N569" i="1"/>
  <c r="R569" i="1"/>
  <c r="H570" i="1" l="1"/>
  <c r="O570" i="1"/>
  <c r="H569" i="1"/>
  <c r="O569" i="1"/>
  <c r="D568" i="1"/>
  <c r="G568" i="1"/>
  <c r="K568" i="1"/>
  <c r="N568" i="1"/>
  <c r="R568" i="1"/>
  <c r="H568" i="1" l="1"/>
  <c r="O568" i="1"/>
  <c r="D567" i="1" l="1"/>
  <c r="G567" i="1"/>
  <c r="K567" i="1"/>
  <c r="N567" i="1"/>
  <c r="R567" i="1"/>
  <c r="O567" i="1" l="1"/>
  <c r="H567" i="1"/>
  <c r="R566" i="1"/>
  <c r="N566" i="1"/>
  <c r="D566" i="1"/>
  <c r="K566" i="1"/>
  <c r="O566" i="1" l="1"/>
  <c r="R565" i="1" l="1"/>
  <c r="N565" i="1"/>
  <c r="G565" i="1"/>
  <c r="G566" i="1"/>
  <c r="H566" i="1" s="1"/>
  <c r="K565" i="1"/>
  <c r="G564" i="1"/>
  <c r="D565" i="1"/>
  <c r="D564" i="1"/>
  <c r="K564" i="1"/>
  <c r="N564" i="1"/>
  <c r="H565" i="1" l="1"/>
  <c r="H564" i="1"/>
  <c r="O565" i="1"/>
  <c r="O564" i="1"/>
  <c r="R564" i="1"/>
  <c r="R563" i="1" l="1"/>
  <c r="N563" i="1"/>
  <c r="D563" i="1"/>
  <c r="G563" i="1"/>
  <c r="K563" i="1"/>
  <c r="H563" i="1" l="1"/>
  <c r="O563" i="1"/>
  <c r="S564" i="1" l="1"/>
  <c r="R562" i="1"/>
  <c r="N562" i="1"/>
  <c r="K562" i="1"/>
  <c r="G562" i="1"/>
  <c r="D562" i="1"/>
  <c r="O562" i="1" l="1"/>
  <c r="H562" i="1"/>
  <c r="R561" i="1"/>
  <c r="N561" i="1"/>
  <c r="K561" i="1"/>
  <c r="G561" i="1"/>
  <c r="D561" i="1"/>
  <c r="D560" i="1"/>
  <c r="G560" i="1"/>
  <c r="K560" i="1"/>
  <c r="H560" i="1" l="1"/>
  <c r="O561" i="1"/>
  <c r="H561" i="1"/>
  <c r="R560" i="1"/>
  <c r="N560" i="1"/>
  <c r="D558" i="1"/>
  <c r="D559" i="1"/>
  <c r="G558" i="1"/>
  <c r="G559" i="1"/>
  <c r="K558" i="1"/>
  <c r="K559" i="1"/>
  <c r="N558" i="1"/>
  <c r="N559" i="1"/>
  <c r="R558" i="1"/>
  <c r="R559" i="1"/>
  <c r="O558" i="1" l="1"/>
  <c r="H558" i="1"/>
  <c r="O560" i="1"/>
  <c r="H559" i="1"/>
  <c r="O559" i="1"/>
  <c r="R557" i="1"/>
  <c r="N557" i="1"/>
  <c r="K557" i="1"/>
  <c r="G557" i="1"/>
  <c r="D557" i="1"/>
  <c r="O557" i="1" l="1"/>
  <c r="H557" i="1"/>
  <c r="R556" i="1"/>
  <c r="N556" i="1"/>
  <c r="K556" i="1"/>
  <c r="G556" i="1"/>
  <c r="D556" i="1"/>
  <c r="O556" i="1" l="1"/>
  <c r="H556" i="1"/>
  <c r="R555" i="1"/>
  <c r="K555" i="1"/>
  <c r="G555" i="1"/>
  <c r="D555" i="1"/>
  <c r="N555" i="1"/>
  <c r="O555" i="1" l="1"/>
  <c r="H555" i="1"/>
  <c r="R554" i="1" l="1"/>
  <c r="N554" i="1"/>
  <c r="K554" i="1"/>
  <c r="G554" i="1"/>
  <c r="D554" i="1"/>
  <c r="O554" i="1" l="1"/>
  <c r="H554" i="1"/>
  <c r="R549" i="1"/>
  <c r="R550" i="1"/>
  <c r="R551" i="1"/>
  <c r="R552" i="1"/>
  <c r="R553" i="1"/>
  <c r="N553" i="1"/>
  <c r="N550" i="1"/>
  <c r="N551" i="1"/>
  <c r="N552" i="1"/>
  <c r="G551" i="1"/>
  <c r="G552" i="1"/>
  <c r="G553" i="1"/>
  <c r="D551" i="1"/>
  <c r="D552" i="1"/>
  <c r="D553" i="1"/>
  <c r="H551" i="1" l="1"/>
  <c r="H553" i="1"/>
  <c r="H552" i="1"/>
  <c r="K551" i="1"/>
  <c r="O551" i="1" s="1"/>
  <c r="K552" i="1"/>
  <c r="O552" i="1" s="1"/>
  <c r="K553" i="1"/>
  <c r="O553" i="1" s="1"/>
  <c r="K550" i="1" l="1"/>
  <c r="O550" i="1" s="1"/>
  <c r="G550" i="1"/>
  <c r="D550" i="1"/>
  <c r="H550" i="1" l="1"/>
  <c r="R547" i="1"/>
  <c r="R548" i="1"/>
  <c r="K548" i="1"/>
  <c r="K549" i="1"/>
  <c r="D545" i="1"/>
  <c r="D546" i="1"/>
  <c r="D547" i="1"/>
  <c r="D548" i="1"/>
  <c r="D549" i="1"/>
  <c r="K547" i="1"/>
  <c r="N548" i="1"/>
  <c r="O548" i="1" s="1"/>
  <c r="N549" i="1"/>
  <c r="G544" i="1"/>
  <c r="G545" i="1"/>
  <c r="G546" i="1"/>
  <c r="G547" i="1"/>
  <c r="G548" i="1"/>
  <c r="G549" i="1"/>
  <c r="D544" i="1"/>
  <c r="G543" i="1"/>
  <c r="D543" i="1"/>
  <c r="H549" i="1" l="1"/>
  <c r="H548" i="1"/>
  <c r="O549" i="1"/>
  <c r="H547" i="1"/>
  <c r="H546" i="1"/>
  <c r="R543" i="1"/>
  <c r="R544" i="1"/>
  <c r="R545" i="1"/>
  <c r="R546" i="1"/>
  <c r="R542" i="1"/>
  <c r="N543" i="1"/>
  <c r="N544" i="1"/>
  <c r="N545" i="1"/>
  <c r="N546" i="1"/>
  <c r="N547" i="1"/>
  <c r="O547" i="1" s="1"/>
  <c r="H543" i="1"/>
  <c r="H544" i="1"/>
  <c r="H545" i="1"/>
  <c r="K543" i="1"/>
  <c r="K544" i="1"/>
  <c r="K545" i="1"/>
  <c r="K546" i="1"/>
  <c r="O545" i="1" l="1"/>
  <c r="O544" i="1"/>
  <c r="O543" i="1"/>
  <c r="O546" i="1"/>
  <c r="G542" i="1"/>
  <c r="N542" i="1" l="1"/>
  <c r="K541" i="1"/>
  <c r="K542" i="1"/>
  <c r="D542" i="1"/>
  <c r="O542" i="1" l="1"/>
  <c r="R541" i="1" l="1"/>
  <c r="N541" i="1"/>
  <c r="O541" i="1" s="1"/>
  <c r="H542" i="1"/>
  <c r="G541" i="1"/>
  <c r="D541" i="1"/>
  <c r="H541" i="1" l="1"/>
  <c r="R540" i="1"/>
  <c r="N540" i="1"/>
  <c r="K540" i="1"/>
  <c r="G540" i="1"/>
  <c r="D540" i="1"/>
  <c r="O540" i="1" l="1"/>
  <c r="H540" i="1"/>
  <c r="R539" i="1" l="1"/>
  <c r="G539" i="1"/>
  <c r="N539" i="1"/>
  <c r="D539" i="1"/>
  <c r="K539" i="1"/>
  <c r="O539" i="1" l="1"/>
  <c r="H539" i="1"/>
  <c r="G537" i="1"/>
  <c r="K536" i="1"/>
  <c r="K537" i="1"/>
  <c r="K538" i="1"/>
  <c r="G535" i="1"/>
  <c r="G536" i="1"/>
  <c r="G538" i="1"/>
  <c r="D536" i="1"/>
  <c r="D537" i="1"/>
  <c r="D538" i="1"/>
  <c r="N536" i="1"/>
  <c r="N537" i="1"/>
  <c r="N538" i="1"/>
  <c r="R536" i="1"/>
  <c r="R537" i="1"/>
  <c r="R538" i="1"/>
  <c r="O537" i="1" l="1"/>
  <c r="O536" i="1"/>
  <c r="H536" i="1"/>
  <c r="O538" i="1"/>
  <c r="H537" i="1"/>
  <c r="H538" i="1"/>
  <c r="K535" i="1" l="1"/>
  <c r="R535" i="1"/>
  <c r="N535" i="1"/>
  <c r="D535" i="1"/>
  <c r="H535" i="1" s="1"/>
  <c r="O535" i="1" l="1"/>
  <c r="G534" i="1"/>
  <c r="D534" i="1"/>
  <c r="K534" i="1"/>
  <c r="N534" i="1"/>
  <c r="R534" i="1"/>
  <c r="H534" i="1" l="1"/>
  <c r="O534" i="1"/>
  <c r="R530" i="1" l="1"/>
  <c r="R531" i="1"/>
  <c r="R532" i="1"/>
  <c r="R533" i="1"/>
  <c r="N531" i="1"/>
  <c r="N532" i="1"/>
  <c r="N533" i="1"/>
  <c r="K531" i="1"/>
  <c r="K532" i="1"/>
  <c r="K533" i="1"/>
  <c r="G530" i="1"/>
  <c r="G531" i="1"/>
  <c r="G532" i="1"/>
  <c r="G533" i="1"/>
  <c r="D530" i="1"/>
  <c r="H530" i="1" s="1"/>
  <c r="D531" i="1"/>
  <c r="H531" i="1" s="1"/>
  <c r="D532" i="1"/>
  <c r="H532" i="1" s="1"/>
  <c r="D533" i="1"/>
  <c r="K525" i="1"/>
  <c r="K526" i="1"/>
  <c r="K527" i="1"/>
  <c r="K528" i="1"/>
  <c r="K529" i="1"/>
  <c r="K530" i="1"/>
  <c r="N524" i="1"/>
  <c r="N525" i="1"/>
  <c r="N526" i="1"/>
  <c r="N527" i="1"/>
  <c r="N528" i="1"/>
  <c r="N529" i="1"/>
  <c r="N530" i="1"/>
  <c r="R524" i="1"/>
  <c r="R525" i="1"/>
  <c r="R526" i="1"/>
  <c r="R527" i="1"/>
  <c r="R528" i="1"/>
  <c r="R529" i="1"/>
  <c r="D524" i="1"/>
  <c r="D525" i="1"/>
  <c r="D526" i="1"/>
  <c r="D527" i="1"/>
  <c r="D528" i="1"/>
  <c r="D529" i="1"/>
  <c r="G528" i="1"/>
  <c r="G529" i="1"/>
  <c r="O532" i="1" l="1"/>
  <c r="O525" i="1"/>
  <c r="H528" i="1"/>
  <c r="O529" i="1"/>
  <c r="O531" i="1"/>
  <c r="O527" i="1"/>
  <c r="O526" i="1"/>
  <c r="H529" i="1"/>
  <c r="O528" i="1"/>
  <c r="O533" i="1"/>
  <c r="H533" i="1"/>
  <c r="O530" i="1"/>
  <c r="G526" i="1" l="1"/>
  <c r="H526" i="1" s="1"/>
  <c r="G527" i="1"/>
  <c r="H527" i="1" s="1"/>
  <c r="G525" i="1" l="1"/>
  <c r="H525" i="1" s="1"/>
  <c r="K520" i="1" l="1"/>
  <c r="K521" i="1"/>
  <c r="K522" i="1"/>
  <c r="K523" i="1"/>
  <c r="K524" i="1"/>
  <c r="O524" i="1" s="1"/>
  <c r="N523" i="1"/>
  <c r="D523" i="1"/>
  <c r="G523" i="1"/>
  <c r="G524" i="1"/>
  <c r="H524" i="1" s="1"/>
  <c r="O523" i="1" l="1"/>
  <c r="H523" i="1"/>
  <c r="N519" i="1"/>
  <c r="N520" i="1"/>
  <c r="O520" i="1" s="1"/>
  <c r="N521" i="1"/>
  <c r="O521" i="1" s="1"/>
  <c r="N522" i="1"/>
  <c r="O522" i="1" s="1"/>
  <c r="R434" i="1" l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D517" i="1"/>
  <c r="D518" i="1"/>
  <c r="D519" i="1"/>
  <c r="D520" i="1"/>
  <c r="D521" i="1"/>
  <c r="D522" i="1"/>
  <c r="G509" i="1" l="1"/>
  <c r="G510" i="1"/>
  <c r="G511" i="1"/>
  <c r="G512" i="1"/>
  <c r="G513" i="1"/>
  <c r="G514" i="1"/>
  <c r="G515" i="1"/>
  <c r="G516" i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N516" i="1" l="1"/>
  <c r="N517" i="1"/>
  <c r="N518" i="1"/>
  <c r="K516" i="1"/>
  <c r="K517" i="1"/>
  <c r="K518" i="1"/>
  <c r="K519" i="1"/>
  <c r="O519" i="1" s="1"/>
  <c r="O516" i="1" l="1"/>
  <c r="O518" i="1"/>
  <c r="O517" i="1"/>
  <c r="D515" i="1" l="1"/>
  <c r="H515" i="1" s="1"/>
  <c r="D516" i="1"/>
  <c r="H516" i="1" s="1"/>
  <c r="N515" i="1" l="1"/>
  <c r="N512" i="1" l="1"/>
  <c r="N513" i="1"/>
  <c r="N514" i="1"/>
  <c r="D511" i="1"/>
  <c r="H511" i="1" s="1"/>
  <c r="D512" i="1"/>
  <c r="H512" i="1" s="1"/>
  <c r="D513" i="1"/>
  <c r="H513" i="1" s="1"/>
  <c r="D514" i="1"/>
  <c r="H514" i="1" s="1"/>
  <c r="K512" i="1" l="1"/>
  <c r="O512" i="1" s="1"/>
  <c r="K513" i="1"/>
  <c r="O513" i="1" s="1"/>
  <c r="K514" i="1"/>
  <c r="O514" i="1" s="1"/>
  <c r="K515" i="1"/>
  <c r="O515" i="1" s="1"/>
  <c r="K510" i="1" l="1"/>
  <c r="K511" i="1"/>
  <c r="N509" i="1"/>
  <c r="N510" i="1"/>
  <c r="N511" i="1"/>
  <c r="O510" i="1" l="1"/>
  <c r="O511" i="1"/>
  <c r="K508" i="1" l="1"/>
  <c r="K509" i="1"/>
  <c r="D510" i="1"/>
  <c r="H510" i="1" s="1"/>
  <c r="K507" i="1" l="1"/>
  <c r="O509" i="1"/>
  <c r="N508" i="1"/>
  <c r="G506" i="1"/>
  <c r="G507" i="1"/>
  <c r="G508" i="1"/>
  <c r="D508" i="1"/>
  <c r="D509" i="1"/>
  <c r="H509" i="1" s="1"/>
  <c r="H508" i="1" l="1"/>
  <c r="N503" i="1" l="1"/>
  <c r="N504" i="1"/>
  <c r="N505" i="1"/>
  <c r="N506" i="1"/>
  <c r="N507" i="1"/>
  <c r="O507" i="1" s="1"/>
  <c r="K503" i="1"/>
  <c r="K504" i="1"/>
  <c r="K505" i="1"/>
  <c r="K506" i="1"/>
  <c r="O508" i="1"/>
  <c r="G503" i="1"/>
  <c r="G504" i="1"/>
  <c r="G505" i="1"/>
  <c r="D503" i="1"/>
  <c r="D504" i="1"/>
  <c r="D505" i="1"/>
  <c r="D506" i="1"/>
  <c r="D507" i="1"/>
  <c r="H507" i="1" s="1"/>
  <c r="O505" i="1" l="1"/>
  <c r="O504" i="1"/>
  <c r="O503" i="1"/>
  <c r="O506" i="1"/>
  <c r="N499" i="1"/>
  <c r="N500" i="1"/>
  <c r="N501" i="1"/>
  <c r="N502" i="1"/>
  <c r="G500" i="1"/>
  <c r="G501" i="1"/>
  <c r="G502" i="1"/>
  <c r="D500" i="1"/>
  <c r="D501" i="1"/>
  <c r="D502" i="1"/>
  <c r="K501" i="1"/>
  <c r="K502" i="1"/>
  <c r="O501" i="1" l="1"/>
  <c r="O502" i="1"/>
  <c r="N496" i="1"/>
  <c r="N497" i="1"/>
  <c r="N498" i="1"/>
  <c r="H500" i="1"/>
  <c r="H501" i="1"/>
  <c r="H502" i="1"/>
  <c r="H503" i="1"/>
  <c r="H504" i="1"/>
  <c r="H505" i="1"/>
  <c r="H506" i="1"/>
  <c r="D497" i="1"/>
  <c r="D498" i="1"/>
  <c r="D499" i="1"/>
  <c r="G498" i="1"/>
  <c r="G499" i="1"/>
  <c r="K497" i="1"/>
  <c r="K498" i="1"/>
  <c r="K499" i="1"/>
  <c r="O499" i="1" s="1"/>
  <c r="K500" i="1"/>
  <c r="O500" i="1" s="1"/>
  <c r="O497" i="1" l="1"/>
  <c r="H499" i="1"/>
  <c r="H498" i="1"/>
  <c r="O498" i="1"/>
  <c r="G497" i="1" l="1"/>
  <c r="H497" i="1" s="1"/>
  <c r="D494" i="1" l="1"/>
  <c r="D495" i="1"/>
  <c r="D496" i="1"/>
  <c r="G494" i="1"/>
  <c r="G495" i="1"/>
  <c r="G496" i="1"/>
  <c r="K495" i="1"/>
  <c r="K496" i="1"/>
  <c r="O496" i="1" s="1"/>
  <c r="K494" i="1"/>
  <c r="N494" i="1"/>
  <c r="N495" i="1"/>
  <c r="H494" i="1" l="1"/>
  <c r="H496" i="1"/>
  <c r="H495" i="1"/>
  <c r="O495" i="1"/>
  <c r="N493" i="1"/>
  <c r="O494" i="1" l="1"/>
  <c r="G493" i="1" l="1"/>
  <c r="D493" i="1"/>
  <c r="H493" i="1" l="1"/>
  <c r="G492" i="1"/>
  <c r="D492" i="1"/>
  <c r="K490" i="1"/>
  <c r="K491" i="1"/>
  <c r="K492" i="1"/>
  <c r="K493" i="1"/>
  <c r="O493" i="1" s="1"/>
  <c r="G486" i="1"/>
  <c r="G487" i="1"/>
  <c r="H492" i="1" l="1"/>
  <c r="N492" i="1"/>
  <c r="O492" i="1" s="1"/>
  <c r="N491" i="1" l="1"/>
  <c r="O491" i="1" s="1"/>
  <c r="G490" i="1"/>
  <c r="G491" i="1"/>
  <c r="D491" i="1"/>
  <c r="H491" i="1" l="1"/>
  <c r="D489" i="1" l="1"/>
  <c r="D490" i="1"/>
  <c r="H490" i="1" s="1"/>
  <c r="K489" i="1"/>
  <c r="N489" i="1"/>
  <c r="N490" i="1"/>
  <c r="O490" i="1" s="1"/>
  <c r="O489" i="1" l="1"/>
  <c r="N487" i="1" l="1"/>
  <c r="N488" i="1"/>
  <c r="K487" i="1"/>
  <c r="K488" i="1"/>
  <c r="G488" i="1"/>
  <c r="G489" i="1"/>
  <c r="O488" i="1" l="1"/>
  <c r="O487" i="1"/>
  <c r="N485" i="1"/>
  <c r="N486" i="1"/>
  <c r="K485" i="1"/>
  <c r="K486" i="1"/>
  <c r="G485" i="1"/>
  <c r="O485" i="1" l="1"/>
  <c r="O486" i="1"/>
  <c r="H489" i="1"/>
  <c r="D482" i="1"/>
  <c r="D483" i="1"/>
  <c r="D484" i="1"/>
  <c r="D485" i="1"/>
  <c r="H485" i="1" s="1"/>
  <c r="D486" i="1"/>
  <c r="H486" i="1" s="1"/>
  <c r="D487" i="1"/>
  <c r="H487" i="1" s="1"/>
  <c r="D488" i="1"/>
  <c r="H488" i="1" s="1"/>
  <c r="N483" i="1" l="1"/>
  <c r="N484" i="1"/>
  <c r="K483" i="1"/>
  <c r="K484" i="1"/>
  <c r="G483" i="1"/>
  <c r="H483" i="1" s="1"/>
  <c r="G484" i="1"/>
  <c r="H484" i="1" s="1"/>
  <c r="O484" i="1" l="1"/>
  <c r="O483" i="1"/>
  <c r="N474" i="1"/>
  <c r="N475" i="1"/>
  <c r="N476" i="1"/>
  <c r="N477" i="1"/>
  <c r="N478" i="1"/>
  <c r="N479" i="1"/>
  <c r="N480" i="1"/>
  <c r="N481" i="1"/>
  <c r="N482" i="1"/>
  <c r="K480" i="1"/>
  <c r="K481" i="1"/>
  <c r="K482" i="1"/>
  <c r="D480" i="1"/>
  <c r="D481" i="1"/>
  <c r="G479" i="1"/>
  <c r="G480" i="1"/>
  <c r="G481" i="1"/>
  <c r="G482" i="1"/>
  <c r="H482" i="1" s="1"/>
  <c r="D478" i="1"/>
  <c r="D479" i="1"/>
  <c r="O482" i="1" l="1"/>
  <c r="O481" i="1"/>
  <c r="O480" i="1"/>
  <c r="G478" i="1"/>
  <c r="K477" i="1"/>
  <c r="O477" i="1" s="1"/>
  <c r="K478" i="1"/>
  <c r="O478" i="1" s="1"/>
  <c r="K479" i="1"/>
  <c r="O479" i="1" s="1"/>
  <c r="K476" i="1" l="1"/>
  <c r="O476" i="1" s="1"/>
  <c r="H479" i="1"/>
  <c r="H480" i="1"/>
  <c r="H481" i="1"/>
  <c r="G476" i="1"/>
  <c r="G477" i="1"/>
  <c r="H478" i="1"/>
  <c r="D476" i="1"/>
  <c r="D477" i="1"/>
  <c r="H476" i="1" l="1"/>
  <c r="H477" i="1"/>
  <c r="K473" i="1"/>
  <c r="K474" i="1"/>
  <c r="K475" i="1"/>
  <c r="O474" i="1" l="1"/>
  <c r="O475" i="1"/>
  <c r="D473" i="1"/>
  <c r="D474" i="1"/>
  <c r="D475" i="1"/>
  <c r="G473" i="1"/>
  <c r="G474" i="1"/>
  <c r="G475" i="1"/>
  <c r="N473" i="1"/>
  <c r="O473" i="1" s="1"/>
  <c r="H473" i="1" l="1"/>
  <c r="H475" i="1"/>
  <c r="H474" i="1"/>
  <c r="N469" i="1"/>
  <c r="N470" i="1"/>
  <c r="N471" i="1"/>
  <c r="N472" i="1"/>
  <c r="K472" i="1" l="1"/>
  <c r="O472" i="1" s="1"/>
  <c r="D472" i="1"/>
  <c r="G472" i="1"/>
  <c r="H472" i="1" l="1"/>
  <c r="K471" i="1"/>
  <c r="G471" i="1"/>
  <c r="D471" i="1"/>
  <c r="H471" i="1" l="1"/>
  <c r="O471" i="1"/>
  <c r="G470" i="1" l="1"/>
  <c r="D470" i="1"/>
  <c r="K470" i="1"/>
  <c r="O470" i="1" s="1"/>
  <c r="H470" i="1" l="1"/>
  <c r="D467" i="1" l="1"/>
  <c r="D468" i="1"/>
  <c r="D469" i="1"/>
  <c r="G466" i="1"/>
  <c r="G467" i="1"/>
  <c r="G468" i="1"/>
  <c r="G469" i="1"/>
  <c r="K466" i="1"/>
  <c r="K467" i="1"/>
  <c r="K468" i="1"/>
  <c r="K469" i="1"/>
  <c r="O469" i="1" s="1"/>
  <c r="N466" i="1"/>
  <c r="O466" i="1" s="1"/>
  <c r="N467" i="1"/>
  <c r="O467" i="1" s="1"/>
  <c r="N468" i="1"/>
  <c r="D466" i="1"/>
  <c r="O468" i="1" l="1"/>
  <c r="H466" i="1"/>
  <c r="H467" i="1"/>
  <c r="H469" i="1"/>
  <c r="H468" i="1"/>
  <c r="N465" i="1" l="1"/>
  <c r="K465" i="1"/>
  <c r="G465" i="1"/>
  <c r="D465" i="1"/>
  <c r="H465" i="1" l="1"/>
  <c r="O465" i="1"/>
  <c r="N464" i="1"/>
  <c r="G464" i="1"/>
  <c r="D464" i="1"/>
  <c r="H464" i="1" l="1"/>
  <c r="N461" i="1"/>
  <c r="N462" i="1"/>
  <c r="N463" i="1"/>
  <c r="K461" i="1"/>
  <c r="K462" i="1"/>
  <c r="K463" i="1"/>
  <c r="K464" i="1"/>
  <c r="O464" i="1" s="1"/>
  <c r="G462" i="1"/>
  <c r="G463" i="1"/>
  <c r="D461" i="1"/>
  <c r="D462" i="1"/>
  <c r="D463" i="1"/>
  <c r="O461" i="1" l="1"/>
  <c r="O462" i="1"/>
  <c r="O463" i="1"/>
  <c r="H463" i="1"/>
  <c r="H462" i="1"/>
  <c r="K460" i="1" l="1"/>
  <c r="N459" i="1"/>
  <c r="N460" i="1"/>
  <c r="D460" i="1"/>
  <c r="G460" i="1"/>
  <c r="G461" i="1"/>
  <c r="H461" i="1" s="1"/>
  <c r="G458" i="1"/>
  <c r="G459" i="1"/>
  <c r="O460" i="1" l="1"/>
  <c r="H460" i="1"/>
  <c r="N457" i="1"/>
  <c r="N458" i="1"/>
  <c r="D457" i="1"/>
  <c r="D458" i="1"/>
  <c r="D459" i="1"/>
  <c r="H459" i="1" s="1"/>
  <c r="K458" i="1"/>
  <c r="K459" i="1"/>
  <c r="O459" i="1" s="1"/>
  <c r="O458" i="1" l="1"/>
  <c r="N456" i="1"/>
  <c r="G456" i="1"/>
  <c r="G457" i="1"/>
  <c r="H457" i="1" s="1"/>
  <c r="H458" i="1"/>
  <c r="D456" i="1"/>
  <c r="H456" i="1" l="1"/>
  <c r="N455" i="1"/>
  <c r="D454" i="1"/>
  <c r="D455" i="1"/>
  <c r="G454" i="1"/>
  <c r="G455" i="1"/>
  <c r="K454" i="1"/>
  <c r="K455" i="1"/>
  <c r="K456" i="1"/>
  <c r="O456" i="1" s="1"/>
  <c r="K457" i="1"/>
  <c r="O457" i="1" s="1"/>
  <c r="H454" i="1" l="1"/>
  <c r="H455" i="1"/>
  <c r="K451" i="1"/>
  <c r="K452" i="1"/>
  <c r="K453" i="1"/>
  <c r="N453" i="1"/>
  <c r="N454" i="1"/>
  <c r="G453" i="1"/>
  <c r="D453" i="1"/>
  <c r="H453" i="1" l="1"/>
  <c r="G450" i="1"/>
  <c r="G451" i="1"/>
  <c r="G452" i="1"/>
  <c r="D451" i="1"/>
  <c r="D452" i="1"/>
  <c r="H452" i="1" l="1"/>
  <c r="H451" i="1"/>
  <c r="O453" i="1"/>
  <c r="O454" i="1"/>
  <c r="O455" i="1"/>
  <c r="N450" i="1"/>
  <c r="N451" i="1"/>
  <c r="O451" i="1" s="1"/>
  <c r="N452" i="1"/>
  <c r="O452" i="1" s="1"/>
  <c r="K448" i="1" l="1"/>
  <c r="K449" i="1"/>
  <c r="K450" i="1"/>
  <c r="O450" i="1" s="1"/>
  <c r="N449" i="1"/>
  <c r="G449" i="1"/>
  <c r="D449" i="1"/>
  <c r="D450" i="1"/>
  <c r="H450" i="1" s="1"/>
  <c r="H449" i="1" l="1"/>
  <c r="O449" i="1"/>
  <c r="N447" i="1"/>
  <c r="N448" i="1"/>
  <c r="O448" i="1" s="1"/>
  <c r="D447" i="1"/>
  <c r="D448" i="1"/>
  <c r="K447" i="1"/>
  <c r="O447" i="1" l="1"/>
  <c r="N444" i="1"/>
  <c r="N445" i="1"/>
  <c r="N446" i="1"/>
  <c r="D443" i="1"/>
  <c r="D444" i="1"/>
  <c r="D445" i="1"/>
  <c r="D446" i="1"/>
  <c r="G444" i="1"/>
  <c r="G445" i="1"/>
  <c r="G446" i="1"/>
  <c r="G447" i="1"/>
  <c r="H447" i="1" s="1"/>
  <c r="G448" i="1"/>
  <c r="H448" i="1" s="1"/>
  <c r="K444" i="1"/>
  <c r="K445" i="1"/>
  <c r="K446" i="1"/>
  <c r="O446" i="1" s="1"/>
  <c r="K438" i="1"/>
  <c r="K439" i="1"/>
  <c r="K440" i="1"/>
  <c r="K441" i="1"/>
  <c r="K442" i="1"/>
  <c r="K443" i="1"/>
  <c r="D441" i="1"/>
  <c r="D442" i="1"/>
  <c r="G437" i="1"/>
  <c r="G438" i="1"/>
  <c r="G439" i="1"/>
  <c r="G440" i="1"/>
  <c r="G441" i="1"/>
  <c r="G442" i="1"/>
  <c r="G443" i="1"/>
  <c r="H446" i="1" l="1"/>
  <c r="H444" i="1"/>
  <c r="H445" i="1"/>
  <c r="H443" i="1"/>
  <c r="H441" i="1"/>
  <c r="O445" i="1"/>
  <c r="O444" i="1"/>
  <c r="H442" i="1"/>
  <c r="D436" i="1"/>
  <c r="D437" i="1"/>
  <c r="D438" i="1"/>
  <c r="H438" i="1" s="1"/>
  <c r="D439" i="1"/>
  <c r="H439" i="1" s="1"/>
  <c r="D440" i="1"/>
  <c r="H440" i="1" s="1"/>
  <c r="G436" i="1"/>
  <c r="K435" i="1"/>
  <c r="K436" i="1"/>
  <c r="K437" i="1"/>
  <c r="D432" i="1"/>
  <c r="D433" i="1"/>
  <c r="D434" i="1"/>
  <c r="D435" i="1"/>
  <c r="N433" i="1"/>
  <c r="N434" i="1"/>
  <c r="N435" i="1"/>
  <c r="N436" i="1"/>
  <c r="N437" i="1"/>
  <c r="N438" i="1"/>
  <c r="O438" i="1" s="1"/>
  <c r="N439" i="1"/>
  <c r="O439" i="1" s="1"/>
  <c r="N440" i="1"/>
  <c r="O440" i="1" s="1"/>
  <c r="N441" i="1"/>
  <c r="O441" i="1" s="1"/>
  <c r="N442" i="1"/>
  <c r="O442" i="1" s="1"/>
  <c r="N443" i="1"/>
  <c r="O443" i="1" s="1"/>
  <c r="O435" i="1" l="1"/>
  <c r="O436" i="1"/>
  <c r="O437" i="1"/>
  <c r="K432" i="1" l="1"/>
  <c r="K433" i="1"/>
  <c r="O433" i="1" s="1"/>
  <c r="K434" i="1"/>
  <c r="O434" i="1" s="1"/>
  <c r="R424" i="1" l="1"/>
  <c r="R425" i="1"/>
  <c r="R426" i="1"/>
  <c r="R427" i="1"/>
  <c r="R428" i="1"/>
  <c r="R429" i="1"/>
  <c r="R430" i="1"/>
  <c r="R431" i="1" l="1"/>
  <c r="R432" i="1"/>
  <c r="R433" i="1"/>
  <c r="R422" i="1" l="1"/>
  <c r="R423" i="1"/>
  <c r="G432" i="1"/>
  <c r="G433" i="1"/>
  <c r="G434" i="1"/>
  <c r="G435" i="1"/>
  <c r="H435" i="1" s="1"/>
  <c r="H436" i="1"/>
  <c r="H437" i="1"/>
  <c r="R421" i="1" l="1"/>
  <c r="D431" i="1" l="1"/>
  <c r="H432" i="1"/>
  <c r="H433" i="1"/>
  <c r="H434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K421" i="1"/>
  <c r="K422" i="1"/>
  <c r="K423" i="1"/>
  <c r="K424" i="1"/>
  <c r="K425" i="1"/>
  <c r="K426" i="1"/>
  <c r="K427" i="1"/>
  <c r="K428" i="1"/>
  <c r="K429" i="1"/>
  <c r="K430" i="1"/>
  <c r="K431" i="1"/>
  <c r="D421" i="1"/>
  <c r="D422" i="1"/>
  <c r="D423" i="1"/>
  <c r="D424" i="1"/>
  <c r="D425" i="1"/>
  <c r="D426" i="1"/>
  <c r="D427" i="1"/>
  <c r="D428" i="1"/>
  <c r="D429" i="1"/>
  <c r="D430" i="1"/>
  <c r="G422" i="1"/>
  <c r="G423" i="1"/>
  <c r="G424" i="1"/>
  <c r="G425" i="1"/>
  <c r="G426" i="1"/>
  <c r="G427" i="1"/>
  <c r="G428" i="1"/>
  <c r="G429" i="1"/>
  <c r="G430" i="1"/>
  <c r="G431" i="1"/>
  <c r="O430" i="1" l="1"/>
  <c r="O432" i="1"/>
  <c r="O431" i="1"/>
  <c r="O429" i="1"/>
  <c r="O421" i="1"/>
  <c r="H431" i="1"/>
  <c r="O428" i="1"/>
  <c r="H428" i="1"/>
  <c r="H429" i="1"/>
  <c r="H430" i="1"/>
  <c r="O427" i="1"/>
  <c r="H427" i="1"/>
  <c r="O426" i="1"/>
  <c r="H426" i="1"/>
  <c r="O425" i="1"/>
  <c r="H425" i="1"/>
  <c r="O424" i="1"/>
  <c r="O423" i="1"/>
  <c r="H424" i="1"/>
  <c r="H423" i="1"/>
  <c r="H422" i="1"/>
  <c r="O422" i="1"/>
  <c r="K408" i="1" l="1"/>
  <c r="K409" i="1"/>
  <c r="K410" i="1"/>
  <c r="K411" i="1"/>
  <c r="K412" i="1"/>
  <c r="K413" i="1"/>
  <c r="K414" i="1"/>
  <c r="K415" i="1"/>
  <c r="K416" i="1"/>
  <c r="K417" i="1"/>
  <c r="D410" i="1"/>
  <c r="D411" i="1"/>
  <c r="D412" i="1"/>
  <c r="D413" i="1"/>
  <c r="D414" i="1"/>
  <c r="D415" i="1"/>
  <c r="D416" i="1"/>
  <c r="D417" i="1"/>
  <c r="D418" i="1"/>
  <c r="D419" i="1"/>
  <c r="D420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H421" i="1" s="1"/>
  <c r="K418" i="1"/>
  <c r="K419" i="1"/>
  <c r="O419" i="1" s="1"/>
  <c r="K420" i="1"/>
  <c r="O420" i="1" s="1"/>
  <c r="N407" i="1"/>
  <c r="N408" i="1"/>
  <c r="N409" i="1"/>
  <c r="N410" i="1"/>
  <c r="N411" i="1"/>
  <c r="N412" i="1"/>
  <c r="N413" i="1"/>
  <c r="N414" i="1"/>
  <c r="N415" i="1"/>
  <c r="N416" i="1"/>
  <c r="N417" i="1"/>
  <c r="N418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G409" i="1"/>
  <c r="D409" i="1"/>
  <c r="O409" i="1" l="1"/>
  <c r="H412" i="1"/>
  <c r="H413" i="1"/>
  <c r="O410" i="1"/>
  <c r="O408" i="1"/>
  <c r="H409" i="1"/>
  <c r="H410" i="1"/>
  <c r="H420" i="1"/>
  <c r="O418" i="1"/>
  <c r="H419" i="1"/>
  <c r="H418" i="1"/>
  <c r="H417" i="1"/>
  <c r="O417" i="1"/>
  <c r="O416" i="1"/>
  <c r="H416" i="1"/>
  <c r="O415" i="1"/>
  <c r="H415" i="1"/>
  <c r="O413" i="1"/>
  <c r="O414" i="1"/>
  <c r="H414" i="1"/>
  <c r="O412" i="1"/>
  <c r="H411" i="1"/>
  <c r="O411" i="1"/>
  <c r="R406" i="1"/>
  <c r="D408" i="1" l="1"/>
  <c r="R405" i="1"/>
  <c r="N404" i="1"/>
  <c r="N405" i="1"/>
  <c r="N406" i="1"/>
  <c r="D403" i="1"/>
  <c r="D404" i="1"/>
  <c r="D405" i="1"/>
  <c r="D406" i="1"/>
  <c r="D407" i="1"/>
  <c r="G403" i="1"/>
  <c r="G404" i="1"/>
  <c r="G405" i="1"/>
  <c r="G406" i="1"/>
  <c r="G407" i="1"/>
  <c r="G408" i="1"/>
  <c r="H408" i="1" l="1"/>
  <c r="H406" i="1"/>
  <c r="H405" i="1"/>
  <c r="H404" i="1"/>
  <c r="H407" i="1"/>
  <c r="H403" i="1"/>
  <c r="R403" i="1"/>
  <c r="R404" i="1"/>
  <c r="G401" i="1"/>
  <c r="G402" i="1"/>
  <c r="D401" i="1"/>
  <c r="D402" i="1"/>
  <c r="H402" i="1" l="1"/>
  <c r="G399" i="1"/>
  <c r="G400" i="1"/>
  <c r="D397" i="1"/>
  <c r="D398" i="1"/>
  <c r="D399" i="1"/>
  <c r="D400" i="1"/>
  <c r="D395" i="1" l="1"/>
  <c r="D396" i="1"/>
  <c r="G398" i="1"/>
  <c r="G396" i="1"/>
  <c r="G397" i="1"/>
  <c r="G395" i="1" l="1"/>
  <c r="D393" i="1"/>
  <c r="D394" i="1"/>
  <c r="G394" i="1"/>
  <c r="G393" i="1" l="1"/>
  <c r="G392" i="1" l="1"/>
  <c r="G391" i="1" l="1"/>
  <c r="G390" i="1"/>
  <c r="D389" i="1"/>
  <c r="D390" i="1"/>
  <c r="D391" i="1"/>
  <c r="D392" i="1"/>
  <c r="G383" i="1" l="1"/>
  <c r="G384" i="1"/>
  <c r="G385" i="1"/>
  <c r="G386" i="1"/>
  <c r="G387" i="1"/>
  <c r="G388" i="1"/>
  <c r="G389" i="1"/>
  <c r="D382" i="1"/>
  <c r="D383" i="1"/>
  <c r="D384" i="1"/>
  <c r="D385" i="1"/>
  <c r="D386" i="1"/>
  <c r="D387" i="1"/>
  <c r="D388" i="1"/>
  <c r="N382" i="1"/>
  <c r="N383" i="1"/>
  <c r="N384" i="1"/>
  <c r="N385" i="1"/>
  <c r="N386" i="1"/>
  <c r="N387" i="1"/>
  <c r="N388" i="1"/>
  <c r="N389" i="1"/>
  <c r="D380" i="1"/>
  <c r="D381" i="1"/>
  <c r="G382" i="1"/>
  <c r="D379" i="1" l="1"/>
  <c r="G381" i="1"/>
  <c r="G380" i="1" l="1"/>
  <c r="D377" i="1" l="1"/>
  <c r="D378" i="1"/>
  <c r="G379" i="1"/>
  <c r="G374" i="1" l="1"/>
  <c r="G375" i="1"/>
  <c r="G376" i="1"/>
  <c r="G377" i="1"/>
  <c r="G378" i="1"/>
  <c r="D375" i="1"/>
  <c r="D376" i="1"/>
  <c r="D371" i="1" l="1"/>
  <c r="D372" i="1"/>
  <c r="D373" i="1"/>
  <c r="D374" i="1"/>
  <c r="G373" i="1"/>
  <c r="G372" i="1" l="1"/>
  <c r="K360" i="1" l="1"/>
  <c r="G371" i="1" l="1"/>
  <c r="G368" i="1" l="1"/>
  <c r="G369" i="1"/>
  <c r="G370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53" i="1"/>
  <c r="K354" i="1"/>
  <c r="K355" i="1"/>
  <c r="K356" i="1"/>
  <c r="K357" i="1"/>
  <c r="K358" i="1"/>
  <c r="K359" i="1"/>
  <c r="K361" i="1"/>
  <c r="K362" i="1"/>
  <c r="K363" i="1"/>
  <c r="K364" i="1"/>
  <c r="K377" i="1"/>
  <c r="K378" i="1"/>
  <c r="K379" i="1"/>
  <c r="K380" i="1"/>
  <c r="K381" i="1"/>
  <c r="K382" i="1"/>
  <c r="O382" i="1" s="1"/>
  <c r="K383" i="1"/>
  <c r="O383" i="1" s="1"/>
  <c r="K384" i="1"/>
  <c r="O384" i="1" s="1"/>
  <c r="K385" i="1"/>
  <c r="O385" i="1" s="1"/>
  <c r="K386" i="1"/>
  <c r="O386" i="1" s="1"/>
  <c r="K387" i="1"/>
  <c r="O387" i="1" s="1"/>
  <c r="K388" i="1"/>
  <c r="O388" i="1" s="1"/>
  <c r="K389" i="1"/>
  <c r="O389" i="1" s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O404" i="1" s="1"/>
  <c r="K405" i="1"/>
  <c r="O405" i="1" s="1"/>
  <c r="K406" i="1"/>
  <c r="O406" i="1" s="1"/>
  <c r="K407" i="1"/>
  <c r="O407" i="1" s="1"/>
  <c r="G362" i="1"/>
  <c r="G363" i="1"/>
  <c r="G364" i="1"/>
  <c r="G365" i="1"/>
  <c r="G366" i="1"/>
  <c r="G367" i="1"/>
  <c r="D367" i="1"/>
  <c r="D368" i="1"/>
  <c r="D369" i="1"/>
  <c r="D370" i="1"/>
  <c r="N368" i="1"/>
  <c r="N369" i="1"/>
  <c r="N370" i="1"/>
  <c r="N371" i="1"/>
  <c r="O371" i="1" s="1"/>
  <c r="N372" i="1"/>
  <c r="O369" i="1" l="1"/>
  <c r="O372" i="1"/>
  <c r="O370" i="1"/>
  <c r="D360" i="1" l="1"/>
  <c r="D361" i="1"/>
  <c r="D362" i="1"/>
  <c r="D363" i="1"/>
  <c r="D364" i="1"/>
  <c r="D365" i="1"/>
  <c r="D366" i="1"/>
  <c r="H366" i="1" s="1"/>
  <c r="D359" i="1"/>
  <c r="O368" i="1"/>
  <c r="N363" i="1"/>
  <c r="O363" i="1" s="1"/>
  <c r="R363" i="1"/>
  <c r="N364" i="1"/>
  <c r="R364" i="1"/>
  <c r="N365" i="1"/>
  <c r="O365" i="1" s="1"/>
  <c r="R365" i="1"/>
  <c r="N366" i="1"/>
  <c r="R366" i="1"/>
  <c r="H367" i="1"/>
  <c r="N367" i="1"/>
  <c r="O367" i="1" s="1"/>
  <c r="R367" i="1"/>
  <c r="H368" i="1"/>
  <c r="R368" i="1"/>
  <c r="H369" i="1"/>
  <c r="R369" i="1"/>
  <c r="H370" i="1"/>
  <c r="R370" i="1"/>
  <c r="H371" i="1"/>
  <c r="R371" i="1"/>
  <c r="H372" i="1"/>
  <c r="R372" i="1"/>
  <c r="H373" i="1"/>
  <c r="N373" i="1"/>
  <c r="O373" i="1" s="1"/>
  <c r="R373" i="1"/>
  <c r="H374" i="1"/>
  <c r="N374" i="1"/>
  <c r="O374" i="1" s="1"/>
  <c r="R374" i="1"/>
  <c r="H375" i="1"/>
  <c r="N375" i="1"/>
  <c r="O375" i="1" s="1"/>
  <c r="R375" i="1"/>
  <c r="H376" i="1"/>
  <c r="N376" i="1"/>
  <c r="O376" i="1" s="1"/>
  <c r="R376" i="1"/>
  <c r="H377" i="1"/>
  <c r="N377" i="1"/>
  <c r="O377" i="1" s="1"/>
  <c r="R377" i="1"/>
  <c r="H378" i="1"/>
  <c r="N378" i="1"/>
  <c r="O378" i="1" s="1"/>
  <c r="R378" i="1"/>
  <c r="H379" i="1"/>
  <c r="N379" i="1"/>
  <c r="O379" i="1" s="1"/>
  <c r="R379" i="1"/>
  <c r="H380" i="1"/>
  <c r="N380" i="1"/>
  <c r="O380" i="1" s="1"/>
  <c r="R380" i="1"/>
  <c r="H381" i="1"/>
  <c r="N381" i="1"/>
  <c r="O381" i="1" s="1"/>
  <c r="R381" i="1"/>
  <c r="H382" i="1"/>
  <c r="R382" i="1"/>
  <c r="H383" i="1"/>
  <c r="R383" i="1"/>
  <c r="H384" i="1"/>
  <c r="R384" i="1"/>
  <c r="H385" i="1"/>
  <c r="R385" i="1"/>
  <c r="H386" i="1"/>
  <c r="R386" i="1"/>
  <c r="H387" i="1"/>
  <c r="R387" i="1"/>
  <c r="H388" i="1"/>
  <c r="R388" i="1"/>
  <c r="H389" i="1"/>
  <c r="R389" i="1"/>
  <c r="H390" i="1"/>
  <c r="N390" i="1"/>
  <c r="O390" i="1" s="1"/>
  <c r="R390" i="1"/>
  <c r="H391" i="1"/>
  <c r="N391" i="1"/>
  <c r="O391" i="1" s="1"/>
  <c r="R391" i="1"/>
  <c r="H392" i="1"/>
  <c r="N392" i="1"/>
  <c r="O392" i="1" s="1"/>
  <c r="R392" i="1"/>
  <c r="H393" i="1"/>
  <c r="N393" i="1"/>
  <c r="O393" i="1" s="1"/>
  <c r="R393" i="1"/>
  <c r="H394" i="1"/>
  <c r="N394" i="1"/>
  <c r="O394" i="1" s="1"/>
  <c r="R394" i="1"/>
  <c r="H395" i="1"/>
  <c r="N395" i="1"/>
  <c r="O395" i="1" s="1"/>
  <c r="R395" i="1"/>
  <c r="H396" i="1"/>
  <c r="N396" i="1"/>
  <c r="O396" i="1" s="1"/>
  <c r="R396" i="1"/>
  <c r="H397" i="1"/>
  <c r="N397" i="1"/>
  <c r="O397" i="1" s="1"/>
  <c r="R397" i="1"/>
  <c r="H398" i="1"/>
  <c r="N398" i="1"/>
  <c r="O398" i="1" s="1"/>
  <c r="R398" i="1"/>
  <c r="H399" i="1"/>
  <c r="N399" i="1"/>
  <c r="O399" i="1" s="1"/>
  <c r="R399" i="1"/>
  <c r="H400" i="1"/>
  <c r="N400" i="1"/>
  <c r="O400" i="1" s="1"/>
  <c r="R400" i="1"/>
  <c r="H401" i="1"/>
  <c r="N401" i="1"/>
  <c r="O401" i="1" s="1"/>
  <c r="R401" i="1"/>
  <c r="N402" i="1"/>
  <c r="O402" i="1" s="1"/>
  <c r="R402" i="1"/>
  <c r="N403" i="1"/>
  <c r="O403" i="1" s="1"/>
  <c r="O366" i="1" l="1"/>
  <c r="H365" i="1"/>
  <c r="H363" i="1"/>
  <c r="O364" i="1"/>
  <c r="H364" i="1"/>
  <c r="N360" i="1"/>
  <c r="N361" i="1"/>
  <c r="N362" i="1"/>
  <c r="O362" i="1" s="1"/>
  <c r="G361" i="1"/>
  <c r="O360" i="1" l="1"/>
  <c r="H361" i="1"/>
  <c r="O361" i="1" l="1"/>
  <c r="N354" i="1"/>
  <c r="N355" i="1"/>
  <c r="N356" i="1"/>
  <c r="N357" i="1"/>
  <c r="O357" i="1" s="1"/>
  <c r="N358" i="1"/>
  <c r="O358" i="1" s="1"/>
  <c r="N359" i="1"/>
  <c r="O359" i="1" s="1"/>
  <c r="G356" i="1"/>
  <c r="G357" i="1"/>
  <c r="O356" i="1" l="1"/>
  <c r="O355" i="1"/>
  <c r="O354" i="1" l="1"/>
  <c r="G351" i="1" l="1"/>
  <c r="G352" i="1"/>
  <c r="G353" i="1"/>
  <c r="G354" i="1"/>
  <c r="G358" i="1"/>
  <c r="G359" i="1"/>
  <c r="G360" i="1"/>
  <c r="D351" i="1" l="1"/>
  <c r="D352" i="1"/>
  <c r="H352" i="1" s="1"/>
  <c r="D353" i="1"/>
  <c r="H353" i="1" s="1"/>
  <c r="D354" i="1"/>
  <c r="H354" i="1" s="1"/>
  <c r="N350" i="1" l="1"/>
  <c r="N351" i="1"/>
  <c r="N352" i="1"/>
  <c r="N353" i="1"/>
  <c r="O353" i="1" s="1"/>
  <c r="G350" i="1"/>
  <c r="K352" i="1"/>
  <c r="O352" i="1" l="1"/>
  <c r="H351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K351" i="1"/>
  <c r="R348" i="1"/>
  <c r="R349" i="1"/>
  <c r="R350" i="1"/>
  <c r="N347" i="1" l="1"/>
  <c r="N348" i="1"/>
  <c r="N349" i="1"/>
  <c r="K346" i="1"/>
  <c r="K347" i="1"/>
  <c r="K348" i="1"/>
  <c r="K349" i="1"/>
  <c r="K350" i="1"/>
  <c r="O347" i="1" l="1"/>
  <c r="O350" i="1"/>
  <c r="O351" i="1"/>
  <c r="R347" i="1"/>
  <c r="K344" i="1" l="1"/>
  <c r="K345" i="1"/>
  <c r="R342" i="1" l="1"/>
  <c r="R343" i="1"/>
  <c r="R344" i="1"/>
  <c r="R345" i="1"/>
  <c r="R346" i="1"/>
  <c r="N338" i="1"/>
  <c r="N339" i="1"/>
  <c r="N340" i="1"/>
  <c r="N341" i="1"/>
  <c r="N342" i="1"/>
  <c r="N343" i="1"/>
  <c r="N344" i="1"/>
  <c r="O344" i="1" s="1"/>
  <c r="N345" i="1"/>
  <c r="O345" i="1" s="1"/>
  <c r="N346" i="1"/>
  <c r="O346" i="1" s="1"/>
  <c r="O348" i="1"/>
  <c r="O349" i="1"/>
  <c r="R338" i="1" l="1"/>
  <c r="R339" i="1"/>
  <c r="R340" i="1"/>
  <c r="R341" i="1"/>
  <c r="K339" i="1"/>
  <c r="K340" i="1"/>
  <c r="K341" i="1"/>
  <c r="K342" i="1"/>
  <c r="O342" i="1" s="1"/>
  <c r="K343" i="1"/>
  <c r="O343" i="1" s="1"/>
  <c r="D338" i="1" l="1"/>
  <c r="D339" i="1"/>
  <c r="D340" i="1"/>
  <c r="O340" i="1" l="1"/>
  <c r="O341" i="1"/>
  <c r="D335" i="1" l="1"/>
  <c r="D336" i="1"/>
  <c r="D337" i="1"/>
  <c r="K338" i="1"/>
  <c r="O338" i="1" s="1"/>
  <c r="O339" i="1"/>
  <c r="R335" i="1" l="1"/>
  <c r="R336" i="1"/>
  <c r="R337" i="1"/>
  <c r="R332" i="1" l="1"/>
  <c r="R333" i="1"/>
  <c r="R334" i="1"/>
  <c r="K333" i="1"/>
  <c r="K334" i="1"/>
  <c r="K335" i="1"/>
  <c r="K336" i="1"/>
  <c r="K337" i="1"/>
  <c r="K332" i="1"/>
  <c r="D332" i="1"/>
  <c r="D333" i="1"/>
  <c r="D334" i="1"/>
  <c r="N333" i="1"/>
  <c r="N334" i="1"/>
  <c r="N335" i="1"/>
  <c r="N336" i="1"/>
  <c r="N337" i="1"/>
  <c r="O335" i="1" l="1"/>
  <c r="O333" i="1"/>
  <c r="O334" i="1"/>
  <c r="O337" i="1"/>
  <c r="O336" i="1"/>
  <c r="K331" i="1"/>
  <c r="K330" i="1" l="1"/>
  <c r="R327" i="1"/>
  <c r="R328" i="1"/>
  <c r="R329" i="1"/>
  <c r="R330" i="1"/>
  <c r="R331" i="1"/>
  <c r="K329" i="1"/>
  <c r="N327" i="1"/>
  <c r="N328" i="1"/>
  <c r="N329" i="1"/>
  <c r="N330" i="1"/>
  <c r="N331" i="1"/>
  <c r="O331" i="1" s="1"/>
  <c r="N332" i="1"/>
  <c r="O332" i="1" s="1"/>
  <c r="O329" i="1" l="1"/>
  <c r="O330" i="1"/>
  <c r="R322" i="1"/>
  <c r="R323" i="1"/>
  <c r="R324" i="1"/>
  <c r="R325" i="1"/>
  <c r="R326" i="1"/>
  <c r="N323" i="1" l="1"/>
  <c r="N324" i="1"/>
  <c r="N325" i="1"/>
  <c r="N326" i="1"/>
  <c r="N319" i="1" l="1"/>
  <c r="N320" i="1"/>
  <c r="N321" i="1"/>
  <c r="N322" i="1"/>
  <c r="R321" i="1" l="1"/>
  <c r="R315" i="1"/>
  <c r="R316" i="1"/>
  <c r="R317" i="1"/>
  <c r="R318" i="1"/>
  <c r="R319" i="1"/>
  <c r="R320" i="1"/>
  <c r="N312" i="1" l="1"/>
  <c r="N313" i="1"/>
  <c r="N314" i="1"/>
  <c r="N315" i="1"/>
  <c r="N316" i="1"/>
  <c r="N317" i="1"/>
  <c r="N318" i="1"/>
  <c r="K312" i="1"/>
  <c r="K313" i="1"/>
  <c r="K314" i="1"/>
  <c r="K315" i="1"/>
  <c r="K316" i="1"/>
  <c r="K317" i="1"/>
  <c r="K318" i="1"/>
  <c r="K319" i="1"/>
  <c r="K320" i="1"/>
  <c r="K321" i="1"/>
  <c r="O321" i="1" s="1"/>
  <c r="K322" i="1"/>
  <c r="O322" i="1" s="1"/>
  <c r="K323" i="1"/>
  <c r="O323" i="1" s="1"/>
  <c r="K324" i="1"/>
  <c r="O324" i="1" s="1"/>
  <c r="K325" i="1"/>
  <c r="O325" i="1" s="1"/>
  <c r="K326" i="1"/>
  <c r="O326" i="1" s="1"/>
  <c r="K327" i="1"/>
  <c r="O327" i="1" s="1"/>
  <c r="K328" i="1"/>
  <c r="O328" i="1" s="1"/>
  <c r="D314" i="1"/>
  <c r="D315" i="1"/>
  <c r="D316" i="1"/>
  <c r="D317" i="1"/>
  <c r="D318" i="1"/>
  <c r="D313" i="1"/>
  <c r="O315" i="1" l="1"/>
  <c r="O317" i="1"/>
  <c r="O313" i="1"/>
  <c r="O316" i="1"/>
  <c r="O312" i="1"/>
  <c r="O314" i="1"/>
  <c r="O319" i="1"/>
  <c r="O318" i="1"/>
  <c r="R311" i="1"/>
  <c r="R312" i="1"/>
  <c r="R313" i="1"/>
  <c r="R314" i="1"/>
  <c r="N311" i="1" l="1"/>
  <c r="R310" i="1" l="1"/>
  <c r="N304" i="1" l="1"/>
  <c r="N305" i="1"/>
  <c r="N306" i="1"/>
  <c r="N307" i="1"/>
  <c r="N308" i="1"/>
  <c r="N309" i="1"/>
  <c r="N310" i="1"/>
  <c r="R309" i="1"/>
  <c r="K302" i="1" l="1"/>
  <c r="K303" i="1"/>
  <c r="K304" i="1"/>
  <c r="O304" i="1" s="1"/>
  <c r="K305" i="1"/>
  <c r="O305" i="1" s="1"/>
  <c r="K306" i="1"/>
  <c r="O306" i="1" s="1"/>
  <c r="K307" i="1"/>
  <c r="O307" i="1" s="1"/>
  <c r="K308" i="1"/>
  <c r="O308" i="1" s="1"/>
  <c r="K309" i="1"/>
  <c r="O309" i="1" s="1"/>
  <c r="K310" i="1"/>
  <c r="O310" i="1" s="1"/>
  <c r="K311" i="1"/>
  <c r="O311" i="1" s="1"/>
  <c r="G179" i="1" l="1"/>
  <c r="K300" i="1" l="1"/>
  <c r="K301" i="1"/>
  <c r="N295" i="1"/>
  <c r="N296" i="1"/>
  <c r="N297" i="1"/>
  <c r="N298" i="1"/>
  <c r="N299" i="1"/>
  <c r="N300" i="1"/>
  <c r="N301" i="1"/>
  <c r="N302" i="1"/>
  <c r="N303" i="1"/>
  <c r="O303" i="1" s="1"/>
  <c r="O300" i="1" l="1"/>
  <c r="O302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K295" i="1" l="1"/>
  <c r="O295" i="1" s="1"/>
  <c r="K296" i="1"/>
  <c r="O296" i="1" s="1"/>
  <c r="K297" i="1"/>
  <c r="O297" i="1" s="1"/>
  <c r="K298" i="1"/>
  <c r="O298" i="1" s="1"/>
  <c r="K299" i="1"/>
  <c r="O299" i="1" s="1"/>
  <c r="O301" i="1"/>
  <c r="R295" i="1" l="1"/>
  <c r="R288" i="1" l="1"/>
  <c r="R289" i="1"/>
  <c r="R290" i="1"/>
  <c r="R291" i="1"/>
  <c r="R292" i="1"/>
  <c r="R293" i="1"/>
  <c r="R294" i="1"/>
  <c r="K291" i="1"/>
  <c r="K292" i="1"/>
  <c r="K293" i="1"/>
  <c r="K294" i="1"/>
  <c r="K286" i="1"/>
  <c r="K287" i="1"/>
  <c r="K288" i="1"/>
  <c r="K289" i="1"/>
  <c r="K290" i="1"/>
  <c r="N290" i="1"/>
  <c r="N291" i="1"/>
  <c r="N292" i="1"/>
  <c r="O292" i="1" s="1"/>
  <c r="N293" i="1"/>
  <c r="O293" i="1" s="1"/>
  <c r="N294" i="1"/>
  <c r="O294" i="1" l="1"/>
  <c r="O291" i="1"/>
  <c r="O290" i="1"/>
  <c r="N289" i="1"/>
  <c r="R286" i="1" l="1"/>
  <c r="R287" i="1"/>
  <c r="K284" i="1" l="1"/>
  <c r="K285" i="1"/>
  <c r="K283" i="1" l="1"/>
  <c r="N282" i="1"/>
  <c r="N283" i="1"/>
  <c r="N284" i="1"/>
  <c r="N285" i="1"/>
  <c r="N286" i="1"/>
  <c r="N287" i="1"/>
  <c r="N288" i="1"/>
  <c r="R283" i="1" l="1"/>
  <c r="R284" i="1"/>
  <c r="R285" i="1"/>
  <c r="N280" i="1" l="1"/>
  <c r="N281" i="1"/>
  <c r="K279" i="1"/>
  <c r="K280" i="1"/>
  <c r="K281" i="1"/>
  <c r="K282" i="1"/>
  <c r="O284" i="1" l="1"/>
  <c r="O285" i="1"/>
  <c r="O286" i="1"/>
  <c r="O287" i="1"/>
  <c r="O288" i="1"/>
  <c r="O289" i="1"/>
  <c r="O280" i="1"/>
  <c r="O281" i="1"/>
  <c r="O282" i="1"/>
  <c r="O283" i="1"/>
  <c r="R275" i="1"/>
  <c r="R276" i="1"/>
  <c r="R277" i="1"/>
  <c r="R278" i="1"/>
  <c r="R279" i="1"/>
  <c r="R280" i="1"/>
  <c r="R281" i="1"/>
  <c r="R282" i="1"/>
  <c r="N279" i="1" l="1"/>
  <c r="O279" i="1" s="1"/>
  <c r="K275" i="1" l="1"/>
  <c r="K276" i="1"/>
  <c r="K277" i="1"/>
  <c r="K278" i="1"/>
  <c r="K274" i="1" l="1"/>
  <c r="K273" i="1" l="1"/>
  <c r="N266" i="1" l="1"/>
  <c r="N267" i="1"/>
  <c r="N268" i="1"/>
  <c r="N269" i="1"/>
  <c r="N270" i="1"/>
  <c r="N271" i="1"/>
  <c r="N272" i="1"/>
  <c r="N273" i="1"/>
  <c r="N274" i="1"/>
  <c r="N275" i="1"/>
  <c r="O275" i="1" s="1"/>
  <c r="N276" i="1"/>
  <c r="O276" i="1" s="1"/>
  <c r="N277" i="1"/>
  <c r="O277" i="1" s="1"/>
  <c r="N278" i="1"/>
  <c r="O278" i="1" s="1"/>
  <c r="K262" i="1" l="1"/>
  <c r="K263" i="1"/>
  <c r="K264" i="1"/>
  <c r="K265" i="1"/>
  <c r="K266" i="1"/>
  <c r="K267" i="1"/>
  <c r="K268" i="1"/>
  <c r="K269" i="1"/>
  <c r="K270" i="1"/>
  <c r="K271" i="1"/>
  <c r="K272" i="1"/>
  <c r="K255" i="1" l="1"/>
  <c r="K256" i="1"/>
  <c r="K257" i="1"/>
  <c r="K258" i="1"/>
  <c r="K259" i="1"/>
  <c r="K260" i="1"/>
  <c r="K261" i="1"/>
  <c r="N255" i="1" l="1"/>
  <c r="N256" i="1"/>
  <c r="N257" i="1"/>
  <c r="N258" i="1"/>
  <c r="N259" i="1"/>
  <c r="N260" i="1"/>
  <c r="N261" i="1"/>
  <c r="N262" i="1"/>
  <c r="N263" i="1"/>
  <c r="O262" i="1" l="1"/>
  <c r="O263" i="1"/>
  <c r="N248" i="1" l="1"/>
  <c r="N249" i="1"/>
  <c r="N250" i="1"/>
  <c r="N251" i="1"/>
  <c r="N252" i="1"/>
  <c r="N253" i="1"/>
  <c r="N254" i="1"/>
  <c r="N264" i="1"/>
  <c r="O264" i="1" s="1"/>
  <c r="N265" i="1"/>
  <c r="O265" i="1" s="1"/>
  <c r="O266" i="1"/>
  <c r="O267" i="1"/>
  <c r="K242" i="1" l="1"/>
  <c r="K243" i="1"/>
  <c r="K244" i="1"/>
  <c r="K245" i="1"/>
  <c r="K246" i="1"/>
  <c r="K247" i="1"/>
  <c r="K248" i="1"/>
  <c r="K249" i="1"/>
  <c r="K250" i="1"/>
  <c r="K251" i="1"/>
  <c r="K252" i="1"/>
  <c r="K253" i="1"/>
  <c r="O253" i="1" s="1"/>
  <c r="K254" i="1"/>
  <c r="O254" i="1" s="1"/>
  <c r="O255" i="1"/>
  <c r="O256" i="1"/>
  <c r="O257" i="1"/>
  <c r="O258" i="1"/>
  <c r="O259" i="1"/>
  <c r="O260" i="1"/>
  <c r="O261" i="1"/>
  <c r="K240" i="1"/>
  <c r="K241" i="1"/>
  <c r="N237" i="1"/>
  <c r="N238" i="1"/>
  <c r="N239" i="1"/>
  <c r="N240" i="1"/>
  <c r="N241" i="1"/>
  <c r="N242" i="1"/>
  <c r="N243" i="1"/>
  <c r="N244" i="1"/>
  <c r="N245" i="1"/>
  <c r="N246" i="1"/>
  <c r="N247" i="1"/>
  <c r="O240" i="1" l="1"/>
  <c r="O241" i="1"/>
  <c r="O252" i="1"/>
  <c r="O248" i="1"/>
  <c r="O244" i="1"/>
  <c r="O251" i="1"/>
  <c r="O247" i="1"/>
  <c r="O243" i="1"/>
  <c r="O250" i="1"/>
  <c r="O246" i="1"/>
  <c r="O242" i="1"/>
  <c r="O249" i="1"/>
  <c r="O245" i="1"/>
  <c r="R243" i="1"/>
  <c r="R244" i="1"/>
  <c r="R245" i="1"/>
  <c r="R246" i="1"/>
  <c r="R238" i="1" l="1"/>
  <c r="R239" i="1"/>
  <c r="R240" i="1"/>
  <c r="R241" i="1"/>
  <c r="R242" i="1"/>
  <c r="K239" i="1"/>
  <c r="O239" i="1" s="1"/>
  <c r="G236" i="1" l="1"/>
  <c r="G237" i="1"/>
  <c r="G238" i="1"/>
  <c r="D236" i="1"/>
  <c r="D237" i="1"/>
  <c r="D238" i="1"/>
  <c r="D239" i="1"/>
  <c r="G235" i="1"/>
  <c r="G239" i="1"/>
  <c r="G240" i="1"/>
  <c r="G241" i="1"/>
  <c r="H239" i="1" l="1"/>
  <c r="H238" i="1"/>
  <c r="K233" i="1" l="1"/>
  <c r="N230" i="1" l="1"/>
  <c r="N231" i="1"/>
  <c r="N232" i="1"/>
  <c r="N233" i="1"/>
  <c r="O233" i="1" s="1"/>
  <c r="N234" i="1"/>
  <c r="N235" i="1"/>
  <c r="N236" i="1"/>
  <c r="K227" i="1" l="1"/>
  <c r="K228" i="1"/>
  <c r="K229" i="1"/>
  <c r="K230" i="1"/>
  <c r="O230" i="1" s="1"/>
  <c r="R227" i="1" l="1"/>
  <c r="R228" i="1"/>
  <c r="R229" i="1"/>
  <c r="R230" i="1"/>
  <c r="R231" i="1"/>
  <c r="R232" i="1"/>
  <c r="R233" i="1"/>
  <c r="R234" i="1"/>
  <c r="R235" i="1"/>
  <c r="R236" i="1"/>
  <c r="R237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23" i="1"/>
  <c r="R224" i="1"/>
  <c r="R225" i="1"/>
  <c r="R226" i="1"/>
  <c r="K217" i="1" l="1"/>
  <c r="K218" i="1"/>
  <c r="K219" i="1"/>
  <c r="K220" i="1"/>
  <c r="K221" i="1"/>
  <c r="K222" i="1"/>
  <c r="K223" i="1"/>
  <c r="K224" i="1"/>
  <c r="K225" i="1"/>
  <c r="K226" i="1"/>
  <c r="K231" i="1"/>
  <c r="O231" i="1" s="1"/>
  <c r="K232" i="1"/>
  <c r="O232" i="1" s="1"/>
  <c r="K234" i="1"/>
  <c r="O234" i="1" s="1"/>
  <c r="K235" i="1"/>
  <c r="O235" i="1" s="1"/>
  <c r="K236" i="1"/>
  <c r="O236" i="1" s="1"/>
  <c r="K237" i="1"/>
  <c r="O237" i="1" s="1"/>
  <c r="K238" i="1"/>
  <c r="O238" i="1" s="1"/>
  <c r="R216" i="1" l="1"/>
  <c r="R214" i="1"/>
  <c r="R215" i="1"/>
  <c r="R213" i="1" l="1"/>
  <c r="R217" i="1"/>
  <c r="R218" i="1"/>
  <c r="R219" i="1"/>
  <c r="R220" i="1"/>
  <c r="R221" i="1"/>
  <c r="R222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O226" i="1" s="1"/>
  <c r="N227" i="1"/>
  <c r="O227" i="1" s="1"/>
  <c r="N228" i="1"/>
  <c r="O228" i="1" s="1"/>
  <c r="N229" i="1"/>
  <c r="O229" i="1" s="1"/>
  <c r="D716" i="2" l="1"/>
  <c r="D714" i="2"/>
  <c r="G710" i="2"/>
  <c r="G708" i="2"/>
  <c r="D213" i="1"/>
  <c r="G677" i="2" l="1"/>
  <c r="G675" i="2"/>
  <c r="D681" i="2"/>
  <c r="D683" i="2"/>
  <c r="N199" i="1" l="1"/>
  <c r="N200" i="1"/>
  <c r="N201" i="1"/>
  <c r="N202" i="1" l="1"/>
  <c r="N203" i="1"/>
  <c r="N204" i="1"/>
  <c r="N205" i="1"/>
  <c r="N206" i="1"/>
  <c r="N207" i="1"/>
  <c r="N208" i="1"/>
  <c r="N209" i="1"/>
  <c r="N210" i="1"/>
  <c r="N211" i="1"/>
  <c r="N198" i="1"/>
  <c r="K197" i="1" l="1"/>
  <c r="K198" i="1"/>
  <c r="K199" i="1"/>
  <c r="K200" i="1"/>
  <c r="K201" i="1"/>
  <c r="K202" i="1"/>
  <c r="K203" i="1"/>
  <c r="K204" i="1"/>
  <c r="K205" i="1"/>
  <c r="K206" i="1"/>
  <c r="K207" i="1"/>
  <c r="K208" i="1"/>
  <c r="O208" i="1" s="1"/>
  <c r="K209" i="1"/>
  <c r="O209" i="1" s="1"/>
  <c r="K210" i="1"/>
  <c r="O210" i="1" s="1"/>
  <c r="K211" i="1"/>
  <c r="O211" i="1" s="1"/>
  <c r="K212" i="1"/>
  <c r="O212" i="1" s="1"/>
  <c r="K213" i="1"/>
  <c r="O213" i="1" s="1"/>
  <c r="K214" i="1"/>
  <c r="O214" i="1" s="1"/>
  <c r="K215" i="1"/>
  <c r="O215" i="1" s="1"/>
  <c r="K216" i="1"/>
  <c r="O216" i="1" s="1"/>
  <c r="K196" i="1" l="1"/>
  <c r="O198" i="1" l="1"/>
  <c r="O199" i="1"/>
  <c r="O200" i="1"/>
  <c r="O201" i="1"/>
  <c r="O202" i="1"/>
  <c r="O203" i="1"/>
  <c r="O204" i="1"/>
  <c r="O205" i="1"/>
  <c r="O206" i="1"/>
  <c r="O207" i="1"/>
  <c r="R193" i="1"/>
  <c r="R194" i="1"/>
  <c r="R195" i="1"/>
  <c r="R196" i="1"/>
  <c r="K194" i="1"/>
  <c r="K195" i="1"/>
  <c r="K187" i="1" l="1"/>
  <c r="K188" i="1"/>
  <c r="K189" i="1"/>
  <c r="K190" i="1"/>
  <c r="K191" i="1"/>
  <c r="K192" i="1"/>
  <c r="K193" i="1"/>
  <c r="K176" i="1" l="1"/>
  <c r="K177" i="1"/>
  <c r="K178" i="1"/>
  <c r="K179" i="1"/>
  <c r="K180" i="1"/>
  <c r="K181" i="1"/>
  <c r="K182" i="1"/>
  <c r="K183" i="1"/>
  <c r="K184" i="1"/>
  <c r="K185" i="1"/>
  <c r="K18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O190" i="1" s="1"/>
  <c r="N191" i="1"/>
  <c r="O191" i="1" s="1"/>
  <c r="N192" i="1"/>
  <c r="O192" i="1" s="1"/>
  <c r="N193" i="1"/>
  <c r="O193" i="1" s="1"/>
  <c r="N194" i="1"/>
  <c r="O194" i="1" s="1"/>
  <c r="N195" i="1"/>
  <c r="O195" i="1" s="1"/>
  <c r="N196" i="1"/>
  <c r="O196" i="1" s="1"/>
  <c r="N197" i="1"/>
  <c r="O197" i="1" s="1"/>
  <c r="O181" i="1" l="1"/>
  <c r="O177" i="1"/>
  <c r="O180" i="1"/>
  <c r="O182" i="1"/>
  <c r="O178" i="1"/>
  <c r="O179" i="1"/>
  <c r="O185" i="1"/>
  <c r="O189" i="1"/>
  <c r="O188" i="1"/>
  <c r="O187" i="1"/>
  <c r="O186" i="1"/>
  <c r="O184" i="1"/>
  <c r="O183" i="1"/>
  <c r="K173" i="1" l="1"/>
  <c r="K174" i="1"/>
  <c r="K175" i="1"/>
  <c r="K164" i="1" l="1"/>
  <c r="K165" i="1"/>
  <c r="K166" i="1"/>
  <c r="K167" i="1"/>
  <c r="K168" i="1"/>
  <c r="K169" i="1"/>
  <c r="K170" i="1"/>
  <c r="K171" i="1"/>
  <c r="K172" i="1"/>
  <c r="N163" i="1"/>
  <c r="N164" i="1"/>
  <c r="N165" i="1"/>
  <c r="N166" i="1"/>
  <c r="N167" i="1"/>
  <c r="N168" i="1"/>
  <c r="N169" i="1"/>
  <c r="N170" i="1"/>
  <c r="N171" i="1"/>
  <c r="N172" i="1"/>
  <c r="N173" i="1"/>
  <c r="O173" i="1" s="1"/>
  <c r="N174" i="1"/>
  <c r="O174" i="1" s="1"/>
  <c r="N175" i="1"/>
  <c r="O175" i="1" s="1"/>
  <c r="N176" i="1"/>
  <c r="O176" i="1" s="1"/>
  <c r="O169" i="1" l="1"/>
  <c r="O165" i="1"/>
  <c r="O168" i="1"/>
  <c r="O164" i="1"/>
  <c r="O167" i="1"/>
  <c r="O170" i="1"/>
  <c r="O166" i="1"/>
  <c r="O172" i="1"/>
  <c r="O171" i="1"/>
  <c r="K149" i="1" l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N145" i="1" l="1"/>
  <c r="N146" i="1"/>
  <c r="N147" i="1"/>
  <c r="N148" i="1"/>
  <c r="N149" i="1"/>
  <c r="N150" i="1"/>
  <c r="O150" i="1" s="1"/>
  <c r="N151" i="1"/>
  <c r="O151" i="1" s="1"/>
  <c r="N152" i="1"/>
  <c r="O152" i="1" s="1"/>
  <c r="N153" i="1"/>
  <c r="O153" i="1" s="1"/>
  <c r="N154" i="1"/>
  <c r="O154" i="1" s="1"/>
  <c r="N155" i="1"/>
  <c r="O155" i="1" s="1"/>
  <c r="N156" i="1"/>
  <c r="O156" i="1" s="1"/>
  <c r="N157" i="1"/>
  <c r="O157" i="1" s="1"/>
  <c r="N158" i="1"/>
  <c r="O158" i="1" s="1"/>
  <c r="N159" i="1"/>
  <c r="O159" i="1" s="1"/>
  <c r="N160" i="1"/>
  <c r="O160" i="1" s="1"/>
  <c r="N161" i="1"/>
  <c r="O161" i="1" s="1"/>
  <c r="N162" i="1"/>
  <c r="O162" i="1" s="1"/>
  <c r="O163" i="1"/>
  <c r="K145" i="1"/>
  <c r="K146" i="1"/>
  <c r="K147" i="1"/>
  <c r="K148" i="1"/>
  <c r="R147" i="1" l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139" i="1"/>
  <c r="R140" i="1"/>
  <c r="R141" i="1"/>
  <c r="R142" i="1"/>
  <c r="R143" i="1"/>
  <c r="R144" i="1"/>
  <c r="R145" i="1"/>
  <c r="R146" i="1"/>
  <c r="R138" i="1"/>
  <c r="N137" i="1" l="1"/>
  <c r="N138" i="1"/>
  <c r="N139" i="1"/>
  <c r="N140" i="1"/>
  <c r="N141" i="1"/>
  <c r="N142" i="1"/>
  <c r="N143" i="1"/>
  <c r="N144" i="1"/>
  <c r="K139" i="1" l="1"/>
  <c r="O139" i="1" s="1"/>
  <c r="K140" i="1"/>
  <c r="O140" i="1" s="1"/>
  <c r="K141" i="1"/>
  <c r="O141" i="1" s="1"/>
  <c r="K142" i="1"/>
  <c r="O142" i="1" s="1"/>
  <c r="K143" i="1"/>
  <c r="O143" i="1" s="1"/>
  <c r="K144" i="1"/>
  <c r="O144" i="1" s="1"/>
  <c r="O145" i="1"/>
  <c r="O146" i="1"/>
  <c r="O147" i="1"/>
  <c r="O148" i="1"/>
  <c r="O149" i="1"/>
  <c r="K136" i="1" l="1"/>
  <c r="K137" i="1"/>
  <c r="O137" i="1" s="1"/>
  <c r="K138" i="1"/>
  <c r="O138" i="1" s="1"/>
  <c r="N123" i="1" l="1"/>
  <c r="N120" i="1" l="1"/>
  <c r="N121" i="1"/>
  <c r="N122" i="1"/>
  <c r="N124" i="1"/>
  <c r="N125" i="1"/>
  <c r="N126" i="1"/>
  <c r="N127" i="1"/>
  <c r="N128" i="1"/>
  <c r="N129" i="1"/>
  <c r="N130" i="1"/>
  <c r="N119" i="1"/>
  <c r="N131" i="1" l="1"/>
  <c r="N132" i="1"/>
  <c r="N133" i="1"/>
  <c r="N134" i="1"/>
  <c r="N135" i="1"/>
  <c r="N136" i="1"/>
  <c r="N118" i="1" l="1"/>
  <c r="G117" i="1" l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H336" i="1" s="1"/>
  <c r="G337" i="1"/>
  <c r="H337" i="1" s="1"/>
  <c r="G338" i="1"/>
  <c r="H338" i="1" s="1"/>
  <c r="G339" i="1"/>
  <c r="G340" i="1"/>
  <c r="G341" i="1"/>
  <c r="G342" i="1"/>
  <c r="G343" i="1"/>
  <c r="G344" i="1"/>
  <c r="G345" i="1"/>
  <c r="G346" i="1"/>
  <c r="G347" i="1"/>
  <c r="G348" i="1"/>
  <c r="G349" i="1"/>
  <c r="G355" i="1"/>
  <c r="K103" i="1" l="1"/>
  <c r="D113" i="1"/>
  <c r="D114" i="1"/>
  <c r="D115" i="1"/>
  <c r="D116" i="1"/>
  <c r="D117" i="1"/>
  <c r="H117" i="1" s="1"/>
  <c r="D118" i="1"/>
  <c r="H118" i="1" s="1"/>
  <c r="D119" i="1"/>
  <c r="H119" i="1" s="1"/>
  <c r="D120" i="1"/>
  <c r="H120" i="1" s="1"/>
  <c r="D121" i="1"/>
  <c r="H121" i="1" s="1"/>
  <c r="D122" i="1"/>
  <c r="H122" i="1" s="1"/>
  <c r="D123" i="1"/>
  <c r="H123" i="1" s="1"/>
  <c r="D112" i="1"/>
  <c r="K113" i="1"/>
  <c r="K114" i="1"/>
  <c r="K115" i="1"/>
  <c r="K116" i="1"/>
  <c r="K117" i="1"/>
  <c r="K118" i="1"/>
  <c r="K119" i="1"/>
  <c r="K120" i="1"/>
  <c r="O120" i="1" s="1"/>
  <c r="K121" i="1"/>
  <c r="O121" i="1" s="1"/>
  <c r="K122" i="1"/>
  <c r="O122" i="1" s="1"/>
  <c r="K123" i="1"/>
  <c r="K124" i="1"/>
  <c r="O124" i="1" s="1"/>
  <c r="K125" i="1"/>
  <c r="O125" i="1" s="1"/>
  <c r="K126" i="1"/>
  <c r="O126" i="1" s="1"/>
  <c r="K127" i="1"/>
  <c r="O127" i="1" s="1"/>
  <c r="K128" i="1"/>
  <c r="O128" i="1" s="1"/>
  <c r="K129" i="1"/>
  <c r="O129" i="1" s="1"/>
  <c r="K130" i="1"/>
  <c r="O130" i="1" s="1"/>
  <c r="K131" i="1"/>
  <c r="O131" i="1" s="1"/>
  <c r="K132" i="1"/>
  <c r="O132" i="1" s="1"/>
  <c r="K133" i="1"/>
  <c r="O133" i="1" s="1"/>
  <c r="K134" i="1"/>
  <c r="O134" i="1" s="1"/>
  <c r="K135" i="1"/>
  <c r="O135" i="1" s="1"/>
  <c r="O136" i="1"/>
  <c r="O217" i="1"/>
  <c r="O218" i="1"/>
  <c r="O219" i="1"/>
  <c r="O220" i="1"/>
  <c r="O221" i="1"/>
  <c r="O222" i="1"/>
  <c r="O223" i="1"/>
  <c r="O224" i="1"/>
  <c r="O225" i="1"/>
  <c r="K102" i="1"/>
  <c r="K104" i="1"/>
  <c r="K105" i="1"/>
  <c r="K106" i="1"/>
  <c r="K107" i="1"/>
  <c r="K108" i="1"/>
  <c r="K109" i="1"/>
  <c r="K110" i="1"/>
  <c r="K111" i="1"/>
  <c r="K112" i="1"/>
  <c r="K101" i="1"/>
  <c r="D102" i="1"/>
  <c r="D103" i="1"/>
  <c r="D104" i="1"/>
  <c r="D105" i="1"/>
  <c r="D106" i="1"/>
  <c r="D107" i="1"/>
  <c r="D108" i="1"/>
  <c r="D109" i="1"/>
  <c r="D110" i="1"/>
  <c r="D111" i="1"/>
  <c r="D124" i="1"/>
  <c r="H124" i="1" s="1"/>
  <c r="D125" i="1"/>
  <c r="H125" i="1" s="1"/>
  <c r="D126" i="1"/>
  <c r="H126" i="1" s="1"/>
  <c r="D127" i="1"/>
  <c r="H127" i="1" s="1"/>
  <c r="D128" i="1"/>
  <c r="H128" i="1" s="1"/>
  <c r="D129" i="1"/>
  <c r="H129" i="1" s="1"/>
  <c r="D130" i="1"/>
  <c r="H130" i="1" s="1"/>
  <c r="D131" i="1"/>
  <c r="H131" i="1" s="1"/>
  <c r="D132" i="1"/>
  <c r="H132" i="1" s="1"/>
  <c r="D133" i="1"/>
  <c r="H133" i="1" s="1"/>
  <c r="D134" i="1"/>
  <c r="H134" i="1" s="1"/>
  <c r="D135" i="1"/>
  <c r="H135" i="1" s="1"/>
  <c r="D136" i="1"/>
  <c r="H136" i="1" s="1"/>
  <c r="D137" i="1"/>
  <c r="H137" i="1" s="1"/>
  <c r="D138" i="1"/>
  <c r="H138" i="1" s="1"/>
  <c r="D139" i="1"/>
  <c r="H139" i="1" s="1"/>
  <c r="D140" i="1"/>
  <c r="H140" i="1" s="1"/>
  <c r="D141" i="1"/>
  <c r="H141" i="1" s="1"/>
  <c r="D142" i="1"/>
  <c r="H142" i="1" s="1"/>
  <c r="D143" i="1"/>
  <c r="H143" i="1" s="1"/>
  <c r="D144" i="1"/>
  <c r="H144" i="1" s="1"/>
  <c r="D145" i="1"/>
  <c r="H145" i="1" s="1"/>
  <c r="D146" i="1"/>
  <c r="H146" i="1" s="1"/>
  <c r="D147" i="1"/>
  <c r="H147" i="1" s="1"/>
  <c r="D148" i="1"/>
  <c r="H148" i="1" s="1"/>
  <c r="D149" i="1"/>
  <c r="H149" i="1" s="1"/>
  <c r="D150" i="1"/>
  <c r="H150" i="1" s="1"/>
  <c r="D151" i="1"/>
  <c r="H151" i="1" s="1"/>
  <c r="D152" i="1"/>
  <c r="H152" i="1" s="1"/>
  <c r="D153" i="1"/>
  <c r="H153" i="1" s="1"/>
  <c r="D154" i="1"/>
  <c r="H154" i="1" s="1"/>
  <c r="D155" i="1"/>
  <c r="H155" i="1" s="1"/>
  <c r="D156" i="1"/>
  <c r="H156" i="1" s="1"/>
  <c r="D157" i="1"/>
  <c r="H157" i="1" s="1"/>
  <c r="D158" i="1"/>
  <c r="H158" i="1" s="1"/>
  <c r="D159" i="1"/>
  <c r="H159" i="1" s="1"/>
  <c r="D160" i="1"/>
  <c r="H160" i="1" s="1"/>
  <c r="D161" i="1"/>
  <c r="H161" i="1" s="1"/>
  <c r="D162" i="1"/>
  <c r="H162" i="1" s="1"/>
  <c r="D163" i="1"/>
  <c r="H163" i="1" s="1"/>
  <c r="D164" i="1"/>
  <c r="H164" i="1" s="1"/>
  <c r="D165" i="1"/>
  <c r="H165" i="1" s="1"/>
  <c r="D166" i="1"/>
  <c r="H166" i="1" s="1"/>
  <c r="D167" i="1"/>
  <c r="H167" i="1" s="1"/>
  <c r="D168" i="1"/>
  <c r="H168" i="1" s="1"/>
  <c r="D169" i="1"/>
  <c r="H169" i="1" s="1"/>
  <c r="D170" i="1"/>
  <c r="H170" i="1" s="1"/>
  <c r="D171" i="1"/>
  <c r="H171" i="1" s="1"/>
  <c r="D172" i="1"/>
  <c r="H172" i="1" s="1"/>
  <c r="D173" i="1"/>
  <c r="H173" i="1" s="1"/>
  <c r="D174" i="1"/>
  <c r="H174" i="1" s="1"/>
  <c r="D175" i="1"/>
  <c r="H175" i="1" s="1"/>
  <c r="D176" i="1"/>
  <c r="H176" i="1" s="1"/>
  <c r="D177" i="1"/>
  <c r="H177" i="1" s="1"/>
  <c r="D178" i="1"/>
  <c r="H178" i="1" s="1"/>
  <c r="D179" i="1"/>
  <c r="H179" i="1" s="1"/>
  <c r="D180" i="1"/>
  <c r="H180" i="1" s="1"/>
  <c r="D181" i="1"/>
  <c r="H181" i="1" s="1"/>
  <c r="D182" i="1"/>
  <c r="H182" i="1" s="1"/>
  <c r="D183" i="1"/>
  <c r="H183" i="1" s="1"/>
  <c r="D184" i="1"/>
  <c r="H184" i="1" s="1"/>
  <c r="D185" i="1"/>
  <c r="H185" i="1" s="1"/>
  <c r="D186" i="1"/>
  <c r="H186" i="1" s="1"/>
  <c r="D187" i="1"/>
  <c r="H187" i="1" s="1"/>
  <c r="D188" i="1"/>
  <c r="H188" i="1" s="1"/>
  <c r="D189" i="1"/>
  <c r="H189" i="1" s="1"/>
  <c r="D190" i="1"/>
  <c r="H190" i="1" s="1"/>
  <c r="D191" i="1"/>
  <c r="H191" i="1" s="1"/>
  <c r="D192" i="1"/>
  <c r="H192" i="1" s="1"/>
  <c r="D193" i="1"/>
  <c r="H193" i="1" s="1"/>
  <c r="D194" i="1"/>
  <c r="H194" i="1" s="1"/>
  <c r="D195" i="1"/>
  <c r="H195" i="1" s="1"/>
  <c r="D196" i="1"/>
  <c r="H196" i="1" s="1"/>
  <c r="D197" i="1"/>
  <c r="H197" i="1" s="1"/>
  <c r="D198" i="1"/>
  <c r="H198" i="1" s="1"/>
  <c r="D199" i="1"/>
  <c r="H199" i="1" s="1"/>
  <c r="D200" i="1"/>
  <c r="H200" i="1" s="1"/>
  <c r="D201" i="1"/>
  <c r="H201" i="1" s="1"/>
  <c r="D202" i="1"/>
  <c r="H202" i="1" s="1"/>
  <c r="D203" i="1"/>
  <c r="H203" i="1" s="1"/>
  <c r="D204" i="1"/>
  <c r="H204" i="1" s="1"/>
  <c r="D205" i="1"/>
  <c r="H205" i="1" s="1"/>
  <c r="D206" i="1"/>
  <c r="H206" i="1" s="1"/>
  <c r="D207" i="1"/>
  <c r="H207" i="1" s="1"/>
  <c r="D208" i="1"/>
  <c r="H208" i="1" s="1"/>
  <c r="D209" i="1"/>
  <c r="H209" i="1" s="1"/>
  <c r="D210" i="1"/>
  <c r="H210" i="1" s="1"/>
  <c r="D211" i="1"/>
  <c r="H211" i="1" s="1"/>
  <c r="D212" i="1"/>
  <c r="H212" i="1" s="1"/>
  <c r="H213" i="1"/>
  <c r="D214" i="1"/>
  <c r="H214" i="1" s="1"/>
  <c r="D215" i="1"/>
  <c r="H215" i="1" s="1"/>
  <c r="D216" i="1"/>
  <c r="H216" i="1" s="1"/>
  <c r="D217" i="1"/>
  <c r="H217" i="1" s="1"/>
  <c r="D218" i="1"/>
  <c r="H218" i="1" s="1"/>
  <c r="D219" i="1"/>
  <c r="H219" i="1" s="1"/>
  <c r="D220" i="1"/>
  <c r="H220" i="1" s="1"/>
  <c r="D221" i="1"/>
  <c r="H221" i="1" s="1"/>
  <c r="D222" i="1"/>
  <c r="H222" i="1" s="1"/>
  <c r="D223" i="1"/>
  <c r="H223" i="1" s="1"/>
  <c r="D224" i="1"/>
  <c r="H224" i="1" s="1"/>
  <c r="D225" i="1"/>
  <c r="H225" i="1" s="1"/>
  <c r="D226" i="1"/>
  <c r="H226" i="1" s="1"/>
  <c r="D227" i="1"/>
  <c r="H227" i="1" s="1"/>
  <c r="D228" i="1"/>
  <c r="H228" i="1" s="1"/>
  <c r="D229" i="1"/>
  <c r="H229" i="1" s="1"/>
  <c r="D230" i="1"/>
  <c r="H230" i="1" s="1"/>
  <c r="D231" i="1"/>
  <c r="H231" i="1" s="1"/>
  <c r="D232" i="1"/>
  <c r="H232" i="1" s="1"/>
  <c r="D233" i="1"/>
  <c r="H233" i="1" s="1"/>
  <c r="D234" i="1"/>
  <c r="H234" i="1" s="1"/>
  <c r="D235" i="1"/>
  <c r="H235" i="1" s="1"/>
  <c r="H236" i="1"/>
  <c r="H237" i="1"/>
  <c r="D240" i="1"/>
  <c r="H240" i="1" s="1"/>
  <c r="D241" i="1"/>
  <c r="H241" i="1" s="1"/>
  <c r="D242" i="1"/>
  <c r="H242" i="1" s="1"/>
  <c r="D243" i="1"/>
  <c r="H243" i="1" s="1"/>
  <c r="D244" i="1"/>
  <c r="H244" i="1" s="1"/>
  <c r="D245" i="1"/>
  <c r="H245" i="1" s="1"/>
  <c r="D246" i="1"/>
  <c r="H246" i="1" s="1"/>
  <c r="D247" i="1"/>
  <c r="H247" i="1" s="1"/>
  <c r="D248" i="1"/>
  <c r="H248" i="1" s="1"/>
  <c r="D249" i="1"/>
  <c r="H249" i="1" s="1"/>
  <c r="D250" i="1"/>
  <c r="H250" i="1" s="1"/>
  <c r="D251" i="1"/>
  <c r="H251" i="1" s="1"/>
  <c r="D252" i="1"/>
  <c r="H252" i="1" s="1"/>
  <c r="D253" i="1"/>
  <c r="H253" i="1" s="1"/>
  <c r="D254" i="1"/>
  <c r="H254" i="1" s="1"/>
  <c r="D255" i="1"/>
  <c r="H255" i="1" s="1"/>
  <c r="D256" i="1"/>
  <c r="H256" i="1" s="1"/>
  <c r="D257" i="1"/>
  <c r="H257" i="1" s="1"/>
  <c r="D258" i="1"/>
  <c r="H258" i="1" s="1"/>
  <c r="D259" i="1"/>
  <c r="H259" i="1" s="1"/>
  <c r="D260" i="1"/>
  <c r="H260" i="1" s="1"/>
  <c r="D261" i="1"/>
  <c r="H261" i="1" s="1"/>
  <c r="D262" i="1"/>
  <c r="H262" i="1" s="1"/>
  <c r="D263" i="1"/>
  <c r="H263" i="1" s="1"/>
  <c r="D264" i="1"/>
  <c r="H264" i="1" s="1"/>
  <c r="D265" i="1"/>
  <c r="H265" i="1" s="1"/>
  <c r="D266" i="1"/>
  <c r="H266" i="1" s="1"/>
  <c r="D267" i="1"/>
  <c r="H267" i="1" s="1"/>
  <c r="D268" i="1"/>
  <c r="H268" i="1" s="1"/>
  <c r="D269" i="1"/>
  <c r="H269" i="1" s="1"/>
  <c r="D270" i="1"/>
  <c r="H270" i="1" s="1"/>
  <c r="D271" i="1"/>
  <c r="H271" i="1" s="1"/>
  <c r="D272" i="1"/>
  <c r="H272" i="1" s="1"/>
  <c r="D273" i="1"/>
  <c r="H273" i="1" s="1"/>
  <c r="D274" i="1"/>
  <c r="H274" i="1" s="1"/>
  <c r="D275" i="1"/>
  <c r="H275" i="1" s="1"/>
  <c r="D276" i="1"/>
  <c r="H276" i="1" s="1"/>
  <c r="D277" i="1"/>
  <c r="H277" i="1" s="1"/>
  <c r="D278" i="1"/>
  <c r="H278" i="1" s="1"/>
  <c r="D279" i="1"/>
  <c r="H279" i="1" s="1"/>
  <c r="D280" i="1"/>
  <c r="H280" i="1" s="1"/>
  <c r="D281" i="1"/>
  <c r="H281" i="1" s="1"/>
  <c r="D282" i="1"/>
  <c r="H282" i="1" s="1"/>
  <c r="D283" i="1"/>
  <c r="H283" i="1" s="1"/>
  <c r="D284" i="1"/>
  <c r="H284" i="1" s="1"/>
  <c r="D285" i="1"/>
  <c r="H285" i="1" s="1"/>
  <c r="D286" i="1"/>
  <c r="H286" i="1" s="1"/>
  <c r="D287" i="1"/>
  <c r="H287" i="1" s="1"/>
  <c r="D288" i="1"/>
  <c r="H288" i="1" s="1"/>
  <c r="D289" i="1"/>
  <c r="H289" i="1" s="1"/>
  <c r="D290" i="1"/>
  <c r="H290" i="1" s="1"/>
  <c r="D291" i="1"/>
  <c r="H291" i="1" s="1"/>
  <c r="D292" i="1"/>
  <c r="H292" i="1" s="1"/>
  <c r="D293" i="1"/>
  <c r="H293" i="1" s="1"/>
  <c r="D294" i="1"/>
  <c r="H294" i="1" s="1"/>
  <c r="D295" i="1"/>
  <c r="H295" i="1" s="1"/>
  <c r="D296" i="1"/>
  <c r="H296" i="1" s="1"/>
  <c r="D297" i="1"/>
  <c r="H297" i="1" s="1"/>
  <c r="D298" i="1"/>
  <c r="H298" i="1" s="1"/>
  <c r="D299" i="1"/>
  <c r="H299" i="1" s="1"/>
  <c r="D300" i="1"/>
  <c r="H300" i="1" s="1"/>
  <c r="D301" i="1"/>
  <c r="H301" i="1" s="1"/>
  <c r="D302" i="1"/>
  <c r="H302" i="1" s="1"/>
  <c r="D303" i="1"/>
  <c r="H303" i="1" s="1"/>
  <c r="D304" i="1"/>
  <c r="H304" i="1" s="1"/>
  <c r="D305" i="1"/>
  <c r="H305" i="1" s="1"/>
  <c r="D306" i="1"/>
  <c r="H306" i="1" s="1"/>
  <c r="D307" i="1"/>
  <c r="H307" i="1" s="1"/>
  <c r="D308" i="1"/>
  <c r="H308" i="1" s="1"/>
  <c r="D309" i="1"/>
  <c r="H309" i="1" s="1"/>
  <c r="D310" i="1"/>
  <c r="H310" i="1" s="1"/>
  <c r="D311" i="1"/>
  <c r="H311" i="1" s="1"/>
  <c r="D312" i="1"/>
  <c r="H312" i="1" s="1"/>
  <c r="H313" i="1"/>
  <c r="H314" i="1"/>
  <c r="H315" i="1"/>
  <c r="H316" i="1"/>
  <c r="H317" i="1"/>
  <c r="H318" i="1"/>
  <c r="D319" i="1"/>
  <c r="H319" i="1" s="1"/>
  <c r="D320" i="1"/>
  <c r="H320" i="1" s="1"/>
  <c r="D321" i="1"/>
  <c r="H321" i="1" s="1"/>
  <c r="D322" i="1"/>
  <c r="H322" i="1" s="1"/>
  <c r="D323" i="1"/>
  <c r="H323" i="1" s="1"/>
  <c r="D324" i="1"/>
  <c r="H324" i="1" s="1"/>
  <c r="D325" i="1"/>
  <c r="H325" i="1" s="1"/>
  <c r="D326" i="1"/>
  <c r="H326" i="1" s="1"/>
  <c r="D327" i="1"/>
  <c r="H327" i="1" s="1"/>
  <c r="D328" i="1"/>
  <c r="H328" i="1" s="1"/>
  <c r="D329" i="1"/>
  <c r="H329" i="1" s="1"/>
  <c r="D330" i="1"/>
  <c r="H330" i="1" s="1"/>
  <c r="D331" i="1"/>
  <c r="H331" i="1" s="1"/>
  <c r="H332" i="1"/>
  <c r="H333" i="1"/>
  <c r="H334" i="1"/>
  <c r="H335" i="1"/>
  <c r="H339" i="1"/>
  <c r="H340" i="1"/>
  <c r="D341" i="1"/>
  <c r="H341" i="1" s="1"/>
  <c r="D342" i="1"/>
  <c r="H342" i="1" s="1"/>
  <c r="D343" i="1"/>
  <c r="H343" i="1" s="1"/>
  <c r="D344" i="1"/>
  <c r="H344" i="1" s="1"/>
  <c r="D345" i="1"/>
  <c r="D346" i="1"/>
  <c r="H346" i="1" s="1"/>
  <c r="D347" i="1"/>
  <c r="H347" i="1" s="1"/>
  <c r="D348" i="1"/>
  <c r="H348" i="1" s="1"/>
  <c r="D349" i="1"/>
  <c r="H349" i="1" s="1"/>
  <c r="D350" i="1"/>
  <c r="H350" i="1" s="1"/>
  <c r="D355" i="1"/>
  <c r="H355" i="1" s="1"/>
  <c r="D356" i="1"/>
  <c r="H356" i="1" s="1"/>
  <c r="D357" i="1"/>
  <c r="H357" i="1" s="1"/>
  <c r="D358" i="1"/>
  <c r="H358" i="1" s="1"/>
  <c r="H360" i="1"/>
  <c r="D101" i="1"/>
  <c r="H359" i="1" l="1"/>
  <c r="H345" i="1"/>
  <c r="K87" i="1" l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O268" i="1"/>
  <c r="O269" i="1"/>
  <c r="O270" i="1"/>
  <c r="N85" i="1" l="1"/>
  <c r="N86" i="1"/>
  <c r="N87" i="1"/>
  <c r="N88" i="1"/>
  <c r="N89" i="1"/>
  <c r="N90" i="1"/>
  <c r="N91" i="1"/>
  <c r="N92" i="1"/>
  <c r="N93" i="1"/>
  <c r="N94" i="1"/>
  <c r="O94" i="1" s="1"/>
  <c r="N95" i="1"/>
  <c r="O95" i="1" s="1"/>
  <c r="N96" i="1"/>
  <c r="O96" i="1" s="1"/>
  <c r="N97" i="1"/>
  <c r="O97" i="1" s="1"/>
  <c r="N98" i="1"/>
  <c r="O98" i="1" s="1"/>
  <c r="N99" i="1"/>
  <c r="O99" i="1" s="1"/>
  <c r="N100" i="1"/>
  <c r="O100" i="1" s="1"/>
  <c r="N101" i="1"/>
  <c r="O101" i="1" s="1"/>
  <c r="N102" i="1"/>
  <c r="O102" i="1" s="1"/>
  <c r="N103" i="1"/>
  <c r="O103" i="1" s="1"/>
  <c r="N104" i="1"/>
  <c r="O104" i="1" s="1"/>
  <c r="N105" i="1"/>
  <c r="O105" i="1" s="1"/>
  <c r="N106" i="1"/>
  <c r="O106" i="1" s="1"/>
  <c r="N107" i="1"/>
  <c r="O107" i="1" s="1"/>
  <c r="N108" i="1"/>
  <c r="O108" i="1" s="1"/>
  <c r="N109" i="1"/>
  <c r="O109" i="1" s="1"/>
  <c r="N110" i="1"/>
  <c r="O110" i="1" s="1"/>
  <c r="N111" i="1"/>
  <c r="O111" i="1" s="1"/>
  <c r="N112" i="1"/>
  <c r="O112" i="1" s="1"/>
  <c r="N113" i="1"/>
  <c r="O113" i="1" s="1"/>
  <c r="N114" i="1"/>
  <c r="O114" i="1" s="1"/>
  <c r="N115" i="1"/>
  <c r="O115" i="1" s="1"/>
  <c r="N116" i="1"/>
  <c r="O116" i="1" s="1"/>
  <c r="N117" i="1"/>
  <c r="O117" i="1" s="1"/>
  <c r="O118" i="1"/>
  <c r="O119" i="1"/>
  <c r="O271" i="1"/>
  <c r="O272" i="1"/>
  <c r="O273" i="1"/>
  <c r="O274" i="1"/>
  <c r="O320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G67" i="1" l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G114" i="1"/>
  <c r="G115" i="1"/>
  <c r="H115" i="1" s="1"/>
  <c r="G116" i="1"/>
  <c r="H116" i="1" s="1"/>
  <c r="G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H362" i="1"/>
  <c r="D66" i="1"/>
  <c r="G65" i="1"/>
  <c r="K66" i="1"/>
  <c r="N66" i="1"/>
  <c r="O85" i="1"/>
  <c r="O86" i="1"/>
  <c r="O87" i="1"/>
  <c r="O88" i="1"/>
  <c r="O89" i="1"/>
  <c r="O90" i="1"/>
  <c r="O91" i="1"/>
  <c r="O92" i="1"/>
  <c r="O93" i="1"/>
  <c r="K67" i="1"/>
  <c r="K68" i="1"/>
  <c r="K69" i="1"/>
  <c r="K70" i="1"/>
  <c r="K71" i="1"/>
  <c r="K72" i="1"/>
  <c r="K7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3" i="1"/>
  <c r="N74" i="1"/>
  <c r="O74" i="1" s="1"/>
  <c r="N75" i="1"/>
  <c r="O75" i="1" s="1"/>
  <c r="N76" i="1"/>
  <c r="O76" i="1" s="1"/>
  <c r="N77" i="1"/>
  <c r="O77" i="1" s="1"/>
  <c r="N78" i="1"/>
  <c r="O78" i="1" s="1"/>
  <c r="N79" i="1"/>
  <c r="O79" i="1" s="1"/>
  <c r="N80" i="1"/>
  <c r="O80" i="1" s="1"/>
  <c r="N81" i="1"/>
  <c r="O81" i="1" s="1"/>
  <c r="N82" i="1"/>
  <c r="O82" i="1" s="1"/>
  <c r="N83" i="1"/>
  <c r="O83" i="1" s="1"/>
  <c r="N84" i="1"/>
  <c r="O84" i="1" s="1"/>
  <c r="N3" i="1"/>
  <c r="K62" i="1"/>
  <c r="G62" i="1"/>
  <c r="G64" i="1"/>
  <c r="D60" i="1"/>
  <c r="D57" i="1"/>
  <c r="D58" i="1"/>
  <c r="D59" i="1"/>
  <c r="D61" i="1"/>
  <c r="D62" i="1"/>
  <c r="D63" i="1"/>
  <c r="D64" i="1"/>
  <c r="D65" i="1"/>
  <c r="D56" i="1"/>
  <c r="D53" i="1"/>
  <c r="D52" i="1"/>
  <c r="D51" i="1"/>
  <c r="D55" i="1"/>
  <c r="D5" i="1"/>
  <c r="D4" i="1"/>
  <c r="G3" i="1"/>
  <c r="D3" i="1"/>
  <c r="D6" i="1"/>
  <c r="H64" i="1" l="1"/>
  <c r="H113" i="1"/>
  <c r="H114" i="1"/>
  <c r="H90" i="1"/>
  <c r="H100" i="1"/>
  <c r="H96" i="1"/>
  <c r="H99" i="1"/>
  <c r="H95" i="1"/>
  <c r="H87" i="1"/>
  <c r="H83" i="1"/>
  <c r="H102" i="1"/>
  <c r="H98" i="1"/>
  <c r="H94" i="1"/>
  <c r="H101" i="1"/>
  <c r="H97" i="1"/>
  <c r="H93" i="1"/>
  <c r="H69" i="1"/>
  <c r="H92" i="1"/>
  <c r="H91" i="1"/>
  <c r="H89" i="1"/>
  <c r="H88" i="1"/>
  <c r="H86" i="1"/>
  <c r="H79" i="1"/>
  <c r="H75" i="1"/>
  <c r="H71" i="1"/>
  <c r="H67" i="1"/>
  <c r="H3" i="1"/>
  <c r="O73" i="1"/>
  <c r="H62" i="1"/>
  <c r="H66" i="1"/>
  <c r="O72" i="1"/>
  <c r="H65" i="1"/>
  <c r="O71" i="1"/>
  <c r="O62" i="1"/>
  <c r="O66" i="1"/>
  <c r="H84" i="1"/>
  <c r="H80" i="1"/>
  <c r="H76" i="1"/>
  <c r="H72" i="1"/>
  <c r="H82" i="1"/>
  <c r="H78" i="1"/>
  <c r="H74" i="1"/>
  <c r="O70" i="1"/>
  <c r="H85" i="1"/>
  <c r="H81" i="1"/>
  <c r="H77" i="1"/>
  <c r="H73" i="1"/>
  <c r="H70" i="1"/>
  <c r="O69" i="1"/>
  <c r="O68" i="1"/>
  <c r="H68" i="1"/>
  <c r="O67" i="1"/>
  <c r="K65" i="1" l="1"/>
  <c r="O65" i="1" s="1"/>
  <c r="K64" i="1" l="1"/>
  <c r="O64" i="1" s="1"/>
  <c r="K63" i="1"/>
  <c r="O63" i="1" s="1"/>
  <c r="G63" i="1"/>
  <c r="H63" i="1" s="1"/>
  <c r="K61" i="1" l="1"/>
  <c r="O61" i="1" s="1"/>
  <c r="G61" i="1"/>
  <c r="H61" i="1" s="1"/>
  <c r="K60" i="1" l="1"/>
  <c r="O60" i="1" s="1"/>
  <c r="K59" i="1"/>
  <c r="O59" i="1" s="1"/>
  <c r="K58" i="1"/>
  <c r="O58" i="1" s="1"/>
  <c r="K57" i="1"/>
  <c r="O57" i="1" s="1"/>
  <c r="K56" i="1"/>
  <c r="O56" i="1" s="1"/>
  <c r="G60" i="1"/>
  <c r="H60" i="1" s="1"/>
  <c r="G59" i="1"/>
  <c r="H59" i="1" s="1"/>
  <c r="G58" i="1"/>
  <c r="H58" i="1" s="1"/>
  <c r="G57" i="1"/>
  <c r="H57" i="1" s="1"/>
  <c r="G56" i="1"/>
  <c r="H56" i="1" s="1"/>
  <c r="K55" i="1" l="1"/>
  <c r="O55" i="1" s="1"/>
  <c r="K54" i="1"/>
  <c r="O54" i="1" s="1"/>
  <c r="G55" i="1"/>
  <c r="H55" i="1" s="1"/>
  <c r="G54" i="1"/>
  <c r="D54" i="1"/>
  <c r="H54" i="1" l="1"/>
  <c r="K53" i="1"/>
  <c r="O53" i="1" s="1"/>
  <c r="G53" i="1"/>
  <c r="H53" i="1" s="1"/>
  <c r="K52" i="1" l="1"/>
  <c r="G52" i="1"/>
  <c r="H52" i="1" s="1"/>
  <c r="O52" i="1" l="1"/>
  <c r="G51" i="1"/>
  <c r="H51" i="1" s="1"/>
  <c r="K51" i="1"/>
  <c r="O51" i="1" l="1"/>
  <c r="G50" i="1"/>
  <c r="D50" i="1"/>
  <c r="H50" i="1" l="1"/>
  <c r="K50" i="1"/>
  <c r="O50" i="1" l="1"/>
  <c r="D49" i="1"/>
  <c r="G49" i="1"/>
  <c r="K49" i="1"/>
  <c r="O49" i="1" l="1"/>
  <c r="H49" i="1"/>
  <c r="K48" i="1"/>
  <c r="D48" i="1"/>
  <c r="G48" i="1"/>
  <c r="H48" i="1" l="1"/>
  <c r="O48" i="1"/>
  <c r="D47" i="1"/>
  <c r="G47" i="1"/>
  <c r="H47" i="1" l="1"/>
  <c r="K47" i="1" l="1"/>
  <c r="O47" i="1" l="1"/>
  <c r="K46" i="1"/>
  <c r="G46" i="1"/>
  <c r="D46" i="1"/>
  <c r="O46" i="1" l="1"/>
  <c r="H46" i="1"/>
  <c r="D45" i="1"/>
  <c r="G45" i="1"/>
  <c r="K45" i="1"/>
  <c r="O45" i="1" l="1"/>
  <c r="H45" i="1"/>
  <c r="K44" i="1"/>
  <c r="G44" i="1"/>
  <c r="G43" i="1"/>
  <c r="D44" i="1"/>
  <c r="D43" i="1"/>
  <c r="H44" i="1" l="1"/>
  <c r="H43" i="1"/>
  <c r="O44" i="1"/>
  <c r="K43" i="1"/>
  <c r="O43" i="1" l="1"/>
  <c r="K42" i="1" l="1"/>
  <c r="G42" i="1"/>
  <c r="D42" i="1"/>
  <c r="H42" i="1" l="1"/>
  <c r="O42" i="1"/>
  <c r="K41" i="1"/>
  <c r="G41" i="1"/>
  <c r="D41" i="1"/>
  <c r="G40" i="1"/>
  <c r="D40" i="1"/>
  <c r="H40" i="1" l="1"/>
  <c r="O41" i="1"/>
  <c r="H41" i="1"/>
  <c r="K40" i="1"/>
  <c r="O40" i="1" l="1"/>
  <c r="K39" i="1" l="1"/>
  <c r="G39" i="1"/>
  <c r="D39" i="1"/>
  <c r="O39" i="1" l="1"/>
  <c r="H39" i="1"/>
  <c r="G38" i="1"/>
  <c r="D38" i="1"/>
  <c r="H38" i="1" l="1"/>
  <c r="K38" i="1"/>
  <c r="O38" i="1" l="1"/>
  <c r="K37" i="1"/>
  <c r="G37" i="1"/>
  <c r="D37" i="1"/>
  <c r="H37" i="1" l="1"/>
  <c r="O37" i="1"/>
  <c r="D33" i="1"/>
  <c r="K36" i="1"/>
  <c r="K35" i="1"/>
  <c r="O35" i="1" s="1"/>
  <c r="G36" i="1"/>
  <c r="D36" i="1"/>
  <c r="H36" i="1" l="1"/>
  <c r="O36" i="1"/>
  <c r="G35" i="1"/>
  <c r="D35" i="1"/>
  <c r="H35" i="1" l="1"/>
  <c r="G34" i="1"/>
  <c r="D34" i="1"/>
  <c r="K34" i="1"/>
  <c r="O34" i="1" s="1"/>
  <c r="K33" i="1"/>
  <c r="O33" i="1" s="1"/>
  <c r="G33" i="1"/>
  <c r="H33" i="1" s="1"/>
  <c r="K32" i="1"/>
  <c r="O32" i="1" s="1"/>
  <c r="G32" i="1"/>
  <c r="D32" i="1"/>
  <c r="K31" i="1"/>
  <c r="O31" i="1" s="1"/>
  <c r="G31" i="1"/>
  <c r="D31" i="1"/>
  <c r="K30" i="1"/>
  <c r="O30" i="1" s="1"/>
  <c r="G30" i="1"/>
  <c r="D30" i="1"/>
  <c r="K29" i="1"/>
  <c r="O29" i="1" s="1"/>
  <c r="G29" i="1"/>
  <c r="D29" i="1"/>
  <c r="K28" i="1"/>
  <c r="O28" i="1" s="1"/>
  <c r="G28" i="1"/>
  <c r="D28" i="1"/>
  <c r="K27" i="1"/>
  <c r="O27" i="1" s="1"/>
  <c r="G27" i="1"/>
  <c r="D27" i="1"/>
  <c r="K26" i="1"/>
  <c r="O26" i="1" s="1"/>
  <c r="G26" i="1"/>
  <c r="D26" i="1"/>
  <c r="K25" i="1"/>
  <c r="O25" i="1" s="1"/>
  <c r="G25" i="1"/>
  <c r="D25" i="1"/>
  <c r="K24" i="1"/>
  <c r="O24" i="1" s="1"/>
  <c r="G24" i="1"/>
  <c r="D24" i="1"/>
  <c r="K23" i="1"/>
  <c r="O23" i="1" s="1"/>
  <c r="G23" i="1"/>
  <c r="D23" i="1"/>
  <c r="K22" i="1"/>
  <c r="O22" i="1" s="1"/>
  <c r="G22" i="1"/>
  <c r="D22" i="1"/>
  <c r="K21" i="1"/>
  <c r="O21" i="1" s="1"/>
  <c r="G21" i="1"/>
  <c r="D21" i="1"/>
  <c r="K20" i="1"/>
  <c r="O20" i="1" s="1"/>
  <c r="G20" i="1"/>
  <c r="D20" i="1"/>
  <c r="K19" i="1"/>
  <c r="O19" i="1" s="1"/>
  <c r="G19" i="1"/>
  <c r="D19" i="1"/>
  <c r="K18" i="1"/>
  <c r="O18" i="1" s="1"/>
  <c r="G18" i="1"/>
  <c r="D18" i="1"/>
  <c r="K17" i="1"/>
  <c r="O17" i="1" s="1"/>
  <c r="G17" i="1"/>
  <c r="D17" i="1"/>
  <c r="K16" i="1"/>
  <c r="O16" i="1" s="1"/>
  <c r="G16" i="1"/>
  <c r="D16" i="1"/>
  <c r="K15" i="1"/>
  <c r="O15" i="1" s="1"/>
  <c r="G15" i="1"/>
  <c r="D15" i="1"/>
  <c r="K14" i="1"/>
  <c r="O14" i="1" s="1"/>
  <c r="G14" i="1"/>
  <c r="D14" i="1"/>
  <c r="K13" i="1"/>
  <c r="O13" i="1" s="1"/>
  <c r="G13" i="1"/>
  <c r="D13" i="1"/>
  <c r="K12" i="1"/>
  <c r="O12" i="1" s="1"/>
  <c r="G12" i="1"/>
  <c r="D12" i="1"/>
  <c r="K11" i="1"/>
  <c r="O11" i="1" s="1"/>
  <c r="G11" i="1"/>
  <c r="D11" i="1"/>
  <c r="K10" i="1"/>
  <c r="O10" i="1" s="1"/>
  <c r="G10" i="1"/>
  <c r="D10" i="1"/>
  <c r="K9" i="1"/>
  <c r="O9" i="1" s="1"/>
  <c r="G9" i="1"/>
  <c r="D9" i="1"/>
  <c r="K8" i="1"/>
  <c r="O8" i="1" s="1"/>
  <c r="G8" i="1"/>
  <c r="D8" i="1"/>
  <c r="K7" i="1"/>
  <c r="O7" i="1" s="1"/>
  <c r="G7" i="1"/>
  <c r="D7" i="1"/>
  <c r="K6" i="1"/>
  <c r="O6" i="1" s="1"/>
  <c r="G6" i="1"/>
  <c r="H6" i="1" s="1"/>
  <c r="K5" i="1"/>
  <c r="O5" i="1" s="1"/>
  <c r="G5" i="1"/>
  <c r="H5" i="1" s="1"/>
  <c r="K4" i="1"/>
  <c r="O4" i="1" s="1"/>
  <c r="G4" i="1"/>
  <c r="H4" i="1" s="1"/>
  <c r="K3" i="1"/>
  <c r="O3" i="1" s="1"/>
  <c r="H7" i="1" l="1"/>
  <c r="H9" i="1"/>
  <c r="H11" i="1"/>
  <c r="H13" i="1"/>
  <c r="H15" i="1"/>
  <c r="H17" i="1"/>
  <c r="H19" i="1"/>
  <c r="H34" i="1"/>
  <c r="H8" i="1"/>
  <c r="H21" i="1"/>
  <c r="H23" i="1"/>
  <c r="H26" i="1"/>
  <c r="H28" i="1"/>
  <c r="H30" i="1"/>
  <c r="H32" i="1"/>
  <c r="H10" i="1"/>
  <c r="H12" i="1"/>
  <c r="H14" i="1"/>
  <c r="H16" i="1"/>
  <c r="H18" i="1"/>
  <c r="H20" i="1"/>
  <c r="H25" i="1"/>
  <c r="H22" i="1"/>
  <c r="H24" i="1"/>
  <c r="H27" i="1"/>
  <c r="H29" i="1"/>
  <c r="H31" i="1"/>
  <c r="O123" i="1" l="1"/>
  <c r="B1262" i="1"/>
  <c r="D1262" i="1" s="1"/>
  <c r="B1264" i="1"/>
  <c r="B1255" i="1"/>
  <c r="D1255" i="1" s="1"/>
  <c r="B1258" i="1"/>
  <c r="D1258" i="1" s="1"/>
  <c r="B1260" i="1"/>
  <c r="D1260" i="1" s="1"/>
  <c r="B1259" i="1"/>
  <c r="D1259" i="1" s="1"/>
  <c r="B1257" i="1"/>
  <c r="D1257" i="1" s="1"/>
  <c r="B1263" i="1"/>
  <c r="D1263" i="1" s="1"/>
  <c r="B1261" i="1"/>
  <c r="D1261" i="1" s="1"/>
  <c r="B1256" i="1"/>
  <c r="D1256" i="1" s="1"/>
  <c r="D1264" i="1"/>
  <c r="B1269" i="1"/>
  <c r="D1269" i="1"/>
  <c r="B1270" i="1"/>
  <c r="B1271" i="1"/>
  <c r="D1270" i="1"/>
  <c r="B1272" i="1"/>
  <c r="D1271" i="1"/>
  <c r="D1272" i="1"/>
  <c r="B1273" i="1"/>
  <c r="D1273" i="1"/>
  <c r="B1274" i="1"/>
  <c r="D1274" i="1"/>
  <c r="B1275" i="1"/>
  <c r="D1275" i="1"/>
  <c r="B1276" i="1"/>
  <c r="D1276" i="1"/>
  <c r="B1277" i="1"/>
  <c r="D1277" i="1"/>
  <c r="B1278" i="1"/>
  <c r="D1278" i="1"/>
  <c r="B1279" i="1"/>
  <c r="B1280" i="1"/>
  <c r="D1279" i="1"/>
  <c r="D1280" i="1"/>
  <c r="B1281" i="1"/>
  <c r="D1281" i="1"/>
  <c r="B1282" i="1"/>
  <c r="D1282" i="1"/>
  <c r="B1283" i="1"/>
  <c r="D1283" i="1"/>
  <c r="B1284" i="1"/>
  <c r="D1284" i="1"/>
  <c r="B1285" i="1"/>
  <c r="D1285" i="1" s="1"/>
  <c r="B1286" i="1"/>
  <c r="D1286" i="1" s="1"/>
  <c r="B1287" i="1"/>
  <c r="D1287" i="1"/>
  <c r="B1288" i="1"/>
  <c r="D1288" i="1"/>
  <c r="B1289" i="1"/>
  <c r="D1289" i="1"/>
  <c r="B1290" i="1"/>
  <c r="D1290" i="1"/>
  <c r="B1291" i="1"/>
  <c r="D1291" i="1"/>
  <c r="B1292" i="1"/>
  <c r="D1292" i="1"/>
  <c r="B1293" i="1"/>
  <c r="D1293" i="1"/>
  <c r="B1294" i="1"/>
  <c r="D1294" i="1"/>
  <c r="B1295" i="1"/>
  <c r="D1295" i="1"/>
  <c r="B1296" i="1"/>
  <c r="D1296" i="1"/>
  <c r="B1297" i="1"/>
  <c r="D1297" i="1"/>
  <c r="B1298" i="1"/>
  <c r="D1298" i="1"/>
  <c r="B1299" i="1"/>
  <c r="B1300" i="1"/>
  <c r="D1299" i="1"/>
  <c r="D1300" i="1"/>
  <c r="B1301" i="1"/>
  <c r="D1301" i="1"/>
  <c r="B1302" i="1"/>
  <c r="D1302" i="1"/>
  <c r="B1303" i="1"/>
  <c r="B1304" i="1"/>
  <c r="D1303" i="1"/>
  <c r="D1304" i="1"/>
  <c r="B1305" i="1"/>
  <c r="D1305" i="1"/>
  <c r="B1306" i="1"/>
  <c r="D1306" i="1"/>
  <c r="B1307" i="1"/>
  <c r="B1308" i="1"/>
  <c r="D1307" i="1"/>
  <c r="D1308" i="1"/>
  <c r="B1309" i="1"/>
  <c r="D1309" i="1"/>
  <c r="B1310" i="1"/>
  <c r="B1311" i="1"/>
  <c r="D1310" i="1"/>
  <c r="D1311" i="1"/>
  <c r="D1312" i="1"/>
  <c r="J1222" i="1"/>
  <c r="I1223" i="1" s="1"/>
  <c r="J1223" i="1"/>
  <c r="I1224" i="1" s="1"/>
  <c r="J1224" i="1"/>
  <c r="I1225" i="1" s="1"/>
  <c r="J1225" i="1"/>
  <c r="I1226" i="1"/>
  <c r="J1226" i="1"/>
  <c r="I1227" i="1" s="1"/>
  <c r="J1227" i="1"/>
  <c r="I1228" i="1" s="1"/>
  <c r="J1228" i="1"/>
  <c r="I1229" i="1" s="1"/>
  <c r="J1229" i="1"/>
  <c r="I1230" i="1" s="1"/>
  <c r="J1252" i="1"/>
  <c r="I1253" i="1" s="1"/>
  <c r="J1253" i="1"/>
  <c r="I1254" i="1" s="1"/>
  <c r="J1254" i="1" s="1"/>
  <c r="I1255" i="1" s="1"/>
  <c r="J1255" i="1" s="1"/>
  <c r="I1256" i="1" s="1"/>
  <c r="J1256" i="1" s="1"/>
  <c r="I1257" i="1" s="1"/>
  <c r="J1257" i="1" s="1"/>
  <c r="I1258" i="1" s="1"/>
  <c r="J1258" i="1" s="1"/>
  <c r="I1259" i="1" s="1"/>
  <c r="J1259" i="1" s="1"/>
  <c r="I1260" i="1" s="1"/>
  <c r="J1260" i="1" s="1"/>
  <c r="I1261" i="1" s="1"/>
  <c r="J1261" i="1" s="1"/>
  <c r="I1262" i="1" s="1"/>
  <c r="J1262" i="1" s="1"/>
  <c r="I1263" i="1" s="1"/>
  <c r="J1263" i="1" s="1"/>
  <c r="I1264" i="1" s="1"/>
  <c r="J1264" i="1" s="1"/>
  <c r="I1265" i="1" s="1"/>
  <c r="J1265" i="1" s="1"/>
  <c r="I1266" i="1" s="1"/>
  <c r="J1266" i="1" s="1"/>
  <c r="I1267" i="1" s="1"/>
  <c r="J1267" i="1" s="1"/>
  <c r="I1268" i="1" s="1"/>
  <c r="J1268" i="1" s="1"/>
  <c r="I1269" i="1" s="1"/>
  <c r="J1269" i="1" s="1"/>
  <c r="I1270" i="1" s="1"/>
  <c r="J1270" i="1" s="1"/>
  <c r="I1271" i="1" s="1"/>
  <c r="J1271" i="1" s="1"/>
  <c r="I1272" i="1" s="1"/>
  <c r="J1272" i="1" s="1"/>
  <c r="I1273" i="1" s="1"/>
  <c r="J1273" i="1" s="1"/>
  <c r="I1274" i="1" s="1"/>
  <c r="J1274" i="1" s="1"/>
  <c r="I1275" i="1" s="1"/>
  <c r="J1275" i="1" s="1"/>
  <c r="I1276" i="1" s="1"/>
  <c r="J1276" i="1" s="1"/>
  <c r="I1277" i="1" s="1"/>
  <c r="J1277" i="1" s="1"/>
  <c r="I1278" i="1" s="1"/>
  <c r="J1278" i="1" s="1"/>
  <c r="I1279" i="1" s="1"/>
  <c r="J1279" i="1" s="1"/>
  <c r="I1280" i="1" s="1"/>
  <c r="J1280" i="1" s="1"/>
  <c r="I1281" i="1" s="1"/>
  <c r="J1281" i="1" s="1"/>
  <c r="I1282" i="1" s="1"/>
  <c r="J1282" i="1" s="1"/>
  <c r="I1283" i="1" s="1"/>
  <c r="J1283" i="1" s="1"/>
  <c r="I1284" i="1" s="1"/>
  <c r="J1284" i="1" s="1"/>
  <c r="I1285" i="1" s="1"/>
  <c r="J1285" i="1" s="1"/>
  <c r="I1286" i="1" s="1"/>
  <c r="J1286" i="1" s="1"/>
  <c r="I1287" i="1" s="1"/>
  <c r="J1287" i="1" s="1"/>
  <c r="I1288" i="1" s="1"/>
  <c r="J1288" i="1" s="1"/>
  <c r="I1289" i="1" s="1"/>
  <c r="J1289" i="1" s="1"/>
  <c r="I1290" i="1" s="1"/>
  <c r="J1290" i="1" s="1"/>
  <c r="I1291" i="1" s="1"/>
  <c r="J1291" i="1" s="1"/>
  <c r="I1292" i="1" s="1"/>
  <c r="J1292" i="1" s="1"/>
  <c r="I1293" i="1" s="1"/>
  <c r="J1293" i="1" s="1"/>
  <c r="I1294" i="1" s="1"/>
  <c r="J1294" i="1" s="1"/>
  <c r="I1295" i="1" s="1"/>
  <c r="J1295" i="1" s="1"/>
  <c r="I1296" i="1" s="1"/>
  <c r="J1296" i="1" s="1"/>
  <c r="I1297" i="1" s="1"/>
  <c r="J1297" i="1" s="1"/>
  <c r="I1298" i="1" s="1"/>
  <c r="J1298" i="1" s="1"/>
  <c r="I1299" i="1" s="1"/>
  <c r="J1299" i="1" s="1"/>
  <c r="I1300" i="1" s="1"/>
  <c r="J1300" i="1" s="1"/>
  <c r="I1301" i="1" s="1"/>
  <c r="J1301" i="1" s="1"/>
  <c r="I1302" i="1" s="1"/>
  <c r="J1302" i="1" s="1"/>
  <c r="I1303" i="1" s="1"/>
  <c r="J1303" i="1" s="1"/>
  <c r="I1304" i="1" s="1"/>
  <c r="J1304" i="1" s="1"/>
  <c r="I1305" i="1" s="1"/>
  <c r="J1305" i="1" s="1"/>
  <c r="I1306" i="1" s="1"/>
  <c r="J1306" i="1" s="1"/>
  <c r="I1307" i="1" s="1"/>
  <c r="J1307" i="1" s="1"/>
  <c r="I1308" i="1" s="1"/>
  <c r="J1308" i="1" s="1"/>
  <c r="I1309" i="1" s="1"/>
  <c r="J1309" i="1" s="1"/>
  <c r="I1310" i="1" s="1"/>
  <c r="J1310" i="1" s="1"/>
  <c r="I1311" i="1" s="1"/>
  <c r="J1311" i="1" s="1"/>
  <c r="I1312" i="1" s="1"/>
  <c r="J1312" i="1" s="1"/>
  <c r="I1313" i="1" s="1"/>
  <c r="J1313" i="1" s="1"/>
  <c r="I1314" i="1" s="1"/>
  <c r="J1314" i="1" s="1"/>
  <c r="I1315" i="1" s="1"/>
  <c r="J1315" i="1" s="1"/>
  <c r="I1316" i="1" s="1"/>
  <c r="J1316" i="1" s="1"/>
  <c r="I1317" i="1" s="1"/>
  <c r="J1317" i="1" s="1"/>
  <c r="I1318" i="1" s="1"/>
  <c r="J1318" i="1" s="1"/>
  <c r="I1319" i="1" s="1"/>
  <c r="J1319" i="1" s="1"/>
  <c r="I1320" i="1" s="1"/>
  <c r="J1320" i="1" s="1"/>
  <c r="I1321" i="1" s="1"/>
  <c r="J1321" i="1" s="1"/>
  <c r="I1322" i="1" s="1"/>
  <c r="J1322" i="1" s="1"/>
  <c r="I1323" i="1" s="1"/>
  <c r="J1323" i="1" s="1"/>
  <c r="I1324" i="1" s="1"/>
  <c r="J1324" i="1" s="1"/>
  <c r="I1325" i="1" s="1"/>
  <c r="J1325" i="1" s="1"/>
  <c r="I1326" i="1" s="1"/>
  <c r="J1326" i="1" s="1"/>
  <c r="I1327" i="1" s="1"/>
  <c r="J1327" i="1" s="1"/>
  <c r="I1328" i="1" s="1"/>
  <c r="J1328" i="1" s="1"/>
  <c r="I1329" i="1" s="1"/>
  <c r="J1329" i="1" s="1"/>
  <c r="I1330" i="1" s="1"/>
  <c r="J1330" i="1" s="1"/>
  <c r="I1331" i="1" s="1"/>
  <c r="J1331" i="1" s="1"/>
  <c r="I1332" i="1" s="1"/>
  <c r="J1332" i="1" s="1"/>
  <c r="I1333" i="1" s="1"/>
  <c r="J1333" i="1" s="1"/>
  <c r="I1334" i="1" s="1"/>
  <c r="J1334" i="1" s="1"/>
  <c r="I1335" i="1" s="1"/>
  <c r="J1335" i="1" s="1"/>
  <c r="I1336" i="1" s="1"/>
  <c r="J1336" i="1" s="1"/>
  <c r="I1337" i="1" s="1"/>
  <c r="J1337" i="1" s="1"/>
  <c r="I1338" i="1" s="1"/>
  <c r="J1338" i="1" s="1"/>
  <c r="I1339" i="1" s="1"/>
  <c r="J1339" i="1" s="1"/>
  <c r="I1340" i="1" s="1"/>
  <c r="J1340" i="1" s="1"/>
  <c r="I1341" i="1" s="1"/>
  <c r="J1341" i="1" s="1"/>
  <c r="I1342" i="1" s="1"/>
  <c r="J1342" i="1" s="1"/>
  <c r="I1343" i="1" s="1"/>
  <c r="J1343" i="1" s="1"/>
  <c r="I1344" i="1" s="1"/>
  <c r="J1344" i="1" s="1"/>
  <c r="I1345" i="1" s="1"/>
  <c r="J1345" i="1" s="1"/>
  <c r="I1346" i="1" s="1"/>
  <c r="J1346" i="1" s="1"/>
  <c r="I1347" i="1" s="1"/>
  <c r="J1347" i="1" s="1"/>
  <c r="I1348" i="1" s="1"/>
  <c r="J1348" i="1" s="1"/>
  <c r="I1349" i="1" s="1"/>
  <c r="J1349" i="1" s="1"/>
  <c r="I1350" i="1" s="1"/>
  <c r="J1350" i="1" s="1"/>
  <c r="I1351" i="1" s="1"/>
  <c r="J1351" i="1" s="1"/>
  <c r="I1352" i="1" s="1"/>
  <c r="J1352" i="1" s="1"/>
  <c r="I1353" i="1" s="1"/>
  <c r="J1353" i="1" s="1"/>
  <c r="I1354" i="1" s="1"/>
  <c r="J1354" i="1" s="1"/>
  <c r="I1355" i="1" s="1"/>
  <c r="J1355" i="1" s="1"/>
  <c r="I1356" i="1" s="1"/>
  <c r="J1356" i="1" s="1"/>
  <c r="I1357" i="1" s="1"/>
  <c r="J1357" i="1" s="1"/>
  <c r="I1358" i="1" s="1"/>
  <c r="J1358" i="1" s="1"/>
  <c r="I1359" i="1" s="1"/>
  <c r="J1359" i="1" s="1"/>
  <c r="I1360" i="1" s="1"/>
  <c r="J1360" i="1" s="1"/>
  <c r="I1361" i="1" s="1"/>
  <c r="J1361" i="1" s="1"/>
  <c r="I1362" i="1" s="1"/>
  <c r="J1362" i="1" s="1"/>
  <c r="I1363" i="1" s="1"/>
  <c r="J1363" i="1" s="1"/>
  <c r="I1364" i="1" s="1"/>
  <c r="J1364" i="1" s="1"/>
  <c r="I1365" i="1" s="1"/>
  <c r="J1365" i="1" s="1"/>
  <c r="I1366" i="1" s="1"/>
  <c r="J1366" i="1" s="1"/>
  <c r="I1367" i="1" s="1"/>
  <c r="J1367" i="1" s="1"/>
  <c r="I1368" i="1" s="1"/>
  <c r="J1368" i="1" s="1"/>
  <c r="I1369" i="1" s="1"/>
  <c r="J1369" i="1" s="1"/>
  <c r="I1370" i="1" s="1"/>
  <c r="J1370" i="1" s="1"/>
  <c r="I1371" i="1" s="1"/>
  <c r="J1371" i="1" s="1"/>
  <c r="I1372" i="1" s="1"/>
  <c r="J1372" i="1" s="1"/>
  <c r="I1373" i="1" s="1"/>
  <c r="J1373" i="1" s="1"/>
  <c r="I1374" i="1" s="1"/>
  <c r="J1374" i="1" s="1"/>
  <c r="I1375" i="1" s="1"/>
  <c r="J1375" i="1" s="1"/>
  <c r="I1376" i="1" s="1"/>
  <c r="J1376" i="1" s="1"/>
  <c r="I1377" i="1" s="1"/>
  <c r="J1377" i="1" s="1"/>
  <c r="I1378" i="1" s="1"/>
  <c r="J1378" i="1" s="1"/>
  <c r="I1379" i="1" s="1"/>
  <c r="J1379" i="1" s="1"/>
  <c r="I1380" i="1" s="1"/>
  <c r="J1380" i="1" s="1"/>
  <c r="I1381" i="1" s="1"/>
  <c r="J1381" i="1" s="1"/>
  <c r="I1382" i="1" s="1"/>
  <c r="J1382" i="1" s="1"/>
  <c r="I1383" i="1" s="1"/>
  <c r="J1383" i="1" s="1"/>
  <c r="I1384" i="1" s="1"/>
  <c r="J1384" i="1" s="1"/>
  <c r="I1385" i="1" s="1"/>
  <c r="J1385" i="1" s="1"/>
  <c r="I1386" i="1" s="1"/>
  <c r="J1386" i="1" s="1"/>
  <c r="I1387" i="1" s="1"/>
  <c r="J1387" i="1" s="1"/>
  <c r="I1388" i="1" s="1"/>
  <c r="J1388" i="1" s="1"/>
  <c r="I1389" i="1" s="1"/>
  <c r="J1389" i="1" s="1"/>
  <c r="I1390" i="1" s="1"/>
  <c r="J1390" i="1" s="1"/>
  <c r="I1391" i="1" s="1"/>
  <c r="J1391" i="1" s="1"/>
  <c r="I1392" i="1" s="1"/>
  <c r="J1392" i="1" s="1"/>
  <c r="I1393" i="1" s="1"/>
  <c r="J1393" i="1" s="1"/>
  <c r="I1394" i="1" s="1"/>
  <c r="J1394" i="1" s="1"/>
  <c r="I1395" i="1" s="1"/>
  <c r="J1395" i="1" s="1"/>
  <c r="I1396" i="1" s="1"/>
  <c r="J1396" i="1" s="1"/>
  <c r="I1397" i="1" s="1"/>
  <c r="J1397" i="1" s="1"/>
  <c r="I1398" i="1" s="1"/>
  <c r="J1398" i="1" s="1"/>
  <c r="I1399" i="1" s="1"/>
  <c r="J1399" i="1" s="1"/>
  <c r="I1400" i="1" s="1"/>
  <c r="J1400" i="1" s="1"/>
  <c r="I1401" i="1" s="1"/>
  <c r="J1401" i="1" s="1"/>
  <c r="I1402" i="1" s="1"/>
  <c r="J1402" i="1" s="1"/>
  <c r="I1403" i="1" s="1"/>
  <c r="J1403" i="1" s="1"/>
  <c r="I1404" i="1" s="1"/>
  <c r="J1404" i="1" s="1"/>
  <c r="I1405" i="1" s="1"/>
  <c r="J1405" i="1" s="1"/>
  <c r="I1406" i="1" s="1"/>
  <c r="J1406" i="1" s="1"/>
  <c r="I1407" i="1" s="1"/>
  <c r="J1407" i="1" s="1"/>
  <c r="I1408" i="1" s="1"/>
  <c r="J1408" i="1" s="1"/>
  <c r="I1409" i="1" s="1"/>
  <c r="J1409" i="1" s="1"/>
  <c r="I1410" i="1" s="1"/>
  <c r="J1410" i="1" s="1"/>
  <c r="I1411" i="1" s="1"/>
  <c r="J1411" i="1" s="1"/>
  <c r="I1412" i="1" s="1"/>
  <c r="J1412" i="1" s="1"/>
  <c r="I1413" i="1" s="1"/>
  <c r="J1413" i="1" s="1"/>
  <c r="I1414" i="1" s="1"/>
  <c r="J1414" i="1" s="1"/>
  <c r="I1415" i="1" s="1"/>
  <c r="J1415" i="1" s="1"/>
  <c r="I1416" i="1" s="1"/>
  <c r="J1416" i="1" s="1"/>
  <c r="I1417" i="1" s="1"/>
  <c r="J1417" i="1" s="1"/>
  <c r="I1418" i="1" s="1"/>
  <c r="J1418" i="1" s="1"/>
  <c r="I1419" i="1" s="1"/>
  <c r="J1419" i="1" s="1"/>
  <c r="I1420" i="1" s="1"/>
  <c r="J1420" i="1" s="1"/>
  <c r="I1421" i="1" s="1"/>
  <c r="J1421" i="1" s="1"/>
  <c r="I1422" i="1" s="1"/>
  <c r="J1422" i="1" s="1"/>
  <c r="I1423" i="1" s="1"/>
  <c r="J1423" i="1" s="1"/>
  <c r="I1424" i="1" s="1"/>
  <c r="J1424" i="1" s="1"/>
  <c r="I1425" i="1" s="1"/>
  <c r="J1425" i="1" s="1"/>
  <c r="I1426" i="1" s="1"/>
  <c r="J1426" i="1" s="1"/>
  <c r="I1427" i="1" s="1"/>
  <c r="J1427" i="1" s="1"/>
  <c r="I1428" i="1" s="1"/>
  <c r="J1428" i="1" s="1"/>
  <c r="I1429" i="1" s="1"/>
  <c r="J1429" i="1" s="1"/>
  <c r="I1430" i="1" s="1"/>
  <c r="J1430" i="1" s="1"/>
  <c r="I1431" i="1" s="1"/>
  <c r="J1431" i="1" s="1"/>
  <c r="I1432" i="1" s="1"/>
  <c r="J1432" i="1" s="1"/>
  <c r="I1433" i="1" s="1"/>
  <c r="J1433" i="1" s="1"/>
  <c r="I1434" i="1" s="1"/>
  <c r="J1434" i="1" s="1"/>
  <c r="I1435" i="1" s="1"/>
  <c r="J1435" i="1" s="1"/>
  <c r="I1436" i="1" s="1"/>
  <c r="O1437" i="1"/>
  <c r="J1437" i="1"/>
  <c r="I1438" i="1" s="1"/>
  <c r="K1438" i="1"/>
  <c r="O1438" i="1" s="1"/>
  <c r="O1491" i="1" l="1"/>
  <c r="H1267" i="1"/>
  <c r="O1753" i="1"/>
  <c r="O1470" i="1"/>
  <c r="O1635" i="1"/>
  <c r="O1443" i="1"/>
  <c r="O1666" i="1"/>
  <c r="O1546" i="1"/>
  <c r="O1598" i="1"/>
  <c r="O1475" i="1"/>
  <c r="O1551" i="1"/>
  <c r="O1441" i="1"/>
  <c r="O1591" i="1"/>
  <c r="O1669" i="1"/>
  <c r="O1487" i="1"/>
  <c r="O1643" i="1"/>
  <c r="O1541" i="1"/>
  <c r="O1472" i="1"/>
  <c r="K1232" i="1"/>
  <c r="O1609" i="1"/>
  <c r="O1768" i="1"/>
  <c r="O1744" i="1"/>
  <c r="O1749" i="1"/>
  <c r="O1547" i="1"/>
  <c r="O1482" i="1"/>
  <c r="O1704" i="1"/>
  <c r="O1615" i="1"/>
  <c r="O1511" i="1"/>
  <c r="O1672" i="1"/>
  <c r="O1552" i="1"/>
  <c r="O1535" i="1"/>
  <c r="O1522" i="1"/>
  <c r="O1690" i="1"/>
  <c r="O1623" i="1"/>
  <c r="K1248" i="1"/>
  <c r="O1616" i="1"/>
  <c r="K1616" i="1"/>
  <c r="K1511" i="1"/>
  <c r="O1559" i="1"/>
  <c r="O1637" i="1"/>
  <c r="O1726" i="1"/>
  <c r="O1752" i="1"/>
  <c r="K1768" i="1"/>
  <c r="O1757" i="1"/>
  <c r="K1501" i="1"/>
  <c r="O1501" i="1"/>
  <c r="O1758" i="1"/>
  <c r="O1579" i="1"/>
  <c r="K1247" i="1"/>
  <c r="K1452" i="1"/>
  <c r="O1452" i="1"/>
  <c r="K1710" i="1"/>
  <c r="O1710" i="1"/>
  <c r="K1597" i="1"/>
  <c r="O1597" i="1"/>
  <c r="K1558" i="1"/>
  <c r="O1558" i="1"/>
  <c r="K1245" i="1"/>
  <c r="K1554" i="1"/>
  <c r="O1554" i="1"/>
  <c r="O1651" i="1"/>
  <c r="O1681" i="1"/>
  <c r="K1231" i="1"/>
  <c r="O1663" i="1"/>
  <c r="K1766" i="1"/>
  <c r="O1766" i="1"/>
  <c r="O1653" i="1"/>
  <c r="K1528" i="1"/>
  <c r="O1528" i="1"/>
  <c r="O1708" i="1"/>
  <c r="K1246" i="1"/>
  <c r="K1670" i="1"/>
  <c r="O1670" i="1"/>
  <c r="K1632" i="1"/>
  <c r="O1632" i="1"/>
  <c r="K1604" i="1"/>
  <c r="O1604" i="1"/>
  <c r="K1762" i="1"/>
  <c r="O1762" i="1"/>
  <c r="K1519" i="1"/>
  <c r="O1519" i="1"/>
  <c r="K1532" i="1"/>
  <c r="O1532" i="1"/>
  <c r="K1440" i="1"/>
  <c r="O1440" i="1"/>
  <c r="K1663" i="1"/>
  <c r="K1611" i="1"/>
  <c r="O1611" i="1"/>
  <c r="O1587" i="1"/>
  <c r="O1646" i="1"/>
  <c r="O1590" i="1"/>
  <c r="K1491" i="1"/>
  <c r="H1266" i="1"/>
  <c r="O1516" i="1"/>
  <c r="O1493" i="1"/>
  <c r="K1454" i="1"/>
  <c r="O1454" i="1"/>
  <c r="K1614" i="1"/>
  <c r="O1614" i="1"/>
  <c r="K1601" i="1"/>
  <c r="O1601" i="1"/>
  <c r="K1573" i="1"/>
  <c r="O1573" i="1"/>
  <c r="K1653" i="1"/>
  <c r="K1459" i="1"/>
  <c r="O1459" i="1"/>
  <c r="K1599" i="1"/>
  <c r="O1599" i="1"/>
  <c r="K1613" i="1"/>
  <c r="O1613" i="1"/>
  <c r="K1474" i="1"/>
  <c r="O1474" i="1"/>
  <c r="K1679" i="1"/>
  <c r="O1679" i="1"/>
  <c r="K1684" i="1"/>
  <c r="O1684" i="1"/>
  <c r="K1504" i="1"/>
  <c r="O1504" i="1"/>
  <c r="K1480" i="1"/>
  <c r="O1480" i="1"/>
  <c r="K1540" i="1"/>
  <c r="O1540" i="1"/>
  <c r="K1590" i="1"/>
  <c r="K1695" i="1"/>
  <c r="O1695" i="1"/>
  <c r="K1594" i="1"/>
  <c r="O1594" i="1"/>
  <c r="K1557" i="1"/>
  <c r="O1557" i="1"/>
  <c r="O1716" i="1"/>
  <c r="O1585" i="1"/>
  <c r="K1659" i="1"/>
  <c r="O1659" i="1"/>
  <c r="K1728" i="1"/>
  <c r="O1728" i="1"/>
  <c r="K1622" i="1"/>
  <c r="O1622" i="1"/>
  <c r="K1581" i="1"/>
  <c r="O1581" i="1"/>
  <c r="K1666" i="1"/>
  <c r="K1551" i="1"/>
  <c r="K1739" i="1"/>
  <c r="O1739" i="1"/>
  <c r="O1742" i="1"/>
  <c r="O1727" i="1"/>
  <c r="K1481" i="1"/>
  <c r="O1481" i="1"/>
  <c r="K1578" i="1"/>
  <c r="O1578" i="1"/>
  <c r="K1568" i="1"/>
  <c r="O1568" i="1"/>
  <c r="D1267" i="1"/>
  <c r="O1515" i="1"/>
  <c r="K1593" i="1"/>
  <c r="O1593" i="1"/>
  <c r="K1441" i="1"/>
  <c r="O1569" i="1"/>
  <c r="K1694" i="1"/>
  <c r="O1694" i="1"/>
  <c r="K1472" i="1"/>
  <c r="O1763" i="1"/>
  <c r="K1607" i="1"/>
  <c r="O1607" i="1"/>
  <c r="O1617" i="1"/>
  <c r="O1592" i="1"/>
  <c r="K1233" i="1"/>
  <c r="K1457" i="1"/>
  <c r="O1457" i="1"/>
  <c r="O1447" i="1"/>
  <c r="K1585" i="1"/>
  <c r="K1692" i="1"/>
  <c r="O1692" i="1"/>
  <c r="K1635" i="1"/>
  <c r="K1587" i="1"/>
  <c r="K1767" i="1"/>
  <c r="O1767" i="1"/>
  <c r="K1249" i="1"/>
  <c r="K1609" i="1"/>
  <c r="K1763" i="1"/>
  <c r="K1628" i="1"/>
  <c r="O1628" i="1"/>
  <c r="K1649" i="1"/>
  <c r="O1649" i="1"/>
  <c r="K1640" i="1"/>
  <c r="O1640" i="1"/>
  <c r="K1639" i="1"/>
  <c r="O1639" i="1"/>
  <c r="K1733" i="1"/>
  <c r="O1733" i="1"/>
  <c r="K1576" i="1"/>
  <c r="O1576" i="1"/>
  <c r="K1538" i="1"/>
  <c r="O1538" i="1"/>
  <c r="K1505" i="1"/>
  <c r="O1505" i="1"/>
  <c r="O1633" i="1"/>
  <c r="K1706" i="1"/>
  <c r="O1706" i="1"/>
  <c r="K1466" i="1"/>
  <c r="O1466" i="1"/>
  <c r="O1624" i="1"/>
  <c r="K1494" i="1"/>
  <c r="O1494" i="1"/>
  <c r="K1476" i="1"/>
  <c r="O1476" i="1"/>
  <c r="K1765" i="1"/>
  <c r="O1765" i="1"/>
  <c r="K1748" i="1"/>
  <c r="O1748" i="1"/>
  <c r="K1673" i="1"/>
  <c r="O1673" i="1"/>
  <c r="K1667" i="1"/>
  <c r="O1667" i="1"/>
  <c r="K1713" i="1"/>
  <c r="O1713" i="1"/>
  <c r="O1698" i="1"/>
  <c r="K1608" i="1"/>
  <c r="O1608" i="1"/>
  <c r="O1641" i="1"/>
  <c r="O1477" i="1"/>
  <c r="K1450" i="1"/>
  <c r="O1450" i="1"/>
  <c r="O1689" i="1"/>
  <c r="K1238" i="1"/>
  <c r="K1641" i="1"/>
  <c r="K1442" i="1"/>
  <c r="O1442" i="1"/>
  <c r="K1738" i="1"/>
  <c r="O1738" i="1"/>
  <c r="K1746" i="1"/>
  <c r="O1746" i="1"/>
  <c r="K1561" i="1"/>
  <c r="O1561" i="1"/>
  <c r="K1606" i="1"/>
  <c r="O1606" i="1"/>
  <c r="O1661" i="1"/>
  <c r="K1691" i="1"/>
  <c r="O1691" i="1"/>
  <c r="K1527" i="1"/>
  <c r="O1527" i="1"/>
  <c r="K1736" i="1"/>
  <c r="O1736" i="1"/>
  <c r="K1750" i="1"/>
  <c r="O1750" i="1"/>
  <c r="K1569" i="1"/>
  <c r="K1677" i="1"/>
  <c r="O1677" i="1"/>
  <c r="O1709" i="1"/>
  <c r="K1468" i="1"/>
  <c r="O1468" i="1"/>
  <c r="O1620" i="1"/>
  <c r="K1761" i="1"/>
  <c r="O1761" i="1"/>
  <c r="K1715" i="1"/>
  <c r="O1715" i="1"/>
  <c r="K1610" i="1"/>
  <c r="O1610" i="1"/>
  <c r="K1244" i="1"/>
  <c r="K1444" i="1"/>
  <c r="O1444" i="1"/>
  <c r="K1564" i="1"/>
  <c r="O1564" i="1"/>
  <c r="O1680" i="1"/>
  <c r="K1579" i="1"/>
  <c r="K1660" i="1"/>
  <c r="O1660" i="1"/>
  <c r="K1648" i="1"/>
  <c r="O1648" i="1"/>
  <c r="O1565" i="1"/>
  <c r="K1708" i="1"/>
  <c r="K1529" i="1"/>
  <c r="O1529" i="1"/>
  <c r="K1596" i="1"/>
  <c r="O1596" i="1"/>
  <c r="K1689" i="1"/>
  <c r="K1463" i="1"/>
  <c r="O1463" i="1"/>
  <c r="K1740" i="1"/>
  <c r="O1740" i="1"/>
  <c r="K1676" i="1"/>
  <c r="O1676" i="1"/>
  <c r="K1544" i="1"/>
  <c r="O1544" i="1"/>
  <c r="K1638" i="1"/>
  <c r="O1638" i="1"/>
  <c r="K1572" i="1"/>
  <c r="O1572" i="1"/>
  <c r="O1534" i="1"/>
  <c r="O1703" i="1"/>
  <c r="K1686" i="1"/>
  <c r="O1686" i="1"/>
  <c r="O1467" i="1"/>
  <c r="O1465" i="1"/>
  <c r="O1502" i="1"/>
  <c r="K1502" i="1"/>
  <c r="K1705" i="1"/>
  <c r="O1705" i="1"/>
  <c r="K1525" i="1"/>
  <c r="O1525" i="1"/>
  <c r="K1757" i="1"/>
  <c r="K1548" i="1"/>
  <c r="O1548" i="1"/>
  <c r="K1603" i="1"/>
  <c r="O1603" i="1"/>
  <c r="K1241" i="1"/>
  <c r="O1514" i="1"/>
  <c r="K1495" i="1"/>
  <c r="O1495" i="1"/>
  <c r="K1760" i="1"/>
  <c r="O1760" i="1"/>
  <c r="B1268" i="1"/>
  <c r="D1268" i="1"/>
  <c r="H1268" i="1"/>
  <c r="K1514" i="1"/>
  <c r="O1745" i="1"/>
  <c r="K1721" i="1"/>
  <c r="O1721" i="1"/>
  <c r="K1236" i="1"/>
  <c r="K1682" i="1"/>
  <c r="O1682" i="1"/>
  <c r="K1483" i="1"/>
  <c r="O1483" i="1"/>
  <c r="K1759" i="1"/>
  <c r="O1759" i="1"/>
  <c r="K1453" i="1"/>
  <c r="O1453" i="1"/>
  <c r="K1727" i="1"/>
  <c r="K1497" i="1"/>
  <c r="O1497" i="1"/>
  <c r="K1612" i="1"/>
  <c r="O1612" i="1"/>
  <c r="K1582" i="1"/>
  <c r="O1582" i="1"/>
  <c r="K1701" i="1"/>
  <c r="O1701" i="1"/>
  <c r="K1503" i="1"/>
  <c r="O1503" i="1"/>
  <c r="O1543" i="1"/>
  <c r="K1533" i="1"/>
  <c r="O1533" i="1"/>
  <c r="O1439" i="1"/>
  <c r="K1753" i="1"/>
  <c r="K1566" i="1"/>
  <c r="O1566" i="1"/>
  <c r="K1634" i="1"/>
  <c r="O1634" i="1"/>
  <c r="K1703" i="1"/>
  <c r="K1467" i="1"/>
  <c r="K1530" i="1"/>
  <c r="O1530" i="1"/>
  <c r="I1249" i="1"/>
  <c r="J1249" i="1"/>
  <c r="I1250" i="1"/>
  <c r="J1250" i="1"/>
  <c r="K1250" i="1"/>
  <c r="K1591" i="1"/>
  <c r="K1567" i="1"/>
  <c r="O1567" i="1"/>
  <c r="K1575" i="1"/>
  <c r="O1575" i="1"/>
  <c r="K1742" i="1"/>
  <c r="K1756" i="1"/>
  <c r="O1756" i="1"/>
  <c r="K1709" i="1"/>
  <c r="K1552" i="1"/>
  <c r="K1465" i="1"/>
  <c r="K1492" i="1"/>
  <c r="O1492" i="1"/>
  <c r="K1448" i="1"/>
  <c r="O1448" i="1"/>
  <c r="K1655" i="1"/>
  <c r="O1655" i="1"/>
  <c r="K1243" i="1"/>
  <c r="K1550" i="1"/>
  <c r="O1550" i="1"/>
  <c r="O1683" i="1"/>
  <c r="O1542" i="1"/>
  <c r="O1478" i="1"/>
  <c r="K1662" i="1"/>
  <c r="O1662" i="1"/>
  <c r="O1674" i="1"/>
  <c r="K1237" i="1"/>
  <c r="O1545" i="1"/>
  <c r="O1696" i="1"/>
  <c r="O1455" i="1"/>
  <c r="O1562" i="1"/>
  <c r="O1764" i="1"/>
  <c r="O1510" i="1"/>
  <c r="O1556" i="1"/>
  <c r="K1658" i="1"/>
  <c r="O1658" i="1"/>
  <c r="O1671" i="1"/>
  <c r="K1506" i="1"/>
  <c r="O1506" i="1"/>
  <c r="O1553" i="1"/>
  <c r="K1674" i="1"/>
  <c r="O1654" i="1"/>
  <c r="K1697" i="1"/>
  <c r="O1697" i="1"/>
  <c r="K1496" i="1"/>
  <c r="O1496" i="1"/>
  <c r="O1524" i="1"/>
  <c r="O1652" i="1"/>
  <c r="O1471" i="1"/>
  <c r="K1693" i="1"/>
  <c r="O1693" i="1"/>
  <c r="O1725" i="1"/>
  <c r="K1462" i="1"/>
  <c r="O1462" i="1"/>
  <c r="O1595" i="1"/>
  <c r="K1515" i="1"/>
  <c r="K1542" i="1"/>
  <c r="O1449" i="1"/>
  <c r="O1549" i="1"/>
  <c r="O1630" i="1"/>
  <c r="O1714" i="1"/>
  <c r="O1718" i="1"/>
  <c r="K1751" i="1"/>
  <c r="O1751" i="1"/>
  <c r="O1586" i="1"/>
  <c r="K1449" i="1"/>
  <c r="O1523" i="1"/>
  <c r="K1731" i="1"/>
  <c r="O1731" i="1"/>
  <c r="O1537" i="1"/>
  <c r="K1724" i="1"/>
  <c r="O1724" i="1"/>
  <c r="O1583" i="1"/>
  <c r="K1735" i="1"/>
  <c r="O1735" i="1"/>
  <c r="K1711" i="1"/>
  <c r="O1711" i="1"/>
  <c r="K1521" i="1"/>
  <c r="O1521" i="1"/>
  <c r="K1490" i="1"/>
  <c r="O1490" i="1"/>
  <c r="K1484" i="1"/>
  <c r="O1484" i="1"/>
  <c r="K1546" i="1"/>
  <c r="K1598" i="1"/>
  <c r="K1737" i="1"/>
  <c r="O1737" i="1"/>
  <c r="K1534" i="1"/>
  <c r="K1242" i="1"/>
  <c r="K1531" i="1"/>
  <c r="O1531" i="1"/>
  <c r="K1574" i="1"/>
  <c r="O1574" i="1"/>
  <c r="K1669" i="1"/>
  <c r="K1487" i="1"/>
  <c r="K1643" i="1"/>
  <c r="O1642" i="1"/>
  <c r="K1541" i="1"/>
  <c r="K1464" i="1"/>
  <c r="O1464" i="1"/>
  <c r="K1518" i="1"/>
  <c r="O1518" i="1"/>
  <c r="K1446" i="1"/>
  <c r="O1446" i="1"/>
  <c r="O1707" i="1"/>
  <c r="K1698" i="1"/>
  <c r="K1744" i="1"/>
  <c r="K1479" i="1"/>
  <c r="O1479" i="1"/>
  <c r="K1512" i="1"/>
  <c r="O1512" i="1"/>
  <c r="K1644" i="1"/>
  <c r="O1644" i="1"/>
  <c r="K1749" i="1"/>
  <c r="K1547" i="1"/>
  <c r="K1486" i="1"/>
  <c r="O1486" i="1"/>
  <c r="K1471" i="1"/>
  <c r="K1488" i="1"/>
  <c r="O1488" i="1"/>
  <c r="K1473" i="1"/>
  <c r="O1473" i="1"/>
  <c r="K1625" i="1"/>
  <c r="O1625" i="1"/>
  <c r="K1482" i="1"/>
  <c r="K1687" i="1"/>
  <c r="O1687" i="1"/>
  <c r="K1451" i="1"/>
  <c r="O1451" i="1"/>
  <c r="K1499" i="1"/>
  <c r="O1499" i="1"/>
  <c r="K1627" i="1"/>
  <c r="O1627" i="1"/>
  <c r="K1672" i="1"/>
  <c r="O1743" i="1"/>
  <c r="K1535" i="1"/>
  <c r="K1522" i="1"/>
  <c r="K1690" i="1"/>
  <c r="K1623" i="1"/>
  <c r="K1668" i="1"/>
  <c r="O1668" i="1"/>
  <c r="O1755" i="1"/>
  <c r="K1580" i="1"/>
  <c r="O1580" i="1"/>
  <c r="K1758" i="1"/>
  <c r="K1526" i="1"/>
  <c r="O1526" i="1"/>
  <c r="K1583" i="1"/>
  <c r="K1618" i="1"/>
  <c r="O1618" i="1"/>
  <c r="K1645" i="1"/>
  <c r="O1645" i="1"/>
  <c r="K1712" i="1"/>
  <c r="O1712" i="1"/>
  <c r="K1624" i="1"/>
  <c r="K1584" i="1"/>
  <c r="O1584" i="1"/>
  <c r="K1680" i="1"/>
  <c r="I1248" i="1"/>
  <c r="J1248" i="1"/>
  <c r="O1461" i="1"/>
  <c r="K1704" i="1"/>
  <c r="O1577" i="1"/>
  <c r="K1478" i="1"/>
  <c r="K1240" i="1"/>
  <c r="K1537" i="1"/>
  <c r="K1620" i="1"/>
  <c r="O1517" i="1"/>
  <c r="K1524" i="1"/>
  <c r="O1730" i="1"/>
  <c r="K1475" i="1"/>
  <c r="O1631" i="1"/>
  <c r="K1559" i="1"/>
  <c r="K1637" i="1"/>
  <c r="O1555" i="1"/>
  <c r="K1726" i="1"/>
  <c r="K1752" i="1"/>
  <c r="O1702" i="1"/>
  <c r="I1768" i="1"/>
  <c r="J1768" i="1"/>
  <c r="K1500" i="1"/>
  <c r="O1500" i="1"/>
  <c r="K1489" i="1"/>
  <c r="O1489" i="1"/>
  <c r="K1570" i="1"/>
  <c r="O1570" i="1"/>
  <c r="K1520" i="1"/>
  <c r="O1520" i="1"/>
  <c r="K1754" i="1"/>
  <c r="O1754" i="1"/>
  <c r="K1234" i="1"/>
  <c r="K1629" i="1"/>
  <c r="O1629" i="1"/>
  <c r="I1247" i="1"/>
  <c r="J1247" i="1"/>
  <c r="K1470" i="1"/>
  <c r="K1517" i="1"/>
  <c r="K1631" i="1"/>
  <c r="K1447" i="1"/>
  <c r="K1696" i="1"/>
  <c r="K1716" i="1"/>
  <c r="K1445" i="1"/>
  <c r="O1445" i="1"/>
  <c r="K1602" i="1"/>
  <c r="O1602" i="1"/>
  <c r="K1510" i="1"/>
  <c r="K1508" i="1"/>
  <c r="O1508" i="1"/>
  <c r="K1652" i="1"/>
  <c r="K1469" i="1"/>
  <c r="O1469" i="1"/>
  <c r="K1549" i="1"/>
  <c r="K1513" i="1"/>
  <c r="O1513" i="1"/>
  <c r="O1722" i="1"/>
  <c r="K1617" i="1"/>
  <c r="K1685" i="1"/>
  <c r="O1685" i="1"/>
  <c r="K1543" i="1"/>
  <c r="K1725" i="1"/>
  <c r="K1745" i="1"/>
  <c r="K1498" i="1"/>
  <c r="O1498" i="1"/>
  <c r="D1266" i="1"/>
  <c r="C1266" i="1"/>
  <c r="B1267" i="1"/>
  <c r="C1267" i="1"/>
  <c r="K1562" i="1"/>
  <c r="K1586" i="1"/>
  <c r="K1700" i="1"/>
  <c r="O1700" i="1"/>
  <c r="K1545" i="1"/>
  <c r="K1556" i="1"/>
  <c r="K1647" i="1"/>
  <c r="O1647" i="1"/>
  <c r="K1571" i="1"/>
  <c r="O1571" i="1"/>
  <c r="K1630" i="1"/>
  <c r="K1729" i="1"/>
  <c r="O1729" i="1"/>
  <c r="K1461" i="1"/>
  <c r="K1605" i="1"/>
  <c r="O1605" i="1"/>
  <c r="K1681" i="1"/>
  <c r="K1456" i="1"/>
  <c r="O1456" i="1"/>
  <c r="K1755" i="1"/>
  <c r="K1661" i="1"/>
  <c r="K1657" i="1"/>
  <c r="O1657" i="1"/>
  <c r="K1507" i="1"/>
  <c r="O1507" i="1"/>
  <c r="K1636" i="1"/>
  <c r="O1636" i="1"/>
  <c r="K1699" i="1"/>
  <c r="O1699" i="1"/>
  <c r="K1626" i="1"/>
  <c r="O1626" i="1"/>
  <c r="K1560" i="1"/>
  <c r="O1560" i="1"/>
  <c r="K1633" i="1"/>
  <c r="K1443" i="1"/>
  <c r="K1485" i="1"/>
  <c r="O1485" i="1"/>
  <c r="K1615" i="1"/>
  <c r="I1245" i="1"/>
  <c r="J1245" i="1"/>
  <c r="I1246" i="1"/>
  <c r="J1246" i="1"/>
  <c r="K1730" i="1"/>
  <c r="K1563" i="1"/>
  <c r="O1563" i="1"/>
  <c r="K1458" i="1"/>
  <c r="O1458" i="1"/>
  <c r="K1523" i="1"/>
  <c r="K1555" i="1"/>
  <c r="K1595" i="1"/>
  <c r="K1678" i="1"/>
  <c r="O1678" i="1"/>
  <c r="K1671" i="1"/>
  <c r="K1664" i="1"/>
  <c r="O1664" i="1"/>
  <c r="K1732" i="1"/>
  <c r="O1732" i="1"/>
  <c r="K1656" i="1"/>
  <c r="O1656" i="1"/>
  <c r="K1714" i="1"/>
  <c r="K1741" i="1"/>
  <c r="O1741" i="1"/>
  <c r="K1688" i="1"/>
  <c r="O1688" i="1"/>
  <c r="K1460" i="1"/>
  <c r="O1460" i="1"/>
  <c r="K1702" i="1"/>
  <c r="J1765" i="1"/>
  <c r="I1766" i="1"/>
  <c r="J1766" i="1"/>
  <c r="I1767" i="1"/>
  <c r="J1767" i="1"/>
  <c r="K1565" i="1"/>
  <c r="K1722" i="1"/>
  <c r="K1718" i="1"/>
  <c r="K1235" i="1"/>
  <c r="K1239" i="1"/>
  <c r="K1477" i="1"/>
  <c r="O1600" i="1"/>
  <c r="K1455" i="1"/>
  <c r="K1723" i="1"/>
  <c r="O1723" i="1"/>
  <c r="K1619" i="1"/>
  <c r="O1619" i="1"/>
  <c r="K1734" i="1"/>
  <c r="O1734" i="1"/>
  <c r="K1589" i="1"/>
  <c r="O1589" i="1"/>
  <c r="K1621" i="1"/>
  <c r="O1621" i="1"/>
  <c r="K1600" i="1"/>
  <c r="K1642" i="1"/>
  <c r="K1720" i="1"/>
  <c r="O1720" i="1"/>
  <c r="K1743" i="1"/>
  <c r="K1516" i="1"/>
  <c r="K1707" i="1"/>
  <c r="K1651" i="1"/>
  <c r="K1654" i="1"/>
  <c r="K1646" i="1"/>
  <c r="K1592" i="1"/>
  <c r="K1650" i="1"/>
  <c r="O1650" i="1"/>
  <c r="K1675" i="1"/>
  <c r="O1675" i="1"/>
  <c r="K1665" i="1"/>
  <c r="O1665" i="1"/>
  <c r="K1747" i="1"/>
  <c r="O1747" i="1"/>
  <c r="K1493" i="1"/>
  <c r="K1577" i="1"/>
  <c r="K1683" i="1"/>
  <c r="K1536" i="1"/>
  <c r="O1536" i="1"/>
  <c r="K1719" i="1"/>
  <c r="O1719" i="1"/>
  <c r="K1717" i="1"/>
  <c r="O1717" i="1"/>
  <c r="K1553" i="1"/>
  <c r="K1764" i="1"/>
  <c r="I1721" i="1"/>
  <c r="J1721" i="1"/>
  <c r="I1722" i="1"/>
  <c r="J1722" i="1"/>
  <c r="I1723" i="1"/>
  <c r="J1723" i="1"/>
  <c r="I1724" i="1"/>
  <c r="J1724" i="1"/>
  <c r="I1725" i="1"/>
  <c r="J1725" i="1"/>
  <c r="I1726" i="1"/>
  <c r="J1726" i="1"/>
  <c r="I1727" i="1"/>
  <c r="J1727" i="1"/>
  <c r="I1728" i="1"/>
  <c r="J1728" i="1"/>
  <c r="I1729" i="1"/>
  <c r="J1729" i="1"/>
  <c r="I1730" i="1"/>
  <c r="J1730" i="1"/>
  <c r="I1731" i="1"/>
  <c r="J1731" i="1"/>
  <c r="I1732" i="1"/>
  <c r="J1732" i="1"/>
  <c r="I1733" i="1"/>
  <c r="J1733" i="1"/>
  <c r="I1734" i="1"/>
  <c r="J1734" i="1"/>
  <c r="I1735" i="1"/>
  <c r="J1735" i="1"/>
  <c r="I1736" i="1"/>
  <c r="J1736" i="1"/>
  <c r="I1737" i="1"/>
  <c r="J1737" i="1"/>
  <c r="I1738" i="1"/>
  <c r="J1738" i="1"/>
  <c r="I1739" i="1"/>
  <c r="J1739" i="1"/>
  <c r="I1740" i="1"/>
  <c r="J1740" i="1"/>
  <c r="I1741" i="1"/>
  <c r="J1741" i="1"/>
  <c r="I1742" i="1"/>
  <c r="J1742" i="1"/>
  <c r="I1743" i="1"/>
  <c r="J1743" i="1"/>
  <c r="I1744" i="1"/>
  <c r="J1744" i="1"/>
  <c r="I1745" i="1"/>
  <c r="J1745" i="1"/>
  <c r="I1746" i="1"/>
  <c r="J1746" i="1"/>
  <c r="I1747" i="1"/>
  <c r="J1747" i="1"/>
  <c r="I1748" i="1"/>
  <c r="J1748" i="1"/>
  <c r="I1749" i="1"/>
  <c r="J1749" i="1"/>
  <c r="I1750" i="1"/>
  <c r="J1750" i="1"/>
  <c r="I1751" i="1"/>
  <c r="J1751" i="1"/>
  <c r="I1752" i="1"/>
  <c r="J1752" i="1"/>
  <c r="I1753" i="1"/>
  <c r="J1753" i="1"/>
  <c r="I1754" i="1"/>
  <c r="J1754" i="1"/>
  <c r="I1755" i="1"/>
  <c r="J1755" i="1"/>
  <c r="I1756" i="1"/>
  <c r="J1756" i="1"/>
  <c r="I1757" i="1"/>
  <c r="J1757" i="1"/>
  <c r="I1758" i="1"/>
  <c r="J1758" i="1"/>
  <c r="I1759" i="1"/>
  <c r="J1759" i="1"/>
  <c r="I1760" i="1"/>
  <c r="J1760" i="1"/>
  <c r="I1761" i="1"/>
  <c r="J1761" i="1"/>
  <c r="I1762" i="1"/>
  <c r="J1762" i="1"/>
  <c r="I1763" i="1"/>
  <c r="J1763" i="1"/>
  <c r="I1764" i="1"/>
  <c r="J1764" i="1"/>
  <c r="I1765" i="1"/>
  <c r="I1705" i="1"/>
  <c r="J1705" i="1"/>
  <c r="I1706" i="1"/>
  <c r="J1706" i="1"/>
  <c r="I1707" i="1"/>
  <c r="J1707" i="1"/>
  <c r="I1708" i="1"/>
  <c r="J1708" i="1"/>
  <c r="I1709" i="1"/>
  <c r="J1709" i="1"/>
  <c r="I1710" i="1"/>
  <c r="J1710" i="1"/>
  <c r="I1711" i="1"/>
  <c r="J1711" i="1"/>
  <c r="I1712" i="1"/>
  <c r="J1712" i="1"/>
  <c r="I1713" i="1"/>
  <c r="J1713" i="1"/>
  <c r="I1714" i="1"/>
  <c r="J1714" i="1"/>
  <c r="I1715" i="1"/>
  <c r="J1715" i="1"/>
  <c r="I1716" i="1"/>
  <c r="J1716" i="1"/>
  <c r="I1717" i="1"/>
  <c r="J1717" i="1"/>
  <c r="I1718" i="1"/>
  <c r="J1718" i="1"/>
  <c r="I1719" i="1"/>
  <c r="J1719" i="1"/>
  <c r="I1720" i="1"/>
  <c r="J1720" i="1"/>
  <c r="I1701" i="1"/>
  <c r="J1701" i="1"/>
  <c r="I1702" i="1"/>
  <c r="J1702" i="1"/>
  <c r="I1703" i="1"/>
  <c r="J1703" i="1"/>
  <c r="I1704" i="1"/>
  <c r="J1704" i="1"/>
  <c r="K1588" i="1"/>
  <c r="O1588" i="1"/>
  <c r="I1234" i="1"/>
  <c r="J1234" i="1"/>
  <c r="I1235" i="1"/>
  <c r="J1235" i="1"/>
  <c r="I1236" i="1"/>
  <c r="J1236" i="1"/>
  <c r="I1237" i="1"/>
  <c r="J1237" i="1"/>
  <c r="I1238" i="1"/>
  <c r="J1238" i="1"/>
  <c r="I1239" i="1"/>
  <c r="J1239" i="1"/>
  <c r="I1240" i="1"/>
  <c r="J1240" i="1"/>
  <c r="I1241" i="1"/>
  <c r="J1241" i="1"/>
  <c r="I1242" i="1"/>
  <c r="J1242" i="1"/>
  <c r="I1243" i="1"/>
  <c r="J1243" i="1"/>
  <c r="I1244" i="1"/>
  <c r="J1244" i="1"/>
  <c r="K1539" i="1"/>
  <c r="O1539" i="1"/>
  <c r="I1624" i="1"/>
  <c r="J1624" i="1"/>
  <c r="I1625" i="1"/>
  <c r="J1625" i="1"/>
  <c r="I1626" i="1"/>
  <c r="J1626" i="1"/>
  <c r="I1627" i="1"/>
  <c r="J1627" i="1"/>
  <c r="I1628" i="1"/>
  <c r="J1628" i="1"/>
  <c r="I1629" i="1"/>
  <c r="J1629" i="1"/>
  <c r="I1630" i="1"/>
  <c r="J1630" i="1"/>
  <c r="I1631" i="1"/>
  <c r="J1631" i="1"/>
  <c r="I1632" i="1"/>
  <c r="J1632" i="1"/>
  <c r="I1633" i="1"/>
  <c r="J1633" i="1"/>
  <c r="I1634" i="1"/>
  <c r="J1634" i="1"/>
  <c r="I1635" i="1"/>
  <c r="J1635" i="1"/>
  <c r="I1636" i="1"/>
  <c r="J1636" i="1"/>
  <c r="I1637" i="1"/>
  <c r="J1637" i="1"/>
  <c r="I1638" i="1"/>
  <c r="J1638" i="1"/>
  <c r="I1639" i="1"/>
  <c r="J1639" i="1"/>
  <c r="I1640" i="1"/>
  <c r="J1640" i="1"/>
  <c r="I1641" i="1"/>
  <c r="J1641" i="1"/>
  <c r="I1642" i="1"/>
  <c r="J1642" i="1"/>
  <c r="I1643" i="1"/>
  <c r="J1643" i="1"/>
  <c r="I1644" i="1"/>
  <c r="J1644" i="1"/>
  <c r="I1645" i="1"/>
  <c r="J1645" i="1"/>
  <c r="I1646" i="1"/>
  <c r="J1646" i="1"/>
  <c r="I1647" i="1"/>
  <c r="J1647" i="1"/>
  <c r="I1648" i="1"/>
  <c r="J1648" i="1"/>
  <c r="I1649" i="1"/>
  <c r="J1649" i="1"/>
  <c r="I1650" i="1"/>
  <c r="J1650" i="1"/>
  <c r="I1651" i="1"/>
  <c r="J1651" i="1"/>
  <c r="I1652" i="1"/>
  <c r="J1652" i="1"/>
  <c r="I1653" i="1"/>
  <c r="J1653" i="1"/>
  <c r="I1654" i="1"/>
  <c r="J1654" i="1"/>
  <c r="I1655" i="1"/>
  <c r="J1655" i="1"/>
  <c r="I1656" i="1"/>
  <c r="J1656" i="1"/>
  <c r="I1657" i="1"/>
  <c r="J1657" i="1"/>
  <c r="I1658" i="1"/>
  <c r="J1658" i="1"/>
  <c r="I1659" i="1"/>
  <c r="J1659" i="1"/>
  <c r="I1660" i="1"/>
  <c r="J1660" i="1"/>
  <c r="I1661" i="1"/>
  <c r="J1661" i="1"/>
  <c r="I1662" i="1"/>
  <c r="J1662" i="1"/>
  <c r="I1663" i="1"/>
  <c r="J1663" i="1"/>
  <c r="I1664" i="1"/>
  <c r="J1664" i="1"/>
  <c r="I1665" i="1"/>
  <c r="J1665" i="1"/>
  <c r="I1666" i="1"/>
  <c r="J1666" i="1"/>
  <c r="I1667" i="1"/>
  <c r="J1667" i="1"/>
  <c r="I1668" i="1"/>
  <c r="J1668" i="1"/>
  <c r="I1669" i="1"/>
  <c r="J1669" i="1"/>
  <c r="I1670" i="1"/>
  <c r="J1670" i="1"/>
  <c r="I1671" i="1"/>
  <c r="J1671" i="1"/>
  <c r="I1672" i="1"/>
  <c r="J1672" i="1"/>
  <c r="I1673" i="1"/>
  <c r="J1673" i="1"/>
  <c r="I1674" i="1"/>
  <c r="J1674" i="1"/>
  <c r="I1675" i="1"/>
  <c r="J1675" i="1"/>
  <c r="I1676" i="1"/>
  <c r="J1676" i="1"/>
  <c r="I1677" i="1"/>
  <c r="J1677" i="1"/>
  <c r="I1678" i="1"/>
  <c r="J1678" i="1"/>
  <c r="I1679" i="1"/>
  <c r="J1679" i="1"/>
  <c r="I1680" i="1"/>
  <c r="J1680" i="1"/>
  <c r="I1681" i="1"/>
  <c r="J1681" i="1"/>
  <c r="I1682" i="1"/>
  <c r="J1682" i="1"/>
  <c r="I1683" i="1"/>
  <c r="J1683" i="1"/>
  <c r="I1684" i="1"/>
  <c r="J1684" i="1"/>
  <c r="I1685" i="1"/>
  <c r="J1685" i="1"/>
  <c r="I1686" i="1"/>
  <c r="J1686" i="1"/>
  <c r="I1687" i="1"/>
  <c r="J1687" i="1"/>
  <c r="I1688" i="1"/>
  <c r="J1688" i="1"/>
  <c r="I1689" i="1"/>
  <c r="J1689" i="1"/>
  <c r="I1690" i="1"/>
  <c r="J1690" i="1"/>
  <c r="I1691" i="1"/>
  <c r="J1691" i="1"/>
  <c r="I1692" i="1"/>
  <c r="J1692" i="1"/>
  <c r="I1693" i="1"/>
  <c r="J1693" i="1"/>
  <c r="I1694" i="1"/>
  <c r="J1694" i="1"/>
  <c r="I1695" i="1"/>
  <c r="J1695" i="1"/>
  <c r="I1696" i="1"/>
  <c r="J1696" i="1"/>
  <c r="I1697" i="1"/>
  <c r="J1697" i="1"/>
  <c r="I1698" i="1"/>
  <c r="J1698" i="1"/>
  <c r="I1699" i="1"/>
  <c r="J1699" i="1"/>
  <c r="I1700" i="1"/>
  <c r="J1700" i="1"/>
  <c r="K1509" i="1"/>
  <c r="O1509" i="1"/>
  <c r="K1230" i="1"/>
  <c r="J1230" i="1"/>
  <c r="I1231" i="1"/>
  <c r="J1231" i="1"/>
  <c r="I1232" i="1"/>
  <c r="J1232" i="1"/>
  <c r="I1233" i="1"/>
  <c r="J1233" i="1"/>
  <c r="I1471" i="1"/>
  <c r="J1471" i="1"/>
  <c r="I1472" i="1"/>
  <c r="J1472" i="1"/>
  <c r="I1473" i="1"/>
  <c r="J1473" i="1"/>
  <c r="I1474" i="1"/>
  <c r="J1474" i="1"/>
  <c r="I1475" i="1"/>
  <c r="J1475" i="1"/>
  <c r="I1476" i="1"/>
  <c r="J1476" i="1"/>
  <c r="I1477" i="1"/>
  <c r="J1477" i="1"/>
  <c r="I1478" i="1"/>
  <c r="J1478" i="1"/>
  <c r="I1479" i="1"/>
  <c r="J1479" i="1"/>
  <c r="I1480" i="1"/>
  <c r="J1480" i="1"/>
  <c r="I1481" i="1"/>
  <c r="J1481" i="1"/>
  <c r="I1482" i="1"/>
  <c r="J1482" i="1"/>
  <c r="I1483" i="1"/>
  <c r="J1483" i="1"/>
  <c r="I1484" i="1"/>
  <c r="J1484" i="1"/>
  <c r="I1485" i="1"/>
  <c r="J1485" i="1"/>
  <c r="I1486" i="1"/>
  <c r="J1486" i="1"/>
  <c r="I1487" i="1"/>
  <c r="J1487" i="1"/>
  <c r="I1488" i="1"/>
  <c r="J1488" i="1"/>
  <c r="I1489" i="1"/>
  <c r="J1489" i="1"/>
  <c r="I1490" i="1"/>
  <c r="J1490" i="1"/>
  <c r="I1491" i="1"/>
  <c r="J1491" i="1"/>
  <c r="I1492" i="1"/>
  <c r="J1492" i="1"/>
  <c r="I1493" i="1"/>
  <c r="J1493" i="1"/>
  <c r="I1494" i="1"/>
  <c r="J1494" i="1"/>
  <c r="I1495" i="1"/>
  <c r="J1495" i="1"/>
  <c r="I1496" i="1"/>
  <c r="J1496" i="1"/>
  <c r="I1497" i="1"/>
  <c r="J1497" i="1"/>
  <c r="I1498" i="1"/>
  <c r="J1498" i="1"/>
  <c r="I1499" i="1"/>
  <c r="J1499" i="1"/>
  <c r="I1500" i="1"/>
  <c r="J1500" i="1"/>
  <c r="I1501" i="1"/>
  <c r="J1501" i="1"/>
  <c r="I1502" i="1"/>
  <c r="J1502" i="1"/>
  <c r="I1503" i="1"/>
  <c r="J1503" i="1"/>
  <c r="I1504" i="1"/>
  <c r="J1504" i="1"/>
  <c r="I1505" i="1"/>
  <c r="J1505" i="1"/>
  <c r="I1506" i="1"/>
  <c r="J1506" i="1"/>
  <c r="I1507" i="1"/>
  <c r="J1507" i="1"/>
  <c r="I1508" i="1"/>
  <c r="J1508" i="1"/>
  <c r="I1509" i="1"/>
  <c r="J1509" i="1"/>
  <c r="I1510" i="1"/>
  <c r="J1510" i="1"/>
  <c r="I1511" i="1"/>
  <c r="J1511" i="1"/>
  <c r="I1512" i="1"/>
  <c r="J1512" i="1"/>
  <c r="I1513" i="1"/>
  <c r="J1513" i="1"/>
  <c r="I1514" i="1"/>
  <c r="J1514" i="1"/>
  <c r="I1515" i="1"/>
  <c r="J1515" i="1"/>
  <c r="I1516" i="1"/>
  <c r="J1516" i="1"/>
  <c r="I1517" i="1"/>
  <c r="J1517" i="1"/>
  <c r="I1518" i="1"/>
  <c r="J1518" i="1"/>
  <c r="I1519" i="1"/>
  <c r="J1519" i="1"/>
  <c r="I1520" i="1"/>
  <c r="J1520" i="1"/>
  <c r="I1521" i="1"/>
  <c r="J1521" i="1"/>
  <c r="I1522" i="1"/>
  <c r="J1522" i="1"/>
  <c r="I1523" i="1"/>
  <c r="J1523" i="1"/>
  <c r="I1524" i="1"/>
  <c r="J1524" i="1"/>
  <c r="I1525" i="1"/>
  <c r="J1525" i="1"/>
  <c r="I1526" i="1"/>
  <c r="J1526" i="1"/>
  <c r="I1527" i="1"/>
  <c r="J1527" i="1"/>
  <c r="I1528" i="1"/>
  <c r="J1528" i="1"/>
  <c r="I1529" i="1"/>
  <c r="J1529" i="1"/>
  <c r="I1530" i="1"/>
  <c r="J1530" i="1"/>
  <c r="I1531" i="1"/>
  <c r="J1531" i="1"/>
  <c r="I1532" i="1"/>
  <c r="J1532" i="1"/>
  <c r="I1533" i="1"/>
  <c r="J1533" i="1"/>
  <c r="I1534" i="1"/>
  <c r="J1534" i="1"/>
  <c r="I1535" i="1"/>
  <c r="J1535" i="1"/>
  <c r="I1536" i="1"/>
  <c r="J1536" i="1"/>
  <c r="I1537" i="1"/>
  <c r="J1537" i="1"/>
  <c r="I1538" i="1"/>
  <c r="J1538" i="1"/>
  <c r="I1539" i="1"/>
  <c r="J1539" i="1"/>
  <c r="I1540" i="1"/>
  <c r="J1540" i="1"/>
  <c r="I1541" i="1"/>
  <c r="J1541" i="1"/>
  <c r="I1542" i="1"/>
  <c r="J1542" i="1"/>
  <c r="I1543" i="1"/>
  <c r="J1543" i="1"/>
  <c r="I1544" i="1"/>
  <c r="J1544" i="1"/>
  <c r="I1545" i="1"/>
  <c r="J1545" i="1"/>
  <c r="I1546" i="1"/>
  <c r="J1546" i="1"/>
  <c r="I1547" i="1"/>
  <c r="J1547" i="1"/>
  <c r="I1548" i="1"/>
  <c r="J1548" i="1"/>
  <c r="I1549" i="1"/>
  <c r="J1549" i="1"/>
  <c r="I1550" i="1"/>
  <c r="J1550" i="1"/>
  <c r="I1551" i="1"/>
  <c r="J1551" i="1"/>
  <c r="I1552" i="1"/>
  <c r="J1552" i="1"/>
  <c r="I1553" i="1"/>
  <c r="J1553" i="1"/>
  <c r="I1554" i="1"/>
  <c r="J1554" i="1"/>
  <c r="I1555" i="1"/>
  <c r="J1555" i="1"/>
  <c r="I1556" i="1"/>
  <c r="J1556" i="1"/>
  <c r="I1557" i="1"/>
  <c r="J1557" i="1"/>
  <c r="I1558" i="1"/>
  <c r="J1558" i="1"/>
  <c r="I1559" i="1"/>
  <c r="J1559" i="1"/>
  <c r="I1560" i="1"/>
  <c r="J1560" i="1"/>
  <c r="I1561" i="1"/>
  <c r="J1561" i="1"/>
  <c r="I1562" i="1"/>
  <c r="J1562" i="1"/>
  <c r="I1563" i="1"/>
  <c r="J1563" i="1"/>
  <c r="I1564" i="1"/>
  <c r="J1564" i="1"/>
  <c r="I1565" i="1"/>
  <c r="J1565" i="1"/>
  <c r="I1566" i="1"/>
  <c r="J1566" i="1"/>
  <c r="I1567" i="1"/>
  <c r="J1567" i="1"/>
  <c r="I1568" i="1"/>
  <c r="J1568" i="1"/>
  <c r="I1569" i="1"/>
  <c r="J1569" i="1"/>
  <c r="I1570" i="1"/>
  <c r="J1570" i="1"/>
  <c r="I1571" i="1"/>
  <c r="J1571" i="1"/>
  <c r="I1572" i="1"/>
  <c r="J1572" i="1"/>
  <c r="I1573" i="1"/>
  <c r="J1573" i="1"/>
  <c r="I1574" i="1"/>
  <c r="J1574" i="1"/>
  <c r="I1575" i="1"/>
  <c r="J1575" i="1"/>
  <c r="I1576" i="1"/>
  <c r="J1576" i="1"/>
  <c r="I1577" i="1"/>
  <c r="J1577" i="1"/>
  <c r="I1578" i="1"/>
  <c r="J1578" i="1"/>
  <c r="I1579" i="1"/>
  <c r="J1579" i="1"/>
  <c r="I1580" i="1"/>
  <c r="J1580" i="1"/>
  <c r="I1581" i="1"/>
  <c r="J1581" i="1"/>
  <c r="I1582" i="1"/>
  <c r="J1582" i="1"/>
  <c r="I1583" i="1"/>
  <c r="J1583" i="1"/>
  <c r="I1584" i="1"/>
  <c r="J1584" i="1"/>
  <c r="I1585" i="1"/>
  <c r="J1585" i="1"/>
  <c r="I1586" i="1"/>
  <c r="J1586" i="1"/>
  <c r="I1587" i="1"/>
  <c r="J1587" i="1"/>
  <c r="I1588" i="1"/>
  <c r="J1588" i="1"/>
  <c r="I1589" i="1"/>
  <c r="J1589" i="1"/>
  <c r="I1590" i="1"/>
  <c r="J1590" i="1"/>
  <c r="I1591" i="1"/>
  <c r="J1591" i="1"/>
  <c r="I1592" i="1"/>
  <c r="J1592" i="1"/>
  <c r="I1593" i="1"/>
  <c r="J1593" i="1"/>
  <c r="I1594" i="1"/>
  <c r="J1594" i="1"/>
  <c r="I1595" i="1"/>
  <c r="J1595" i="1"/>
  <c r="I1596" i="1"/>
  <c r="J1596" i="1"/>
  <c r="I1597" i="1"/>
  <c r="J1597" i="1"/>
  <c r="I1598" i="1"/>
  <c r="J1598" i="1"/>
  <c r="I1599" i="1"/>
  <c r="J1599" i="1"/>
  <c r="I1600" i="1"/>
  <c r="J1600" i="1"/>
  <c r="I1601" i="1"/>
  <c r="J1601" i="1"/>
  <c r="I1602" i="1"/>
  <c r="J1602" i="1"/>
  <c r="I1603" i="1"/>
  <c r="J1603" i="1"/>
  <c r="I1604" i="1"/>
  <c r="J1604" i="1"/>
  <c r="I1605" i="1"/>
  <c r="J1605" i="1"/>
  <c r="I1606" i="1"/>
  <c r="J1606" i="1"/>
  <c r="I1607" i="1"/>
  <c r="J1607" i="1"/>
  <c r="I1608" i="1"/>
  <c r="J1608" i="1"/>
  <c r="I1609" i="1"/>
  <c r="J1609" i="1"/>
  <c r="I1610" i="1"/>
  <c r="J1610" i="1"/>
  <c r="I1611" i="1"/>
  <c r="J1611" i="1"/>
  <c r="I1612" i="1"/>
  <c r="J1612" i="1"/>
  <c r="I1613" i="1"/>
  <c r="J1613" i="1"/>
  <c r="I1614" i="1"/>
  <c r="J1614" i="1"/>
  <c r="I1615" i="1"/>
  <c r="J1615" i="1"/>
  <c r="I1616" i="1"/>
  <c r="J1616" i="1"/>
  <c r="I1617" i="1"/>
  <c r="J1617" i="1"/>
  <c r="I1618" i="1"/>
  <c r="J1618" i="1"/>
  <c r="I1619" i="1"/>
  <c r="J1619" i="1"/>
  <c r="I1620" i="1"/>
  <c r="J1620" i="1"/>
  <c r="I1621" i="1"/>
  <c r="J1621" i="1"/>
  <c r="I1622" i="1"/>
  <c r="J1622" i="1"/>
  <c r="I1623" i="1"/>
  <c r="J1623" i="1"/>
  <c r="K1439" i="1"/>
  <c r="J1439" i="1"/>
  <c r="I1440" i="1"/>
  <c r="J1440" i="1"/>
  <c r="I1441" i="1"/>
  <c r="J1441" i="1"/>
  <c r="I1442" i="1"/>
  <c r="J1442" i="1"/>
  <c r="I1443" i="1"/>
  <c r="J1443" i="1"/>
  <c r="I1444" i="1"/>
  <c r="J1444" i="1"/>
  <c r="I1445" i="1"/>
  <c r="J1445" i="1"/>
  <c r="I1446" i="1"/>
  <c r="J1446" i="1"/>
  <c r="I1447" i="1"/>
  <c r="J1447" i="1"/>
  <c r="I1448" i="1"/>
  <c r="J1448" i="1"/>
  <c r="I1449" i="1"/>
  <c r="J1449" i="1"/>
  <c r="I1450" i="1"/>
  <c r="J1450" i="1"/>
  <c r="I1451" i="1"/>
  <c r="J1451" i="1"/>
  <c r="I1452" i="1"/>
  <c r="J1452" i="1"/>
  <c r="I1453" i="1"/>
  <c r="J1453" i="1"/>
  <c r="I1454" i="1"/>
  <c r="J1454" i="1"/>
  <c r="I1455" i="1"/>
  <c r="J1455" i="1"/>
  <c r="I1456" i="1"/>
  <c r="J1456" i="1"/>
  <c r="I1457" i="1"/>
  <c r="J1457" i="1"/>
  <c r="I1458" i="1"/>
  <c r="J1458" i="1"/>
  <c r="I1459" i="1"/>
  <c r="J1459" i="1"/>
  <c r="I1460" i="1"/>
  <c r="J1460" i="1"/>
  <c r="I1461" i="1"/>
  <c r="J1461" i="1"/>
  <c r="I1462" i="1"/>
  <c r="J1462" i="1"/>
  <c r="I1463" i="1"/>
  <c r="J1463" i="1"/>
  <c r="I1464" i="1"/>
  <c r="J1464" i="1"/>
  <c r="I1465" i="1"/>
  <c r="J1465" i="1"/>
  <c r="I1466" i="1"/>
  <c r="J1466" i="1"/>
  <c r="I1467" i="1"/>
  <c r="J1467" i="1"/>
  <c r="I1468" i="1"/>
  <c r="J1468" i="1"/>
  <c r="I1469" i="1"/>
  <c r="J1469" i="1"/>
  <c r="I1470" i="1"/>
  <c r="J1470" i="1"/>
</calcChain>
</file>

<file path=xl/sharedStrings.xml><?xml version="1.0" encoding="utf-8"?>
<sst xmlns="http://schemas.openxmlformats.org/spreadsheetml/2006/main" count="3857" uniqueCount="1972">
  <si>
    <t>CONSOLATA</t>
  </si>
  <si>
    <t>CBD</t>
  </si>
  <si>
    <t>CCCR</t>
  </si>
  <si>
    <t>KIHOTO</t>
  </si>
  <si>
    <t>MAKABURINI</t>
  </si>
  <si>
    <t>KAG</t>
  </si>
  <si>
    <t>KABATI</t>
  </si>
  <si>
    <t>LOWER SITE</t>
  </si>
  <si>
    <t>UPPER SITE</t>
  </si>
  <si>
    <t>SITE</t>
  </si>
  <si>
    <t>KEROCHE DTI</t>
  </si>
  <si>
    <t>KEROCHE</t>
  </si>
  <si>
    <t>TOTAL REGIONAL SUPPLY</t>
  </si>
  <si>
    <t xml:space="preserve">20/7/21  </t>
  </si>
  <si>
    <t>Repaire of 4'' burs' pvc raising main at aic booster</t>
  </si>
  <si>
    <t>4hrs interuption</t>
  </si>
  <si>
    <t>26/7/2021 repaire of 2'' pvc burst at site and services at aipck route</t>
  </si>
  <si>
    <t xml:space="preserve">27/7/2021 repaire of 75mm hdpe pipe cccr zone near society sopermarket </t>
  </si>
  <si>
    <t>30/7/2021 repaire of 32mm hdpe burst at kihoto</t>
  </si>
  <si>
    <t xml:space="preserve">      </t>
  </si>
  <si>
    <t>31/7/2021-7/8/2021</t>
  </si>
  <si>
    <t>1 CBD ZONE</t>
  </si>
  <si>
    <t>90mm police line pvc</t>
  </si>
  <si>
    <t>50mm pvc 3N</t>
  </si>
  <si>
    <t>63mm HDPE</t>
  </si>
  <si>
    <t>2 CCCR ZONE</t>
  </si>
  <si>
    <t>PE</t>
  </si>
  <si>
    <t>63MM PVC</t>
  </si>
  <si>
    <t>C 2NO</t>
  </si>
  <si>
    <t>4 KABATI ZONE</t>
  </si>
  <si>
    <t>3 SITE ZONE</t>
  </si>
  <si>
    <t>63mm pvc at ymca</t>
  </si>
  <si>
    <t>WEEKLY    REPORT ON NUMBER OF BURST AND LEAKS</t>
  </si>
  <si>
    <t>PLANS FOR THE WEEK</t>
  </si>
  <si>
    <t>CBD/CCCR ZONE</t>
  </si>
  <si>
    <t>New connection installation and meter replacement</t>
  </si>
  <si>
    <t>A/C-10507970</t>
  </si>
  <si>
    <t>Marking of accounts</t>
  </si>
  <si>
    <t>monitoring of large consumption customer GDC and railway DMAS</t>
  </si>
  <si>
    <t>KABATI/ SITE ZONE</t>
  </si>
  <si>
    <t>New connection installation</t>
  </si>
  <si>
    <t>a/c 10408018</t>
  </si>
  <si>
    <t xml:space="preserve">                  2 meters replacement invisible at lower site</t>
  </si>
  <si>
    <t xml:space="preserve">                  3 repaire of 4'' raising main at site</t>
  </si>
  <si>
    <t xml:space="preserve">                   4 replacement of faulty valves at kabati water kiosk</t>
  </si>
  <si>
    <t xml:space="preserve">                   5 marking of accounts</t>
  </si>
  <si>
    <t xml:space="preserve"> 7/8/2021     to 14/8/2021</t>
  </si>
  <si>
    <t>WEEKLY REPORT 7/8/2021-14/8/2021</t>
  </si>
  <si>
    <t xml:space="preserve">                   1  LEAKS AND BURST</t>
  </si>
  <si>
    <t>LEAKS AND BURST</t>
  </si>
  <si>
    <t>CCCR ZONE</t>
  </si>
  <si>
    <t>REPAIRED</t>
  </si>
  <si>
    <t>75mm HDPE</t>
  </si>
  <si>
    <t>CBD ZONE</t>
  </si>
  <si>
    <t>50MM PVC</t>
  </si>
  <si>
    <t>KABATI ZONE</t>
  </si>
  <si>
    <t>110MM PVC</t>
  </si>
  <si>
    <t>C PRICESS ROUTE</t>
  </si>
  <si>
    <t xml:space="preserve"> C  AIC</t>
  </si>
  <si>
    <t>C YMCA</t>
  </si>
  <si>
    <t>PE HOPEWELL</t>
  </si>
  <si>
    <t>PE CCCR</t>
  </si>
  <si>
    <t>NAIVAS NDOGO</t>
  </si>
  <si>
    <t>WORK DONE</t>
  </si>
  <si>
    <t>2 replacement of customers meter 1NO</t>
  </si>
  <si>
    <t>3 Marking of customers accounts 56NO</t>
  </si>
  <si>
    <t>4 Replacement of waterkiosk valves at cccr</t>
  </si>
  <si>
    <t>5 Disconnection a customer from main hopewell</t>
  </si>
  <si>
    <t>1 marking of accounts</t>
  </si>
  <si>
    <t>1 Installation of</t>
  </si>
  <si>
    <t xml:space="preserve"> 1 Installation of new connection 1NO</t>
  </si>
  <si>
    <t>of new connection 1NO</t>
  </si>
  <si>
    <t>2 Marking of accounts 20NO</t>
  </si>
  <si>
    <t>3 Customer meter relocation and raising</t>
  </si>
  <si>
    <t>4 replacements of customers gate valves 6 NO</t>
  </si>
  <si>
    <t xml:space="preserve">1 Marking </t>
  </si>
  <si>
    <t>of accounts 12 NO</t>
  </si>
  <si>
    <t>2 New accounts installation</t>
  </si>
  <si>
    <t>3 Repaire and replacements of valves water kiosk</t>
  </si>
  <si>
    <t>1 NO</t>
  </si>
  <si>
    <t>2 Monitoring of customers accounts GDC and railway DMA</t>
  </si>
  <si>
    <t>32MM pvc lancaster</t>
  </si>
  <si>
    <t>PLAN WORK</t>
  </si>
  <si>
    <t>1 Installation of pending new connection-cbd 3</t>
  </si>
  <si>
    <t>cccr  3</t>
  </si>
  <si>
    <t xml:space="preserve"> cbd 3</t>
  </si>
  <si>
    <t>site 7</t>
  </si>
  <si>
    <t>kabati 3</t>
  </si>
  <si>
    <t>2 marking of accounts</t>
  </si>
  <si>
    <t>3 repaire of 4'' leakege aic booster</t>
  </si>
  <si>
    <t>4 monitoring of large cosumption customers</t>
  </si>
  <si>
    <t>5 sealing of customers meters and meter checking</t>
  </si>
  <si>
    <t>6 replacements of leaking valves water kiosks</t>
  </si>
  <si>
    <t>WEEKLY REPORT 14/8/2021 TO 21/8/2021</t>
  </si>
  <si>
    <t>LEAKS AND BURST REPAIRED</t>
  </si>
  <si>
    <t>110 pvc pipe raising main 2NO</t>
  </si>
  <si>
    <t>63mm pvc submain upper site</t>
  </si>
  <si>
    <t>32mm pvc pipe upper site</t>
  </si>
  <si>
    <t>90mm pvc pipe KAG</t>
  </si>
  <si>
    <t>32 mm pvc pipe KAG</t>
  </si>
  <si>
    <t>2''AP line</t>
  </si>
  <si>
    <t>50mm karagita stage</t>
  </si>
  <si>
    <t>2NO</t>
  </si>
  <si>
    <t>50MM Naivas kubwa 2NO</t>
  </si>
  <si>
    <t>50MM HDPE county council estate</t>
  </si>
  <si>
    <t>50mm HDPE hopewell</t>
  </si>
  <si>
    <t>75mm DEP primary sch</t>
  </si>
  <si>
    <t>32mm HDPE Kihoto</t>
  </si>
  <si>
    <t>PLANED WORK DONE</t>
  </si>
  <si>
    <t>New connection installed</t>
  </si>
  <si>
    <t xml:space="preserve">CBD 1 </t>
  </si>
  <si>
    <t>CCCR 1</t>
  </si>
  <si>
    <t>SITE 9</t>
  </si>
  <si>
    <t>KABATI 0</t>
  </si>
  <si>
    <t>Marking of accounts cbd/ccr</t>
  </si>
  <si>
    <t>site/kabati</t>
  </si>
  <si>
    <t>Raing of meter an relocation cbd/ccr</t>
  </si>
  <si>
    <t xml:space="preserve">                site/kabati</t>
  </si>
  <si>
    <t xml:space="preserve">                 4  meters replacement</t>
  </si>
  <si>
    <t>3no</t>
  </si>
  <si>
    <t>a/c</t>
  </si>
  <si>
    <t>PLANS FOR WEEK</t>
  </si>
  <si>
    <t>Marking of accounts ongoing  cbd /cccr/site/kabati</t>
  </si>
  <si>
    <t>meters  invisible servicing for monthly meter reading site/kabati</t>
  </si>
  <si>
    <t xml:space="preserve">                  3 installation of pending new connection</t>
  </si>
  <si>
    <t xml:space="preserve">                  4 cleaning of chambers</t>
  </si>
  <si>
    <t xml:space="preserve">                  5 replacements of faulty and invisible meters</t>
  </si>
  <si>
    <t>THE WEEK</t>
  </si>
  <si>
    <t>MAJOR INTERRUPTION</t>
  </si>
  <si>
    <t>During the week we had only two cases of water supply interruption</t>
  </si>
  <si>
    <t xml:space="preserve">                1 lower site due to burst of raising main</t>
  </si>
  <si>
    <t xml:space="preserve">          </t>
  </si>
  <si>
    <t>two times in a week</t>
  </si>
  <si>
    <t>DATE</t>
  </si>
  <si>
    <t>INITIAL</t>
  </si>
  <si>
    <t>CURRENT</t>
  </si>
  <si>
    <t>VOL</t>
  </si>
  <si>
    <t>NB Low water supply to cbd due to burst of 8'' at diplomat</t>
  </si>
  <si>
    <t>PLANED WORK DONED</t>
  </si>
  <si>
    <t>Marking of accounts CBD 15</t>
  </si>
  <si>
    <t>NRW activities      1</t>
  </si>
  <si>
    <t>cheking of customers meters</t>
  </si>
  <si>
    <t>CCCR/PRISON 41</t>
  </si>
  <si>
    <t>monitoring of large consumption customers</t>
  </si>
  <si>
    <t>kabati 10</t>
  </si>
  <si>
    <t>preventive measures ie back filling of exposed pipes at site</t>
  </si>
  <si>
    <t>site 14</t>
  </si>
  <si>
    <t xml:space="preserve">                  3 servicing of master meters all Dms in the region</t>
  </si>
  <si>
    <t>meter servicing for monthly meter reading site 41</t>
  </si>
  <si>
    <t>site and kabati 41</t>
  </si>
  <si>
    <t>installing of pending new connection</t>
  </si>
  <si>
    <t>new connection installation CBD/ CCCR 3NO</t>
  </si>
  <si>
    <t>marking of the remaining accounts</t>
  </si>
  <si>
    <t>KABATI/SITE 2NO</t>
  </si>
  <si>
    <t>cleaning of chambers</t>
  </si>
  <si>
    <t>MAJOR INTERRUMPTION</t>
  </si>
  <si>
    <t>We had one interrumption of water supply to CBD and CCCR due to burst of 8''pvc pipe mainline at diplomat buiding</t>
  </si>
  <si>
    <t>omat bulding</t>
  </si>
  <si>
    <t xml:space="preserve">ing        </t>
  </si>
  <si>
    <t>reported on 27/8/2021</t>
  </si>
  <si>
    <t>WEEKLY REPORT FROM 21/8/2021-28/8/2021</t>
  </si>
  <si>
    <t>NB Supply to cbd has resume to normal after repaire of 8'' burst at diplomat 1/8/2021</t>
  </si>
  <si>
    <t>NB no supply to lower site due to power failure at aic booster</t>
  </si>
  <si>
    <t>aic supply resumed at 1.pm</t>
  </si>
  <si>
    <t>WEEKLY REPORT FROM 28/8/2021 TO 4/8/2021</t>
  </si>
  <si>
    <t>Number of leaks and burst repaired</t>
  </si>
  <si>
    <t xml:space="preserve">            CBD</t>
  </si>
  <si>
    <t>8'' Burst at diplomat</t>
  </si>
  <si>
    <t>50mm pvc behind siliver hotel</t>
  </si>
  <si>
    <t>50mm hdpe at industrial area</t>
  </si>
  <si>
    <t>63mm hdpe at prison</t>
  </si>
  <si>
    <t>90mm Gi pipe at KAG</t>
  </si>
  <si>
    <t>63mm pvc pipe at ymca</t>
  </si>
  <si>
    <t>63mmpvc pipe at lower site and upper site 2no</t>
  </si>
  <si>
    <t>32mm pvc pipe upper site at muslim cemetery</t>
  </si>
  <si>
    <t>Plan work done</t>
  </si>
  <si>
    <t>new connection installed</t>
  </si>
  <si>
    <t>cbd 1no</t>
  </si>
  <si>
    <t>cccr 2no</t>
  </si>
  <si>
    <t>site 2no</t>
  </si>
  <si>
    <t>Planed work done</t>
  </si>
  <si>
    <t>cheking and monitoring customers meters at large consumption customers</t>
  </si>
  <si>
    <t>Backfilling of exposed pipes at site</t>
  </si>
  <si>
    <t>servicing of Dma master meter</t>
  </si>
  <si>
    <t xml:space="preserve">                    3 plan of the week</t>
  </si>
  <si>
    <t xml:space="preserve">                1 Replacement of reguler invisible servicible custumers meters site/kabati</t>
  </si>
  <si>
    <t>marking of accounts ongoing excisice</t>
  </si>
  <si>
    <t>checking and monitoring customers at lower site and railway Dms</t>
  </si>
  <si>
    <t>installation of pending new connection at site</t>
  </si>
  <si>
    <t>WEEKLY REPORT FROM 4/9/2021 TO 11/9/2021</t>
  </si>
  <si>
    <t>LEAK AND BURST REPAIRED</t>
  </si>
  <si>
    <t xml:space="preserve">32mm pvc </t>
  </si>
  <si>
    <t>63mm pvc</t>
  </si>
  <si>
    <t>2 no ymca</t>
  </si>
  <si>
    <t>m akaburi</t>
  </si>
  <si>
    <t>90mm pvc at site market</t>
  </si>
  <si>
    <t>63mm pvc at madoggy route</t>
  </si>
  <si>
    <t>WORK DONE DURING THE WEEK</t>
  </si>
  <si>
    <t>NEW CONNECTION INSTALLATION</t>
  </si>
  <si>
    <t xml:space="preserve">CCCR  </t>
  </si>
  <si>
    <t>3NO</t>
  </si>
  <si>
    <t>1NO</t>
  </si>
  <si>
    <t>METERS REPLACEMENT</t>
  </si>
  <si>
    <t>Meter relocations and raising</t>
  </si>
  <si>
    <t>site 1no</t>
  </si>
  <si>
    <t>kabati 2no</t>
  </si>
  <si>
    <t>32mm ppr hopewell</t>
  </si>
  <si>
    <t>63mm hdpe industrial area</t>
  </si>
  <si>
    <t>40mm hdpe pipe DEB</t>
  </si>
  <si>
    <t>32 HDPE kihoto</t>
  </si>
  <si>
    <t>marking of accounts</t>
  </si>
  <si>
    <t>Line relocation bahind katiba house 50mm</t>
  </si>
  <si>
    <t>WEEKLY  PLAN AND ACTIVITIES</t>
  </si>
  <si>
    <t>checking conp connection</t>
  </si>
  <si>
    <t>Establishment of active and dormant accounts</t>
  </si>
  <si>
    <t>To disconnect and close old distrbution line along police line,olive,D C office</t>
  </si>
  <si>
    <t>sealing of meters at railway and Gdc Dms</t>
  </si>
  <si>
    <t>customer relocation at hopewell rouderabout to new line panda</t>
  </si>
  <si>
    <t>meter replacement invisible at site</t>
  </si>
  <si>
    <t>WEEKLY REPORT</t>
  </si>
  <si>
    <t>11/9/2021  TO  18/9/2021</t>
  </si>
  <si>
    <t>63mm pvc at site maket</t>
  </si>
  <si>
    <t>110mm pvc at diplomat juction</t>
  </si>
  <si>
    <t xml:space="preserve"> 3 times</t>
  </si>
  <si>
    <t>meters servicing and unblocking</t>
  </si>
  <si>
    <t>disconnect of old distrbution line along police was done and completed</t>
  </si>
  <si>
    <t>110mm HDPE at hopewell karati pumping station</t>
  </si>
  <si>
    <t>ACTIVITIES DONE DURING THE WEEK</t>
  </si>
  <si>
    <t>New connection installed cccr 3no,site 3no</t>
  </si>
  <si>
    <t>unsealed meters at railway and Gdc Dms sealed were 15 accounts</t>
  </si>
  <si>
    <t>32mm ndove spring</t>
  </si>
  <si>
    <t>relocation of manera primary school to new line was done</t>
  </si>
  <si>
    <t>WEEKLY PLANS</t>
  </si>
  <si>
    <t>Replacement  of invisble meters when approved</t>
  </si>
  <si>
    <t>site zone</t>
  </si>
  <si>
    <t>Continue with door to door survey and checking of meters</t>
  </si>
  <si>
    <t>Installion of pending new connection 2no site</t>
  </si>
  <si>
    <t>Anaysis of NRW at Gdc and railyway Dms</t>
  </si>
  <si>
    <t>Attending to customer complaint no water cases at cbd</t>
  </si>
  <si>
    <t xml:space="preserve">WEEKLY REPORT </t>
  </si>
  <si>
    <t>18/9/2021-25/9/2021</t>
  </si>
  <si>
    <t>63mm pvc pipe at upper site 2no</t>
  </si>
  <si>
    <t>32mm pvc pipe at muslim cemetery</t>
  </si>
  <si>
    <t>90 mm pvc pipe near SDAchurch</t>
  </si>
  <si>
    <t>63mm pvc pipe at mboma</t>
  </si>
  <si>
    <t>25mm pvc pipe at KAG</t>
  </si>
  <si>
    <t>Repair leakage before meter account 4391,2695</t>
  </si>
  <si>
    <t>ACTIVITIES</t>
  </si>
  <si>
    <t>DONE DURING THE WEEK</t>
  </si>
  <si>
    <t>Carrying out water balance at Gdc and 3N readingcustomers meter</t>
  </si>
  <si>
    <t>re connecting olive resort from the main line</t>
  </si>
  <si>
    <t>checking of customers meters diplomat route</t>
  </si>
  <si>
    <t>master meter servicing not regestering consolata route</t>
  </si>
  <si>
    <t>63MM HDPE</t>
  </si>
  <si>
    <t>new connection installation 3no</t>
  </si>
  <si>
    <t>meter replacement 1no</t>
  </si>
  <si>
    <t>meter sevicing not regestering 3no</t>
  </si>
  <si>
    <t>New connection installation 2no</t>
  </si>
  <si>
    <t>Door to door survey regarding leakages/water loss</t>
  </si>
  <si>
    <t>meter servicing not visible for meter reading</t>
  </si>
  <si>
    <t>Marking of accounts 8no</t>
  </si>
  <si>
    <t>Relocation and extension of 32mm pipe at united route</t>
  </si>
  <si>
    <t>Customers meter raising 4no</t>
  </si>
  <si>
    <t>meterers servicing not visible for meter reading</t>
  </si>
  <si>
    <t>WEEKLY PLAN</t>
  </si>
  <si>
    <t>Attending to pending customer complain raised in CRM</t>
  </si>
  <si>
    <t>Door to door surveyinspecting customers meter</t>
  </si>
  <si>
    <t>Attending to pending new connection intallation</t>
  </si>
  <si>
    <t>Dms are KAG,3N,RAILWAY,AIC SITE</t>
  </si>
  <si>
    <t>Repaire of leakege at hopewell</t>
  </si>
  <si>
    <t>NRW analyis cbd ongoing</t>
  </si>
  <si>
    <t>6no</t>
  </si>
  <si>
    <t>Cleaning of chambers</t>
  </si>
  <si>
    <t>NB We had no major interuption during the week also no staff issue</t>
  </si>
  <si>
    <t>NB Kabati makamburi dma meter is over registering its being serviced and to be monitored</t>
  </si>
  <si>
    <t>NB kabati makaburini meter was serviced and it has registered normal</t>
  </si>
  <si>
    <t xml:space="preserve">              WEEKLY REPORT 25/9/2021 TO 2/10/2021</t>
  </si>
  <si>
    <t>11Omm pvc at diplomat</t>
  </si>
  <si>
    <t>63mm pvc near DEP primary</t>
  </si>
  <si>
    <t>50mm hopewell</t>
  </si>
  <si>
    <t>110mm kcc</t>
  </si>
  <si>
    <t>32mm hdpe kihoto</t>
  </si>
  <si>
    <t>63mm pvc at boma</t>
  </si>
  <si>
    <t>63mm pvc pipe near heshima</t>
  </si>
  <si>
    <t>punda</t>
  </si>
  <si>
    <t>customer meter servicing 10 no</t>
  </si>
  <si>
    <t>marking of accounts Gdc route 11no</t>
  </si>
  <si>
    <t xml:space="preserve"> attending of customers complain no water 3no</t>
  </si>
  <si>
    <t>installation of new connection 3no</t>
  </si>
  <si>
    <t>installation new connection 2no</t>
  </si>
  <si>
    <t>Recconection of customers to new line at united route</t>
  </si>
  <si>
    <t>Replacement  of worn out 2"gatevalve near muslim cemetery</t>
  </si>
  <si>
    <t>Back filling of exposed pipe</t>
  </si>
  <si>
    <t>servicing  of invisible meters</t>
  </si>
  <si>
    <t>servicing of makaburine Dma master meter</t>
  </si>
  <si>
    <t>Marking of new account</t>
  </si>
  <si>
    <t>Door to door survey checking customer meters and meter leakeges</t>
  </si>
  <si>
    <t>PLANS OF THE WEEK</t>
  </si>
  <si>
    <t>Repaire of leakege at Gdc hdpe pipe</t>
  </si>
  <si>
    <t>repair of 50mm pvc pipe opposite jonka</t>
  </si>
  <si>
    <t>Raising of customer meter</t>
  </si>
  <si>
    <t>Marking of pending accounts</t>
  </si>
  <si>
    <t>carrying out water balance Dma consolata</t>
  </si>
  <si>
    <t>CBD /CCCR</t>
  </si>
  <si>
    <t>KABATI/SITE</t>
  </si>
  <si>
    <t>Installing non return valve at maruri kiosk to avoid over flow</t>
  </si>
  <si>
    <t>Installing pending new connection at site 4no</t>
  </si>
  <si>
    <t>Relocating 1 customer to the new line at united route</t>
  </si>
  <si>
    <t>Replacement of invisible meters</t>
  </si>
  <si>
    <t>installation of new connection</t>
  </si>
  <si>
    <t>Unblocking and servicing customers at kihoto 4no</t>
  </si>
  <si>
    <t>2no</t>
  </si>
  <si>
    <t>We had no major interruption also no staff issue</t>
  </si>
  <si>
    <t>WEEKLY REPORT FROM  2/10/2021-9/10/2021</t>
  </si>
  <si>
    <t>CBD/CCCR</t>
  </si>
  <si>
    <t>4'' Dipliomat</t>
  </si>
  <si>
    <t>8'' Ap line</t>
  </si>
  <si>
    <t>50mm kaniu buling</t>
  </si>
  <si>
    <t>63mm hopewell</t>
  </si>
  <si>
    <t>50mm site market</t>
  </si>
  <si>
    <t xml:space="preserve"> 63mm muslim cemetery</t>
  </si>
  <si>
    <t>50mm boma</t>
  </si>
  <si>
    <t>New connection installation 2no cccr</t>
  </si>
  <si>
    <t>meter servicing an unblocking cccr water a/c 10605228</t>
  </si>
  <si>
    <t>replacement of customers leaking valves 3no</t>
  </si>
  <si>
    <t>replacement of customers worn out meter liners 2no ccr</t>
  </si>
  <si>
    <t>Meter servicing and replacement gate valve</t>
  </si>
  <si>
    <t>repaire of leaking meters 4no kabati</t>
  </si>
  <si>
    <t>marking of new connection accounts 11no</t>
  </si>
  <si>
    <t>new connection installation</t>
  </si>
  <si>
    <t>4no site</t>
  </si>
  <si>
    <t>Installation of pending new connection 5no cccr</t>
  </si>
  <si>
    <t>repaire of pending leakege hopewell</t>
  </si>
  <si>
    <t>replacement of worn out customer meter gatevalve cccr</t>
  </si>
  <si>
    <t>master meter testing and step test 8'' police line</t>
  </si>
  <si>
    <t xml:space="preserve">marking of accounts </t>
  </si>
  <si>
    <t>installation of 2'' gatevalve at boma</t>
  </si>
  <si>
    <t>and cccr</t>
  </si>
  <si>
    <t>repaire of water kiosk leakege and replacement valves kabati</t>
  </si>
  <si>
    <t>WEEKLY REPORT FROM 9/10/2021 TO 16/10/2021</t>
  </si>
  <si>
    <t>25mm pvc pipe 3no cbd</t>
  </si>
  <si>
    <t>63mm Hdpe pipe cccr</t>
  </si>
  <si>
    <t>50mm pvc pipe lower site</t>
  </si>
  <si>
    <t>63mm pvc pipe Kabati KAG route 3NO</t>
  </si>
  <si>
    <t>New connection installation CBD 3NO,CCCR 5NO</t>
  </si>
  <si>
    <t>Reconnecting customer from main a/c 10104751</t>
  </si>
  <si>
    <t>Relocating 25mm 32mm ppr central primary</t>
  </si>
  <si>
    <t>servicing of customers meter CBD 2NO and cccr 3no</t>
  </si>
  <si>
    <t>Unblocking of customer service staff complex</t>
  </si>
  <si>
    <t>KABATI /SITE ZONE</t>
  </si>
  <si>
    <t>Door to door survey inspection of customers meter at boma and pcea route</t>
  </si>
  <si>
    <t>repaire of meter leakeges 4no</t>
  </si>
  <si>
    <t>Marking of unmarked accounts kabati 3no, site 7no</t>
  </si>
  <si>
    <t>Attending to complaints on crm</t>
  </si>
  <si>
    <t>new connection installed 1no site</t>
  </si>
  <si>
    <t>PLAN OF THE NEXT WEEK</t>
  </si>
  <si>
    <t>Inspection of cut off accounts naivass kubwa route</t>
  </si>
  <si>
    <t>Excavation and repaire of 10''pvc pipe at police line junction</t>
  </si>
  <si>
    <t>Installation of pending new connection 2 in cccr 1 in kabati</t>
  </si>
  <si>
    <t>Attending to customers complaints of no water and leakeges site and kabati</t>
  </si>
  <si>
    <t>NB we have interruption of 8'' pvc burst at CBD near central primary school</t>
  </si>
  <si>
    <t>NB normal supply to cbd resumed after repaire of 8'' burst central primary</t>
  </si>
  <si>
    <t>WEEKLY REPORT FROM 16/10/2021 TO 23/10/2021</t>
  </si>
  <si>
    <t>CBD/ CCCR</t>
  </si>
  <si>
    <t>8'' pvc pipe central pimary</t>
  </si>
  <si>
    <t>50mm pvc near siliva hotel</t>
  </si>
  <si>
    <t>63mm pvc at boma 2times</t>
  </si>
  <si>
    <t>32mm pvc upper site</t>
  </si>
  <si>
    <t>63mm pvc 2no lower site</t>
  </si>
  <si>
    <t>ACTIVITIES DONE</t>
  </si>
  <si>
    <t>110mm asubestor pipe at nuclear stage</t>
  </si>
  <si>
    <t>KABATI/SITE ZONE</t>
  </si>
  <si>
    <t>Marking of 9 accounts site</t>
  </si>
  <si>
    <t>Servicing of meters 6 accounts site</t>
  </si>
  <si>
    <t>Rising of customers meters 4 accounts site</t>
  </si>
  <si>
    <t>repaire of leakeges water kiosk kabati 2no</t>
  </si>
  <si>
    <t>replacement of worn out customers meter gatevalves 2no</t>
  </si>
  <si>
    <t>NB No activities done in cbd/cccr due to major burst during the week</t>
  </si>
  <si>
    <t>PLAN FOR NEXT WEEK</t>
  </si>
  <si>
    <t>Installation of 8'' control slauce valve cbd</t>
  </si>
  <si>
    <t>Installation of pending new connection</t>
  </si>
  <si>
    <t>Repaire of pending leakeges at kabati</t>
  </si>
  <si>
    <t>Repaire of 10'' pvc pipe police line juction</t>
  </si>
  <si>
    <t>STAFF ISSUE</t>
  </si>
  <si>
    <t>Suleiman mwangi on annual leave</t>
  </si>
  <si>
    <t>NB We had one major interrruption supply of water in cbd due to burst and was repaired hours taken 24hrs</t>
  </si>
  <si>
    <t>WEEKLY REPORT FROM 23/10/2021 TO 30/10/2021</t>
  </si>
  <si>
    <t>Weekly supply volume per cbd dma</t>
  </si>
  <si>
    <t>consolata</t>
  </si>
  <si>
    <t>444m3</t>
  </si>
  <si>
    <t>Gdc</t>
  </si>
  <si>
    <t>381m3</t>
  </si>
  <si>
    <t>3N</t>
  </si>
  <si>
    <t>772M3</t>
  </si>
  <si>
    <t>Railway</t>
  </si>
  <si>
    <t>756m3</t>
  </si>
  <si>
    <t>town</t>
  </si>
  <si>
    <t>3584m3</t>
  </si>
  <si>
    <t>CCCR DMA</t>
  </si>
  <si>
    <t>3013M3</t>
  </si>
  <si>
    <t>361M3</t>
  </si>
  <si>
    <t>Number of burst repaired</t>
  </si>
  <si>
    <t>50mm pvc pipe town dma</t>
  </si>
  <si>
    <t>25mm pvc pipe railway dma</t>
  </si>
  <si>
    <t>CCCR /KIHOTO DMA</t>
  </si>
  <si>
    <t>cccr</t>
  </si>
  <si>
    <t>63mm HDPE cccr</t>
  </si>
  <si>
    <t>40mm hdpe kihoto</t>
  </si>
  <si>
    <t>New connection installed 4no cbd, cccr 3no</t>
  </si>
  <si>
    <t>Checking cut off accounts in cbd railway dma 12no</t>
  </si>
  <si>
    <t>Meters servicing 1no</t>
  </si>
  <si>
    <t>cbd and cccr 1no</t>
  </si>
  <si>
    <t>Backfilling of 10'' burst at central primary and 110mm at diplomat</t>
  </si>
  <si>
    <t>Cleaning of dms meters and chambers</t>
  </si>
  <si>
    <t>PLANS FOR THE NEXT WEEK</t>
  </si>
  <si>
    <t>Repaire of 10'' leakege at police juction</t>
  </si>
  <si>
    <t>To installed 8'' slauce valve at aic junction</t>
  </si>
  <si>
    <t>junction</t>
  </si>
  <si>
    <t>Attending customers raised in erp task</t>
  </si>
  <si>
    <t>Installation of pending new conection 3no</t>
  </si>
  <si>
    <t>SITE AND KABATI ZONE</t>
  </si>
  <si>
    <t>SITE DMA SUPPLY VOLUME DMA</t>
  </si>
  <si>
    <t>Lower site</t>
  </si>
  <si>
    <t>upper site</t>
  </si>
  <si>
    <t>1296m3</t>
  </si>
  <si>
    <t>1601m3</t>
  </si>
  <si>
    <t>KABATI DMAS</t>
  </si>
  <si>
    <t>Makamburi</t>
  </si>
  <si>
    <t>1545m3</t>
  </si>
  <si>
    <t>2076M3</t>
  </si>
  <si>
    <t>TOTAL VOLUME</t>
  </si>
  <si>
    <t>3621M3</t>
  </si>
  <si>
    <t>2897M3</t>
  </si>
  <si>
    <t>Number of burst and leaks repaired</t>
  </si>
  <si>
    <t>63mm pvc pipe boma kag dma</t>
  </si>
  <si>
    <t>10'' dti main line near kag dma meter</t>
  </si>
  <si>
    <t>63mm pvc pipe ymca kag dma</t>
  </si>
  <si>
    <t>32mm pvc pipe chief office makamburi dma</t>
  </si>
  <si>
    <t>90mm pvc pipe makutana butchery lower site</t>
  </si>
  <si>
    <t>63mm pvc united church upper site</t>
  </si>
  <si>
    <t>25mm pvc pipe priccess route upper site</t>
  </si>
  <si>
    <t>TOTAL BURST REPAIRED</t>
  </si>
  <si>
    <t>SITE /SERVICE</t>
  </si>
  <si>
    <t>4NO</t>
  </si>
  <si>
    <t>Meter raising and servicing 5 accounts site</t>
  </si>
  <si>
    <t>Marking of accounts 7no site</t>
  </si>
  <si>
    <t>Repaire of meter leakeges 3no kabati</t>
  </si>
  <si>
    <t>Attending to customer complain 5no kabati</t>
  </si>
  <si>
    <t>Repaire of 4'' leakege raising main at aic booster</t>
  </si>
  <si>
    <t>Raising and relocating of 2 customers meter site</t>
  </si>
  <si>
    <t>Replacement of leaking customer gatevalves meter 2no kabati</t>
  </si>
  <si>
    <t>Attending to task raised in ERP</t>
  </si>
  <si>
    <t>NB we had no major interruption during the week</t>
  </si>
  <si>
    <t>5937M3</t>
  </si>
  <si>
    <t>NB Site and service we had 4'' burst raising main at aic booster its was repaired hours of interruption 6hrs</t>
  </si>
  <si>
    <t>WEEKLY REPORT FROM 30/10/2021 TO 6/10/2021</t>
  </si>
  <si>
    <t>WEELY SUPPLY VOLUME CBD DMAS</t>
  </si>
  <si>
    <t>GDC</t>
  </si>
  <si>
    <t>474M3</t>
  </si>
  <si>
    <t>201M3</t>
  </si>
  <si>
    <t xml:space="preserve">     3N</t>
  </si>
  <si>
    <t>RAILWAY</t>
  </si>
  <si>
    <t>684M3</t>
  </si>
  <si>
    <t>591M3</t>
  </si>
  <si>
    <t>TOWN</t>
  </si>
  <si>
    <t>PRISON STAFF</t>
  </si>
  <si>
    <t>TOTAL</t>
  </si>
  <si>
    <t>2912M3</t>
  </si>
  <si>
    <t>367M3</t>
  </si>
  <si>
    <t>145M3</t>
  </si>
  <si>
    <t>3653M3</t>
  </si>
  <si>
    <t>5676M3</t>
  </si>
  <si>
    <t>NUMBER OF LEAKS AND BURST REPAIRED</t>
  </si>
  <si>
    <t>CBD 10'' police line</t>
  </si>
  <si>
    <t>New connection installation 3no cccr</t>
  </si>
  <si>
    <t>Servicing of meter not registering 7 no cccr</t>
  </si>
  <si>
    <t>PLANS FOR CBD/CCCR</t>
  </si>
  <si>
    <t>Confirmation status of customers connection from main GDC route</t>
  </si>
  <si>
    <t>Repaire</t>
  </si>
  <si>
    <t>of leakeges at railway</t>
  </si>
  <si>
    <t>Repaire of leakage friends house</t>
  </si>
  <si>
    <t>KABATI/CCCR ZONE</t>
  </si>
  <si>
    <t>SUPPLY VOLUME PER DMA</t>
  </si>
  <si>
    <t>1398m3</t>
  </si>
  <si>
    <t>total</t>
  </si>
  <si>
    <t>2958m3</t>
  </si>
  <si>
    <t>makaburi</t>
  </si>
  <si>
    <t>2163m3</t>
  </si>
  <si>
    <t>1844M3</t>
  </si>
  <si>
    <t>Total</t>
  </si>
  <si>
    <t>4007m3</t>
  </si>
  <si>
    <t>4'' Raising main aic booster</t>
  </si>
  <si>
    <t>2'' burst at lower site</t>
  </si>
  <si>
    <t>2'' burst at boma kag dma</t>
  </si>
  <si>
    <t>Raising of customers meter 5no site&amp;service</t>
  </si>
  <si>
    <t>Meter servicing 5no site</t>
  </si>
  <si>
    <t>Marking of accounts 4no</t>
  </si>
  <si>
    <t>Unblocking of customer service line at kabati boma</t>
  </si>
  <si>
    <t>New connection installation 1no kabati</t>
  </si>
  <si>
    <t>PLANS FOR SITE/KABATI</t>
  </si>
  <si>
    <t>Installation of pending new connetion 2no kabati</t>
  </si>
  <si>
    <t>Repaire f 4'' leakege at lower site</t>
  </si>
  <si>
    <t>Attending to customer pending customer complaint</t>
  </si>
  <si>
    <t>NB we have interruption of water supply from dti poduction site due to power failure affected areas upper site, kabati. Upper cbd,kihoto,dti route</t>
  </si>
  <si>
    <t>WEEKLY REPORT FROM 6/11/2021 TO 13/11/2021</t>
  </si>
  <si>
    <t>CBD/CCCR SUPLY VOLUME</t>
  </si>
  <si>
    <t>CONSOLATA/3N</t>
  </si>
  <si>
    <t>NUMBER OF BURST AND LEAKS REPAIRED</t>
  </si>
  <si>
    <t>cbd 90mm friends house railway dma</t>
  </si>
  <si>
    <t>Replacement of customer meter 1no cccr</t>
  </si>
  <si>
    <t xml:space="preserve">New connection installation 2no </t>
  </si>
  <si>
    <t>unbocking police line meter and service line</t>
  </si>
  <si>
    <t>marking of accounts cbd 5no</t>
  </si>
  <si>
    <t>meter relocation and sealing Gdc 1no</t>
  </si>
  <si>
    <t>PLANS</t>
  </si>
  <si>
    <t>Puging of 8''cbd near cccr meter</t>
  </si>
  <si>
    <t>Installatio of new cnnection railway station</t>
  </si>
  <si>
    <t>Repaire of pending leakage at railway</t>
  </si>
  <si>
    <t>KABATI SUPPLY VOLUME</t>
  </si>
  <si>
    <t>MAKAMBURI DMA</t>
  </si>
  <si>
    <t>KAG DMA</t>
  </si>
  <si>
    <t>SITE AND SERVICE SUPPLY</t>
  </si>
  <si>
    <t>110mm leak lower site</t>
  </si>
  <si>
    <t>555M3</t>
  </si>
  <si>
    <t>820M3</t>
  </si>
  <si>
    <t>279M3</t>
  </si>
  <si>
    <t>345M3</t>
  </si>
  <si>
    <t>4796M3</t>
  </si>
  <si>
    <t>162M3</t>
  </si>
  <si>
    <t>2878M3</t>
  </si>
  <si>
    <t>413M3</t>
  </si>
  <si>
    <t>1615M3</t>
  </si>
  <si>
    <t>1643M3</t>
  </si>
  <si>
    <t>1196M3</t>
  </si>
  <si>
    <t>Raising meters site 4no</t>
  </si>
  <si>
    <t>Meter servicing site 2no</t>
  </si>
  <si>
    <t>new connection istallation 2no kabati</t>
  </si>
  <si>
    <t>unbocking and flushing of 50mm submain kabati</t>
  </si>
  <si>
    <t>Unblocking customers service line at boma</t>
  </si>
  <si>
    <t>To carry out water balance kag route</t>
  </si>
  <si>
    <t>installation of new water connection pending 3no site</t>
  </si>
  <si>
    <t>meters replacements 2no site and 2no kabati</t>
  </si>
  <si>
    <t>Staff issues</t>
  </si>
  <si>
    <t>paul njuguna on annual leave</t>
  </si>
  <si>
    <t>1617m3</t>
  </si>
  <si>
    <t>3232m3</t>
  </si>
  <si>
    <t>2839m3</t>
  </si>
  <si>
    <t>WEEKLY REPORT FROM 13/11/2021 TO 20/11/2021</t>
  </si>
  <si>
    <t>CBD /CCCR SUPPLY VOLUME</t>
  </si>
  <si>
    <t>SITE/KABATI ZONE SUPPLY VOLUME</t>
  </si>
  <si>
    <t>SITE&amp;SERVICE</t>
  </si>
  <si>
    <t>MAKAMBURI</t>
  </si>
  <si>
    <t>NUMBER OF BURST REPORTED AND REPAIRED</t>
  </si>
  <si>
    <t>4320M3</t>
  </si>
  <si>
    <t>1791M3</t>
  </si>
  <si>
    <t>2529M3</t>
  </si>
  <si>
    <t>1660M3</t>
  </si>
  <si>
    <t>1410M3</t>
  </si>
  <si>
    <t>3070M3</t>
  </si>
  <si>
    <t>site 50mm pvc at upper sitr</t>
  </si>
  <si>
    <t>site</t>
  </si>
  <si>
    <t>kabati 63mm at boma 2no</t>
  </si>
  <si>
    <t>32mm pvc submain</t>
  </si>
  <si>
    <t>at pcea</t>
  </si>
  <si>
    <t>280m3</t>
  </si>
  <si>
    <t>520m3</t>
  </si>
  <si>
    <t>702m3</t>
  </si>
  <si>
    <t>755m3</t>
  </si>
  <si>
    <t>3873m3</t>
  </si>
  <si>
    <t>6130m3</t>
  </si>
  <si>
    <t>2800m3</t>
  </si>
  <si>
    <t>466m3</t>
  </si>
  <si>
    <t>Installation of new connection</t>
  </si>
  <si>
    <t>cbd 2no, site 4no,kabati 2no</t>
  </si>
  <si>
    <t>back fiiling at friends house cbd</t>
  </si>
  <si>
    <t>Sealing of customers meter 3N route and Ack route 30 customers</t>
  </si>
  <si>
    <t>cleaning of master meter chembers kabati</t>
  </si>
  <si>
    <t>Attending to custumer complain no water a/c 10203978 kabati</t>
  </si>
  <si>
    <t>cbd 50mm at olive resort</t>
  </si>
  <si>
    <t>Meter raising at site 5 no</t>
  </si>
  <si>
    <t>Installation of pending meters seperation 3no kabati,site 2no</t>
  </si>
  <si>
    <t>meters replacements kabati/site</t>
  </si>
  <si>
    <t>meters sealing railway and naivas kubwa route</t>
  </si>
  <si>
    <t xml:space="preserve">repaire of leaking 110mm pvc raising main at lower site </t>
  </si>
  <si>
    <t>master meter replacement 6'' at milimani cbd</t>
  </si>
  <si>
    <t>NB No water to lower site due to burst at aic booster transport line</t>
  </si>
  <si>
    <t>WEEKLY REPORT 20/11/2021 TO 27/11/2021</t>
  </si>
  <si>
    <t>CBD/CCCR SUPPLIED VOLUME</t>
  </si>
  <si>
    <t>PRISON M</t>
  </si>
  <si>
    <t>PRISON S</t>
  </si>
  <si>
    <t>SITE/KABATI ZONE</t>
  </si>
  <si>
    <t>449M3</t>
  </si>
  <si>
    <t>1379M3</t>
  </si>
  <si>
    <t>186M3</t>
  </si>
  <si>
    <t>455M3</t>
  </si>
  <si>
    <t>2507M3</t>
  </si>
  <si>
    <t>NUMBER OF BURST REPAIRED</t>
  </si>
  <si>
    <t>395M3</t>
  </si>
  <si>
    <t>540M3</t>
  </si>
  <si>
    <t>1046M3</t>
  </si>
  <si>
    <t>6338M3</t>
  </si>
  <si>
    <t>2092M3</t>
  </si>
  <si>
    <t>2119M3</t>
  </si>
  <si>
    <t>4211M3</t>
  </si>
  <si>
    <t>1422M3</t>
  </si>
  <si>
    <t>1194M3</t>
  </si>
  <si>
    <t>2616M3</t>
  </si>
  <si>
    <t>Lower site 110mm raising main</t>
  </si>
  <si>
    <t>kabati pvc 32mm makamburi</t>
  </si>
  <si>
    <t>63 mm pvc heshimu punda upper site 2no</t>
  </si>
  <si>
    <t>63MM PVC cbd</t>
  </si>
  <si>
    <t>marking of accounts cbd 20 no</t>
  </si>
  <si>
    <t>unblocking of customers meters ,testing and sealing 10 no</t>
  </si>
  <si>
    <t>new connection installation site 1no,kabati 4no</t>
  </si>
  <si>
    <t>relocation of 1'' submain at upper site</t>
  </si>
  <si>
    <t>patrol of the railway line</t>
  </si>
  <si>
    <t>monotoring the 30 meters sealed in 3n dma</t>
  </si>
  <si>
    <t>kag dma analysis of customers consumption</t>
  </si>
  <si>
    <t>conduct flow measurement at kag route</t>
  </si>
  <si>
    <t>meter testing and sealing of large consumers at 3n</t>
  </si>
  <si>
    <t>installation of pending new connection cbd 1,kabati 3no</t>
  </si>
  <si>
    <t>marking of 10 accounts in kabati</t>
  </si>
  <si>
    <t>replcacment of 6'' milimani master meter</t>
  </si>
  <si>
    <t>NB we had one major interruption of water supply at lower site due to burst at aic booster</t>
  </si>
  <si>
    <t>NB CCCR master meter was stuck on 27/11/2021 and serviced and its okay kihoto is 0 unit becouse we have burst and its being attended</t>
  </si>
  <si>
    <t>WEEKLY REPORT 27/11/2021 TO 4/12/2021</t>
  </si>
  <si>
    <t>CBD/CCCR SUPPLY VOLUME</t>
  </si>
  <si>
    <t>MAKABURI</t>
  </si>
  <si>
    <t>CBD/CCCR NB no major burst</t>
  </si>
  <si>
    <t>32mm pvc ymca kabati</t>
  </si>
  <si>
    <t>63mm pvc dove spring kabati</t>
  </si>
  <si>
    <t>63mm pvc mama africa route site/service</t>
  </si>
  <si>
    <t>New connection installation CBD 1NO,KBT 4NO</t>
  </si>
  <si>
    <t>Meter sealing 3n dma 30 accounts</t>
  </si>
  <si>
    <t>Atending to customer complain no water upper cbd</t>
  </si>
  <si>
    <t>meter servicing and unblocking cbd 4 accounts</t>
  </si>
  <si>
    <t>cleaning and washing of kcc water kiosk</t>
  </si>
  <si>
    <t>meter replacement 2no in kabati</t>
  </si>
  <si>
    <t>recconnecting of customers service line at mama africa 5accounts</t>
  </si>
  <si>
    <t>1227M3</t>
  </si>
  <si>
    <t>2437M3</t>
  </si>
  <si>
    <t>119M3</t>
  </si>
  <si>
    <t>448M3</t>
  </si>
  <si>
    <t>1822M3</t>
  </si>
  <si>
    <t>1901M3</t>
  </si>
  <si>
    <t>1224M3</t>
  </si>
  <si>
    <t>1578M3</t>
  </si>
  <si>
    <t>2802M3</t>
  </si>
  <si>
    <t>3723M3</t>
  </si>
  <si>
    <t>274M3</t>
  </si>
  <si>
    <t>1238M3</t>
  </si>
  <si>
    <t>918M3</t>
  </si>
  <si>
    <t>2788M3</t>
  </si>
  <si>
    <t>5666M3</t>
  </si>
  <si>
    <t>conduct flow measurement kag</t>
  </si>
  <si>
    <t>meter testing and sealing large consumers 3n route</t>
  </si>
  <si>
    <t>installation of new water connection kabati 4no</t>
  </si>
  <si>
    <t>meters replacements in site and kabati 5no</t>
  </si>
  <si>
    <t>repaire all leakages at railway</t>
  </si>
  <si>
    <t>checking and monitoring of accounts at railway dmas</t>
  </si>
  <si>
    <t>WEEKLY REPORT 4/12/2021 TO  11/12/2021</t>
  </si>
  <si>
    <t>SUPPLY VOLUME</t>
  </si>
  <si>
    <t>CONSLATA  TOWN</t>
  </si>
  <si>
    <t>PRISON M PRISON STAFF</t>
  </si>
  <si>
    <t>SITE/ KABATI</t>
  </si>
  <si>
    <t>SITE ZONE</t>
  </si>
  <si>
    <t>NUMBER OF BURST</t>
  </si>
  <si>
    <t>1724M3</t>
  </si>
  <si>
    <t>894M3</t>
  </si>
  <si>
    <t>1570M3</t>
  </si>
  <si>
    <t>1926M3</t>
  </si>
  <si>
    <t>3496M3</t>
  </si>
  <si>
    <t>2628M3</t>
  </si>
  <si>
    <t>123M3</t>
  </si>
  <si>
    <t>2310M3</t>
  </si>
  <si>
    <t>510M3</t>
  </si>
  <si>
    <t>445M3</t>
  </si>
  <si>
    <t>1775M3</t>
  </si>
  <si>
    <t>no reported burst cbd/ccr</t>
  </si>
  <si>
    <t>50mm pvc lower site</t>
  </si>
  <si>
    <t>Sealing of customers meter railway</t>
  </si>
  <si>
    <t>extention of new line manera</t>
  </si>
  <si>
    <t>installation of new connection kabati 4no, kihoto 1no</t>
  </si>
  <si>
    <t>checking and monotoring of customers meter at railway</t>
  </si>
  <si>
    <t>raising of customers meter 8no site</t>
  </si>
  <si>
    <t>PANS</t>
  </si>
  <si>
    <t>Installation of pending new connection 3 in kabati and 2 site</t>
  </si>
  <si>
    <t>772m3</t>
  </si>
  <si>
    <t>255m3</t>
  </si>
  <si>
    <t>706m3</t>
  </si>
  <si>
    <t>To look on to and solve complain cf no water at upper cbd</t>
  </si>
  <si>
    <t>To replace stolen master meter mariku</t>
  </si>
  <si>
    <t>Repaire of leakages at heshimu punda</t>
  </si>
  <si>
    <t>4084m3</t>
  </si>
  <si>
    <t>6327m3</t>
  </si>
  <si>
    <t>WEEKLY REPORT 11/12/2021 TO 17/12/2021</t>
  </si>
  <si>
    <t>SUPPLY VOLUME CBD /CCCR</t>
  </si>
  <si>
    <t>CONSOLA</t>
  </si>
  <si>
    <t>265M3</t>
  </si>
  <si>
    <t>390M3</t>
  </si>
  <si>
    <t>1044M3</t>
  </si>
  <si>
    <t>404M3</t>
  </si>
  <si>
    <t>3836M3</t>
  </si>
  <si>
    <t>5939M3</t>
  </si>
  <si>
    <t>2789M3</t>
  </si>
  <si>
    <t>402M3</t>
  </si>
  <si>
    <t>2664M3</t>
  </si>
  <si>
    <t>124M3</t>
  </si>
  <si>
    <t>319M3</t>
  </si>
  <si>
    <t>SITE/KABATI VOLUME</t>
  </si>
  <si>
    <t>LOWER SITE 1825M3</t>
  </si>
  <si>
    <t>MAKABURI 1653M3</t>
  </si>
  <si>
    <t xml:space="preserve">KAG </t>
  </si>
  <si>
    <t>2116M3</t>
  </si>
  <si>
    <t>3769M3</t>
  </si>
  <si>
    <t>UPPER SITE   483M3</t>
  </si>
  <si>
    <t>2308M3</t>
  </si>
  <si>
    <t>NUMBER OF BURST REPORTED</t>
  </si>
  <si>
    <t>90mm kag kabati</t>
  </si>
  <si>
    <t>63mm kag kabati</t>
  </si>
  <si>
    <t>New connection installation cccr 3no,1no site</t>
  </si>
  <si>
    <t>customers meter servicing 3no site</t>
  </si>
  <si>
    <t>repaire and replacing of worn out gate valves at kabati 4no</t>
  </si>
  <si>
    <t>Exposing lines at kihoto pipe line</t>
  </si>
  <si>
    <t>flow mearesurement at kag kabati</t>
  </si>
  <si>
    <t>inspection of meters large consumers at kag route boma</t>
  </si>
  <si>
    <t>servicing of invisible meters site for monthly meter reading</t>
  </si>
  <si>
    <t>WEEKLY REPORT FROM 17/12/2021 TO 24/12/2021</t>
  </si>
  <si>
    <t>1100M3</t>
  </si>
  <si>
    <t>870M3</t>
  </si>
  <si>
    <t>350M3</t>
  </si>
  <si>
    <t>442M3</t>
  </si>
  <si>
    <t>3398M3</t>
  </si>
  <si>
    <t>6160M3</t>
  </si>
  <si>
    <t>2217M3</t>
  </si>
  <si>
    <t>400M3</t>
  </si>
  <si>
    <t>141M3</t>
  </si>
  <si>
    <t>2536M3</t>
  </si>
  <si>
    <t>1343M3</t>
  </si>
  <si>
    <t>11Omm pvc burst raising main site</t>
  </si>
  <si>
    <t>32mm pvc dove spring kabati</t>
  </si>
  <si>
    <t>Installation 2'' master meter railway</t>
  </si>
  <si>
    <t>installation of new water connection kabati 1no</t>
  </si>
  <si>
    <t>meter servicing not visible at site 12no</t>
  </si>
  <si>
    <t>WEEKLY REPORT FROM 24/12/21 TO 31/12/2021</t>
  </si>
  <si>
    <t>CONSOLAT   3N</t>
  </si>
  <si>
    <t>527M3</t>
  </si>
  <si>
    <t>553M3</t>
  </si>
  <si>
    <t>PRISON M PRISON, S</t>
  </si>
  <si>
    <t>2073M3</t>
  </si>
  <si>
    <t>146M3</t>
  </si>
  <si>
    <t>2787M3</t>
  </si>
  <si>
    <t>252M3</t>
  </si>
  <si>
    <t>4066M3</t>
  </si>
  <si>
    <t>5793M3</t>
  </si>
  <si>
    <t>381M3</t>
  </si>
  <si>
    <t>2502M3</t>
  </si>
  <si>
    <t>MAKAMBURI 1513M3</t>
  </si>
  <si>
    <t>3292M3</t>
  </si>
  <si>
    <t>1779M3</t>
  </si>
  <si>
    <t>LOWER SITE 1936M3</t>
  </si>
  <si>
    <t xml:space="preserve">        601M3</t>
  </si>
  <si>
    <t>2537M3</t>
  </si>
  <si>
    <t>KABATI/SITE ZONE VOLUME</t>
  </si>
  <si>
    <t>MAKAMBURI 1566M3</t>
  </si>
  <si>
    <t>1543M3</t>
  </si>
  <si>
    <t>3109M3</t>
  </si>
  <si>
    <t>LOWER SITE 1823M3</t>
  </si>
  <si>
    <t>UPPER SITE 309M3</t>
  </si>
  <si>
    <t>2132M3</t>
  </si>
  <si>
    <t>TOTAL REGION SUPPLY VOLUME</t>
  </si>
  <si>
    <t>18038M3</t>
  </si>
  <si>
    <t>19511M3</t>
  </si>
  <si>
    <t>90mm pvc Gdc</t>
  </si>
  <si>
    <t>63mm pvc staff complex</t>
  </si>
  <si>
    <t>63 mm hdpe industrial cccr</t>
  </si>
  <si>
    <t>63 pvc ymca kabati</t>
  </si>
  <si>
    <t>ACTIVITIE DONE</t>
  </si>
  <si>
    <t>Unblocking blocked customers meters at boma 14 acounts</t>
  </si>
  <si>
    <t>Unblocking customers service line at main line 3 no</t>
  </si>
  <si>
    <t>attending customers complain of no water at cbd 4no</t>
  </si>
  <si>
    <t>CONSOLATA  3N</t>
  </si>
  <si>
    <r>
      <t xml:space="preserve"> </t>
    </r>
    <r>
      <rPr>
        <b/>
        <sz val="11"/>
        <color rgb="FF0070C0"/>
        <rFont val="Calibri"/>
        <family val="2"/>
        <scheme val="minor"/>
      </rPr>
      <t>T OTAL REGION SUPPLY VOLU</t>
    </r>
    <r>
      <rPr>
        <sz val="11"/>
        <color rgb="FF0070C0"/>
        <rFont val="Calibri"/>
        <family val="2"/>
        <scheme val="minor"/>
      </rPr>
      <t>ME</t>
    </r>
  </si>
  <si>
    <t>NB meter need replacement is under registering</t>
  </si>
  <si>
    <t>new connection istallation 4no kabati</t>
  </si>
  <si>
    <t>WEEKLY REPORT FROM 31/12/2022 TO 7/01/2022</t>
  </si>
  <si>
    <t>CONSOLAT 3N</t>
  </si>
  <si>
    <t>438M3</t>
  </si>
  <si>
    <t>561M3</t>
  </si>
  <si>
    <t>2359M3</t>
  </si>
  <si>
    <t>660M3</t>
  </si>
  <si>
    <t>419M3</t>
  </si>
  <si>
    <t>82M3</t>
  </si>
  <si>
    <t>1141M3</t>
  </si>
  <si>
    <t>181M3</t>
  </si>
  <si>
    <t>2663M3</t>
  </si>
  <si>
    <t>LOWER SITE 1901</t>
  </si>
  <si>
    <t>UPPER SITE 383M3</t>
  </si>
  <si>
    <t>MAKABURI 1518M3</t>
  </si>
  <si>
    <t>2225M3</t>
  </si>
  <si>
    <t>2284M3</t>
  </si>
  <si>
    <t>3262M3</t>
  </si>
  <si>
    <t>5003M3</t>
  </si>
  <si>
    <t>TOTAL DTI REGION SUPPLY</t>
  </si>
  <si>
    <t>17793M3</t>
  </si>
  <si>
    <t>NUMBER OF BURST&amp;LEAKS</t>
  </si>
  <si>
    <t>nomajor  burst reported</t>
  </si>
  <si>
    <t>SITE/KABATI</t>
  </si>
  <si>
    <t>110 mm raising main aic</t>
  </si>
  <si>
    <t>63mm pvc kabati</t>
  </si>
  <si>
    <t>32mm pvc kabati pcea</t>
  </si>
  <si>
    <t>Ublocking customer meters kabati 8no</t>
  </si>
  <si>
    <t>meter installation new connection kabati 8no site 6no</t>
  </si>
  <si>
    <t>servicing of master meters cbd ie 3N,railway,cccr</t>
  </si>
  <si>
    <t xml:space="preserve">PRISON M PRISON STAFF </t>
  </si>
  <si>
    <t>WE</t>
  </si>
  <si>
    <t>3783M4</t>
  </si>
  <si>
    <t>WEEKLY REPORT FROM 08/01/2022 TO 14/01/2022</t>
  </si>
  <si>
    <t>460M3</t>
  </si>
  <si>
    <t>519M3</t>
  </si>
  <si>
    <t xml:space="preserve">CONSOLATA </t>
  </si>
  <si>
    <t>793M3</t>
  </si>
  <si>
    <t>1099M3</t>
  </si>
  <si>
    <t>2970M3</t>
  </si>
  <si>
    <t>5841M3</t>
  </si>
  <si>
    <t>2299M3</t>
  </si>
  <si>
    <t>444M3</t>
  </si>
  <si>
    <t>163M3</t>
  </si>
  <si>
    <t>614M3</t>
  </si>
  <si>
    <t>LOWER SITE 1836M3</t>
  </si>
  <si>
    <t>UPPER SITE 218M3</t>
  </si>
  <si>
    <t>2154M3</t>
  </si>
  <si>
    <t>MAKABURI 1868M3</t>
  </si>
  <si>
    <t>1907M3</t>
  </si>
  <si>
    <t>3775M4</t>
  </si>
  <si>
    <t>17446M3</t>
  </si>
  <si>
    <t>2134M3</t>
  </si>
  <si>
    <t>Repaired 2" pvc pipe at railways route</t>
  </si>
  <si>
    <t>repaired 3" leaking saddle at GDC.</t>
  </si>
  <si>
    <t>WEEK ACTIVITIES</t>
  </si>
  <si>
    <t xml:space="preserve">Excavation at kihoto pipeline </t>
  </si>
  <si>
    <t>Unblocking at cccr ebenezer line</t>
  </si>
  <si>
    <t>Kiosk repair at cccr (14 and 13)</t>
  </si>
  <si>
    <t>WEEKLY REPORT FROM15 /01/2022 TO 21/01/2022</t>
  </si>
  <si>
    <t>P.STAFF</t>
  </si>
  <si>
    <t>P MAIN</t>
  </si>
  <si>
    <t>L. SITE</t>
  </si>
  <si>
    <t>19516M3</t>
  </si>
  <si>
    <t>Repair 63mm hadpe pipe cccr</t>
  </si>
  <si>
    <t>Repair 50mm hadpe pipe cccr</t>
  </si>
  <si>
    <t>kiosk 14 repair</t>
  </si>
  <si>
    <t>Tank installation at kiosk 14</t>
  </si>
  <si>
    <t>water balance railways</t>
  </si>
  <si>
    <t>Repair 63mmpvc pipe at railways</t>
  </si>
  <si>
    <t xml:space="preserve">Excation at kihoto </t>
  </si>
  <si>
    <t>Repair 25mm leakig ppr pipe GDC</t>
  </si>
  <si>
    <t>Repair 63mm pvc pipe at consolata</t>
  </si>
  <si>
    <t>Repair 25mm leakig ppr pipe upper mugwan</t>
  </si>
  <si>
    <t>2 new connection cccr</t>
  </si>
  <si>
    <t xml:space="preserve"> 1 connection cbd</t>
  </si>
  <si>
    <t>Repair 50mm pvc pipe railways</t>
  </si>
  <si>
    <t>Servicing of customer meters cccr (12)</t>
  </si>
  <si>
    <t>Excavation at railways to install master meter</t>
  </si>
  <si>
    <r>
      <t xml:space="preserve">TOTAL DTI REGION SUPPLY  </t>
    </r>
    <r>
      <rPr>
        <b/>
        <i/>
        <u/>
        <sz val="14"/>
        <color theme="1"/>
        <rFont val="Calibri"/>
        <family val="2"/>
        <scheme val="minor"/>
      </rPr>
      <t>18471</t>
    </r>
  </si>
  <si>
    <t>2 New connection</t>
  </si>
  <si>
    <t>63mm leakage</t>
  </si>
  <si>
    <t>32mm leakage</t>
  </si>
  <si>
    <t>checking line installation at manera</t>
  </si>
  <si>
    <t>Reapair leaking coupling at hopewell</t>
  </si>
  <si>
    <t>Repair leaking saddle at ebenezer</t>
  </si>
  <si>
    <t>Repair 63mm pvc at railways</t>
  </si>
  <si>
    <t>Repair 32mm pvc raiways</t>
  </si>
  <si>
    <t>Master Meter instalation railways</t>
  </si>
  <si>
    <t>Attending customer complains</t>
  </si>
  <si>
    <t>Repair 63MM  pvc at GDC</t>
  </si>
  <si>
    <t>Repair 25mm ppr pipe poiceline</t>
  </si>
  <si>
    <t xml:space="preserve">Water balance at railway </t>
  </si>
  <si>
    <t>SITE AND SERVICE</t>
  </si>
  <si>
    <t>Servicing of customer meters</t>
  </si>
  <si>
    <t>Master meter servicing upper site</t>
  </si>
  <si>
    <t>KABTATI</t>
  </si>
  <si>
    <t>2 Connections installation</t>
  </si>
  <si>
    <t>unbloking lines at boma</t>
  </si>
  <si>
    <t>WEEKLY REPORT SUMMARY FROM 25/3/2022 TO  31/3/2022</t>
  </si>
  <si>
    <t>DTI REGION</t>
  </si>
  <si>
    <t>CBD DMAS</t>
  </si>
  <si>
    <t>Three N</t>
  </si>
  <si>
    <t>Town</t>
  </si>
  <si>
    <t>2374m3</t>
  </si>
  <si>
    <t>1075m3</t>
  </si>
  <si>
    <t>468m3</t>
  </si>
  <si>
    <t>675m3</t>
  </si>
  <si>
    <t>3305m3</t>
  </si>
  <si>
    <t xml:space="preserve">Total </t>
  </si>
  <si>
    <t>5991m3</t>
  </si>
  <si>
    <t>2995M3</t>
  </si>
  <si>
    <t>153M3</t>
  </si>
  <si>
    <t>LOWER</t>
  </si>
  <si>
    <t>UPPER</t>
  </si>
  <si>
    <t>1522M3</t>
  </si>
  <si>
    <t>666M3</t>
  </si>
  <si>
    <t>2188m3</t>
  </si>
  <si>
    <t>Makamburi 1354m3</t>
  </si>
  <si>
    <t>kag</t>
  </si>
  <si>
    <t>due to meter damanged</t>
  </si>
  <si>
    <t>1354m3</t>
  </si>
  <si>
    <t>Dti regional water supply 14736m3</t>
  </si>
  <si>
    <t>PRISON</t>
  </si>
  <si>
    <t>874M3</t>
  </si>
  <si>
    <t>1181M3</t>
  </si>
  <si>
    <t>0M3</t>
  </si>
  <si>
    <t>SUPPLY SUMMARY</t>
  </si>
  <si>
    <t>90mm 2no Gdc</t>
  </si>
  <si>
    <t>63mm consolata</t>
  </si>
  <si>
    <t>110 leaking sandle clump mariku</t>
  </si>
  <si>
    <t>40mm hdpe Ap line</t>
  </si>
  <si>
    <t>75mm Hdpe kihoto</t>
  </si>
  <si>
    <t>32mm Hdpekihoto</t>
  </si>
  <si>
    <t>63mm hdpe manera</t>
  </si>
  <si>
    <t>63mm pvc lower site</t>
  </si>
  <si>
    <t>50mm pvc upper kabati</t>
  </si>
  <si>
    <t>63mm pvc ymca</t>
  </si>
  <si>
    <t>32mm pvc boma</t>
  </si>
  <si>
    <t>63mm at mosdue</t>
  </si>
  <si>
    <t>manera 16 no</t>
  </si>
  <si>
    <t>marking of customers account manera</t>
  </si>
  <si>
    <t>CBD/ CCCR ZONE</t>
  </si>
  <si>
    <t>Installation nrw master meter at railway 3''</t>
  </si>
  <si>
    <t>Testing of customer meter upper railway and carry water balance</t>
  </si>
  <si>
    <t>Servicing of customer meters 4no</t>
  </si>
  <si>
    <t>Servcing of invisible meters at site 13no</t>
  </si>
  <si>
    <t>marking of customers meter 6no site</t>
  </si>
  <si>
    <t>meter relocation and rising 1no site</t>
  </si>
  <si>
    <t>master meter servicing upper site</t>
  </si>
  <si>
    <t xml:space="preserve">Ball valve installation </t>
  </si>
  <si>
    <t>customers meter servicing 4no</t>
  </si>
  <si>
    <t>marking of accounts 8 no</t>
  </si>
  <si>
    <t>customers gatevalve replacement</t>
  </si>
  <si>
    <t>WEEKLY REPORT FROM 1/4/2022 T0 7/4/2022</t>
  </si>
  <si>
    <t>DTI REGION SUPPLY SUMMARY</t>
  </si>
  <si>
    <t>THREE N</t>
  </si>
  <si>
    <t>RAILYWAY</t>
  </si>
  <si>
    <t>375M3</t>
  </si>
  <si>
    <t>529M3</t>
  </si>
  <si>
    <t>821M3</t>
  </si>
  <si>
    <t>999M3</t>
  </si>
  <si>
    <t>3216M3</t>
  </si>
  <si>
    <t>5940M3</t>
  </si>
  <si>
    <t>2724M3</t>
  </si>
  <si>
    <t>228M3</t>
  </si>
  <si>
    <t>1279M3</t>
  </si>
  <si>
    <t>635M3</t>
  </si>
  <si>
    <t>SITE&amp;SERVICE DMAS</t>
  </si>
  <si>
    <t>956M3</t>
  </si>
  <si>
    <t>1357M3</t>
  </si>
  <si>
    <t>2313M3</t>
  </si>
  <si>
    <t>MAKABURI 1404M3</t>
  </si>
  <si>
    <t>00M3</t>
  </si>
  <si>
    <t>1414M3</t>
  </si>
  <si>
    <t>8''pvc at catholic</t>
  </si>
  <si>
    <t>3'' pvc at Gdc</t>
  </si>
  <si>
    <t>50mm pvc railway</t>
  </si>
  <si>
    <t>32mm hdpe at manera</t>
  </si>
  <si>
    <t>2'' pvc upper site</t>
  </si>
  <si>
    <t>4'' pvc raising main lower site</t>
  </si>
  <si>
    <t>Servicing of invisible meters cccr a/c 2466,1585,6079,</t>
  </si>
  <si>
    <t>marking of accounts hope well</t>
  </si>
  <si>
    <t>installation 6'' master meter cbd</t>
  </si>
  <si>
    <t>water balance naivas kubwa kaniu route</t>
  </si>
  <si>
    <t>raising of customers meter 4no site</t>
  </si>
  <si>
    <t>meters servicing and replacement of valve</t>
  </si>
  <si>
    <t>meter replacement</t>
  </si>
  <si>
    <t>new connection installation 3no at kabati</t>
  </si>
  <si>
    <t>reconnection of customers service line damaged by road contractor boma kabati</t>
  </si>
  <si>
    <t>Regional supply 14533m3</t>
  </si>
  <si>
    <t>WEEKLY REPORT FROM 8/4/2022 TO  14/4/2022</t>
  </si>
  <si>
    <t>DTI REGION SUPPLY VOLUME SUMMARY</t>
  </si>
  <si>
    <t>CONSOLATA 265M3</t>
  </si>
  <si>
    <t>502M3</t>
  </si>
  <si>
    <t>778M3</t>
  </si>
  <si>
    <t>3190M3</t>
  </si>
  <si>
    <t>5863M3</t>
  </si>
  <si>
    <t>1035M3</t>
  </si>
  <si>
    <t>1479M3</t>
  </si>
  <si>
    <t>2977M3</t>
  </si>
  <si>
    <t>307M3</t>
  </si>
  <si>
    <t>1828M3</t>
  </si>
  <si>
    <t>2007M3</t>
  </si>
  <si>
    <t>2514M3</t>
  </si>
  <si>
    <t>REGIONAL TOTAL SUPPLY VOLUME 18649M3</t>
  </si>
  <si>
    <t>32 mm pvc near Ap</t>
  </si>
  <si>
    <t>90mm pvc makaburi</t>
  </si>
  <si>
    <t>ACTIVITIES WERE DONE</t>
  </si>
  <si>
    <t>kihoto 3no</t>
  </si>
  <si>
    <t>cccr 1no</t>
  </si>
  <si>
    <t>meters servicing but not registering need replacement 4no</t>
  </si>
  <si>
    <t>carrying water balance at polyclinic and naiva kubwa</t>
  </si>
  <si>
    <t>Replacement of customers gatevalve 5no</t>
  </si>
  <si>
    <t>meters servicing 8no</t>
  </si>
  <si>
    <t>marking of 3 accounts</t>
  </si>
  <si>
    <t>Installation  isolation gatevalve</t>
  </si>
  <si>
    <t>meters servicing 6no</t>
  </si>
  <si>
    <t>repaire of leakages before meter 4no</t>
  </si>
  <si>
    <t>replacement of customers gatevalve 4no</t>
  </si>
  <si>
    <t>WEEKLY REPORT FROM 15/4/2022 TO 22/4/2022</t>
  </si>
  <si>
    <t>DTI REGION SUPPLY VOLUME</t>
  </si>
  <si>
    <t>CONSOLATA 528M3</t>
  </si>
  <si>
    <t xml:space="preserve">RAILWAY </t>
  </si>
  <si>
    <t>436M3</t>
  </si>
  <si>
    <t>829M3</t>
  </si>
  <si>
    <t>5804M3</t>
  </si>
  <si>
    <t>1240M3</t>
  </si>
  <si>
    <t>4011M3</t>
  </si>
  <si>
    <t>3057M3</t>
  </si>
  <si>
    <t>224M3</t>
  </si>
  <si>
    <t>1526M3</t>
  </si>
  <si>
    <t>PRISON M 1626M3</t>
  </si>
  <si>
    <t>PROSOM S 133M3</t>
  </si>
  <si>
    <t>1356M3</t>
  </si>
  <si>
    <t>1485M3</t>
  </si>
  <si>
    <t>2841M3</t>
  </si>
  <si>
    <t>MAKABURI 1484M3</t>
  </si>
  <si>
    <t>196M3</t>
  </si>
  <si>
    <t>1680M3</t>
  </si>
  <si>
    <t>TOTAL REGION SUPPLY</t>
  </si>
  <si>
    <t>16891M3</t>
  </si>
  <si>
    <t>8'' pvc near level five hospital</t>
  </si>
  <si>
    <t>2'' pvc near PAG church</t>
  </si>
  <si>
    <t>New connection installed cccr 2no,kihoto 1no</t>
  </si>
  <si>
    <t>NRW ACTIVITIES</t>
  </si>
  <si>
    <t>water balance at naivas kubwa and polyclinic route</t>
  </si>
  <si>
    <t>step test at railway line</t>
  </si>
  <si>
    <t>master meter replacement at bancie</t>
  </si>
  <si>
    <t>nrw along the 8'' line water balance</t>
  </si>
  <si>
    <t>meters servicing invisible meters to enable clear meter reading excisise 20 no</t>
  </si>
  <si>
    <t>repaire of  leaking saddle connector 63mm near jamhuri church</t>
  </si>
  <si>
    <t>repaire of 25mm customer lines ppr lower site</t>
  </si>
  <si>
    <t>customers gatevalve replacements 3no</t>
  </si>
  <si>
    <t>attending meters leakages 4no</t>
  </si>
  <si>
    <t>meters servicing at makaburi dma invisible 8 no</t>
  </si>
  <si>
    <t>master meter replacement KAG</t>
  </si>
  <si>
    <t>Servicing of slauce valve need replacement</t>
  </si>
  <si>
    <t>customers gatevalve repalacement 3no</t>
  </si>
  <si>
    <t>water balance and to do step test at railway</t>
  </si>
  <si>
    <t>banda extension</t>
  </si>
  <si>
    <t>connecting 1metre sub main at pipe line kihoto</t>
  </si>
  <si>
    <t>invible and faulty meter replcement</t>
  </si>
  <si>
    <t>WEEKLY REPORT FROM 22/4/2021 TO 28/4/2022</t>
  </si>
  <si>
    <t>CBD 6050M3</t>
  </si>
  <si>
    <t>CCCR 3069M3</t>
  </si>
  <si>
    <t>KIHOTO 203M3</t>
  </si>
  <si>
    <t>4005M3</t>
  </si>
  <si>
    <t>3119M3</t>
  </si>
  <si>
    <t>1445M3</t>
  </si>
  <si>
    <t>1441M3</t>
  </si>
  <si>
    <t xml:space="preserve">PRISON  </t>
  </si>
  <si>
    <t>PRISON S 130M3</t>
  </si>
  <si>
    <t>BURST AND LEAKS</t>
  </si>
  <si>
    <t>63mm pvc 2no consolata</t>
  </si>
  <si>
    <t>63mm pvc Ap</t>
  </si>
  <si>
    <t>50 mm pvc consolata</t>
  </si>
  <si>
    <t>63mm hdpe 2no rumax</t>
  </si>
  <si>
    <t xml:space="preserve">50mm industrial </t>
  </si>
  <si>
    <t>75 mm railway</t>
  </si>
  <si>
    <t>63mm 4no kag</t>
  </si>
  <si>
    <t>63mm mosque</t>
  </si>
  <si>
    <t>32mm mercy friend 3no</t>
  </si>
  <si>
    <t>25mm pvc customers service line 3no kag</t>
  </si>
  <si>
    <t>63mm pvc full gospel</t>
  </si>
  <si>
    <t>63mm muslim cemetery</t>
  </si>
  <si>
    <t>63mm pvc mukuru</t>
  </si>
  <si>
    <t>Water balance at railway its daily activities</t>
  </si>
  <si>
    <t>meters servicing for meter reading cccr ,site,kabati</t>
  </si>
  <si>
    <t>WEEKLY REPORT FROM 29/5/2022 TO 6/5/2022</t>
  </si>
  <si>
    <t>1346m3</t>
  </si>
  <si>
    <t>149m3</t>
  </si>
  <si>
    <t>987m3</t>
  </si>
  <si>
    <t>2552m3</t>
  </si>
  <si>
    <t>makaburi 1659m3</t>
  </si>
  <si>
    <t>4010M3</t>
  </si>
  <si>
    <t>4862m3</t>
  </si>
  <si>
    <t>2976m3</t>
  </si>
  <si>
    <t>182m3</t>
  </si>
  <si>
    <t>3052M3</t>
  </si>
  <si>
    <t>1393M3</t>
  </si>
  <si>
    <t>1659M3</t>
  </si>
  <si>
    <t>Total region supply 17564m3</t>
  </si>
  <si>
    <t>Total region supply 19437m3</t>
  </si>
  <si>
    <t>63mm hdpe cccr</t>
  </si>
  <si>
    <t>63mm rumax75mm hdpe dubai market</t>
  </si>
  <si>
    <t>50mm sanivation railway</t>
  </si>
  <si>
    <t>63mm boma</t>
  </si>
  <si>
    <t xml:space="preserve">63mm kag </t>
  </si>
  <si>
    <t>63mm makaburi</t>
  </si>
  <si>
    <t>repaire and relooping of 63 mm pvc to 50mm hdpe dove spring</t>
  </si>
  <si>
    <t>repaire of 25mm boma 2no</t>
  </si>
  <si>
    <t>Reconnection of accounts 102082,10202602,replacing worn out saddle clump</t>
  </si>
  <si>
    <t>replacing o f leaking customers gatevalve 2 in site 3 in kabati</t>
  </si>
  <si>
    <t>repaire of meter leakages 3no kabati and 4 no site</t>
  </si>
  <si>
    <t>WEEKLY REPORT 6/5/2022 TO 12/5/2022</t>
  </si>
  <si>
    <t>WATER SUPPLIED VOLUME</t>
  </si>
  <si>
    <t>4650M3</t>
  </si>
  <si>
    <t>2793M3</t>
  </si>
  <si>
    <t>174M3</t>
  </si>
  <si>
    <t>1545M3</t>
  </si>
  <si>
    <t>681M3</t>
  </si>
  <si>
    <t>320M3</t>
  </si>
  <si>
    <t>1438M3</t>
  </si>
  <si>
    <t>1230M3</t>
  </si>
  <si>
    <t>2768M3</t>
  </si>
  <si>
    <t>MAKABURI 1674M3</t>
  </si>
  <si>
    <t>2085M3</t>
  </si>
  <si>
    <t>3759M3</t>
  </si>
  <si>
    <t>16690M3</t>
  </si>
  <si>
    <t>90mm Gi pipe kag</t>
  </si>
  <si>
    <t>32mm pvc near ymca</t>
  </si>
  <si>
    <t>63mm at keroche</t>
  </si>
  <si>
    <t>63mm pvc mama africa route</t>
  </si>
  <si>
    <t>50mm Gathetha route</t>
  </si>
  <si>
    <t>kabati</t>
  </si>
  <si>
    <t xml:space="preserve">      1no</t>
  </si>
  <si>
    <t>Boma extension compeleted</t>
  </si>
  <si>
    <t>Boma extension customer relocation 4 no</t>
  </si>
  <si>
    <t>Leaking customers gatevalve replacement 2no kabati and site 1no</t>
  </si>
  <si>
    <t>New connection installation cccr 1no ,kihoto 1no</t>
  </si>
  <si>
    <t>water balance at railway daily</t>
  </si>
  <si>
    <t>banda extension compeleted</t>
  </si>
  <si>
    <t>50mm pvc at naivas and cccr</t>
  </si>
  <si>
    <t>WEEKLY REPORT FROM 13/5/2022 TO 20/5/2022</t>
  </si>
  <si>
    <t>5024M3</t>
  </si>
  <si>
    <t>2840M3</t>
  </si>
  <si>
    <t>247M3</t>
  </si>
  <si>
    <t>1187M3</t>
  </si>
  <si>
    <t xml:space="preserve">UPPER </t>
  </si>
  <si>
    <t>1463M3</t>
  </si>
  <si>
    <t>1116M3</t>
  </si>
  <si>
    <t>MAKABURI 1476M3</t>
  </si>
  <si>
    <t>4243M3</t>
  </si>
  <si>
    <t>2579M3</t>
  </si>
  <si>
    <t>VOLUME</t>
  </si>
  <si>
    <t>16305M3</t>
  </si>
  <si>
    <t>110mm asebestor nuclear stage</t>
  </si>
  <si>
    <t>90mm Gdc</t>
  </si>
  <si>
    <t>63mm Gi 3n</t>
  </si>
  <si>
    <t>63 hdpe cccr</t>
  </si>
  <si>
    <t>63mm pvc upper site mama africa route</t>
  </si>
  <si>
    <t>63mm pvc kabati near kabati mosque</t>
  </si>
  <si>
    <t>32mm pvc exdoes route kabati</t>
  </si>
  <si>
    <t>Reconnecting customer at consolata</t>
  </si>
  <si>
    <t>repaires of customers service lines at naivas kubwa</t>
  </si>
  <si>
    <t>at site 8no</t>
  </si>
  <si>
    <t>meter servicing for meter reading</t>
  </si>
  <si>
    <t>marking of accounts 3no</t>
  </si>
  <si>
    <t>Relocation of customers to the new line at boma 18 no</t>
  </si>
  <si>
    <t>installation of new cnnection at kag</t>
  </si>
  <si>
    <t>meter servicing 4no</t>
  </si>
  <si>
    <t>repaire of customers service line leakages</t>
  </si>
  <si>
    <t>new connection installation 1 in kihoto and 1 at Ack cbd</t>
  </si>
  <si>
    <t>Nrw at railway water balance</t>
  </si>
  <si>
    <t>WEEKLY REPORT FROM 20/5/2022 TO 27/5/2022</t>
  </si>
  <si>
    <t>4762M3</t>
  </si>
  <si>
    <t>2838M3</t>
  </si>
  <si>
    <t>191M3</t>
  </si>
  <si>
    <t>900M3</t>
  </si>
  <si>
    <t>79M3</t>
  </si>
  <si>
    <t>2553M3</t>
  </si>
  <si>
    <t>MAKABURI 1466</t>
  </si>
  <si>
    <t>3366M3</t>
  </si>
  <si>
    <t>REGIONAL SUPPLY VOLUME 16542M3</t>
  </si>
  <si>
    <t>2'' pvc lower site</t>
  </si>
  <si>
    <t>90mm pvc kabati kag</t>
  </si>
  <si>
    <t>90mm pvc makaburi gold fish</t>
  </si>
  <si>
    <t>NB CBD, CCCR we had no burst</t>
  </si>
  <si>
    <t>customers meter replacement 15 no</t>
  </si>
  <si>
    <t>marking of accounts 8no</t>
  </si>
  <si>
    <t>Valves replacement water kiosk kabati</t>
  </si>
  <si>
    <t>meter servicing not invisible 8 n0</t>
  </si>
  <si>
    <t>disconnection of customers leaking accounts from main</t>
  </si>
  <si>
    <t>markinn of accounts 16 no</t>
  </si>
  <si>
    <t>supply volume affected by power failure</t>
  </si>
  <si>
    <t>WEEKLY REPORT FROM 27/5/2022 TO 3/6/2022</t>
  </si>
  <si>
    <t>5413M3</t>
  </si>
  <si>
    <t>2886M3</t>
  </si>
  <si>
    <t>253M3</t>
  </si>
  <si>
    <t>50M3</t>
  </si>
  <si>
    <t>1276M3</t>
  </si>
  <si>
    <t>1284M3</t>
  </si>
  <si>
    <t>2560M3</t>
  </si>
  <si>
    <t>MAKABURI 1632M3</t>
  </si>
  <si>
    <t>1802M3</t>
  </si>
  <si>
    <t>3424M3</t>
  </si>
  <si>
    <t>14566M3</t>
  </si>
  <si>
    <t>63mm pvc upper site</t>
  </si>
  <si>
    <t>Connecting line at kihoto pipe line</t>
  </si>
  <si>
    <t>installation of sub meter Gdc 50mm and 90mm</t>
  </si>
  <si>
    <t>customer meter relocation at Gdc 4no</t>
  </si>
  <si>
    <t>water balance in GDC DMA</t>
  </si>
  <si>
    <t>Meter installation manera 7no</t>
  </si>
  <si>
    <t>marking of accounts cbd 15 no</t>
  </si>
  <si>
    <t>Marking of accounts 9 in site and 18 at kabati</t>
  </si>
  <si>
    <t>meter replacement 4 no site</t>
  </si>
  <si>
    <t>replacement of customers gatevalve</t>
  </si>
  <si>
    <t>rehabilitation of leaking saddle clump 90mm makaburi kabati</t>
  </si>
  <si>
    <t>repaire of leaking 25mm ppr pipe at makaburi kabati</t>
  </si>
  <si>
    <t>customer service line replacement from pvc to ppr pipe at ymca kabati</t>
  </si>
  <si>
    <t>new connection installation at site 1no</t>
  </si>
  <si>
    <t>Regional volume was affected by power failure at Dti production site also aic booster</t>
  </si>
  <si>
    <t>0m3</t>
  </si>
  <si>
    <t>upper site master meter stucked its being serviced</t>
  </si>
  <si>
    <t>WEEKLY REPORT FROM 3/6/2022 TO 10 /6/2022</t>
  </si>
  <si>
    <t>248M3</t>
  </si>
  <si>
    <t>3404M3</t>
  </si>
  <si>
    <t>5375M3</t>
  </si>
  <si>
    <t>STIE&amp;SERVICE</t>
  </si>
  <si>
    <t>1490M3</t>
  </si>
  <si>
    <t>MAKABURI 1686M3</t>
  </si>
  <si>
    <t>2122M3</t>
  </si>
  <si>
    <t>3808M3</t>
  </si>
  <si>
    <t>399M3</t>
  </si>
  <si>
    <t>1889M3</t>
  </si>
  <si>
    <t>NB  site master meter stucked for 2days also under registered its frequently serviced</t>
  </si>
  <si>
    <t>(upper site)</t>
  </si>
  <si>
    <t>REGIONAL WATER SUPPLY VLUME 14905M3</t>
  </si>
  <si>
    <t>Repaire of 63mm burst hdpe cccr industria area 3hrs 9/6/2022</t>
  </si>
  <si>
    <t xml:space="preserve">repaire of 63mm burst hdpe manera 4hrs </t>
  </si>
  <si>
    <t xml:space="preserve">repaire of 75 kihoto 5hrs </t>
  </si>
  <si>
    <t>repaire of 32 kihoto 2hrs</t>
  </si>
  <si>
    <t>NEW CONNECTION</t>
  </si>
  <si>
    <t>Installation of new connection 2hrs</t>
  </si>
  <si>
    <t>kihoto</t>
  </si>
  <si>
    <t>3no at manera 5hrs</t>
  </si>
  <si>
    <t>new connection installation cccr 2no cccr 4hrs</t>
  </si>
  <si>
    <t>meter replacement ac/no 10607352 prison staff 2hrs</t>
  </si>
  <si>
    <t>marking of accounts at hopewell 15no 6hrs</t>
  </si>
  <si>
    <t>refilling water  kihoto tank 2rs</t>
  </si>
  <si>
    <t>reading customers meter at railway dma 3hrs</t>
  </si>
  <si>
    <t>PLUMBER IN CHARGE  VICTOR OCHIENG</t>
  </si>
  <si>
    <t>CBD ZONE PLUMBER IN CHARGE FELIX OTIENO</t>
  </si>
  <si>
    <t>repaire of 50mm hdpe pipe at GDC 2hrs</t>
  </si>
  <si>
    <t>repaire of customers service line25mm ppr pipes 3no 3hrs</t>
  </si>
  <si>
    <t>Attending to customers of no water and meter servicing 1hr</t>
  </si>
  <si>
    <t>checking and servicing of dti main line air valve</t>
  </si>
  <si>
    <t>2hrs</t>
  </si>
  <si>
    <t>unblocking customer service line naivas ndogo route 3hrs</t>
  </si>
  <si>
    <t>line patrolling and checking of customers line at GDC 4hrs</t>
  </si>
  <si>
    <t>patrolling of Ap, warma and ack route 3hrs</t>
  </si>
  <si>
    <t>meter seperation new connection 3hrs</t>
  </si>
  <si>
    <t>installation of 50mm master meter Gdc</t>
  </si>
  <si>
    <t>4hrs</t>
  </si>
  <si>
    <t>customers meter replacement 3/4 gate valve at main 2hrs</t>
  </si>
  <si>
    <t>replacement of leaking saddle clump at consolata route 4hrs</t>
  </si>
  <si>
    <t>normal daily routine work ie daily master meter dma</t>
  </si>
  <si>
    <t>daily master meter reading 2hrs</t>
  </si>
  <si>
    <t>SITE AND SERVICES</t>
  </si>
  <si>
    <t>PUMBER IN CHARGE GICHAGA</t>
  </si>
  <si>
    <t xml:space="preserve">LEAKS </t>
  </si>
  <si>
    <t>repaire of 2'' pvc pipe upper site 3hrs</t>
  </si>
  <si>
    <t>marking of accounts 8no 4hrs</t>
  </si>
  <si>
    <t>new connection installation 4no 8 hrs</t>
  </si>
  <si>
    <t>upper site master meter servicing 4 times 6hrs</t>
  </si>
  <si>
    <t>meter replacement 1no 1hr</t>
  </si>
  <si>
    <t>replacement of customers leaking gate valves 4no</t>
  </si>
  <si>
    <t>attendig to customers complain leaking meters 4no 5hrs</t>
  </si>
  <si>
    <t>6 hrs</t>
  </si>
  <si>
    <t>Daily patrolling of routes to check leakages and water pressure</t>
  </si>
  <si>
    <t>Daily master meters reading 1hr</t>
  </si>
  <si>
    <t>KABATI PLUMBER IN CHARGE</t>
  </si>
  <si>
    <t xml:space="preserve">                                                                    </t>
  </si>
  <si>
    <t>NGOIGO</t>
  </si>
  <si>
    <t>63mm pvc pipe dove spring 4rs</t>
  </si>
  <si>
    <t>New connection installation 1no 3hrs</t>
  </si>
  <si>
    <t>meters replacement  4no 5hrs</t>
  </si>
  <si>
    <t>repacement of customers leaking gatevalves 4no 6hrs</t>
  </si>
  <si>
    <t>disconneting of leaking pvc pipes customers service line from main 2no 4hrs</t>
  </si>
  <si>
    <t>attending to customers compain of no water and asigned task 4o hrs</t>
  </si>
  <si>
    <t>unblocking of customer service line and meter servicing 4hrs</t>
  </si>
  <si>
    <t>water kiosk solar battery charging 2times at 2hrs total 4hrs</t>
  </si>
  <si>
    <t>daily master meter reading</t>
  </si>
  <si>
    <t>7224M3</t>
  </si>
  <si>
    <t>3251M3</t>
  </si>
  <si>
    <t>296M3</t>
  </si>
  <si>
    <t>188M3</t>
  </si>
  <si>
    <t>PROSON M</t>
  </si>
  <si>
    <t>476M3</t>
  </si>
  <si>
    <t>L0WER</t>
  </si>
  <si>
    <t>1946M3</t>
  </si>
  <si>
    <t>MAKABURI 1825M3</t>
  </si>
  <si>
    <t>2594M3</t>
  </si>
  <si>
    <t>4419M3</t>
  </si>
  <si>
    <t>ACTVITIES</t>
  </si>
  <si>
    <t>Cleaning of invisible meters monthly routine work to enable meter reading 32 hrs</t>
  </si>
  <si>
    <t>34 no</t>
  </si>
  <si>
    <t>servicing of upper site master meter frequently stucked daily basis</t>
  </si>
  <si>
    <t>7hrs</t>
  </si>
  <si>
    <t>marking of accounts 9no 8hrs</t>
  </si>
  <si>
    <t>new connection 1 no united route 3hrs</t>
  </si>
  <si>
    <t>WEEKLY REPORT FROM 10/6/6/2022 TO 17/6/2022</t>
  </si>
  <si>
    <t>replacement of customer service line from pvc to ppr 2no 8hrs</t>
  </si>
  <si>
    <t>marking of accounts that were raised in the meter reading report 12no 8hrs</t>
  </si>
  <si>
    <t>servicing of stucked meter 3no and routine monitoring</t>
  </si>
  <si>
    <t>backfilling of exposed main pipe 2'' ymca</t>
  </si>
  <si>
    <t>TOTAL REGIONAL SUPPLY 17324M3</t>
  </si>
  <si>
    <t>Unblocking of customer service line excavation and backfilling 2no ymca and boma</t>
  </si>
  <si>
    <t>WEEKLY REPORT FROM 17/6/2022 TO 24/6/2022</t>
  </si>
  <si>
    <t>3509M3</t>
  </si>
  <si>
    <t>6224M3</t>
  </si>
  <si>
    <t>256M3</t>
  </si>
  <si>
    <t>321M3</t>
  </si>
  <si>
    <t>1493M3</t>
  </si>
  <si>
    <t>1449M3</t>
  </si>
  <si>
    <t>2942M3</t>
  </si>
  <si>
    <t>MAKABURI 2055</t>
  </si>
  <si>
    <t>4720M3</t>
  </si>
  <si>
    <t>2665M3</t>
  </si>
  <si>
    <t>REGIONAL SUPPLY VOLUME 17972M3</t>
  </si>
  <si>
    <t>GICHAGA</t>
  </si>
  <si>
    <t>63MM hdpe upper site before master mukuru</t>
  </si>
  <si>
    <t>6hrs</t>
  </si>
  <si>
    <t>63mm pvc pipe upper site near goodnaighbour</t>
  </si>
  <si>
    <t>OTHER ACTIVITIES</t>
  </si>
  <si>
    <t>Replacement of 2'' gatevalve at upper site master meter</t>
  </si>
  <si>
    <t>Replacement of customers leaking gatevalve 4no</t>
  </si>
  <si>
    <t>servicing of invisible customers meter</t>
  </si>
  <si>
    <t>repairing of leaking customers service line 3/4 ppr pipes 3no</t>
  </si>
  <si>
    <t>reconnecting customer from main at lower site</t>
  </si>
  <si>
    <t>marking of 4 reamains account</t>
  </si>
  <si>
    <t>KABATI ZONE NGOIGO</t>
  </si>
  <si>
    <t>repaire of leaking 50mm hdpe at boma</t>
  </si>
  <si>
    <t>repaire of 63mm pvc near dove spring</t>
  </si>
  <si>
    <t>repaire of 32mm ppr at makaburi</t>
  </si>
  <si>
    <t>repaire of 63mm pvc at ymca</t>
  </si>
  <si>
    <t>OTHERS ACTIVITIES</t>
  </si>
  <si>
    <t>New connection installatio 2no</t>
  </si>
  <si>
    <t>replacement of customers leaking gatevalve 2no</t>
  </si>
  <si>
    <t>repaire of customers service line pvc at ymca</t>
  </si>
  <si>
    <t>attending to meters leakages 4no</t>
  </si>
  <si>
    <t>WEEKLY REPORT FROM 24/6/2022 TO 1/7/2022</t>
  </si>
  <si>
    <t>808M3</t>
  </si>
  <si>
    <t>182M3</t>
  </si>
  <si>
    <t>3249M3</t>
  </si>
  <si>
    <t>5100M3</t>
  </si>
  <si>
    <t>1384M3</t>
  </si>
  <si>
    <t>1330M3</t>
  </si>
  <si>
    <t>2714M3</t>
  </si>
  <si>
    <t>MAKABURI 1682M3</t>
  </si>
  <si>
    <t>2160M3</t>
  </si>
  <si>
    <t>3842M3</t>
  </si>
  <si>
    <t xml:space="preserve">TOTAL REGION SUPPLY </t>
  </si>
  <si>
    <t>16215M3</t>
  </si>
  <si>
    <t>63mm pvc 2no upper site</t>
  </si>
  <si>
    <t>63mm pvc 1 at lower site</t>
  </si>
  <si>
    <t>repaire of customer service line leakages 25mm ppr 4no</t>
  </si>
  <si>
    <t>meter servicing and replacement of gatevalves 3no</t>
  </si>
  <si>
    <t>Bckfilling of exposed pipe</t>
  </si>
  <si>
    <t>patrolling of line routine work</t>
  </si>
  <si>
    <t>Daily master meter reading</t>
  </si>
  <si>
    <t>marking of faded accounts 3no</t>
  </si>
  <si>
    <t>WEEKLY REPORT FROM 1/7/2022 TO 7/7/2022</t>
  </si>
  <si>
    <t>PISON M</t>
  </si>
  <si>
    <t>4856M3</t>
  </si>
  <si>
    <t>3355M3</t>
  </si>
  <si>
    <t>364M3</t>
  </si>
  <si>
    <t>2500M3</t>
  </si>
  <si>
    <t>291M3</t>
  </si>
  <si>
    <t xml:space="preserve">SITE </t>
  </si>
  <si>
    <t>1472M3</t>
  </si>
  <si>
    <t>1339M3</t>
  </si>
  <si>
    <t>2811M3</t>
  </si>
  <si>
    <t>MAKABURI 1683M3</t>
  </si>
  <si>
    <t>2272M3</t>
  </si>
  <si>
    <t>4135M3</t>
  </si>
  <si>
    <t>TOTOL REGION SUPPLY</t>
  </si>
  <si>
    <t>21129M3</t>
  </si>
  <si>
    <t>63mm pvc full gospel church lower site</t>
  </si>
  <si>
    <t>63mm pvc  upper site united route</t>
  </si>
  <si>
    <t>meter service invisible 2no</t>
  </si>
  <si>
    <t>meter raising and replacement gate valve</t>
  </si>
  <si>
    <t>4no</t>
  </si>
  <si>
    <t>daily routine work</t>
  </si>
  <si>
    <t>63 mm pvc ymca vandalised by kplc</t>
  </si>
  <si>
    <t>attending to meter leakages 5no</t>
  </si>
  <si>
    <t>1no</t>
  </si>
  <si>
    <t>replacement of leaking valve at water kiosk</t>
  </si>
  <si>
    <t>meter reloction</t>
  </si>
  <si>
    <t>WEEKLY REPORT FROM 8/7/2022 TO 15/7/2022</t>
  </si>
  <si>
    <t>4771M3</t>
  </si>
  <si>
    <t>3807M3</t>
  </si>
  <si>
    <t>370M3</t>
  </si>
  <si>
    <t>2751M3</t>
  </si>
  <si>
    <t>231M3</t>
  </si>
  <si>
    <t>1385M3</t>
  </si>
  <si>
    <t>1520M3</t>
  </si>
  <si>
    <t>2905M3</t>
  </si>
  <si>
    <t>2377M3</t>
  </si>
  <si>
    <t>MAKABURI 1865M3</t>
  </si>
  <si>
    <t>4242M3</t>
  </si>
  <si>
    <t>19077M3</t>
  </si>
  <si>
    <t>25mm ppr lower site</t>
  </si>
  <si>
    <t>mark of account 2no</t>
  </si>
  <si>
    <t>patrolling of lines</t>
  </si>
  <si>
    <t>meter servicing for 4 customers and gatevalve replacement</t>
  </si>
  <si>
    <t>attending to customers complain 3no</t>
  </si>
  <si>
    <t>25mm ppr 3unit</t>
  </si>
  <si>
    <t>new connection installation 2no</t>
  </si>
  <si>
    <t>customer reconnection at pcea</t>
  </si>
  <si>
    <t>unblocking of customer service line at boma</t>
  </si>
  <si>
    <t>WEEKLY REPORT 15/7/2022 TO 22/7/2022</t>
  </si>
  <si>
    <t>3626M3</t>
  </si>
  <si>
    <t>3560M3</t>
  </si>
  <si>
    <t>396M3</t>
  </si>
  <si>
    <t>233M3</t>
  </si>
  <si>
    <t>1427M3</t>
  </si>
  <si>
    <t>1327M3</t>
  </si>
  <si>
    <t>2754M3</t>
  </si>
  <si>
    <t>MAKABURI 1842M3</t>
  </si>
  <si>
    <t>3720M3</t>
  </si>
  <si>
    <t>4212M3</t>
  </si>
  <si>
    <t>REGIONAL SUPPLY VOLUME 17549M3</t>
  </si>
  <si>
    <t>LEAKS AND BUSRST</t>
  </si>
  <si>
    <t>BURST</t>
  </si>
  <si>
    <t>No leaks and burst</t>
  </si>
  <si>
    <t>servicing invisible meter for clear meter reading</t>
  </si>
  <si>
    <t>unblocking customer line</t>
  </si>
  <si>
    <t>mark of accounts 3no</t>
  </si>
  <si>
    <t>line patro on daily basis</t>
  </si>
  <si>
    <t>50 mm pvc at kabati primary</t>
  </si>
  <si>
    <t>unblocking customer line at pcea</t>
  </si>
  <si>
    <t>meter replacement 2n0</t>
  </si>
  <si>
    <t>line patrol</t>
  </si>
  <si>
    <t>daily meter reading</t>
  </si>
  <si>
    <t>servicing of invisbie meter</t>
  </si>
  <si>
    <t>WEEKLY REPORT FROM 4/8/2022  TO11/8/2022</t>
  </si>
  <si>
    <t>PRISONM</t>
  </si>
  <si>
    <t>MKBR</t>
  </si>
  <si>
    <t>8'' PVC pipe opposite law court</t>
  </si>
  <si>
    <t>63  mm pvc cccr</t>
  </si>
  <si>
    <t>50mm pvc naiva ndogo</t>
  </si>
  <si>
    <t>other activities</t>
  </si>
  <si>
    <t>meter servicing kihoto</t>
  </si>
  <si>
    <t>installation of new connection banda</t>
  </si>
  <si>
    <t>SITE KABATI</t>
  </si>
  <si>
    <t>New connection instsllation  2no</t>
  </si>
  <si>
    <t>gate valve replacement for customers</t>
  </si>
  <si>
    <t>Total region supply</t>
  </si>
  <si>
    <t>19693m3</t>
  </si>
  <si>
    <t>WEEKLY REPORT FROM 12/8/2022   TO 19 /8/2022</t>
  </si>
  <si>
    <t xml:space="preserve">SUPPLY VOLUME </t>
  </si>
  <si>
    <t>PIRISON M</t>
  </si>
  <si>
    <t>PRISON  S</t>
  </si>
  <si>
    <t>TOTAL REGION SUPPLY 17541</t>
  </si>
  <si>
    <t>WEEKLY REPORT FROM 20/8/2022 TO 26/8/2022</t>
  </si>
  <si>
    <t>MKB</t>
  </si>
  <si>
    <t>WEEKLY ACTIVITIES</t>
  </si>
  <si>
    <t>Installation of sub Dma meters</t>
  </si>
  <si>
    <t>muranga</t>
  </si>
  <si>
    <t>central primary</t>
  </si>
  <si>
    <t>jasho</t>
  </si>
  <si>
    <t>repair of 50mm at gdc hdpe</t>
  </si>
  <si>
    <t>replacement of line from friends house to railyway Dma</t>
  </si>
  <si>
    <t>Leaks and burst</t>
  </si>
  <si>
    <t>63mm pvc 3no-makamburi</t>
  </si>
  <si>
    <t>dma</t>
  </si>
  <si>
    <t>63mm pvc upper site 2no</t>
  </si>
  <si>
    <t>customers meter servicing site and kabati</t>
  </si>
  <si>
    <t>WEEKLY REPORT 26/8/2022  TO 2/9/2022</t>
  </si>
  <si>
    <t>WEEKLY REPORT FROM 3/9/2022 TO 9/9/2022</t>
  </si>
  <si>
    <t>SUPPLY VOUME</t>
  </si>
  <si>
    <t>KABARI</t>
  </si>
  <si>
    <t>supply volume affected by power failure at dti production site</t>
  </si>
  <si>
    <t>WEEKLY REPORT FROM 15/10/2022  TO 21/10/22</t>
  </si>
  <si>
    <t>Meter not registerin for 2days</t>
  </si>
  <si>
    <t>WEEKLY REPORT FROM 20/7/2022 TO 27/10/2022</t>
  </si>
  <si>
    <t>WEEKLY REPORT FROM 28/10/2022 TO 3//11/2022</t>
  </si>
  <si>
    <t>TOTAI REGION SUPPLY</t>
  </si>
  <si>
    <t>6'' HDPE</t>
  </si>
  <si>
    <t>32MM</t>
  </si>
  <si>
    <t>50mm</t>
  </si>
  <si>
    <t>manera 6no</t>
  </si>
  <si>
    <t>cbd 2no</t>
  </si>
  <si>
    <t>line replacement of dibilated line 63mm in prison 200m</t>
  </si>
  <si>
    <t>replacement of 2 faulty meter</t>
  </si>
  <si>
    <t>meter relocation at park view</t>
  </si>
  <si>
    <t>water balance at lower and upper milimani</t>
  </si>
  <si>
    <t>KABATI AND SITE</t>
  </si>
  <si>
    <t>LEAKS/BURST</t>
  </si>
  <si>
    <t>90mm leaking saddle kabati</t>
  </si>
  <si>
    <t>63 mm pvc makaburi</t>
  </si>
  <si>
    <t>meter serviced cbd 6no cccr 4no</t>
  </si>
  <si>
    <t>63 mm pvc united site</t>
  </si>
  <si>
    <t xml:space="preserve">KABATI   </t>
  </si>
  <si>
    <t>0NO</t>
  </si>
  <si>
    <t>repaire ofwater kiosk leaking tank</t>
  </si>
  <si>
    <t>unblocking of customer service line boma nyagus</t>
  </si>
  <si>
    <t>WEEKLY REPORT FROM 3/11/2022 TO 10/112022</t>
  </si>
  <si>
    <t>50mm pvc site near makutano route</t>
  </si>
  <si>
    <t>63mm pvc full gospel route</t>
  </si>
  <si>
    <t>3/4 pvc customers service line</t>
  </si>
  <si>
    <t>zone</t>
  </si>
  <si>
    <t>63mm pvc goidfish</t>
  </si>
  <si>
    <t>50mm pvc near keroche</t>
  </si>
  <si>
    <t>32 pvc near tunza school</t>
  </si>
  <si>
    <t>service of customers meters site 12no</t>
  </si>
  <si>
    <t>50mm hdpe railway</t>
  </si>
  <si>
    <t>32mm ppr sanivation railway</t>
  </si>
  <si>
    <t>40mm pvc railway</t>
  </si>
  <si>
    <t>40mm kihoto 2no</t>
  </si>
  <si>
    <t>New connetion</t>
  </si>
  <si>
    <t xml:space="preserve">cccr </t>
  </si>
  <si>
    <t>installation</t>
  </si>
  <si>
    <t>water gauge kihoto</t>
  </si>
  <si>
    <t>water balance railway</t>
  </si>
  <si>
    <t>WEEKLY REPORT FROM 10/11/22 TO 17/11/2022</t>
  </si>
  <si>
    <t>160mm hdpe saddle clump</t>
  </si>
  <si>
    <t>3/4'' Gi pipe 3N opposite kanini</t>
  </si>
  <si>
    <t>40mm kihoto</t>
  </si>
  <si>
    <t>63mm manera</t>
  </si>
  <si>
    <t>110mm hdpe hopewell</t>
  </si>
  <si>
    <t>0 NO</t>
  </si>
  <si>
    <t>METER REPLACEMENT</t>
  </si>
  <si>
    <t>Hopewell</t>
  </si>
  <si>
    <t>METER SERVICING</t>
  </si>
  <si>
    <t>Disconnection customer from main cccr rumax of meter theft</t>
  </si>
  <si>
    <t>63mm pvc 4 places</t>
  </si>
  <si>
    <t>kag route</t>
  </si>
  <si>
    <t>exodous route</t>
  </si>
  <si>
    <t>50mm pvc site</t>
  </si>
  <si>
    <t>METER SERVICING AND LEAKING REPAIRE</t>
  </si>
  <si>
    <t xml:space="preserve">kabati </t>
  </si>
  <si>
    <t>NB low supply volume due to power black out</t>
  </si>
  <si>
    <t>NB we not getting enough supply from prduction section</t>
  </si>
  <si>
    <t>FROM 25/12/2022 TO 2/12/2022</t>
  </si>
  <si>
    <t>LEAKS  AND BURST</t>
  </si>
  <si>
    <t>8'' burst</t>
  </si>
  <si>
    <t>cbd</t>
  </si>
  <si>
    <t>25mm ppr</t>
  </si>
  <si>
    <t>63mm hdpe prison staff</t>
  </si>
  <si>
    <t>unblocking customers service line rumax ccr</t>
  </si>
  <si>
    <t>meter relocation next hobra cccr</t>
  </si>
  <si>
    <t>25mm pp KFA cbd</t>
  </si>
  <si>
    <t>63pvc cccr</t>
  </si>
  <si>
    <t>New connection</t>
  </si>
  <si>
    <t>1no kabati</t>
  </si>
  <si>
    <t>unblocking customer service line kabati ymca route</t>
  </si>
  <si>
    <t>meter servicing</t>
  </si>
  <si>
    <t>meter servicing water kiosk 12 cccr</t>
  </si>
  <si>
    <t>WEEKLY REPORT FROM 3/12/2022 TO 8/12/2022</t>
  </si>
  <si>
    <t>32mm pvc</t>
  </si>
  <si>
    <t>cbd jikonis</t>
  </si>
  <si>
    <t>110mm pvc transport main site</t>
  </si>
  <si>
    <t>Installation of 8'' sluice valve cbd</t>
  </si>
  <si>
    <t>1 hopewell</t>
  </si>
  <si>
    <t>repaire of customers leakages cbd</t>
  </si>
  <si>
    <t>meter replacement cbd 2no</t>
  </si>
  <si>
    <t>meter servicing kiosk 12 cccr</t>
  </si>
  <si>
    <t>SITE AND KABATI</t>
  </si>
  <si>
    <t xml:space="preserve">Unblocking customer service line 2no kabati </t>
  </si>
  <si>
    <t>meter replacement and customer reconnection kabati</t>
  </si>
  <si>
    <t>meter servicing 4no site</t>
  </si>
  <si>
    <t>new connection installation 2no kabati</t>
  </si>
  <si>
    <t>NB Kiosk 12 meter frequently stucked need replacement of 2'' meter</t>
  </si>
  <si>
    <t>CCCR meter stalled</t>
  </si>
  <si>
    <t>WEEKLY REPORT FROM 16/12/2022 TO 23/12/2022</t>
  </si>
  <si>
    <t>BURST RAILWAY 3",3N(behind OLA petrol station)</t>
  </si>
  <si>
    <t>40mm hdpe repaired at cccr</t>
  </si>
  <si>
    <t xml:space="preserve">50mm pvc at 3N line </t>
  </si>
  <si>
    <t>railways and cccr bulk meter serviced</t>
  </si>
  <si>
    <t>40mm hdpe repaire at kihoto 2no</t>
  </si>
  <si>
    <t>90mm GI pipe repaired at railways</t>
  </si>
  <si>
    <t>63mm hdpe repaired at ccr</t>
  </si>
  <si>
    <t>customer meter servicing 2no</t>
  </si>
  <si>
    <t>servicing customer meter kabati 8no site 3no</t>
  </si>
  <si>
    <t>clossing of Ac/no 10405383</t>
  </si>
  <si>
    <t>repair of 50mm at ymca</t>
  </si>
  <si>
    <t>repair of 63mm pvc at Goldfish</t>
  </si>
  <si>
    <t>raising of customer meter at makutano and changing gate vale</t>
  </si>
  <si>
    <t xml:space="preserve">repair of customer line at site </t>
  </si>
  <si>
    <t>NO</t>
  </si>
  <si>
    <t>STATUS</t>
  </si>
  <si>
    <t>Done</t>
  </si>
  <si>
    <t>WEEKLY REPORT FROM 24/12/2022 TO 29/12/2022</t>
  </si>
  <si>
    <t>160mm hdpe repaired at kihoto</t>
  </si>
  <si>
    <t>32mm hdpe repaired at kihoto</t>
  </si>
  <si>
    <t>40mm hdpe repair at kihoto</t>
  </si>
  <si>
    <t>plugged 32mm GI pipe at 3N</t>
  </si>
  <si>
    <t>new connection 1no</t>
  </si>
  <si>
    <t>repaire of customer line cccr 1no</t>
  </si>
  <si>
    <t>repair of 25mm customer line at kabati</t>
  </si>
  <si>
    <t>servicing customer meter at site 2no</t>
  </si>
  <si>
    <t>handling no water complaints</t>
  </si>
  <si>
    <t>25mm customer line site 1no</t>
  </si>
  <si>
    <t>WEEKLY REPORT FROM 25/12/2022 TO 31/12/2022</t>
  </si>
  <si>
    <t>32MM hdpe repaired at CCCR</t>
  </si>
  <si>
    <t>CCCR 2no</t>
  </si>
  <si>
    <t>repair 63mm ymca</t>
  </si>
  <si>
    <t>repair 63mm goldfish</t>
  </si>
  <si>
    <t>meter servicing aic</t>
  </si>
  <si>
    <t>gatevalve replacement acc 3133</t>
  </si>
  <si>
    <t>meter servicing elegant &amp; 25mm ppr repair</t>
  </si>
  <si>
    <t>WEEKLY REPORT FROM 1/01/2023 TO 7/01/2023</t>
  </si>
  <si>
    <t>repair of 25 mm ppr at cbd 3no</t>
  </si>
  <si>
    <t>110mm hdpe repair at ccr</t>
  </si>
  <si>
    <t>50mm pvc repair cbd(naivas kubwa)</t>
  </si>
  <si>
    <t>servicing of customer meters at cccr 3no</t>
  </si>
  <si>
    <t>installation of new connection 2no</t>
  </si>
  <si>
    <t>repair of 50mm pvc kabati</t>
  </si>
  <si>
    <t>63mm pvc repair at site</t>
  </si>
  <si>
    <t>replacement of customer gate vavle 3no</t>
  </si>
  <si>
    <t>32mm pvc repair kabati</t>
  </si>
  <si>
    <t>110mm hdpe repair at cccr</t>
  </si>
  <si>
    <t>insttalation of new connection 2no</t>
  </si>
  <si>
    <t>repair of 25mm ppr at cccr 2no cbd 3no</t>
  </si>
  <si>
    <t>75mm pvc repair at railways</t>
  </si>
  <si>
    <t xml:space="preserve">servicing of customer meter cbd 4no </t>
  </si>
  <si>
    <t>new connection at kabati 1no</t>
  </si>
  <si>
    <t>servicing customer meter site 4no kabati 2no</t>
  </si>
  <si>
    <t>50mm pvc repair at site</t>
  </si>
  <si>
    <t>repair of 63 mm pvc at kabati (kag)</t>
  </si>
  <si>
    <t>32mm pvc repair at kabati</t>
  </si>
  <si>
    <t>WEEKLY REPORT FROM 12/01/2023 TO 19/01/2023</t>
  </si>
  <si>
    <t>PRISON MAIN</t>
  </si>
  <si>
    <t>220 mm pvc</t>
  </si>
  <si>
    <t>50 mm pvc naivas kubwa</t>
  </si>
  <si>
    <t>50 mm hdpe Gdc</t>
  </si>
  <si>
    <t>25mm pvc 3no site</t>
  </si>
  <si>
    <t xml:space="preserve">63 mm pvc </t>
  </si>
  <si>
    <t xml:space="preserve">90mm pvc </t>
  </si>
  <si>
    <t>kabati kag</t>
  </si>
  <si>
    <t>WEEKLY REPORT FROM 20/01/2022 TO 26/01/2022</t>
  </si>
  <si>
    <t>WEEKLY REPORT FROM 2/02/2022 TO 9/02 /2022</t>
  </si>
  <si>
    <t>63mm repair hdpe at rumax cccr</t>
  </si>
  <si>
    <t>63mm repair prison staff line</t>
  </si>
  <si>
    <t>25mm ppr Gdc</t>
  </si>
  <si>
    <t>25mm ppr customer service line cccr</t>
  </si>
  <si>
    <t>relocation of customers ot new line misort 4no</t>
  </si>
  <si>
    <t xml:space="preserve">new connectin installation </t>
  </si>
  <si>
    <t xml:space="preserve">CCCR </t>
  </si>
  <si>
    <t>Meter servicing</t>
  </si>
  <si>
    <t>kcc</t>
  </si>
  <si>
    <t>5no</t>
  </si>
  <si>
    <t>Meter replacement cbd</t>
  </si>
  <si>
    <t>Repair of 110mm transport main aic site</t>
  </si>
  <si>
    <t>63 mm pvc united route upper site</t>
  </si>
  <si>
    <t>90mm pvc kag kabati</t>
  </si>
  <si>
    <t>32mm pvc pcea kabati</t>
  </si>
  <si>
    <t>25 mm ppr ymca</t>
  </si>
  <si>
    <t>32mm pvc tunza school</t>
  </si>
  <si>
    <t>replacement of customers gatevalve 4no kabati</t>
  </si>
  <si>
    <t xml:space="preserve">mater servicing </t>
  </si>
  <si>
    <t>invisible</t>
  </si>
  <si>
    <t>leaking</t>
  </si>
  <si>
    <t>not rigestering</t>
  </si>
  <si>
    <t>1 no</t>
  </si>
  <si>
    <t>2no kabati</t>
  </si>
  <si>
    <t>WEEKLY REPORT FROM 10/02/2023 TO 17/02/2023</t>
  </si>
  <si>
    <t>TOTAL SUPPLY</t>
  </si>
  <si>
    <t>50mm hdpe cccr</t>
  </si>
  <si>
    <t>manera</t>
  </si>
  <si>
    <t xml:space="preserve">cbd </t>
  </si>
  <si>
    <t>Relocating cbd customers to new line 7no</t>
  </si>
  <si>
    <t>meter servicing and leakages repaire</t>
  </si>
  <si>
    <t>leaks and burst</t>
  </si>
  <si>
    <t>32mm pvc kabati kag route</t>
  </si>
  <si>
    <t>new connection installed 1no kabati</t>
  </si>
  <si>
    <t>replacement of customers gatevalve 2 site</t>
  </si>
  <si>
    <t>3kabati</t>
  </si>
  <si>
    <t>marking of accounts 4no kabati</t>
  </si>
  <si>
    <t>2 site</t>
  </si>
  <si>
    <t>servicing of invisible meter</t>
  </si>
  <si>
    <t>site 4</t>
  </si>
  <si>
    <t>kabati 9</t>
  </si>
  <si>
    <t>servicing meter not registering</t>
  </si>
  <si>
    <t>kabati 5no</t>
  </si>
  <si>
    <t>WEEKLY REPORT FROM 18/02/2023 TO 23 /02/2023</t>
  </si>
  <si>
    <t>LEAKS ANDS BURST</t>
  </si>
  <si>
    <t>8'' PVC</t>
  </si>
  <si>
    <t>8'' pvc</t>
  </si>
  <si>
    <t>catholic</t>
  </si>
  <si>
    <t>50 mm pvc</t>
  </si>
  <si>
    <t>looping of pipe 50mm cccr</t>
  </si>
  <si>
    <t>Meter servicing and unblocking kcc</t>
  </si>
  <si>
    <t>50mm pvc</t>
  </si>
  <si>
    <t>kabati ymca</t>
  </si>
  <si>
    <t>un blocking customer line kabati</t>
  </si>
  <si>
    <t>new connection installation 1o kabati</t>
  </si>
  <si>
    <t xml:space="preserve">meter relocation kabati </t>
  </si>
  <si>
    <t>gatevalve replacement 2no site</t>
  </si>
  <si>
    <t>meter servicing 2no site</t>
  </si>
  <si>
    <t>WEEKLY REPORT FROM 3/03/2023 TO 9/3/2023</t>
  </si>
  <si>
    <t>WEEKLY SUPPLY VOLUME  10/3/2023 TO 16/3/2023</t>
  </si>
  <si>
    <t>railyway</t>
  </si>
  <si>
    <t>25mm pp staff complex</t>
  </si>
  <si>
    <t>36mm hdpe prison staff line</t>
  </si>
  <si>
    <t>90 hdpe</t>
  </si>
  <si>
    <t>Disconnection of customer from main meter stolen</t>
  </si>
  <si>
    <t>Customers reconnection to the new line</t>
  </si>
  <si>
    <t>lacanster</t>
  </si>
  <si>
    <t>Nssf</t>
  </si>
  <si>
    <t>Pipe relocation replacing pvc to hdpe site kamonde route</t>
  </si>
  <si>
    <t>repaire of 63mm pvc makaburi kabati</t>
  </si>
  <si>
    <t>meter replacement and reconnection from main</t>
  </si>
  <si>
    <t>WEEKLY REPORT FROM 17/03/2023 TO 23/03/2023</t>
  </si>
  <si>
    <t>REGION TOTAL SUPPLY</t>
  </si>
  <si>
    <t xml:space="preserve"> WORK DONE</t>
  </si>
  <si>
    <t>25mm ppr leakages 3no</t>
  </si>
  <si>
    <t>karagita route</t>
  </si>
  <si>
    <t>3N route</t>
  </si>
  <si>
    <t>railway</t>
  </si>
  <si>
    <t>63mm prison staff line</t>
  </si>
  <si>
    <t>50mm hape cccr</t>
  </si>
  <si>
    <t>New connection istallation</t>
  </si>
  <si>
    <t>hopewell</t>
  </si>
  <si>
    <t>Replacement of customers leaking valve</t>
  </si>
  <si>
    <t>cccr 2</t>
  </si>
  <si>
    <t>cbd 2</t>
  </si>
  <si>
    <t>Back filling at diplomat and central primary</t>
  </si>
  <si>
    <t>90 mm pvc</t>
  </si>
  <si>
    <t>disconnection of customers from main of stolen meters</t>
  </si>
  <si>
    <t>site 3no</t>
  </si>
  <si>
    <t>new connection installation 1no kabati</t>
  </si>
  <si>
    <t>meter servicing invisible meters site and kabati to enable clear meter reading</t>
  </si>
  <si>
    <t>disconnection of customers from main of meter tempering</t>
  </si>
  <si>
    <t>kabati 2</t>
  </si>
  <si>
    <t>site 3</t>
  </si>
  <si>
    <t>WEEKLY REPORT FROM 24/3/20223 TO 31/03/ 2023</t>
  </si>
  <si>
    <t>8''pvc</t>
  </si>
  <si>
    <t>32mm hdpe</t>
  </si>
  <si>
    <t>63mm</t>
  </si>
  <si>
    <t>Reconnection of customer minidtry of birth</t>
  </si>
  <si>
    <t>back filling of exposed pvc main cbd</t>
  </si>
  <si>
    <t>new connection installation cccr 1no</t>
  </si>
  <si>
    <t>manera 2no</t>
  </si>
  <si>
    <t>attending meter leakages 5no</t>
  </si>
  <si>
    <t>63mm leaking pvc site</t>
  </si>
  <si>
    <t>25mm ppr upper site</t>
  </si>
  <si>
    <t xml:space="preserve">Customers meter servicing </t>
  </si>
  <si>
    <t>replacement of customer service line from pvc to ppr upper site</t>
  </si>
  <si>
    <t xml:space="preserve">repacement of leaking cutomer gate valve </t>
  </si>
  <si>
    <t>kabati 3no</t>
  </si>
  <si>
    <t>kabati 1</t>
  </si>
  <si>
    <t>site 1</t>
  </si>
  <si>
    <t>disconection accounts of stollen meters</t>
  </si>
  <si>
    <t>site no</t>
  </si>
  <si>
    <t>TOTAL REGION</t>
  </si>
  <si>
    <t>SUPPLY</t>
  </si>
  <si>
    <t>31/3/2023 TO 6/04/2023</t>
  </si>
  <si>
    <t>LEAK&amp;BURST</t>
  </si>
  <si>
    <t>160mm hdpe</t>
  </si>
  <si>
    <t>90mm pvc</t>
  </si>
  <si>
    <t>lower site</t>
  </si>
  <si>
    <t>Reconnection posta</t>
  </si>
  <si>
    <t>cbd 3</t>
  </si>
  <si>
    <t>replacement of leaking customer gatevalve 2 hopewell</t>
  </si>
  <si>
    <t>2 cccr</t>
  </si>
  <si>
    <t>new connection installation 1cccr</t>
  </si>
  <si>
    <t>mater replacement 2no cbd</t>
  </si>
  <si>
    <t>2"pvc</t>
  </si>
  <si>
    <t>Replacement of customers gate valve</t>
  </si>
  <si>
    <t>meters replacement stolens meters</t>
  </si>
  <si>
    <t>meter servicings</t>
  </si>
  <si>
    <t>WEEKLY REPORT 7/04/2023 T0 13/4/2023</t>
  </si>
  <si>
    <t>cbd railyway</t>
  </si>
  <si>
    <t>32mm pvc kabati makaburi</t>
  </si>
  <si>
    <t>WEEKLY REPORT FROM 14/04/2023 TO 20/4/2023</t>
  </si>
  <si>
    <t>WEEKLY REPORT 21/4/2023 TO 28/4/2023</t>
  </si>
  <si>
    <t>WEEKLY REPORT 28/4/2023 TO 3/5/2023</t>
  </si>
  <si>
    <t>TOTAL REGION SUPPLY 16698</t>
  </si>
  <si>
    <t>WEEKLY REPORT 5/5/2023 TO 11/5/2023</t>
  </si>
  <si>
    <t>75mm hdpe</t>
  </si>
  <si>
    <t>karagita</t>
  </si>
  <si>
    <t>pefa</t>
  </si>
  <si>
    <t>ymca</t>
  </si>
  <si>
    <t>WEEKLY REPORT 12/5/23 TO 18/5/2023</t>
  </si>
  <si>
    <t>LEAKS AND BUSRT</t>
  </si>
  <si>
    <t>40mm hdpe</t>
  </si>
  <si>
    <t>KABATI/ SITE</t>
  </si>
  <si>
    <t>90mm hdpe</t>
  </si>
  <si>
    <t>25mm pvc</t>
  </si>
  <si>
    <t>WEEKLY REPORT 19/5/23 TO 25/5/2023</t>
  </si>
  <si>
    <t>PRISONSTAFF</t>
  </si>
  <si>
    <t>O</t>
  </si>
  <si>
    <t>kabati makaburi</t>
  </si>
  <si>
    <t>8''</t>
  </si>
  <si>
    <t>90mm</t>
  </si>
  <si>
    <t>gdc</t>
  </si>
  <si>
    <t>naivas kubwa</t>
  </si>
  <si>
    <t>T0 31/52023</t>
  </si>
  <si>
    <t>central</t>
  </si>
  <si>
    <t>110mm</t>
  </si>
  <si>
    <t>63hdpe</t>
  </si>
  <si>
    <t>rumax</t>
  </si>
  <si>
    <t>sokoni</t>
  </si>
  <si>
    <t>63 mm pvc</t>
  </si>
  <si>
    <t>keroche</t>
  </si>
  <si>
    <t>pcea</t>
  </si>
  <si>
    <t>WEEKLY REPORT 1/6/23 TO 7/6/23</t>
  </si>
  <si>
    <t>63 pvc</t>
  </si>
  <si>
    <t>deb</t>
  </si>
  <si>
    <t>industrial area</t>
  </si>
  <si>
    <t>90 pvc</t>
  </si>
  <si>
    <t>32pvc</t>
  </si>
  <si>
    <t xml:space="preserve">50 mm pvc </t>
  </si>
  <si>
    <t>WEEKLY REPORT 9/6/23 TO 15/6/2023</t>
  </si>
  <si>
    <t>75mm pvc</t>
  </si>
  <si>
    <t>90 HDPE</t>
  </si>
  <si>
    <t>mukorino</t>
  </si>
  <si>
    <t>75mm</t>
  </si>
  <si>
    <t>40 mm</t>
  </si>
  <si>
    <t>upper</t>
  </si>
  <si>
    <t>WEEKLY REPORT 16/6/2023 TO 22/6/2023</t>
  </si>
  <si>
    <t>NO BURST</t>
  </si>
  <si>
    <t>WEEKLY REPORT 23/6/23 TO 29/6/2023</t>
  </si>
  <si>
    <t>AP</t>
  </si>
  <si>
    <t xml:space="preserve">63mm pvc </t>
  </si>
  <si>
    <t>50mm hdpe</t>
  </si>
  <si>
    <t>society</t>
  </si>
  <si>
    <t>110mm hdpe</t>
  </si>
  <si>
    <t>63 mm pcv</t>
  </si>
  <si>
    <t>63mm hdpe</t>
  </si>
  <si>
    <t>prison</t>
  </si>
  <si>
    <t>WEEKLY REPORT 30/5/2023 TO 6/7/2023</t>
  </si>
  <si>
    <t>TOTAL REGION SUPPLY 16717M3</t>
  </si>
  <si>
    <t>6'' vadalized master meter</t>
  </si>
  <si>
    <t>3'' stolen mater meter</t>
  </si>
  <si>
    <t>50mmhdpe</t>
  </si>
  <si>
    <t>Ap</t>
  </si>
  <si>
    <t>exdoes</t>
  </si>
  <si>
    <t>32mm</t>
  </si>
  <si>
    <t>makamburi</t>
  </si>
  <si>
    <t>kamonde</t>
  </si>
  <si>
    <t>32 mm pvc</t>
  </si>
  <si>
    <t>kag 2no</t>
  </si>
  <si>
    <t>HOPEWELL</t>
  </si>
  <si>
    <t>METER REPLCEMENT</t>
  </si>
  <si>
    <t xml:space="preserve">                  MARKING</t>
  </si>
  <si>
    <t>ACCOUNTS</t>
  </si>
  <si>
    <t>WEEKLY REPORT FROM7/7/2023 TO 13/7/2023</t>
  </si>
  <si>
    <t>25mm hdpe</t>
  </si>
  <si>
    <t>ROUTE</t>
  </si>
  <si>
    <t>route</t>
  </si>
  <si>
    <t>full cospel</t>
  </si>
  <si>
    <t>disconection of site market</t>
  </si>
  <si>
    <t>replacement of customer gate valve 2no</t>
  </si>
  <si>
    <t>unblocking customer service line</t>
  </si>
  <si>
    <t>MARKING OF ACCOUNTS</t>
  </si>
  <si>
    <t>MANERA</t>
  </si>
  <si>
    <t>WEEKLY REPORT FROM 14/72023 TO 20/7/2023</t>
  </si>
  <si>
    <t>8'' pvc main</t>
  </si>
  <si>
    <t>misort</t>
  </si>
  <si>
    <t>naivas</t>
  </si>
  <si>
    <t>prison staff</t>
  </si>
  <si>
    <t>TYPE</t>
  </si>
  <si>
    <t>burst</t>
  </si>
  <si>
    <t>63mm pvc united</t>
  </si>
  <si>
    <t>50mm pvc ipcka</t>
  </si>
  <si>
    <t>MARKING OF ACCOUNT</t>
  </si>
  <si>
    <t>jamuhuri pag</t>
  </si>
  <si>
    <t>installation of upper site meter</t>
  </si>
  <si>
    <t>WEEKLY REPORT FROM 21/7/7/2023 T027/7/2023</t>
  </si>
  <si>
    <t>50MM</t>
  </si>
  <si>
    <t>Jasho</t>
  </si>
  <si>
    <t>63mm hdpe 2no Ap</t>
  </si>
  <si>
    <t>WEEKLY REPORT FROM 28/7/2023 TO 3/7/2023</t>
  </si>
  <si>
    <t>REGIONAL VOLUME</t>
  </si>
  <si>
    <t>'</t>
  </si>
  <si>
    <t>ap</t>
  </si>
  <si>
    <t>united</t>
  </si>
  <si>
    <t>WEEKLY REPORT 3/8/2023 TO 10/8/2023</t>
  </si>
  <si>
    <t>NB cccr DMA master meter not working</t>
  </si>
  <si>
    <t>WEEKLY REPORT 11/8/2023 TO 17/8/2023</t>
  </si>
  <si>
    <t>NB cccr dma meter has a problem its frequently stucked also recently replaced upper site master meter vadalized</t>
  </si>
  <si>
    <t>AP line</t>
  </si>
  <si>
    <t>prison staff line</t>
  </si>
  <si>
    <t>110 Hdpe</t>
  </si>
  <si>
    <t>NEW CON</t>
  </si>
  <si>
    <t>MARKING OF ACCONTS</t>
  </si>
  <si>
    <t>2'' PVC</t>
  </si>
  <si>
    <t>2'' pvc</t>
  </si>
  <si>
    <t>1'' pvc</t>
  </si>
  <si>
    <t>No burst reported</t>
  </si>
  <si>
    <t>WEEKLY REPORT FROM 18/8/23 TO 24/8/23</t>
  </si>
  <si>
    <t>2'' Pvc</t>
  </si>
  <si>
    <t>4'' pvc raising main</t>
  </si>
  <si>
    <t>2'' pvc kag</t>
  </si>
  <si>
    <t>ZONES</t>
  </si>
  <si>
    <t>WEEKLY REPORT FROM 25/8/2023 TO 31/8/2023</t>
  </si>
  <si>
    <t>3'' PVC</t>
  </si>
  <si>
    <t>railway 2no</t>
  </si>
  <si>
    <t>110 mm hdpe</t>
  </si>
  <si>
    <t>2''pvc</t>
  </si>
  <si>
    <t>8/9/2023 TO 14/9/2023</t>
  </si>
  <si>
    <t>25 mm PPR Leakage</t>
  </si>
  <si>
    <t>63mm HDPE Burst</t>
  </si>
  <si>
    <t>50mm HDPE  plugged Police line</t>
  </si>
  <si>
    <t>ZONE</t>
  </si>
  <si>
    <t>TARGET</t>
  </si>
  <si>
    <t>DEFICIT</t>
  </si>
  <si>
    <t>DAYS</t>
  </si>
  <si>
    <t>PRISONS  STAFF</t>
  </si>
  <si>
    <t>WEEKLY  ACTIVITIES</t>
  </si>
  <si>
    <t>DATES</t>
  </si>
  <si>
    <t>FROM</t>
  </si>
  <si>
    <t>TO</t>
  </si>
  <si>
    <t>Installation of 75mm sub DMA meter at railways</t>
  </si>
  <si>
    <t xml:space="preserve">2 meters replacement at karate and CCCR </t>
  </si>
  <si>
    <t>8M 63MM HDPE Pipe installation at KAG to connect upper Kabati from GUEST INN</t>
  </si>
  <si>
    <t>a)</t>
  </si>
  <si>
    <t>b)</t>
  </si>
  <si>
    <t>C)</t>
  </si>
  <si>
    <t>d)</t>
  </si>
  <si>
    <t>e)</t>
  </si>
  <si>
    <t>f)</t>
  </si>
  <si>
    <t>A)</t>
  </si>
  <si>
    <t>B)</t>
  </si>
  <si>
    <t>At kabati repair back 63mm HDPE line to support supply from Guest Inn</t>
  </si>
  <si>
    <t>Repair of a 110mm pvc pipe at site</t>
  </si>
  <si>
    <t>Repair of a 63mm pvc pipe at kabati</t>
  </si>
  <si>
    <t>Repair of a 63mm hdpe pipe at prisons</t>
  </si>
  <si>
    <t>Repair of a 63mm pvc pipe at cccr</t>
  </si>
  <si>
    <t>Repair of a 32mm pvc at kabati</t>
  </si>
  <si>
    <t xml:space="preserve">Meter replacement at site </t>
  </si>
  <si>
    <t>D)</t>
  </si>
  <si>
    <t>E)</t>
  </si>
  <si>
    <t>F)</t>
  </si>
  <si>
    <t>G)</t>
  </si>
  <si>
    <t>H)</t>
  </si>
  <si>
    <t>Repair of 75mm pvc at railways</t>
  </si>
  <si>
    <t>A</t>
  </si>
  <si>
    <t>B</t>
  </si>
  <si>
    <t>Repair of a burst, 63mm hdpe three n line</t>
  </si>
  <si>
    <t>Patrol along he dti line to evaluate the cost of backfilling the expose dti line</t>
  </si>
  <si>
    <t xml:space="preserve">C </t>
  </si>
  <si>
    <t>Servicing the policeline water works to consolata meter</t>
  </si>
  <si>
    <t xml:space="preserve">D </t>
  </si>
  <si>
    <t>E</t>
  </si>
  <si>
    <t>Repair of a leaking customer line</t>
  </si>
  <si>
    <t>F</t>
  </si>
  <si>
    <t xml:space="preserve">Repair of a 1inch pvc pipe at railways </t>
  </si>
  <si>
    <t>G</t>
  </si>
  <si>
    <t>Backfilling exposed pipes at kabati and site</t>
  </si>
  <si>
    <t>H</t>
  </si>
  <si>
    <t>Excavation and opening gatevalves for water supply to kabati from guest inn</t>
  </si>
  <si>
    <t>Reconnecting a customer at consolata</t>
  </si>
  <si>
    <t>I</t>
  </si>
  <si>
    <t>Disconnection of a customer line due to meter theft</t>
  </si>
  <si>
    <t>Repair of 4inch line to kcc</t>
  </si>
  <si>
    <t>Repair of a leaking customer line at hopewell</t>
  </si>
  <si>
    <t>Repair of a 63mm hdpe line at prison</t>
  </si>
  <si>
    <t xml:space="preserve">New customer connection at railways </t>
  </si>
  <si>
    <t>installation of 50mm meter at kabati</t>
  </si>
  <si>
    <t>Repair of a 1inch pvc pipe at kabati</t>
  </si>
  <si>
    <t>Excavation and repair of a 63mm pvc at site</t>
  </si>
  <si>
    <t>customer relocation at site</t>
  </si>
  <si>
    <t>Repair of 3inch line to railways</t>
  </si>
  <si>
    <t>Repair of a leaking service line at railwys</t>
  </si>
  <si>
    <t>repair of a customer line at cccr</t>
  </si>
  <si>
    <t>Anchoring the 75mm an 110mm gi pipe to kcc</t>
  </si>
  <si>
    <t>J</t>
  </si>
  <si>
    <t>Meter replacements</t>
  </si>
  <si>
    <t>Repair of 4inch rising main to site</t>
  </si>
  <si>
    <t>Repair of 1inch line to railways</t>
  </si>
  <si>
    <t>Repair of a 2inch leaking at kabati</t>
  </si>
  <si>
    <t>Repair of a 63mm hdpe line at manera</t>
  </si>
  <si>
    <t>repair of the 8inch pipe along district line</t>
  </si>
  <si>
    <t>Excavation and repair of a 50mm pvc at site</t>
  </si>
  <si>
    <t>installation of nrw meter at kabati</t>
  </si>
  <si>
    <t>18/07/2024-25/07/2024</t>
  </si>
  <si>
    <t>2/08/2024-8/08/2024</t>
  </si>
  <si>
    <t>9/08/2024-15/08/2024</t>
  </si>
  <si>
    <t>16/08/2024-22/08/2024</t>
  </si>
  <si>
    <t>23/08/2024-29/08/2024</t>
  </si>
  <si>
    <t>30/08/2024-5/09/2024</t>
  </si>
  <si>
    <t>13/09/2024-19/09/2024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</si>
</sst>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2"/>
      <color theme="1" tint="4.9989318521683403E-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10"/>
      <color rgb="FFFF0000"/>
      <name val="Bookman Old Style"/>
      <family val="1"/>
    </font>
    <font>
      <sz val="10"/>
      <color rgb="FF00B050"/>
      <name val="Bookman Old Style"/>
      <family val="1"/>
    </font>
    <font>
      <b/>
      <sz val="11"/>
      <color theme="1"/>
      <name val="Bookman Old Style"/>
      <family val="1"/>
    </font>
    <font>
      <b/>
      <sz val="10"/>
      <color theme="1"/>
      <name val="Bookman Old Style"/>
      <family val="1"/>
    </font>
    <font>
      <sz val="10"/>
      <color theme="1" tint="4.9989318521683403E-2"/>
      <name val="Bookman Old Style"/>
      <family val="1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 tint="0.3999755851924192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Bookman Old Style"/>
      <family val="1"/>
    </font>
    <font>
      <b/>
      <i/>
      <u/>
      <sz val="14"/>
      <color rgb="FF00B0F0"/>
      <name val="Calibri"/>
      <family val="2"/>
      <scheme val="minor"/>
    </font>
    <font>
      <b/>
      <i/>
      <u/>
      <sz val="14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u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FF0000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43" fillId="0" borderId="0"/>
  </cellStyleXfs>
  <cellXfs count="144">
    <xf numFmtId="0" fontId="0" fillId="0" borderId="0" xfId="0"/>
    <xf numFmtId="0" fontId="86" fillId="0" borderId="0" xfId="0" applyFont="1"/>
    <xf numFmtId="0" fontId="82" fillId="0" borderId="0" xfId="0" applyFont="1"/>
    <xf numFmtId="0" fontId="85" fillId="0" borderId="0" xfId="0" applyFont="1"/>
    <xf numFmtId="0" fontId="81" fillId="0" borderId="0" xfId="0" applyFont="1"/>
    <xf numFmtId="0" fontId="87" fillId="0" borderId="0" xfId="0" applyFont="1"/>
    <xf numFmtId="0" fontId="88" fillId="0" borderId="0" xfId="0" applyFont="1"/>
    <xf numFmtId="0" fontId="89" fillId="0" borderId="0" xfId="0" applyFont="1"/>
    <xf numFmtId="0" fontId="0" fillId="0" borderId="1" xfId="0" applyBorder="1"/>
    <xf numFmtId="0" fontId="91" fillId="0" borderId="1" xfId="0" applyFont="1" applyBorder="1"/>
    <xf numFmtId="0" fontId="93" fillId="0" borderId="1" xfId="0" applyFont="1" applyBorder="1"/>
    <xf numFmtId="0" fontId="94" fillId="2" borderId="1" xfId="0" applyFont="1" applyFill="1" applyBorder="1" applyAlignment="1">
      <alignment horizontal="center"/>
    </xf>
    <xf numFmtId="14" fontId="90" fillId="2" borderId="1" xfId="0" applyNumberFormat="1" applyFont="1" applyFill="1" applyBorder="1"/>
    <xf numFmtId="14" fontId="0" fillId="0" borderId="0" xfId="0" applyNumberFormat="1"/>
    <xf numFmtId="0" fontId="80" fillId="0" borderId="0" xfId="0" applyFont="1"/>
    <xf numFmtId="0" fontId="97" fillId="0" borderId="0" xfId="0" applyFont="1"/>
    <xf numFmtId="0" fontId="79" fillId="0" borderId="0" xfId="0" applyFont="1"/>
    <xf numFmtId="0" fontId="78" fillId="0" borderId="0" xfId="0" applyFont="1"/>
    <xf numFmtId="0" fontId="98" fillId="0" borderId="0" xfId="0" applyFont="1"/>
    <xf numFmtId="0" fontId="77" fillId="0" borderId="0" xfId="0" applyFont="1"/>
    <xf numFmtId="0" fontId="99" fillId="0" borderId="0" xfId="0" applyFont="1"/>
    <xf numFmtId="0" fontId="100" fillId="0" borderId="0" xfId="0" applyFont="1"/>
    <xf numFmtId="0" fontId="101" fillId="0" borderId="0" xfId="0" applyFont="1"/>
    <xf numFmtId="0" fontId="76" fillId="0" borderId="0" xfId="0" applyFont="1"/>
    <xf numFmtId="0" fontId="75" fillId="0" borderId="0" xfId="0" applyFont="1"/>
    <xf numFmtId="0" fontId="74" fillId="0" borderId="0" xfId="0" applyFont="1"/>
    <xf numFmtId="0" fontId="73" fillId="0" borderId="0" xfId="0" applyFont="1"/>
    <xf numFmtId="0" fontId="72" fillId="0" borderId="0" xfId="0" applyFont="1"/>
    <xf numFmtId="0" fontId="7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70" fillId="0" borderId="0" xfId="0" applyFont="1"/>
    <xf numFmtId="0" fontId="69" fillId="0" borderId="0" xfId="0" applyFont="1"/>
    <xf numFmtId="0" fontId="68" fillId="0" borderId="0" xfId="0" applyFont="1"/>
    <xf numFmtId="0" fontId="67" fillId="0" borderId="0" xfId="0" applyFont="1"/>
    <xf numFmtId="0" fontId="66" fillId="0" borderId="0" xfId="0" applyFont="1"/>
    <xf numFmtId="0" fontId="65" fillId="0" borderId="0" xfId="0" applyFont="1"/>
    <xf numFmtId="0" fontId="64" fillId="0" borderId="0" xfId="0" applyFont="1"/>
    <xf numFmtId="0" fontId="63" fillId="0" borderId="0" xfId="0" applyFont="1"/>
    <xf numFmtId="0" fontId="62" fillId="0" borderId="0" xfId="0" applyFont="1"/>
    <xf numFmtId="0" fontId="61" fillId="0" borderId="0" xfId="0" applyFont="1"/>
    <xf numFmtId="0" fontId="105" fillId="0" borderId="0" xfId="0" applyFont="1"/>
    <xf numFmtId="0" fontId="106" fillId="0" borderId="0" xfId="0" applyFont="1"/>
    <xf numFmtId="0" fontId="92" fillId="4" borderId="1" xfId="0" applyFont="1" applyFill="1" applyBorder="1"/>
    <xf numFmtId="0" fontId="107" fillId="3" borderId="1" xfId="0" applyFont="1" applyFill="1" applyBorder="1"/>
    <xf numFmtId="0" fontId="60" fillId="0" borderId="0" xfId="0" applyFont="1"/>
    <xf numFmtId="0" fontId="60" fillId="0" borderId="1" xfId="0" applyFont="1" applyBorder="1"/>
    <xf numFmtId="0" fontId="101" fillId="0" borderId="1" xfId="0" applyFont="1" applyBorder="1"/>
    <xf numFmtId="0" fontId="98" fillId="0" borderId="1" xfId="0" applyFont="1" applyBorder="1"/>
    <xf numFmtId="0" fontId="108" fillId="0" borderId="0" xfId="0" applyFont="1"/>
    <xf numFmtId="0" fontId="109" fillId="0" borderId="0" xfId="0" applyFont="1"/>
    <xf numFmtId="0" fontId="59" fillId="0" borderId="0" xfId="0" applyFont="1"/>
    <xf numFmtId="0" fontId="0" fillId="0" borderId="1" xfId="0" applyFill="1" applyBorder="1"/>
    <xf numFmtId="0" fontId="58" fillId="0" borderId="0" xfId="0" applyFont="1"/>
    <xf numFmtId="0" fontId="57" fillId="0" borderId="0" xfId="0" applyFont="1"/>
    <xf numFmtId="0" fontId="56" fillId="0" borderId="0" xfId="0" applyFont="1"/>
    <xf numFmtId="0" fontId="55" fillId="0" borderId="0" xfId="0" applyFont="1"/>
    <xf numFmtId="0" fontId="54" fillId="0" borderId="0" xfId="0" applyFont="1"/>
    <xf numFmtId="0" fontId="110" fillId="0" borderId="0" xfId="0" applyFont="1"/>
    <xf numFmtId="0" fontId="53" fillId="0" borderId="0" xfId="0" applyFont="1"/>
    <xf numFmtId="0" fontId="52" fillId="0" borderId="0" xfId="0" applyFont="1"/>
    <xf numFmtId="0" fontId="51" fillId="0" borderId="0" xfId="0" applyFont="1"/>
    <xf numFmtId="0" fontId="50" fillId="0" borderId="0" xfId="0" applyFont="1"/>
    <xf numFmtId="0" fontId="49" fillId="0" borderId="0" xfId="0" applyFont="1"/>
    <xf numFmtId="0" fontId="0" fillId="3" borderId="1" xfId="0" applyFont="1" applyFill="1" applyBorder="1"/>
    <xf numFmtId="0" fontId="48" fillId="0" borderId="0" xfId="0" applyFont="1"/>
    <xf numFmtId="0" fontId="47" fillId="0" borderId="0" xfId="0" applyFont="1"/>
    <xf numFmtId="0" fontId="46" fillId="0" borderId="0" xfId="0" applyFont="1"/>
    <xf numFmtId="0" fontId="45" fillId="0" borderId="0" xfId="0" applyFont="1"/>
    <xf numFmtId="0" fontId="44" fillId="0" borderId="0" xfId="0" applyFont="1"/>
    <xf numFmtId="0" fontId="0" fillId="3" borderId="1" xfId="0" applyFill="1" applyBorder="1"/>
    <xf numFmtId="0" fontId="42" fillId="0" borderId="0" xfId="0" applyFont="1"/>
    <xf numFmtId="0" fontId="41" fillId="0" borderId="0" xfId="0" applyFont="1"/>
    <xf numFmtId="0" fontId="40" fillId="0" borderId="0" xfId="0" applyFont="1"/>
    <xf numFmtId="0" fontId="95" fillId="2" borderId="1" xfId="0" applyFont="1" applyFill="1" applyBorder="1" applyAlignment="1">
      <alignment horizontal="center"/>
    </xf>
    <xf numFmtId="0" fontId="83" fillId="0" borderId="1" xfId="0" applyFont="1" applyBorder="1" applyAlignment="1"/>
    <xf numFmtId="0" fontId="83" fillId="0" borderId="1" xfId="0" applyFont="1" applyBorder="1"/>
    <xf numFmtId="0" fontId="84" fillId="0" borderId="1" xfId="0" applyFont="1" applyBorder="1"/>
    <xf numFmtId="14" fontId="0" fillId="0" borderId="1" xfId="0" applyNumberFormat="1" applyBorder="1"/>
    <xf numFmtId="0" fontId="39" fillId="0" borderId="0" xfId="0" applyFont="1"/>
    <xf numFmtId="0" fontId="38" fillId="0" borderId="0" xfId="0" applyFont="1"/>
    <xf numFmtId="0" fontId="37" fillId="0" borderId="0" xfId="0" applyFont="1"/>
    <xf numFmtId="0" fontId="36" fillId="0" borderId="0" xfId="0" applyFont="1"/>
    <xf numFmtId="0" fontId="35" fillId="0" borderId="0" xfId="0" applyFont="1"/>
    <xf numFmtId="0" fontId="34" fillId="0" borderId="0" xfId="0" applyFont="1"/>
    <xf numFmtId="0" fontId="33" fillId="0" borderId="0" xfId="0" applyFont="1"/>
    <xf numFmtId="0" fontId="32" fillId="0" borderId="0" xfId="0" applyFont="1"/>
    <xf numFmtId="0" fontId="31" fillId="0" borderId="0" xfId="0" applyFont="1"/>
    <xf numFmtId="0" fontId="30" fillId="0" borderId="0" xfId="0" applyFont="1"/>
    <xf numFmtId="0" fontId="29" fillId="0" borderId="0" xfId="0" applyFont="1"/>
    <xf numFmtId="0" fontId="28" fillId="0" borderId="0" xfId="0" applyFont="1"/>
    <xf numFmtId="0" fontId="27" fillId="0" borderId="0" xfId="0" applyFont="1"/>
    <xf numFmtId="0" fontId="26" fillId="0" borderId="0" xfId="0" applyFont="1"/>
    <xf numFmtId="0" fontId="25" fillId="0" borderId="0" xfId="0" applyFont="1"/>
    <xf numFmtId="0" fontId="24" fillId="0" borderId="0" xfId="0" applyFont="1"/>
    <xf numFmtId="0" fontId="23" fillId="0" borderId="0" xfId="0" applyFont="1"/>
    <xf numFmtId="0" fontId="22" fillId="0" borderId="0" xfId="0" applyFont="1"/>
    <xf numFmtId="0" fontId="111" fillId="0" borderId="0" xfId="0" applyFont="1"/>
    <xf numFmtId="0" fontId="21" fillId="0" borderId="0" xfId="0" applyFont="1"/>
    <xf numFmtId="0" fontId="20" fillId="0" borderId="0" xfId="0" applyFont="1"/>
    <xf numFmtId="0" fontId="20" fillId="0" borderId="1" xfId="0" applyFont="1" applyBorder="1"/>
    <xf numFmtId="0" fontId="19" fillId="0" borderId="0" xfId="0" applyFont="1"/>
    <xf numFmtId="0" fontId="18" fillId="0" borderId="0" xfId="0" applyFont="1"/>
    <xf numFmtId="0" fontId="17" fillId="0" borderId="0" xfId="0" applyFont="1"/>
    <xf numFmtId="0" fontId="17" fillId="0" borderId="0" xfId="0" quotePrefix="1" applyFont="1"/>
    <xf numFmtId="0" fontId="16" fillId="0" borderId="0" xfId="0" applyFont="1"/>
    <xf numFmtId="0" fontId="15" fillId="0" borderId="0" xfId="0" applyFont="1"/>
    <xf numFmtId="0" fontId="14" fillId="0" borderId="0" xfId="0" applyFont="1"/>
    <xf numFmtId="0" fontId="13" fillId="0" borderId="0" xfId="0" applyFont="1"/>
    <xf numFmtId="0" fontId="0" fillId="5" borderId="0" xfId="0" applyFill="1"/>
    <xf numFmtId="0" fontId="12" fillId="0" borderId="0" xfId="0" applyFont="1"/>
    <xf numFmtId="14" fontId="98" fillId="0" borderId="0" xfId="0" applyNumberFormat="1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112" fillId="0" borderId="2" xfId="0" applyFont="1" applyBorder="1" applyAlignment="1"/>
    <xf numFmtId="0" fontId="113" fillId="0" borderId="2" xfId="0" applyFont="1" applyBorder="1" applyAlignment="1"/>
    <xf numFmtId="0" fontId="114" fillId="0" borderId="2" xfId="0" applyFont="1" applyBorder="1" applyAlignment="1"/>
    <xf numFmtId="0" fontId="8" fillId="0" borderId="0" xfId="0" applyFont="1"/>
    <xf numFmtId="0" fontId="113" fillId="0" borderId="3" xfId="0" applyFont="1" applyBorder="1" applyAlignment="1"/>
    <xf numFmtId="0" fontId="114" fillId="0" borderId="4" xfId="0" applyFont="1" applyBorder="1" applyAlignment="1"/>
    <xf numFmtId="0" fontId="112" fillId="0" borderId="5" xfId="0" applyFont="1" applyBorder="1" applyAlignment="1"/>
    <xf numFmtId="0" fontId="113" fillId="0" borderId="6" xfId="0" applyFont="1" applyBorder="1" applyAlignment="1"/>
    <xf numFmtId="0" fontId="7" fillId="5" borderId="0" xfId="0" applyFont="1" applyFill="1"/>
    <xf numFmtId="0" fontId="86" fillId="0" borderId="1" xfId="0" applyFont="1" applyBorder="1"/>
    <xf numFmtId="0" fontId="95" fillId="5" borderId="1" xfId="0" applyFont="1" applyFill="1" applyBorder="1"/>
    <xf numFmtId="0" fontId="95" fillId="5" borderId="1" xfId="0" applyFont="1" applyFill="1" applyBorder="1" applyAlignment="1">
      <alignment horizontal="center"/>
    </xf>
    <xf numFmtId="0" fontId="92" fillId="5" borderId="1" xfId="0" applyFont="1" applyFill="1" applyBorder="1"/>
    <xf numFmtId="0" fontId="92" fillId="5" borderId="1" xfId="0" applyFont="1" applyFill="1" applyBorder="1" applyAlignment="1">
      <alignment horizontal="right"/>
    </xf>
    <xf numFmtId="0" fontId="0" fillId="5" borderId="1" xfId="0" applyFill="1" applyBorder="1"/>
    <xf numFmtId="0" fontId="85" fillId="5" borderId="1" xfId="0" applyFont="1" applyFill="1" applyBorder="1"/>
    <xf numFmtId="0" fontId="115" fillId="5" borderId="1" xfId="0" applyFont="1" applyFill="1" applyBorder="1" applyAlignment="1">
      <alignment horizontal="center"/>
    </xf>
    <xf numFmtId="0" fontId="115" fillId="5" borderId="1" xfId="0" applyFont="1" applyFill="1" applyBorder="1"/>
    <xf numFmtId="0" fontId="1" fillId="0" borderId="1" xfId="0" applyFont="1" applyBorder="1"/>
    <xf numFmtId="14" fontId="0" fillId="5" borderId="1" xfId="0" applyNumberFormat="1" applyFill="1" applyBorder="1"/>
    <xf numFmtId="0" fontId="0" fillId="5" borderId="1" xfId="0" applyFont="1" applyFill="1" applyBorder="1"/>
    <xf numFmtId="0" fontId="96" fillId="5" borderId="1" xfId="0" applyFont="1" applyFill="1" applyBorder="1"/>
    <xf numFmtId="0" fontId="95" fillId="2" borderId="1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6" fillId="5" borderId="7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768"/>
  <sheetViews>
    <sheetView tabSelected="1" zoomScaleNormal="100" workbookViewId="0">
      <pane xSplit="1" ySplit="2" topLeftCell="B1422" activePane="bottomRight" state="frozen"/>
      <selection pane="topRight" activeCell="B1" sqref="B1"/>
      <selection pane="bottomLeft" activeCell="A4" sqref="A4"/>
      <selection pane="bottomRight" activeCell="A1438" sqref="A1438:XFD1438"/>
    </sheetView>
  </sheetViews>
  <sheetFormatPr defaultColWidth="9" defaultRowHeight="14.5"/>
  <cols>
    <col min="1" max="1" width="19.26953125" style="8" customWidth="1"/>
    <col min="2" max="2" width="9.26953125" style="8" customWidth="1"/>
    <col min="3" max="3" width="10.26953125" style="8" customWidth="1"/>
    <col min="4" max="4" width="10.26953125" style="131" customWidth="1"/>
    <col min="5" max="5" width="8.81640625" style="8" bestFit="1" customWidth="1"/>
    <col min="6" max="6" width="11.26953125" style="8" bestFit="1" customWidth="1"/>
    <col min="7" max="7" width="9.453125" style="130" bestFit="1" customWidth="1"/>
    <col min="8" max="8" width="9.26953125" style="131" bestFit="1" customWidth="1"/>
    <col min="9" max="9" width="10.1796875" style="8" customWidth="1"/>
    <col min="10" max="10" width="10.54296875" style="8" customWidth="1"/>
    <col min="11" max="11" width="9.7265625" style="130" customWidth="1"/>
    <col min="12" max="12" width="9.7265625" style="8" customWidth="1"/>
    <col min="13" max="13" width="8.7265625" style="8" bestFit="1" customWidth="1"/>
    <col min="14" max="14" width="8.26953125" style="130" customWidth="1"/>
    <col min="15" max="15" width="11.26953125" style="130" bestFit="1" customWidth="1"/>
    <col min="16" max="16" width="13.1796875" style="8" customWidth="1"/>
    <col min="17" max="17" width="12.26953125" style="8" customWidth="1"/>
    <col min="18" max="18" width="11.26953125" style="130" bestFit="1" customWidth="1"/>
    <col min="19" max="19" width="8.26953125" style="8" customWidth="1"/>
    <col min="20" max="20" width="11.26953125" style="8" bestFit="1" customWidth="1"/>
    <col min="21" max="21" width="8.81640625" style="8" bestFit="1" customWidth="1"/>
    <col min="22" max="22" width="9.26953125" style="8" bestFit="1" customWidth="1"/>
    <col min="23" max="23" width="11.453125" style="8" bestFit="1" customWidth="1"/>
    <col min="24" max="24" width="8.7265625" style="8" bestFit="1" customWidth="1"/>
    <col min="25" max="25" width="9" style="8" bestFit="1" customWidth="1"/>
    <col min="26" max="26" width="9.453125" style="8" bestFit="1" customWidth="1"/>
    <col min="27" max="27" width="11.453125" style="8" bestFit="1" customWidth="1"/>
    <col min="28" max="28" width="9.453125" style="8" bestFit="1" customWidth="1"/>
    <col min="29" max="29" width="10.26953125" style="8" customWidth="1"/>
    <col min="30" max="30" width="10" style="8" customWidth="1"/>
    <col min="31" max="31" width="7.54296875" style="8" bestFit="1" customWidth="1"/>
    <col min="32" max="32" width="9.81640625" style="8" customWidth="1"/>
    <col min="33" max="33" width="8.7265625" style="8" bestFit="1" customWidth="1"/>
    <col min="34" max="34" width="11.1796875" style="8" bestFit="1" customWidth="1"/>
    <col min="35" max="35" width="8.26953125" style="8" customWidth="1"/>
    <col min="36" max="36" width="9.1796875" style="8" bestFit="1" customWidth="1"/>
    <col min="37" max="37" width="10" style="8" customWidth="1"/>
    <col min="38" max="38" width="7.54296875" style="8" bestFit="1" customWidth="1"/>
    <col min="39" max="39" width="10.1796875" style="8" customWidth="1"/>
    <col min="40" max="40" width="9.1796875" style="8" bestFit="1" customWidth="1"/>
    <col min="41" max="41" width="10.453125" style="8" customWidth="1"/>
    <col min="42" max="42" width="11.453125" style="8" bestFit="1" customWidth="1"/>
    <col min="43" max="43" width="8.54296875" style="71" customWidth="1"/>
    <col min="44" max="44" width="10.26953125" style="65" customWidth="1"/>
    <col min="45" max="45" width="12.7265625" style="71" customWidth="1"/>
    <col min="46" max="46" width="16.1796875" style="8" customWidth="1"/>
    <col min="47" max="47" width="49.7265625" style="8" customWidth="1"/>
    <col min="48" max="16384" width="9" style="8"/>
  </cols>
  <sheetData>
    <row r="1" spans="1:45" s="77" customFormat="1" ht="27" customHeight="1">
      <c r="A1" s="11" t="s">
        <v>133</v>
      </c>
      <c r="B1" s="138" t="s">
        <v>4</v>
      </c>
      <c r="C1" s="138"/>
      <c r="D1" s="138"/>
      <c r="E1" s="138" t="s">
        <v>5</v>
      </c>
      <c r="F1" s="138"/>
      <c r="G1" s="138"/>
      <c r="H1" s="133" t="s">
        <v>6</v>
      </c>
      <c r="I1" s="138" t="s">
        <v>7</v>
      </c>
      <c r="J1" s="138"/>
      <c r="K1" s="138"/>
      <c r="L1" s="138" t="s">
        <v>8</v>
      </c>
      <c r="M1" s="138"/>
      <c r="N1" s="138"/>
      <c r="O1" s="126" t="s">
        <v>9</v>
      </c>
      <c r="P1" s="138" t="s">
        <v>10</v>
      </c>
      <c r="Q1" s="138"/>
      <c r="R1" s="126" t="s">
        <v>11</v>
      </c>
      <c r="S1" s="76"/>
      <c r="T1" s="76"/>
    </row>
    <row r="2" spans="1:45" s="77" customFormat="1" ht="15" customHeight="1">
      <c r="A2" s="11"/>
      <c r="B2" s="75" t="s">
        <v>134</v>
      </c>
      <c r="C2" s="75" t="s">
        <v>135</v>
      </c>
      <c r="D2" s="132" t="s">
        <v>136</v>
      </c>
      <c r="E2" s="75" t="s">
        <v>134</v>
      </c>
      <c r="F2" s="75" t="s">
        <v>135</v>
      </c>
      <c r="G2" s="127" t="s">
        <v>136</v>
      </c>
      <c r="H2" s="132" t="s">
        <v>136</v>
      </c>
      <c r="I2" s="75" t="s">
        <v>134</v>
      </c>
      <c r="J2" s="75" t="s">
        <v>135</v>
      </c>
      <c r="K2" s="127" t="s">
        <v>136</v>
      </c>
      <c r="L2" s="75" t="s">
        <v>134</v>
      </c>
      <c r="M2" s="75" t="s">
        <v>135</v>
      </c>
      <c r="N2" s="127" t="s">
        <v>136</v>
      </c>
      <c r="O2" s="127" t="s">
        <v>136</v>
      </c>
      <c r="P2" s="75" t="s">
        <v>134</v>
      </c>
      <c r="Q2" s="75" t="s">
        <v>135</v>
      </c>
      <c r="R2" s="127" t="s">
        <v>136</v>
      </c>
      <c r="S2" s="76"/>
      <c r="T2" s="76"/>
    </row>
    <row r="3" spans="1:45">
      <c r="A3" s="12">
        <v>44378</v>
      </c>
      <c r="B3" s="9">
        <v>376399</v>
      </c>
      <c r="C3" s="9">
        <v>376665</v>
      </c>
      <c r="D3" s="128">
        <f>C3-B3</f>
        <v>266</v>
      </c>
      <c r="E3" s="9">
        <v>105618</v>
      </c>
      <c r="F3" s="9">
        <v>105917</v>
      </c>
      <c r="G3" s="137">
        <f>F3-E3</f>
        <v>299</v>
      </c>
      <c r="H3" s="128">
        <f>D3+G3</f>
        <v>565</v>
      </c>
      <c r="I3" s="9">
        <v>585221</v>
      </c>
      <c r="J3" s="9">
        <v>585453</v>
      </c>
      <c r="K3" s="137">
        <f t="shared" ref="K3:K67" si="0">J3-I3</f>
        <v>232</v>
      </c>
      <c r="L3" s="9">
        <v>203565</v>
      </c>
      <c r="M3" s="9">
        <v>203742</v>
      </c>
      <c r="N3" s="137">
        <f>M3-L3</f>
        <v>177</v>
      </c>
      <c r="O3" s="128">
        <f>N3+K3</f>
        <v>409</v>
      </c>
      <c r="P3" s="9">
        <v>218352</v>
      </c>
      <c r="Q3" s="9">
        <v>218352</v>
      </c>
      <c r="R3" s="128">
        <v>0</v>
      </c>
      <c r="AQ3" s="8"/>
      <c r="AR3" s="8"/>
      <c r="AS3" s="8"/>
    </row>
    <row r="4" spans="1:45">
      <c r="A4" s="12">
        <v>44379</v>
      </c>
      <c r="B4" s="9">
        <v>376665</v>
      </c>
      <c r="C4" s="9">
        <v>377166</v>
      </c>
      <c r="D4" s="128">
        <f>C4-B4</f>
        <v>501</v>
      </c>
      <c r="E4" s="9">
        <v>105917</v>
      </c>
      <c r="F4" s="9">
        <v>106472</v>
      </c>
      <c r="G4" s="137">
        <f t="shared" ref="G4:G63" si="1">F4-E4</f>
        <v>555</v>
      </c>
      <c r="H4" s="128">
        <f t="shared" ref="H4:H67" si="2">D4+G4</f>
        <v>1056</v>
      </c>
      <c r="I4" s="9">
        <v>585453</v>
      </c>
      <c r="J4" s="9">
        <v>585709</v>
      </c>
      <c r="K4" s="137">
        <f t="shared" si="0"/>
        <v>256</v>
      </c>
      <c r="L4" s="9">
        <v>203742</v>
      </c>
      <c r="M4" s="9">
        <v>204028</v>
      </c>
      <c r="N4" s="137">
        <f t="shared" ref="N4:N67" si="3">M4-L4</f>
        <v>286</v>
      </c>
      <c r="O4" s="128">
        <f t="shared" ref="O4:O67" si="4">N4+K4</f>
        <v>542</v>
      </c>
      <c r="P4" s="9">
        <v>218352</v>
      </c>
      <c r="Q4" s="9">
        <v>218352</v>
      </c>
      <c r="R4" s="128">
        <v>0</v>
      </c>
      <c r="AQ4" s="8"/>
      <c r="AR4" s="8"/>
      <c r="AS4" s="8"/>
    </row>
    <row r="5" spans="1:45">
      <c r="A5" s="12">
        <v>44380</v>
      </c>
      <c r="B5" s="9">
        <v>377166</v>
      </c>
      <c r="C5" s="9">
        <v>377382</v>
      </c>
      <c r="D5" s="128">
        <f>C5-B5</f>
        <v>216</v>
      </c>
      <c r="E5" s="9">
        <v>106472</v>
      </c>
      <c r="F5" s="9">
        <v>106791</v>
      </c>
      <c r="G5" s="137">
        <f t="shared" si="1"/>
        <v>319</v>
      </c>
      <c r="H5" s="128">
        <f t="shared" si="2"/>
        <v>535</v>
      </c>
      <c r="I5" s="9">
        <v>585709</v>
      </c>
      <c r="J5" s="9">
        <v>585970</v>
      </c>
      <c r="K5" s="137">
        <f t="shared" si="0"/>
        <v>261</v>
      </c>
      <c r="L5" s="9">
        <v>204028</v>
      </c>
      <c r="M5" s="9">
        <v>204205</v>
      </c>
      <c r="N5" s="137">
        <f t="shared" si="3"/>
        <v>177</v>
      </c>
      <c r="O5" s="128">
        <f t="shared" si="4"/>
        <v>438</v>
      </c>
      <c r="P5" s="9">
        <v>218352</v>
      </c>
      <c r="Q5" s="9">
        <v>218352</v>
      </c>
      <c r="R5" s="128">
        <v>0</v>
      </c>
      <c r="AQ5" s="8"/>
      <c r="AR5" s="8"/>
      <c r="AS5" s="8"/>
    </row>
    <row r="6" spans="1:45">
      <c r="A6" s="12">
        <v>44381</v>
      </c>
      <c r="B6" s="9">
        <v>377382</v>
      </c>
      <c r="C6" s="9">
        <v>377554</v>
      </c>
      <c r="D6" s="128">
        <f t="shared" ref="D6:D54" si="5">C6-B6</f>
        <v>172</v>
      </c>
      <c r="E6" s="9">
        <v>106791</v>
      </c>
      <c r="F6" s="9">
        <v>107034</v>
      </c>
      <c r="G6" s="137">
        <f t="shared" si="1"/>
        <v>243</v>
      </c>
      <c r="H6" s="128">
        <f t="shared" si="2"/>
        <v>415</v>
      </c>
      <c r="I6" s="9">
        <v>585970</v>
      </c>
      <c r="J6" s="9">
        <v>586255</v>
      </c>
      <c r="K6" s="137">
        <f t="shared" si="0"/>
        <v>285</v>
      </c>
      <c r="L6" s="9">
        <v>204205</v>
      </c>
      <c r="M6" s="9">
        <v>204347</v>
      </c>
      <c r="N6" s="137">
        <f t="shared" si="3"/>
        <v>142</v>
      </c>
      <c r="O6" s="128">
        <f t="shared" si="4"/>
        <v>427</v>
      </c>
      <c r="P6" s="9">
        <v>218352</v>
      </c>
      <c r="Q6" s="9">
        <v>218352</v>
      </c>
      <c r="R6" s="128">
        <v>0</v>
      </c>
      <c r="AQ6" s="8"/>
      <c r="AR6" s="8"/>
      <c r="AS6" s="8"/>
    </row>
    <row r="7" spans="1:45">
      <c r="A7" s="12">
        <v>44382</v>
      </c>
      <c r="B7" s="9">
        <v>377554</v>
      </c>
      <c r="C7" s="9">
        <v>377764</v>
      </c>
      <c r="D7" s="128">
        <f t="shared" si="5"/>
        <v>210</v>
      </c>
      <c r="E7" s="9">
        <v>107034</v>
      </c>
      <c r="F7" s="9">
        <v>107244</v>
      </c>
      <c r="G7" s="137">
        <f t="shared" si="1"/>
        <v>210</v>
      </c>
      <c r="H7" s="128">
        <f t="shared" si="2"/>
        <v>420</v>
      </c>
      <c r="I7" s="9">
        <v>586255</v>
      </c>
      <c r="J7" s="9">
        <v>586485</v>
      </c>
      <c r="K7" s="137">
        <f t="shared" si="0"/>
        <v>230</v>
      </c>
      <c r="L7" s="9">
        <v>204347</v>
      </c>
      <c r="M7" s="9">
        <v>204514</v>
      </c>
      <c r="N7" s="137">
        <f t="shared" si="3"/>
        <v>167</v>
      </c>
      <c r="O7" s="128">
        <f t="shared" si="4"/>
        <v>397</v>
      </c>
      <c r="P7" s="9">
        <v>218352</v>
      </c>
      <c r="Q7" s="9">
        <v>218352</v>
      </c>
      <c r="R7" s="128">
        <v>0</v>
      </c>
      <c r="AQ7" s="8"/>
      <c r="AR7" s="8"/>
      <c r="AS7" s="8"/>
    </row>
    <row r="8" spans="1:45">
      <c r="A8" s="12">
        <v>44383</v>
      </c>
      <c r="B8" s="9">
        <v>377764</v>
      </c>
      <c r="C8" s="9">
        <v>378045</v>
      </c>
      <c r="D8" s="128">
        <f t="shared" si="5"/>
        <v>281</v>
      </c>
      <c r="E8" s="9">
        <v>107244</v>
      </c>
      <c r="F8" s="9">
        <v>107528</v>
      </c>
      <c r="G8" s="137">
        <f t="shared" si="1"/>
        <v>284</v>
      </c>
      <c r="H8" s="128">
        <f t="shared" si="2"/>
        <v>565</v>
      </c>
      <c r="I8" s="9">
        <v>586485</v>
      </c>
      <c r="J8" s="9">
        <v>586705</v>
      </c>
      <c r="K8" s="137">
        <f t="shared" si="0"/>
        <v>220</v>
      </c>
      <c r="L8" s="9">
        <v>204514</v>
      </c>
      <c r="M8" s="9">
        <v>204690</v>
      </c>
      <c r="N8" s="137">
        <f t="shared" si="3"/>
        <v>176</v>
      </c>
      <c r="O8" s="128">
        <f t="shared" si="4"/>
        <v>396</v>
      </c>
      <c r="P8" s="9">
        <v>218352</v>
      </c>
      <c r="Q8" s="9">
        <v>218352</v>
      </c>
      <c r="R8" s="128">
        <v>0</v>
      </c>
      <c r="AQ8" s="8"/>
      <c r="AR8" s="8"/>
      <c r="AS8" s="8"/>
    </row>
    <row r="9" spans="1:45">
      <c r="A9" s="12">
        <v>44384</v>
      </c>
      <c r="B9" s="9">
        <v>378045</v>
      </c>
      <c r="C9" s="9">
        <v>378313</v>
      </c>
      <c r="D9" s="128">
        <f t="shared" si="5"/>
        <v>268</v>
      </c>
      <c r="E9" s="9">
        <v>107528</v>
      </c>
      <c r="F9" s="9">
        <v>107839</v>
      </c>
      <c r="G9" s="137">
        <f t="shared" si="1"/>
        <v>311</v>
      </c>
      <c r="H9" s="128">
        <f t="shared" si="2"/>
        <v>579</v>
      </c>
      <c r="I9" s="9">
        <v>586705</v>
      </c>
      <c r="J9" s="9">
        <v>586931</v>
      </c>
      <c r="K9" s="137">
        <f t="shared" si="0"/>
        <v>226</v>
      </c>
      <c r="L9" s="9">
        <v>204690</v>
      </c>
      <c r="M9" s="9">
        <v>204895</v>
      </c>
      <c r="N9" s="137">
        <f t="shared" si="3"/>
        <v>205</v>
      </c>
      <c r="O9" s="128">
        <f t="shared" si="4"/>
        <v>431</v>
      </c>
      <c r="P9" s="9">
        <v>218352</v>
      </c>
      <c r="Q9" s="9">
        <v>218352</v>
      </c>
      <c r="R9" s="128">
        <v>0</v>
      </c>
      <c r="AQ9" s="8"/>
      <c r="AR9" s="8"/>
      <c r="AS9" s="8"/>
    </row>
    <row r="10" spans="1:45">
      <c r="A10" s="12">
        <v>44385</v>
      </c>
      <c r="B10" s="9">
        <v>378313</v>
      </c>
      <c r="C10" s="9">
        <v>378539</v>
      </c>
      <c r="D10" s="128">
        <f t="shared" si="5"/>
        <v>226</v>
      </c>
      <c r="E10" s="9">
        <v>107839</v>
      </c>
      <c r="F10" s="9">
        <v>108130</v>
      </c>
      <c r="G10" s="137">
        <f t="shared" si="1"/>
        <v>291</v>
      </c>
      <c r="H10" s="128">
        <f t="shared" si="2"/>
        <v>517</v>
      </c>
      <c r="I10" s="9">
        <v>586931</v>
      </c>
      <c r="J10" s="9">
        <v>587125</v>
      </c>
      <c r="K10" s="137">
        <f t="shared" si="0"/>
        <v>194</v>
      </c>
      <c r="L10" s="9">
        <v>204895</v>
      </c>
      <c r="M10" s="9">
        <v>205134</v>
      </c>
      <c r="N10" s="137">
        <f t="shared" si="3"/>
        <v>239</v>
      </c>
      <c r="O10" s="128">
        <f t="shared" si="4"/>
        <v>433</v>
      </c>
      <c r="P10" s="9">
        <v>218352</v>
      </c>
      <c r="Q10" s="9">
        <v>218352</v>
      </c>
      <c r="R10" s="128">
        <v>0</v>
      </c>
      <c r="AQ10" s="8"/>
      <c r="AR10" s="8"/>
      <c r="AS10" s="8"/>
    </row>
    <row r="11" spans="1:45">
      <c r="A11" s="12">
        <v>44386</v>
      </c>
      <c r="B11" s="9">
        <v>378539</v>
      </c>
      <c r="C11" s="9">
        <v>378860</v>
      </c>
      <c r="D11" s="128">
        <f t="shared" si="5"/>
        <v>321</v>
      </c>
      <c r="E11" s="9">
        <v>108130</v>
      </c>
      <c r="F11" s="9">
        <v>108489</v>
      </c>
      <c r="G11" s="137">
        <f t="shared" si="1"/>
        <v>359</v>
      </c>
      <c r="H11" s="128">
        <f t="shared" si="2"/>
        <v>680</v>
      </c>
      <c r="I11" s="9">
        <v>587125</v>
      </c>
      <c r="J11" s="9">
        <v>587368</v>
      </c>
      <c r="K11" s="137">
        <f t="shared" si="0"/>
        <v>243</v>
      </c>
      <c r="L11" s="9">
        <v>205134</v>
      </c>
      <c r="M11" s="9">
        <v>205339</v>
      </c>
      <c r="N11" s="137">
        <f t="shared" si="3"/>
        <v>205</v>
      </c>
      <c r="O11" s="128">
        <f t="shared" si="4"/>
        <v>448</v>
      </c>
      <c r="P11" s="9">
        <v>218352</v>
      </c>
      <c r="Q11" s="9">
        <v>218352</v>
      </c>
      <c r="R11" s="128">
        <v>0</v>
      </c>
      <c r="AQ11" s="8"/>
      <c r="AR11" s="8"/>
      <c r="AS11" s="8"/>
    </row>
    <row r="12" spans="1:45">
      <c r="A12" s="12">
        <v>44387</v>
      </c>
      <c r="B12" s="9">
        <v>378860</v>
      </c>
      <c r="C12" s="9">
        <v>379105</v>
      </c>
      <c r="D12" s="128">
        <f t="shared" si="5"/>
        <v>245</v>
      </c>
      <c r="E12" s="9">
        <v>108489</v>
      </c>
      <c r="F12" s="9">
        <v>108788</v>
      </c>
      <c r="G12" s="137">
        <f t="shared" si="1"/>
        <v>299</v>
      </c>
      <c r="H12" s="128">
        <f t="shared" si="2"/>
        <v>544</v>
      </c>
      <c r="I12" s="9">
        <v>587368</v>
      </c>
      <c r="J12" s="9">
        <v>587648</v>
      </c>
      <c r="K12" s="137">
        <f t="shared" si="0"/>
        <v>280</v>
      </c>
      <c r="L12" s="9">
        <v>205339</v>
      </c>
      <c r="M12" s="9">
        <v>205509</v>
      </c>
      <c r="N12" s="137">
        <f t="shared" si="3"/>
        <v>170</v>
      </c>
      <c r="O12" s="128">
        <f t="shared" si="4"/>
        <v>450</v>
      </c>
      <c r="P12" s="9">
        <v>218352</v>
      </c>
      <c r="Q12" s="9">
        <v>218352</v>
      </c>
      <c r="R12" s="128">
        <v>0</v>
      </c>
      <c r="AQ12" s="8"/>
      <c r="AR12" s="8"/>
      <c r="AS12" s="8"/>
    </row>
    <row r="13" spans="1:45">
      <c r="A13" s="12">
        <v>44388</v>
      </c>
      <c r="B13" s="9">
        <v>379105</v>
      </c>
      <c r="C13" s="9">
        <v>379328</v>
      </c>
      <c r="D13" s="128">
        <f t="shared" si="5"/>
        <v>223</v>
      </c>
      <c r="E13" s="9">
        <v>108788</v>
      </c>
      <c r="F13" s="9">
        <v>109111</v>
      </c>
      <c r="G13" s="137">
        <f t="shared" si="1"/>
        <v>323</v>
      </c>
      <c r="H13" s="128">
        <f t="shared" si="2"/>
        <v>546</v>
      </c>
      <c r="I13" s="9">
        <v>587648</v>
      </c>
      <c r="J13" s="9">
        <v>587916</v>
      </c>
      <c r="K13" s="137">
        <f t="shared" si="0"/>
        <v>268</v>
      </c>
      <c r="L13" s="9">
        <v>205509</v>
      </c>
      <c r="M13" s="9">
        <v>205693</v>
      </c>
      <c r="N13" s="137">
        <f t="shared" si="3"/>
        <v>184</v>
      </c>
      <c r="O13" s="128">
        <f t="shared" si="4"/>
        <v>452</v>
      </c>
      <c r="P13" s="9">
        <v>218352</v>
      </c>
      <c r="Q13" s="9">
        <v>218352</v>
      </c>
      <c r="R13" s="128">
        <v>0</v>
      </c>
      <c r="AQ13" s="8"/>
      <c r="AR13" s="8"/>
      <c r="AS13" s="8"/>
    </row>
    <row r="14" spans="1:45">
      <c r="A14" s="12">
        <v>44389</v>
      </c>
      <c r="B14" s="9">
        <v>379328</v>
      </c>
      <c r="C14" s="9">
        <v>379446</v>
      </c>
      <c r="D14" s="128">
        <f t="shared" si="5"/>
        <v>118</v>
      </c>
      <c r="E14" s="9">
        <v>109111</v>
      </c>
      <c r="F14" s="9">
        <v>109381</v>
      </c>
      <c r="G14" s="137">
        <f t="shared" si="1"/>
        <v>270</v>
      </c>
      <c r="H14" s="128">
        <f t="shared" si="2"/>
        <v>388</v>
      </c>
      <c r="I14" s="9">
        <v>587916</v>
      </c>
      <c r="J14" s="9">
        <v>588142</v>
      </c>
      <c r="K14" s="137">
        <f t="shared" si="0"/>
        <v>226</v>
      </c>
      <c r="L14" s="9">
        <v>205693</v>
      </c>
      <c r="M14" s="9">
        <v>205847</v>
      </c>
      <c r="N14" s="137">
        <f t="shared" si="3"/>
        <v>154</v>
      </c>
      <c r="O14" s="128">
        <f t="shared" si="4"/>
        <v>380</v>
      </c>
      <c r="P14" s="9">
        <v>218352</v>
      </c>
      <c r="Q14" s="9">
        <v>218352</v>
      </c>
      <c r="R14" s="128">
        <v>0</v>
      </c>
      <c r="AQ14" s="8"/>
      <c r="AR14" s="8"/>
      <c r="AS14" s="8"/>
    </row>
    <row r="15" spans="1:45">
      <c r="A15" s="12">
        <v>44390</v>
      </c>
      <c r="B15" s="9">
        <v>379446</v>
      </c>
      <c r="C15" s="9">
        <v>379624</v>
      </c>
      <c r="D15" s="128">
        <f t="shared" si="5"/>
        <v>178</v>
      </c>
      <c r="E15" s="9">
        <v>109381</v>
      </c>
      <c r="F15" s="9">
        <v>109719</v>
      </c>
      <c r="G15" s="137">
        <f t="shared" si="1"/>
        <v>338</v>
      </c>
      <c r="H15" s="128">
        <f t="shared" si="2"/>
        <v>516</v>
      </c>
      <c r="I15" s="9">
        <v>588142</v>
      </c>
      <c r="J15" s="9">
        <v>588361</v>
      </c>
      <c r="K15" s="137">
        <f t="shared" si="0"/>
        <v>219</v>
      </c>
      <c r="L15" s="9">
        <v>205847</v>
      </c>
      <c r="M15" s="9">
        <v>206012</v>
      </c>
      <c r="N15" s="137">
        <f t="shared" si="3"/>
        <v>165</v>
      </c>
      <c r="O15" s="128">
        <f t="shared" si="4"/>
        <v>384</v>
      </c>
      <c r="P15" s="9">
        <v>218352</v>
      </c>
      <c r="Q15" s="9">
        <v>218352</v>
      </c>
      <c r="R15" s="128">
        <v>0</v>
      </c>
      <c r="AQ15" s="8"/>
      <c r="AR15" s="8"/>
      <c r="AS15" s="8"/>
    </row>
    <row r="16" spans="1:45">
      <c r="A16" s="12">
        <v>44391</v>
      </c>
      <c r="B16" s="9">
        <v>379624</v>
      </c>
      <c r="C16" s="9">
        <v>379876</v>
      </c>
      <c r="D16" s="128">
        <f t="shared" si="5"/>
        <v>252</v>
      </c>
      <c r="E16" s="9">
        <v>109719</v>
      </c>
      <c r="F16" s="9">
        <v>110099</v>
      </c>
      <c r="G16" s="137">
        <f t="shared" si="1"/>
        <v>380</v>
      </c>
      <c r="H16" s="128">
        <f t="shared" si="2"/>
        <v>632</v>
      </c>
      <c r="I16" s="9">
        <v>588361</v>
      </c>
      <c r="J16" s="9">
        <v>588598</v>
      </c>
      <c r="K16" s="137">
        <f t="shared" si="0"/>
        <v>237</v>
      </c>
      <c r="L16" s="9">
        <v>206012</v>
      </c>
      <c r="M16" s="9">
        <v>206211</v>
      </c>
      <c r="N16" s="137">
        <f t="shared" si="3"/>
        <v>199</v>
      </c>
      <c r="O16" s="128">
        <f t="shared" si="4"/>
        <v>436</v>
      </c>
      <c r="P16" s="9">
        <v>218352</v>
      </c>
      <c r="Q16" s="9">
        <v>218352</v>
      </c>
      <c r="R16" s="128">
        <v>0</v>
      </c>
      <c r="AQ16" s="8"/>
      <c r="AR16" s="8"/>
      <c r="AS16" s="8"/>
    </row>
    <row r="17" spans="1:45">
      <c r="A17" s="12">
        <v>44392</v>
      </c>
      <c r="B17" s="9">
        <v>379876</v>
      </c>
      <c r="C17" s="9">
        <v>380119</v>
      </c>
      <c r="D17" s="128">
        <f t="shared" si="5"/>
        <v>243</v>
      </c>
      <c r="E17" s="9">
        <v>110099</v>
      </c>
      <c r="F17" s="9">
        <v>110471</v>
      </c>
      <c r="G17" s="137">
        <f t="shared" si="1"/>
        <v>372</v>
      </c>
      <c r="H17" s="128">
        <f t="shared" si="2"/>
        <v>615</v>
      </c>
      <c r="I17" s="9">
        <v>588598</v>
      </c>
      <c r="J17" s="9">
        <v>588836</v>
      </c>
      <c r="K17" s="137">
        <f t="shared" si="0"/>
        <v>238</v>
      </c>
      <c r="L17" s="9">
        <v>206211</v>
      </c>
      <c r="M17" s="9">
        <v>206363</v>
      </c>
      <c r="N17" s="137">
        <f t="shared" si="3"/>
        <v>152</v>
      </c>
      <c r="O17" s="128">
        <f t="shared" si="4"/>
        <v>390</v>
      </c>
      <c r="P17" s="9">
        <v>218352</v>
      </c>
      <c r="Q17" s="9">
        <v>218352</v>
      </c>
      <c r="R17" s="128">
        <v>0</v>
      </c>
      <c r="AQ17" s="8"/>
      <c r="AR17" s="8"/>
      <c r="AS17" s="8"/>
    </row>
    <row r="18" spans="1:45">
      <c r="A18" s="12">
        <v>44393</v>
      </c>
      <c r="B18" s="9">
        <v>380119</v>
      </c>
      <c r="C18" s="9">
        <v>380265</v>
      </c>
      <c r="D18" s="128">
        <f t="shared" si="5"/>
        <v>146</v>
      </c>
      <c r="E18" s="9">
        <v>110471</v>
      </c>
      <c r="F18" s="9">
        <v>110603</v>
      </c>
      <c r="G18" s="137">
        <f t="shared" si="1"/>
        <v>132</v>
      </c>
      <c r="H18" s="128">
        <f t="shared" si="2"/>
        <v>278</v>
      </c>
      <c r="I18" s="9">
        <v>588836</v>
      </c>
      <c r="J18" s="9">
        <v>589095</v>
      </c>
      <c r="K18" s="137">
        <f t="shared" si="0"/>
        <v>259</v>
      </c>
      <c r="L18" s="9">
        <v>206363</v>
      </c>
      <c r="M18" s="9">
        <v>206491</v>
      </c>
      <c r="N18" s="137">
        <f t="shared" si="3"/>
        <v>128</v>
      </c>
      <c r="O18" s="128">
        <f t="shared" si="4"/>
        <v>387</v>
      </c>
      <c r="P18" s="9">
        <v>218352</v>
      </c>
      <c r="Q18" s="9">
        <v>218352</v>
      </c>
      <c r="R18" s="128">
        <v>0</v>
      </c>
      <c r="AQ18" s="8"/>
      <c r="AR18" s="8"/>
      <c r="AS18" s="8"/>
    </row>
    <row r="19" spans="1:45">
      <c r="A19" s="12">
        <v>44394</v>
      </c>
      <c r="B19" s="9">
        <v>380265</v>
      </c>
      <c r="C19" s="9">
        <v>380567</v>
      </c>
      <c r="D19" s="128">
        <f t="shared" si="5"/>
        <v>302</v>
      </c>
      <c r="E19" s="9">
        <v>110603</v>
      </c>
      <c r="F19" s="9">
        <v>110922</v>
      </c>
      <c r="G19" s="137">
        <f t="shared" si="1"/>
        <v>319</v>
      </c>
      <c r="H19" s="128">
        <f t="shared" si="2"/>
        <v>621</v>
      </c>
      <c r="I19" s="9">
        <v>589095</v>
      </c>
      <c r="J19" s="9">
        <v>589365</v>
      </c>
      <c r="K19" s="137">
        <f t="shared" si="0"/>
        <v>270</v>
      </c>
      <c r="L19" s="9">
        <v>206491</v>
      </c>
      <c r="M19" s="9">
        <v>206630</v>
      </c>
      <c r="N19" s="137">
        <f t="shared" si="3"/>
        <v>139</v>
      </c>
      <c r="O19" s="128">
        <f t="shared" si="4"/>
        <v>409</v>
      </c>
      <c r="P19" s="9">
        <v>218352</v>
      </c>
      <c r="Q19" s="9">
        <v>218352</v>
      </c>
      <c r="R19" s="128">
        <v>0</v>
      </c>
      <c r="AQ19" s="8"/>
      <c r="AR19" s="8"/>
      <c r="AS19" s="8"/>
    </row>
    <row r="20" spans="1:45">
      <c r="A20" s="12">
        <v>44395</v>
      </c>
      <c r="B20" s="9">
        <v>380567</v>
      </c>
      <c r="C20" s="9">
        <v>380824</v>
      </c>
      <c r="D20" s="128">
        <f t="shared" si="5"/>
        <v>257</v>
      </c>
      <c r="E20" s="9">
        <v>110603</v>
      </c>
      <c r="F20" s="9">
        <v>111173</v>
      </c>
      <c r="G20" s="137">
        <f t="shared" si="1"/>
        <v>570</v>
      </c>
      <c r="H20" s="128">
        <f t="shared" si="2"/>
        <v>827</v>
      </c>
      <c r="I20" s="9">
        <v>589365</v>
      </c>
      <c r="J20" s="9">
        <v>589713</v>
      </c>
      <c r="K20" s="137">
        <f t="shared" si="0"/>
        <v>348</v>
      </c>
      <c r="L20" s="9">
        <v>206630</v>
      </c>
      <c r="M20" s="9">
        <v>206949</v>
      </c>
      <c r="N20" s="137">
        <f t="shared" si="3"/>
        <v>319</v>
      </c>
      <c r="O20" s="128">
        <f t="shared" si="4"/>
        <v>667</v>
      </c>
      <c r="P20" s="9">
        <v>218352</v>
      </c>
      <c r="Q20" s="9">
        <v>218352</v>
      </c>
      <c r="R20" s="128">
        <v>0</v>
      </c>
      <c r="AQ20" s="8"/>
      <c r="AR20" s="8"/>
      <c r="AS20" s="8"/>
    </row>
    <row r="21" spans="1:45">
      <c r="A21" s="12">
        <v>44396</v>
      </c>
      <c r="B21" s="9">
        <v>380824</v>
      </c>
      <c r="C21" s="9">
        <v>381059</v>
      </c>
      <c r="D21" s="128">
        <f t="shared" si="5"/>
        <v>235</v>
      </c>
      <c r="E21" s="9">
        <v>111173</v>
      </c>
      <c r="F21" s="9">
        <v>111509</v>
      </c>
      <c r="G21" s="137">
        <f t="shared" si="1"/>
        <v>336</v>
      </c>
      <c r="H21" s="128">
        <f t="shared" si="2"/>
        <v>571</v>
      </c>
      <c r="I21" s="9">
        <v>589713</v>
      </c>
      <c r="J21" s="9">
        <v>589870</v>
      </c>
      <c r="K21" s="137">
        <f t="shared" si="0"/>
        <v>157</v>
      </c>
      <c r="L21" s="9">
        <v>206949</v>
      </c>
      <c r="M21" s="9">
        <v>207179</v>
      </c>
      <c r="N21" s="137">
        <f t="shared" si="3"/>
        <v>230</v>
      </c>
      <c r="O21" s="128">
        <f t="shared" si="4"/>
        <v>387</v>
      </c>
      <c r="P21" s="9">
        <v>218352</v>
      </c>
      <c r="Q21" s="9">
        <v>218352</v>
      </c>
      <c r="R21" s="128">
        <v>0</v>
      </c>
      <c r="AQ21" s="8"/>
      <c r="AR21" s="8"/>
      <c r="AS21" s="8"/>
    </row>
    <row r="22" spans="1:45">
      <c r="A22" s="12">
        <v>44397</v>
      </c>
      <c r="B22" s="9">
        <v>380824</v>
      </c>
      <c r="C22" s="9">
        <v>381323</v>
      </c>
      <c r="D22" s="128">
        <f t="shared" si="5"/>
        <v>499</v>
      </c>
      <c r="E22" s="9">
        <v>111509</v>
      </c>
      <c r="F22" s="9">
        <v>111808</v>
      </c>
      <c r="G22" s="137">
        <f t="shared" si="1"/>
        <v>299</v>
      </c>
      <c r="H22" s="128">
        <f t="shared" si="2"/>
        <v>798</v>
      </c>
      <c r="I22" s="9">
        <v>589870</v>
      </c>
      <c r="J22" s="9">
        <v>590134</v>
      </c>
      <c r="K22" s="137">
        <f t="shared" si="0"/>
        <v>264</v>
      </c>
      <c r="L22" s="9">
        <v>207179</v>
      </c>
      <c r="M22" s="9">
        <v>207387</v>
      </c>
      <c r="N22" s="137">
        <f t="shared" si="3"/>
        <v>208</v>
      </c>
      <c r="O22" s="128">
        <f t="shared" si="4"/>
        <v>472</v>
      </c>
      <c r="P22" s="9">
        <v>218352</v>
      </c>
      <c r="Q22" s="9">
        <v>218352</v>
      </c>
      <c r="R22" s="128">
        <v>0</v>
      </c>
      <c r="AQ22" s="8"/>
      <c r="AR22" s="8"/>
      <c r="AS22" s="8"/>
    </row>
    <row r="23" spans="1:45">
      <c r="A23" s="12">
        <v>44398</v>
      </c>
      <c r="B23" s="9">
        <v>381324</v>
      </c>
      <c r="C23" s="9">
        <v>381551</v>
      </c>
      <c r="D23" s="128">
        <f t="shared" si="5"/>
        <v>227</v>
      </c>
      <c r="E23" s="9">
        <v>111808</v>
      </c>
      <c r="F23" s="9">
        <v>112016</v>
      </c>
      <c r="G23" s="137">
        <f t="shared" si="1"/>
        <v>208</v>
      </c>
      <c r="H23" s="128">
        <f t="shared" si="2"/>
        <v>435</v>
      </c>
      <c r="I23" s="9">
        <v>590134</v>
      </c>
      <c r="J23" s="9">
        <v>590338</v>
      </c>
      <c r="K23" s="137">
        <f t="shared" si="0"/>
        <v>204</v>
      </c>
      <c r="L23" s="9">
        <v>207387</v>
      </c>
      <c r="M23" s="9">
        <v>207558</v>
      </c>
      <c r="N23" s="137">
        <f t="shared" si="3"/>
        <v>171</v>
      </c>
      <c r="O23" s="128">
        <f t="shared" si="4"/>
        <v>375</v>
      </c>
      <c r="P23" s="9">
        <v>218352</v>
      </c>
      <c r="Q23" s="9">
        <v>218352</v>
      </c>
      <c r="R23" s="128">
        <v>0</v>
      </c>
      <c r="AQ23" s="8"/>
      <c r="AR23" s="8"/>
      <c r="AS23" s="8"/>
    </row>
    <row r="24" spans="1:45">
      <c r="A24" s="12">
        <v>44399</v>
      </c>
      <c r="B24" s="9">
        <v>381551</v>
      </c>
      <c r="C24" s="9">
        <v>381725</v>
      </c>
      <c r="D24" s="128">
        <f t="shared" si="5"/>
        <v>174</v>
      </c>
      <c r="E24" s="9">
        <v>112016</v>
      </c>
      <c r="F24" s="9">
        <v>112178</v>
      </c>
      <c r="G24" s="137">
        <f t="shared" si="1"/>
        <v>162</v>
      </c>
      <c r="H24" s="128">
        <f t="shared" si="2"/>
        <v>336</v>
      </c>
      <c r="I24" s="9">
        <v>590338</v>
      </c>
      <c r="J24" s="9">
        <v>590572</v>
      </c>
      <c r="K24" s="137">
        <f t="shared" si="0"/>
        <v>234</v>
      </c>
      <c r="L24" s="9">
        <v>207558</v>
      </c>
      <c r="M24" s="9">
        <v>207719</v>
      </c>
      <c r="N24" s="137">
        <f t="shared" si="3"/>
        <v>161</v>
      </c>
      <c r="O24" s="128">
        <f t="shared" si="4"/>
        <v>395</v>
      </c>
      <c r="P24" s="9">
        <v>218352</v>
      </c>
      <c r="Q24" s="9">
        <v>218352</v>
      </c>
      <c r="R24" s="128">
        <v>0</v>
      </c>
      <c r="AQ24" s="8"/>
      <c r="AR24" s="8"/>
      <c r="AS24" s="8"/>
    </row>
    <row r="25" spans="1:45">
      <c r="A25" s="12">
        <v>44400</v>
      </c>
      <c r="B25" s="9">
        <v>381725</v>
      </c>
      <c r="C25" s="9">
        <v>382007</v>
      </c>
      <c r="D25" s="128">
        <f t="shared" si="5"/>
        <v>282</v>
      </c>
      <c r="E25" s="9">
        <v>112178</v>
      </c>
      <c r="F25" s="9">
        <v>112410</v>
      </c>
      <c r="G25" s="137">
        <f t="shared" si="1"/>
        <v>232</v>
      </c>
      <c r="H25" s="128">
        <f t="shared" si="2"/>
        <v>514</v>
      </c>
      <c r="I25" s="9">
        <v>590572</v>
      </c>
      <c r="J25" s="9">
        <v>590805</v>
      </c>
      <c r="K25" s="137">
        <f t="shared" si="0"/>
        <v>233</v>
      </c>
      <c r="L25" s="9">
        <v>207719</v>
      </c>
      <c r="M25" s="9">
        <v>207906</v>
      </c>
      <c r="N25" s="137">
        <f t="shared" si="3"/>
        <v>187</v>
      </c>
      <c r="O25" s="128">
        <f t="shared" si="4"/>
        <v>420</v>
      </c>
      <c r="P25" s="9">
        <v>218352</v>
      </c>
      <c r="Q25" s="9">
        <v>218352</v>
      </c>
      <c r="R25" s="128">
        <v>0</v>
      </c>
      <c r="AQ25" s="8"/>
      <c r="AR25" s="8"/>
      <c r="AS25" s="8"/>
    </row>
    <row r="26" spans="1:45">
      <c r="A26" s="12">
        <v>44401</v>
      </c>
      <c r="B26" s="9">
        <v>382007</v>
      </c>
      <c r="C26" s="9">
        <v>382265</v>
      </c>
      <c r="D26" s="128">
        <f t="shared" si="5"/>
        <v>258</v>
      </c>
      <c r="E26" s="9">
        <v>112410</v>
      </c>
      <c r="F26" s="9">
        <v>112638</v>
      </c>
      <c r="G26" s="137">
        <f t="shared" si="1"/>
        <v>228</v>
      </c>
      <c r="H26" s="128">
        <f t="shared" si="2"/>
        <v>486</v>
      </c>
      <c r="I26" s="9">
        <v>590805</v>
      </c>
      <c r="J26" s="9">
        <v>591081</v>
      </c>
      <c r="K26" s="137">
        <f t="shared" si="0"/>
        <v>276</v>
      </c>
      <c r="L26" s="9">
        <v>207906</v>
      </c>
      <c r="M26" s="9">
        <v>208092</v>
      </c>
      <c r="N26" s="137">
        <f t="shared" si="3"/>
        <v>186</v>
      </c>
      <c r="O26" s="128">
        <f t="shared" si="4"/>
        <v>462</v>
      </c>
      <c r="P26" s="9">
        <v>218352</v>
      </c>
      <c r="Q26" s="9">
        <v>218352</v>
      </c>
      <c r="R26" s="128">
        <v>0</v>
      </c>
      <c r="AQ26" s="8"/>
      <c r="AR26" s="8"/>
      <c r="AS26" s="8"/>
    </row>
    <row r="27" spans="1:45">
      <c r="A27" s="12">
        <v>44402</v>
      </c>
      <c r="B27" s="9">
        <v>382265</v>
      </c>
      <c r="C27" s="9">
        <v>382488</v>
      </c>
      <c r="D27" s="128">
        <f t="shared" si="5"/>
        <v>223</v>
      </c>
      <c r="E27" s="9">
        <v>112638</v>
      </c>
      <c r="F27" s="9">
        <v>112835</v>
      </c>
      <c r="G27" s="137">
        <f t="shared" si="1"/>
        <v>197</v>
      </c>
      <c r="H27" s="128">
        <f t="shared" si="2"/>
        <v>420</v>
      </c>
      <c r="I27" s="9">
        <v>591081</v>
      </c>
      <c r="J27" s="9">
        <v>591321</v>
      </c>
      <c r="K27" s="137">
        <f t="shared" si="0"/>
        <v>240</v>
      </c>
      <c r="L27" s="9">
        <v>208092</v>
      </c>
      <c r="M27" s="9">
        <v>208284</v>
      </c>
      <c r="N27" s="137">
        <f t="shared" si="3"/>
        <v>192</v>
      </c>
      <c r="O27" s="128">
        <f t="shared" si="4"/>
        <v>432</v>
      </c>
      <c r="P27" s="9">
        <v>218352</v>
      </c>
      <c r="Q27" s="9">
        <v>218352</v>
      </c>
      <c r="R27" s="128">
        <v>0</v>
      </c>
      <c r="AQ27" s="8"/>
      <c r="AR27" s="8"/>
      <c r="AS27" s="8"/>
    </row>
    <row r="28" spans="1:45">
      <c r="A28" s="12">
        <v>44403</v>
      </c>
      <c r="B28" s="9">
        <v>382488</v>
      </c>
      <c r="C28" s="9">
        <v>382728</v>
      </c>
      <c r="D28" s="128">
        <f t="shared" si="5"/>
        <v>240</v>
      </c>
      <c r="E28" s="9">
        <v>112835</v>
      </c>
      <c r="F28" s="9">
        <v>113065</v>
      </c>
      <c r="G28" s="137">
        <f t="shared" si="1"/>
        <v>230</v>
      </c>
      <c r="H28" s="128">
        <f t="shared" si="2"/>
        <v>470</v>
      </c>
      <c r="I28" s="9">
        <v>591321</v>
      </c>
      <c r="J28" s="9">
        <v>591563</v>
      </c>
      <c r="K28" s="137">
        <f t="shared" si="0"/>
        <v>242</v>
      </c>
      <c r="L28" s="9">
        <v>208284</v>
      </c>
      <c r="M28" s="9">
        <v>208442</v>
      </c>
      <c r="N28" s="137">
        <f t="shared" si="3"/>
        <v>158</v>
      </c>
      <c r="O28" s="128">
        <f t="shared" si="4"/>
        <v>400</v>
      </c>
      <c r="P28" s="9">
        <v>218352</v>
      </c>
      <c r="Q28" s="9">
        <v>218352</v>
      </c>
      <c r="R28" s="128">
        <v>0</v>
      </c>
      <c r="AQ28" s="8"/>
      <c r="AR28" s="8"/>
      <c r="AS28" s="8"/>
    </row>
    <row r="29" spans="1:45">
      <c r="A29" s="12">
        <v>44404</v>
      </c>
      <c r="B29" s="9">
        <v>382728</v>
      </c>
      <c r="C29" s="9">
        <v>382960</v>
      </c>
      <c r="D29" s="128">
        <f t="shared" si="5"/>
        <v>232</v>
      </c>
      <c r="E29" s="9">
        <v>113065</v>
      </c>
      <c r="F29" s="9">
        <v>113254</v>
      </c>
      <c r="G29" s="137">
        <f t="shared" si="1"/>
        <v>189</v>
      </c>
      <c r="H29" s="128">
        <f t="shared" si="2"/>
        <v>421</v>
      </c>
      <c r="I29" s="9">
        <v>591563</v>
      </c>
      <c r="J29" s="9">
        <v>591785</v>
      </c>
      <c r="K29" s="137">
        <f t="shared" si="0"/>
        <v>222</v>
      </c>
      <c r="L29" s="9">
        <v>208442</v>
      </c>
      <c r="M29" s="9">
        <v>208600</v>
      </c>
      <c r="N29" s="137">
        <f t="shared" si="3"/>
        <v>158</v>
      </c>
      <c r="O29" s="128">
        <f t="shared" si="4"/>
        <v>380</v>
      </c>
      <c r="P29" s="9">
        <v>218352</v>
      </c>
      <c r="Q29" s="9">
        <v>218352</v>
      </c>
      <c r="R29" s="128">
        <v>0</v>
      </c>
      <c r="AQ29" s="8"/>
      <c r="AR29" s="8"/>
      <c r="AS29" s="8"/>
    </row>
    <row r="30" spans="1:45">
      <c r="A30" s="12">
        <v>44405</v>
      </c>
      <c r="B30" s="9">
        <v>382728</v>
      </c>
      <c r="C30" s="9">
        <v>382995</v>
      </c>
      <c r="D30" s="128">
        <f t="shared" si="5"/>
        <v>267</v>
      </c>
      <c r="E30" s="9">
        <v>113254</v>
      </c>
      <c r="F30" s="9">
        <v>113291</v>
      </c>
      <c r="G30" s="137">
        <f t="shared" si="1"/>
        <v>37</v>
      </c>
      <c r="H30" s="128">
        <f t="shared" si="2"/>
        <v>304</v>
      </c>
      <c r="I30" s="9">
        <v>591563</v>
      </c>
      <c r="J30" s="9">
        <v>591959</v>
      </c>
      <c r="K30" s="137">
        <f t="shared" si="0"/>
        <v>396</v>
      </c>
      <c r="L30" s="9">
        <v>208600</v>
      </c>
      <c r="M30" s="9">
        <v>208645</v>
      </c>
      <c r="N30" s="137">
        <f t="shared" si="3"/>
        <v>45</v>
      </c>
      <c r="O30" s="128">
        <f t="shared" si="4"/>
        <v>441</v>
      </c>
      <c r="P30" s="9">
        <v>218352</v>
      </c>
      <c r="Q30" s="9">
        <v>218352</v>
      </c>
      <c r="R30" s="128">
        <v>0</v>
      </c>
      <c r="AQ30" s="8"/>
      <c r="AR30" s="8"/>
      <c r="AS30" s="8"/>
    </row>
    <row r="31" spans="1:45">
      <c r="A31" s="12">
        <v>44406</v>
      </c>
      <c r="B31" s="9">
        <v>382995</v>
      </c>
      <c r="C31" s="9">
        <v>383186</v>
      </c>
      <c r="D31" s="128">
        <f t="shared" si="5"/>
        <v>191</v>
      </c>
      <c r="E31" s="9">
        <v>113291</v>
      </c>
      <c r="F31" s="9">
        <v>113519</v>
      </c>
      <c r="G31" s="137">
        <f t="shared" si="1"/>
        <v>228</v>
      </c>
      <c r="H31" s="128">
        <f t="shared" si="2"/>
        <v>419</v>
      </c>
      <c r="I31" s="9">
        <v>591959</v>
      </c>
      <c r="J31" s="9">
        <v>592172</v>
      </c>
      <c r="K31" s="137">
        <f t="shared" si="0"/>
        <v>213</v>
      </c>
      <c r="L31" s="9">
        <v>208600</v>
      </c>
      <c r="M31" s="9">
        <v>208879</v>
      </c>
      <c r="N31" s="137">
        <f t="shared" si="3"/>
        <v>279</v>
      </c>
      <c r="O31" s="128">
        <f t="shared" si="4"/>
        <v>492</v>
      </c>
      <c r="P31" s="9">
        <v>218352</v>
      </c>
      <c r="Q31" s="9">
        <v>218352</v>
      </c>
      <c r="R31" s="128">
        <v>0</v>
      </c>
      <c r="AQ31" s="8"/>
      <c r="AR31" s="8"/>
      <c r="AS31" s="8"/>
    </row>
    <row r="32" spans="1:45">
      <c r="A32" s="12">
        <v>44407</v>
      </c>
      <c r="B32" s="9">
        <v>383186</v>
      </c>
      <c r="C32" s="9">
        <v>383372</v>
      </c>
      <c r="D32" s="128">
        <f t="shared" si="5"/>
        <v>186</v>
      </c>
      <c r="E32" s="9">
        <v>113519</v>
      </c>
      <c r="F32" s="9">
        <v>113733</v>
      </c>
      <c r="G32" s="137">
        <f t="shared" si="1"/>
        <v>214</v>
      </c>
      <c r="H32" s="128">
        <f t="shared" si="2"/>
        <v>400</v>
      </c>
      <c r="I32" s="9">
        <v>592172</v>
      </c>
      <c r="J32" s="9">
        <v>592409</v>
      </c>
      <c r="K32" s="137">
        <f t="shared" si="0"/>
        <v>237</v>
      </c>
      <c r="L32" s="9">
        <v>208879</v>
      </c>
      <c r="M32" s="9">
        <v>209030</v>
      </c>
      <c r="N32" s="137">
        <f t="shared" si="3"/>
        <v>151</v>
      </c>
      <c r="O32" s="128">
        <f t="shared" si="4"/>
        <v>388</v>
      </c>
      <c r="P32" s="9">
        <v>218352</v>
      </c>
      <c r="Q32" s="9">
        <v>218352</v>
      </c>
      <c r="R32" s="128">
        <v>0</v>
      </c>
      <c r="AQ32" s="8"/>
      <c r="AR32" s="8"/>
      <c r="AS32" s="8"/>
    </row>
    <row r="33" spans="1:45">
      <c r="A33" s="12">
        <v>44408</v>
      </c>
      <c r="B33" s="9">
        <v>383372</v>
      </c>
      <c r="C33" s="9">
        <v>383529</v>
      </c>
      <c r="D33" s="128">
        <f t="shared" si="5"/>
        <v>157</v>
      </c>
      <c r="E33" s="9">
        <v>113733</v>
      </c>
      <c r="F33" s="9">
        <v>113927</v>
      </c>
      <c r="G33" s="137">
        <f t="shared" si="1"/>
        <v>194</v>
      </c>
      <c r="H33" s="128">
        <f t="shared" si="2"/>
        <v>351</v>
      </c>
      <c r="I33" s="9">
        <v>592409</v>
      </c>
      <c r="J33" s="9">
        <v>592689</v>
      </c>
      <c r="K33" s="137">
        <f t="shared" si="0"/>
        <v>280</v>
      </c>
      <c r="L33" s="9">
        <v>209030</v>
      </c>
      <c r="M33" s="9">
        <v>209235</v>
      </c>
      <c r="N33" s="137">
        <f t="shared" si="3"/>
        <v>205</v>
      </c>
      <c r="O33" s="128">
        <f t="shared" si="4"/>
        <v>485</v>
      </c>
      <c r="P33" s="9">
        <v>218352</v>
      </c>
      <c r="Q33" s="9">
        <v>218352</v>
      </c>
      <c r="R33" s="128">
        <v>0</v>
      </c>
      <c r="AQ33" s="8"/>
      <c r="AR33" s="8"/>
      <c r="AS33" s="8"/>
    </row>
    <row r="34" spans="1:45">
      <c r="A34" s="12">
        <v>44409</v>
      </c>
      <c r="B34" s="9">
        <v>383529</v>
      </c>
      <c r="C34" s="9">
        <v>383691</v>
      </c>
      <c r="D34" s="128">
        <f t="shared" si="5"/>
        <v>162</v>
      </c>
      <c r="E34" s="9">
        <v>113927</v>
      </c>
      <c r="F34" s="9">
        <v>114143</v>
      </c>
      <c r="G34" s="137">
        <f t="shared" si="1"/>
        <v>216</v>
      </c>
      <c r="H34" s="128">
        <f t="shared" si="2"/>
        <v>378</v>
      </c>
      <c r="I34" s="9">
        <v>592689</v>
      </c>
      <c r="J34" s="9">
        <v>592966</v>
      </c>
      <c r="K34" s="137">
        <f t="shared" si="0"/>
        <v>277</v>
      </c>
      <c r="L34" s="9">
        <v>209235</v>
      </c>
      <c r="M34" s="9">
        <v>209395</v>
      </c>
      <c r="N34" s="137">
        <f t="shared" si="3"/>
        <v>160</v>
      </c>
      <c r="O34" s="128">
        <f t="shared" si="4"/>
        <v>437</v>
      </c>
      <c r="P34" s="9">
        <v>218352</v>
      </c>
      <c r="Q34" s="9">
        <v>218352</v>
      </c>
      <c r="R34" s="128">
        <v>0</v>
      </c>
      <c r="AQ34" s="8"/>
      <c r="AR34" s="8"/>
      <c r="AS34" s="8"/>
    </row>
    <row r="35" spans="1:45">
      <c r="A35" s="12">
        <v>44410</v>
      </c>
      <c r="B35" s="9">
        <v>383691</v>
      </c>
      <c r="C35" s="9">
        <v>383951</v>
      </c>
      <c r="D35" s="128">
        <f t="shared" si="5"/>
        <v>260</v>
      </c>
      <c r="E35" s="9">
        <v>114143</v>
      </c>
      <c r="F35" s="9">
        <v>114532</v>
      </c>
      <c r="G35" s="137">
        <f t="shared" si="1"/>
        <v>389</v>
      </c>
      <c r="H35" s="128">
        <f t="shared" si="2"/>
        <v>649</v>
      </c>
      <c r="I35" s="9">
        <v>592966</v>
      </c>
      <c r="J35" s="9">
        <v>593178</v>
      </c>
      <c r="K35" s="137">
        <f t="shared" si="0"/>
        <v>212</v>
      </c>
      <c r="L35" s="9">
        <v>209395</v>
      </c>
      <c r="M35" s="9">
        <v>209572</v>
      </c>
      <c r="N35" s="137">
        <f t="shared" si="3"/>
        <v>177</v>
      </c>
      <c r="O35" s="128">
        <f t="shared" si="4"/>
        <v>389</v>
      </c>
      <c r="P35" s="9">
        <v>218352</v>
      </c>
      <c r="Q35" s="9">
        <v>218352</v>
      </c>
      <c r="R35" s="128">
        <v>0</v>
      </c>
      <c r="AQ35" s="8"/>
      <c r="AR35" s="8"/>
      <c r="AS35" s="8"/>
    </row>
    <row r="36" spans="1:45">
      <c r="A36" s="12">
        <v>44411</v>
      </c>
      <c r="B36" s="9">
        <v>383691</v>
      </c>
      <c r="C36" s="9">
        <v>384146</v>
      </c>
      <c r="D36" s="128">
        <f t="shared" si="5"/>
        <v>455</v>
      </c>
      <c r="E36" s="9">
        <v>114143</v>
      </c>
      <c r="F36" s="9">
        <v>114828</v>
      </c>
      <c r="G36" s="137">
        <f t="shared" si="1"/>
        <v>685</v>
      </c>
      <c r="H36" s="128">
        <f>D36+G36</f>
        <v>1140</v>
      </c>
      <c r="I36" s="9">
        <v>593178</v>
      </c>
      <c r="J36" s="9">
        <v>593442</v>
      </c>
      <c r="K36" s="137">
        <f t="shared" si="0"/>
        <v>264</v>
      </c>
      <c r="L36" s="9">
        <v>209572</v>
      </c>
      <c r="M36" s="9">
        <v>209743</v>
      </c>
      <c r="N36" s="137">
        <f t="shared" si="3"/>
        <v>171</v>
      </c>
      <c r="O36" s="128">
        <f t="shared" si="4"/>
        <v>435</v>
      </c>
      <c r="P36" s="9">
        <v>218352</v>
      </c>
      <c r="Q36" s="9">
        <v>218352</v>
      </c>
      <c r="R36" s="128">
        <v>0</v>
      </c>
      <c r="AQ36" s="8"/>
      <c r="AR36" s="8"/>
      <c r="AS36" s="8"/>
    </row>
    <row r="37" spans="1:45">
      <c r="A37" s="12">
        <v>44412</v>
      </c>
      <c r="B37" s="9">
        <v>384146</v>
      </c>
      <c r="C37" s="9">
        <v>384334</v>
      </c>
      <c r="D37" s="128">
        <f t="shared" si="5"/>
        <v>188</v>
      </c>
      <c r="E37" s="9">
        <v>114828</v>
      </c>
      <c r="F37" s="9">
        <v>115149</v>
      </c>
      <c r="G37" s="137">
        <f t="shared" si="1"/>
        <v>321</v>
      </c>
      <c r="H37" s="128">
        <f t="shared" si="2"/>
        <v>509</v>
      </c>
      <c r="I37" s="9">
        <v>593442</v>
      </c>
      <c r="J37" s="9">
        <v>593635</v>
      </c>
      <c r="K37" s="137">
        <f t="shared" si="0"/>
        <v>193</v>
      </c>
      <c r="L37" s="9">
        <v>209743</v>
      </c>
      <c r="M37" s="9">
        <v>209923</v>
      </c>
      <c r="N37" s="137">
        <f t="shared" si="3"/>
        <v>180</v>
      </c>
      <c r="O37" s="128">
        <f t="shared" si="4"/>
        <v>373</v>
      </c>
      <c r="P37" s="9">
        <v>218352</v>
      </c>
      <c r="Q37" s="9">
        <v>218352</v>
      </c>
      <c r="R37" s="128">
        <v>0</v>
      </c>
      <c r="AQ37" s="8"/>
      <c r="AR37" s="8"/>
      <c r="AS37" s="8"/>
    </row>
    <row r="38" spans="1:45">
      <c r="A38" s="12">
        <v>44413</v>
      </c>
      <c r="B38" s="9">
        <v>384334</v>
      </c>
      <c r="C38" s="9">
        <v>384492</v>
      </c>
      <c r="D38" s="128">
        <f t="shared" si="5"/>
        <v>158</v>
      </c>
      <c r="E38" s="9">
        <v>115149</v>
      </c>
      <c r="F38" s="9">
        <v>115523</v>
      </c>
      <c r="G38" s="137">
        <f t="shared" si="1"/>
        <v>374</v>
      </c>
      <c r="H38" s="128">
        <f t="shared" si="2"/>
        <v>532</v>
      </c>
      <c r="I38" s="9">
        <v>593635</v>
      </c>
      <c r="J38" s="9">
        <v>593900</v>
      </c>
      <c r="K38" s="137">
        <f t="shared" si="0"/>
        <v>265</v>
      </c>
      <c r="L38" s="9">
        <v>209923</v>
      </c>
      <c r="M38" s="9">
        <v>210107</v>
      </c>
      <c r="N38" s="137">
        <f t="shared" si="3"/>
        <v>184</v>
      </c>
      <c r="O38" s="128">
        <f t="shared" si="4"/>
        <v>449</v>
      </c>
      <c r="P38" s="9">
        <v>218352</v>
      </c>
      <c r="Q38" s="9">
        <v>218352</v>
      </c>
      <c r="R38" s="128">
        <v>0</v>
      </c>
      <c r="AQ38" s="8"/>
      <c r="AR38" s="8"/>
      <c r="AS38" s="8"/>
    </row>
    <row r="39" spans="1:45">
      <c r="A39" s="12">
        <v>44414</v>
      </c>
      <c r="B39" s="9">
        <v>384492</v>
      </c>
      <c r="C39" s="9">
        <v>384691</v>
      </c>
      <c r="D39" s="128">
        <f t="shared" si="5"/>
        <v>199</v>
      </c>
      <c r="E39" s="9">
        <v>115523</v>
      </c>
      <c r="F39" s="9">
        <v>115923</v>
      </c>
      <c r="G39" s="137">
        <f t="shared" si="1"/>
        <v>400</v>
      </c>
      <c r="H39" s="128">
        <f t="shared" si="2"/>
        <v>599</v>
      </c>
      <c r="I39" s="9">
        <v>593900</v>
      </c>
      <c r="J39" s="9">
        <v>594113</v>
      </c>
      <c r="K39" s="137">
        <f t="shared" si="0"/>
        <v>213</v>
      </c>
      <c r="L39" s="9">
        <v>210107</v>
      </c>
      <c r="M39" s="9">
        <v>210289</v>
      </c>
      <c r="N39" s="137">
        <f t="shared" si="3"/>
        <v>182</v>
      </c>
      <c r="O39" s="128">
        <f t="shared" si="4"/>
        <v>395</v>
      </c>
      <c r="P39" s="9">
        <v>218352</v>
      </c>
      <c r="Q39" s="9">
        <v>218352</v>
      </c>
      <c r="R39" s="128">
        <v>0</v>
      </c>
      <c r="AQ39" s="8"/>
      <c r="AR39" s="8"/>
      <c r="AS39" s="8"/>
    </row>
    <row r="40" spans="1:45">
      <c r="A40" s="12">
        <v>44415</v>
      </c>
      <c r="B40" s="9">
        <v>384691</v>
      </c>
      <c r="C40" s="9">
        <v>384862</v>
      </c>
      <c r="D40" s="128">
        <f t="shared" si="5"/>
        <v>171</v>
      </c>
      <c r="E40" s="9">
        <v>115923</v>
      </c>
      <c r="F40" s="9">
        <v>116265</v>
      </c>
      <c r="G40" s="137">
        <f t="shared" si="1"/>
        <v>342</v>
      </c>
      <c r="H40" s="128">
        <f t="shared" si="2"/>
        <v>513</v>
      </c>
      <c r="I40" s="9">
        <v>594113</v>
      </c>
      <c r="J40" s="9">
        <v>594408</v>
      </c>
      <c r="K40" s="137">
        <f t="shared" si="0"/>
        <v>295</v>
      </c>
      <c r="L40" s="9">
        <v>210289</v>
      </c>
      <c r="M40" s="9">
        <v>210553</v>
      </c>
      <c r="N40" s="137">
        <f t="shared" si="3"/>
        <v>264</v>
      </c>
      <c r="O40" s="128">
        <f t="shared" si="4"/>
        <v>559</v>
      </c>
      <c r="P40" s="9">
        <v>218352</v>
      </c>
      <c r="Q40" s="9">
        <v>218252</v>
      </c>
      <c r="R40" s="128">
        <v>0</v>
      </c>
      <c r="AQ40" s="8"/>
      <c r="AR40" s="8"/>
      <c r="AS40" s="8"/>
    </row>
    <row r="41" spans="1:45">
      <c r="A41" s="12">
        <v>44416</v>
      </c>
      <c r="B41" s="9">
        <v>384862</v>
      </c>
      <c r="C41" s="9">
        <v>385034</v>
      </c>
      <c r="D41" s="128">
        <f t="shared" si="5"/>
        <v>172</v>
      </c>
      <c r="E41" s="9">
        <v>116265</v>
      </c>
      <c r="F41" s="9">
        <v>116543</v>
      </c>
      <c r="G41" s="137">
        <f t="shared" si="1"/>
        <v>278</v>
      </c>
      <c r="H41" s="128">
        <f t="shared" si="2"/>
        <v>450</v>
      </c>
      <c r="I41" s="9">
        <v>594408</v>
      </c>
      <c r="J41" s="9">
        <v>594682</v>
      </c>
      <c r="K41" s="137">
        <f t="shared" si="0"/>
        <v>274</v>
      </c>
      <c r="L41" s="9">
        <v>210553</v>
      </c>
      <c r="M41" s="9">
        <v>210774</v>
      </c>
      <c r="N41" s="137">
        <f t="shared" si="3"/>
        <v>221</v>
      </c>
      <c r="O41" s="128">
        <f t="shared" si="4"/>
        <v>495</v>
      </c>
      <c r="P41" s="9">
        <v>218252</v>
      </c>
      <c r="Q41" s="9">
        <v>218252</v>
      </c>
      <c r="R41" s="128">
        <v>0</v>
      </c>
      <c r="AQ41" s="8"/>
      <c r="AR41" s="8"/>
      <c r="AS41" s="8"/>
    </row>
    <row r="42" spans="1:45">
      <c r="A42" s="12">
        <v>44417</v>
      </c>
      <c r="B42" s="9">
        <v>385034</v>
      </c>
      <c r="C42" s="9">
        <v>385189</v>
      </c>
      <c r="D42" s="128">
        <f t="shared" si="5"/>
        <v>155</v>
      </c>
      <c r="E42" s="9">
        <v>116543</v>
      </c>
      <c r="F42" s="9">
        <v>116870</v>
      </c>
      <c r="G42" s="137">
        <f t="shared" si="1"/>
        <v>327</v>
      </c>
      <c r="H42" s="128">
        <f t="shared" si="2"/>
        <v>482</v>
      </c>
      <c r="I42" s="9">
        <v>594682</v>
      </c>
      <c r="J42" s="9">
        <v>594869</v>
      </c>
      <c r="K42" s="137">
        <f t="shared" si="0"/>
        <v>187</v>
      </c>
      <c r="L42" s="9">
        <v>210774</v>
      </c>
      <c r="M42" s="9">
        <v>210859</v>
      </c>
      <c r="N42" s="137">
        <f t="shared" si="3"/>
        <v>85</v>
      </c>
      <c r="O42" s="128">
        <f t="shared" si="4"/>
        <v>272</v>
      </c>
      <c r="P42" s="9">
        <v>218252</v>
      </c>
      <c r="Q42" s="9">
        <v>218252</v>
      </c>
      <c r="R42" s="128">
        <v>0</v>
      </c>
      <c r="AQ42" s="8"/>
      <c r="AR42" s="8"/>
      <c r="AS42" s="8"/>
    </row>
    <row r="43" spans="1:45">
      <c r="A43" s="12">
        <v>44418</v>
      </c>
      <c r="B43" s="9">
        <v>385189</v>
      </c>
      <c r="C43" s="9">
        <v>385404</v>
      </c>
      <c r="D43" s="128">
        <f t="shared" si="5"/>
        <v>215</v>
      </c>
      <c r="E43" s="9">
        <v>116543</v>
      </c>
      <c r="F43" s="9">
        <v>117113</v>
      </c>
      <c r="G43" s="137">
        <f t="shared" si="1"/>
        <v>570</v>
      </c>
      <c r="H43" s="128">
        <f t="shared" si="2"/>
        <v>785</v>
      </c>
      <c r="I43" s="9">
        <v>594869</v>
      </c>
      <c r="J43" s="9">
        <v>595100</v>
      </c>
      <c r="K43" s="137">
        <f t="shared" si="0"/>
        <v>231</v>
      </c>
      <c r="L43" s="9">
        <v>210859</v>
      </c>
      <c r="M43" s="9">
        <v>211009</v>
      </c>
      <c r="N43" s="137">
        <f t="shared" si="3"/>
        <v>150</v>
      </c>
      <c r="O43" s="128">
        <f t="shared" si="4"/>
        <v>381</v>
      </c>
      <c r="P43" s="9">
        <v>218252</v>
      </c>
      <c r="Q43" s="9">
        <v>218252</v>
      </c>
      <c r="R43" s="128">
        <v>0</v>
      </c>
      <c r="AQ43" s="8"/>
      <c r="AR43" s="8"/>
      <c r="AS43" s="8"/>
    </row>
    <row r="44" spans="1:45">
      <c r="A44" s="12">
        <v>44419</v>
      </c>
      <c r="B44" s="9">
        <v>385404</v>
      </c>
      <c r="C44" s="9">
        <v>385632</v>
      </c>
      <c r="D44" s="128">
        <f t="shared" si="5"/>
        <v>228</v>
      </c>
      <c r="E44" s="9">
        <v>117113</v>
      </c>
      <c r="F44" s="9">
        <v>117375</v>
      </c>
      <c r="G44" s="137">
        <f t="shared" si="1"/>
        <v>262</v>
      </c>
      <c r="H44" s="128">
        <f t="shared" si="2"/>
        <v>490</v>
      </c>
      <c r="I44" s="9">
        <v>595100</v>
      </c>
      <c r="J44" s="9">
        <v>595316</v>
      </c>
      <c r="K44" s="137">
        <f t="shared" si="0"/>
        <v>216</v>
      </c>
      <c r="L44" s="9">
        <v>211009</v>
      </c>
      <c r="M44" s="9">
        <v>211175</v>
      </c>
      <c r="N44" s="137">
        <f t="shared" si="3"/>
        <v>166</v>
      </c>
      <c r="O44" s="128">
        <f t="shared" si="4"/>
        <v>382</v>
      </c>
      <c r="P44" s="9">
        <v>218252</v>
      </c>
      <c r="Q44" s="9">
        <v>218252</v>
      </c>
      <c r="R44" s="128">
        <v>0</v>
      </c>
      <c r="AQ44" s="8"/>
      <c r="AR44" s="8"/>
      <c r="AS44" s="8"/>
    </row>
    <row r="45" spans="1:45">
      <c r="A45" s="12">
        <v>44420</v>
      </c>
      <c r="B45" s="9">
        <v>385632</v>
      </c>
      <c r="C45" s="9">
        <v>385836</v>
      </c>
      <c r="D45" s="128">
        <f t="shared" si="5"/>
        <v>204</v>
      </c>
      <c r="E45" s="9">
        <v>117375</v>
      </c>
      <c r="F45" s="9">
        <v>117640</v>
      </c>
      <c r="G45" s="137">
        <f t="shared" si="1"/>
        <v>265</v>
      </c>
      <c r="H45" s="128">
        <f t="shared" si="2"/>
        <v>469</v>
      </c>
      <c r="I45" s="9">
        <v>595316</v>
      </c>
      <c r="J45" s="9">
        <v>595516</v>
      </c>
      <c r="K45" s="137">
        <f t="shared" si="0"/>
        <v>200</v>
      </c>
      <c r="L45" s="9">
        <v>211175</v>
      </c>
      <c r="M45" s="9">
        <v>211330</v>
      </c>
      <c r="N45" s="137">
        <f t="shared" si="3"/>
        <v>155</v>
      </c>
      <c r="O45" s="128">
        <f t="shared" si="4"/>
        <v>355</v>
      </c>
      <c r="P45" s="9">
        <v>218252</v>
      </c>
      <c r="Q45" s="9">
        <v>218252</v>
      </c>
      <c r="R45" s="128">
        <v>0</v>
      </c>
      <c r="AQ45" s="8"/>
      <c r="AR45" s="8"/>
      <c r="AS45" s="8"/>
    </row>
    <row r="46" spans="1:45">
      <c r="A46" s="12">
        <v>44421</v>
      </c>
      <c r="B46" s="9">
        <v>385836</v>
      </c>
      <c r="C46" s="9">
        <v>386044</v>
      </c>
      <c r="D46" s="128">
        <f t="shared" si="5"/>
        <v>208</v>
      </c>
      <c r="E46" s="9">
        <v>117640</v>
      </c>
      <c r="F46" s="9">
        <v>117929</v>
      </c>
      <c r="G46" s="137">
        <f t="shared" si="1"/>
        <v>289</v>
      </c>
      <c r="H46" s="128">
        <f t="shared" si="2"/>
        <v>497</v>
      </c>
      <c r="I46" s="9">
        <v>595516</v>
      </c>
      <c r="J46" s="9">
        <v>595756</v>
      </c>
      <c r="K46" s="137">
        <f t="shared" si="0"/>
        <v>240</v>
      </c>
      <c r="L46" s="9">
        <v>211330</v>
      </c>
      <c r="M46" s="9">
        <v>211514</v>
      </c>
      <c r="N46" s="137">
        <f t="shared" si="3"/>
        <v>184</v>
      </c>
      <c r="O46" s="128">
        <f t="shared" si="4"/>
        <v>424</v>
      </c>
      <c r="P46" s="9">
        <v>218252</v>
      </c>
      <c r="Q46" s="9">
        <v>218252</v>
      </c>
      <c r="R46" s="128">
        <v>0</v>
      </c>
      <c r="AQ46" s="8"/>
      <c r="AR46" s="8"/>
      <c r="AS46" s="8"/>
    </row>
    <row r="47" spans="1:45">
      <c r="A47" s="12">
        <v>44422</v>
      </c>
      <c r="B47" s="9">
        <v>386044</v>
      </c>
      <c r="C47" s="9">
        <v>386316</v>
      </c>
      <c r="D47" s="128">
        <f t="shared" si="5"/>
        <v>272</v>
      </c>
      <c r="E47" s="9">
        <v>117929</v>
      </c>
      <c r="F47" s="9">
        <v>118233</v>
      </c>
      <c r="G47" s="137">
        <f t="shared" si="1"/>
        <v>304</v>
      </c>
      <c r="H47" s="128">
        <f t="shared" si="2"/>
        <v>576</v>
      </c>
      <c r="I47" s="9">
        <v>595756</v>
      </c>
      <c r="J47" s="9">
        <v>596005</v>
      </c>
      <c r="K47" s="137">
        <f t="shared" si="0"/>
        <v>249</v>
      </c>
      <c r="L47" s="9">
        <v>211514</v>
      </c>
      <c r="M47" s="9">
        <v>211699</v>
      </c>
      <c r="N47" s="137">
        <f t="shared" si="3"/>
        <v>185</v>
      </c>
      <c r="O47" s="128">
        <f t="shared" si="4"/>
        <v>434</v>
      </c>
      <c r="P47" s="9">
        <v>218252</v>
      </c>
      <c r="Q47" s="9">
        <v>218252</v>
      </c>
      <c r="R47" s="128">
        <v>0</v>
      </c>
      <c r="AQ47" s="8"/>
      <c r="AR47" s="8"/>
      <c r="AS47" s="8"/>
    </row>
    <row r="48" spans="1:45">
      <c r="A48" s="12">
        <v>44423</v>
      </c>
      <c r="B48" s="9">
        <v>386316</v>
      </c>
      <c r="C48" s="9">
        <v>386541</v>
      </c>
      <c r="D48" s="128">
        <f t="shared" si="5"/>
        <v>225</v>
      </c>
      <c r="E48" s="9">
        <v>118233</v>
      </c>
      <c r="F48" s="9">
        <v>118524</v>
      </c>
      <c r="G48" s="137">
        <f t="shared" si="1"/>
        <v>291</v>
      </c>
      <c r="H48" s="128">
        <f t="shared" si="2"/>
        <v>516</v>
      </c>
      <c r="I48" s="9">
        <v>596005</v>
      </c>
      <c r="J48" s="9">
        <v>596263</v>
      </c>
      <c r="K48" s="137">
        <f t="shared" si="0"/>
        <v>258</v>
      </c>
      <c r="L48" s="9">
        <v>211699</v>
      </c>
      <c r="M48" s="9">
        <v>211813</v>
      </c>
      <c r="N48" s="137">
        <f t="shared" si="3"/>
        <v>114</v>
      </c>
      <c r="O48" s="128">
        <f t="shared" si="4"/>
        <v>372</v>
      </c>
      <c r="P48" s="9">
        <v>218252</v>
      </c>
      <c r="Q48" s="9">
        <v>218252</v>
      </c>
      <c r="R48" s="128">
        <v>0</v>
      </c>
      <c r="S48" s="78"/>
      <c r="AQ48" s="8"/>
      <c r="AR48" s="8"/>
      <c r="AS48" s="8"/>
    </row>
    <row r="49" spans="1:45">
      <c r="A49" s="12">
        <v>44424</v>
      </c>
      <c r="B49" s="9">
        <v>386316</v>
      </c>
      <c r="C49" s="9">
        <v>386753</v>
      </c>
      <c r="D49" s="128">
        <f t="shared" si="5"/>
        <v>437</v>
      </c>
      <c r="E49" s="9">
        <v>118524</v>
      </c>
      <c r="F49" s="9">
        <v>118692</v>
      </c>
      <c r="G49" s="137">
        <f t="shared" si="1"/>
        <v>168</v>
      </c>
      <c r="H49" s="128">
        <f t="shared" si="2"/>
        <v>605</v>
      </c>
      <c r="I49" s="9">
        <v>596263</v>
      </c>
      <c r="J49" s="9">
        <v>596497</v>
      </c>
      <c r="K49" s="137">
        <f t="shared" si="0"/>
        <v>234</v>
      </c>
      <c r="L49" s="9">
        <v>211813</v>
      </c>
      <c r="M49" s="9">
        <v>211969</v>
      </c>
      <c r="N49" s="137">
        <f t="shared" si="3"/>
        <v>156</v>
      </c>
      <c r="O49" s="128">
        <f t="shared" si="4"/>
        <v>390</v>
      </c>
      <c r="P49" s="9">
        <v>218252</v>
      </c>
      <c r="Q49" s="9">
        <v>218252</v>
      </c>
      <c r="R49" s="128">
        <v>0</v>
      </c>
      <c r="AQ49" s="8"/>
      <c r="AR49" s="8"/>
      <c r="AS49" s="8"/>
    </row>
    <row r="50" spans="1:45">
      <c r="A50" s="12">
        <v>44425</v>
      </c>
      <c r="B50" s="9">
        <v>386753</v>
      </c>
      <c r="C50" s="9">
        <v>386978</v>
      </c>
      <c r="D50" s="128">
        <f t="shared" si="5"/>
        <v>225</v>
      </c>
      <c r="E50" s="9">
        <v>118692</v>
      </c>
      <c r="F50" s="9">
        <v>119051</v>
      </c>
      <c r="G50" s="137">
        <f t="shared" si="1"/>
        <v>359</v>
      </c>
      <c r="H50" s="128">
        <f t="shared" si="2"/>
        <v>584</v>
      </c>
      <c r="I50" s="9">
        <v>596497</v>
      </c>
      <c r="J50" s="9">
        <v>596706</v>
      </c>
      <c r="K50" s="137">
        <f t="shared" si="0"/>
        <v>209</v>
      </c>
      <c r="L50" s="9">
        <v>211969</v>
      </c>
      <c r="M50" s="9">
        <v>212229</v>
      </c>
      <c r="N50" s="137">
        <f t="shared" si="3"/>
        <v>260</v>
      </c>
      <c r="O50" s="128">
        <f t="shared" si="4"/>
        <v>469</v>
      </c>
      <c r="P50" s="9">
        <v>218252</v>
      </c>
      <c r="Q50" s="9">
        <v>218252</v>
      </c>
      <c r="R50" s="128">
        <v>0</v>
      </c>
      <c r="AQ50" s="8"/>
      <c r="AR50" s="8"/>
      <c r="AS50" s="8"/>
    </row>
    <row r="51" spans="1:45">
      <c r="A51" s="12">
        <v>44426</v>
      </c>
      <c r="B51" s="9">
        <v>386753</v>
      </c>
      <c r="C51" s="9">
        <v>387221</v>
      </c>
      <c r="D51" s="128">
        <f>C51-B51</f>
        <v>468</v>
      </c>
      <c r="E51" s="9">
        <v>119051</v>
      </c>
      <c r="F51" s="9">
        <v>119083</v>
      </c>
      <c r="G51" s="137">
        <f t="shared" si="1"/>
        <v>32</v>
      </c>
      <c r="H51" s="128">
        <f t="shared" si="2"/>
        <v>500</v>
      </c>
      <c r="I51" s="9">
        <v>596706</v>
      </c>
      <c r="J51" s="9">
        <v>596955</v>
      </c>
      <c r="K51" s="137">
        <f t="shared" si="0"/>
        <v>249</v>
      </c>
      <c r="L51" s="9">
        <v>212229</v>
      </c>
      <c r="M51" s="9">
        <v>212419</v>
      </c>
      <c r="N51" s="137">
        <f t="shared" si="3"/>
        <v>190</v>
      </c>
      <c r="O51" s="128">
        <f t="shared" si="4"/>
        <v>439</v>
      </c>
      <c r="P51" s="9">
        <v>218252</v>
      </c>
      <c r="Q51" s="9">
        <v>218252</v>
      </c>
      <c r="R51" s="128">
        <v>0</v>
      </c>
      <c r="AQ51" s="8"/>
      <c r="AR51" s="8"/>
      <c r="AS51" s="8"/>
    </row>
    <row r="52" spans="1:45">
      <c r="A52" s="12">
        <v>44427</v>
      </c>
      <c r="B52" s="9">
        <v>387221</v>
      </c>
      <c r="C52" s="9">
        <v>387440</v>
      </c>
      <c r="D52" s="128">
        <f>C52-B52</f>
        <v>219</v>
      </c>
      <c r="E52" s="9">
        <v>119083</v>
      </c>
      <c r="F52" s="9">
        <v>119266</v>
      </c>
      <c r="G52" s="137">
        <f t="shared" si="1"/>
        <v>183</v>
      </c>
      <c r="H52" s="128">
        <f t="shared" si="2"/>
        <v>402</v>
      </c>
      <c r="I52" s="9">
        <v>596955</v>
      </c>
      <c r="J52" s="9">
        <v>597178</v>
      </c>
      <c r="K52" s="137">
        <f t="shared" si="0"/>
        <v>223</v>
      </c>
      <c r="L52" s="9">
        <v>212419</v>
      </c>
      <c r="M52" s="9">
        <v>212599</v>
      </c>
      <c r="N52" s="137">
        <f t="shared" si="3"/>
        <v>180</v>
      </c>
      <c r="O52" s="128">
        <f t="shared" si="4"/>
        <v>403</v>
      </c>
      <c r="P52" s="9">
        <v>218252</v>
      </c>
      <c r="Q52" s="9">
        <v>218252</v>
      </c>
      <c r="R52" s="128">
        <v>0</v>
      </c>
      <c r="AQ52" s="8"/>
      <c r="AR52" s="8"/>
      <c r="AS52" s="8"/>
    </row>
    <row r="53" spans="1:45">
      <c r="A53" s="12">
        <v>44428</v>
      </c>
      <c r="B53" s="9">
        <v>387440</v>
      </c>
      <c r="C53" s="9">
        <v>387678</v>
      </c>
      <c r="D53" s="128">
        <f>C53-B53</f>
        <v>238</v>
      </c>
      <c r="E53" s="9">
        <v>119266</v>
      </c>
      <c r="F53" s="9">
        <v>119625</v>
      </c>
      <c r="G53" s="137">
        <f t="shared" si="1"/>
        <v>359</v>
      </c>
      <c r="H53" s="128">
        <f>D53+G53</f>
        <v>597</v>
      </c>
      <c r="I53" s="9">
        <v>597178</v>
      </c>
      <c r="J53" s="9">
        <v>597404</v>
      </c>
      <c r="K53" s="137">
        <f t="shared" si="0"/>
        <v>226</v>
      </c>
      <c r="L53" s="9">
        <v>212599</v>
      </c>
      <c r="M53" s="9">
        <v>212805</v>
      </c>
      <c r="N53" s="137">
        <f t="shared" si="3"/>
        <v>206</v>
      </c>
      <c r="O53" s="128">
        <f t="shared" si="4"/>
        <v>432</v>
      </c>
      <c r="P53" s="9">
        <v>218252</v>
      </c>
      <c r="Q53" s="9">
        <v>218390</v>
      </c>
      <c r="R53" s="128">
        <v>142</v>
      </c>
      <c r="AQ53" s="8"/>
      <c r="AR53" s="8"/>
      <c r="AS53" s="8"/>
    </row>
    <row r="54" spans="1:45">
      <c r="A54" s="12">
        <v>44429</v>
      </c>
      <c r="B54" s="9">
        <v>387678</v>
      </c>
      <c r="C54" s="9">
        <v>387991</v>
      </c>
      <c r="D54" s="128">
        <f t="shared" si="5"/>
        <v>313</v>
      </c>
      <c r="E54" s="9">
        <v>119625</v>
      </c>
      <c r="F54" s="9">
        <v>120013</v>
      </c>
      <c r="G54" s="137">
        <f t="shared" si="1"/>
        <v>388</v>
      </c>
      <c r="H54" s="128">
        <f t="shared" si="2"/>
        <v>701</v>
      </c>
      <c r="I54" s="9">
        <v>597404</v>
      </c>
      <c r="J54" s="9">
        <v>597660</v>
      </c>
      <c r="K54" s="137">
        <f t="shared" si="0"/>
        <v>256</v>
      </c>
      <c r="L54" s="9">
        <v>212805</v>
      </c>
      <c r="M54" s="9">
        <v>213025</v>
      </c>
      <c r="N54" s="137">
        <f t="shared" si="3"/>
        <v>220</v>
      </c>
      <c r="O54" s="128">
        <f t="shared" si="4"/>
        <v>476</v>
      </c>
      <c r="P54" s="9">
        <v>218390</v>
      </c>
      <c r="Q54" s="9">
        <v>218390</v>
      </c>
      <c r="R54" s="128">
        <v>0</v>
      </c>
      <c r="AQ54" s="8"/>
      <c r="AR54" s="8"/>
      <c r="AS54" s="8"/>
    </row>
    <row r="55" spans="1:45">
      <c r="A55" s="12">
        <v>44430</v>
      </c>
      <c r="B55" s="9">
        <v>387991</v>
      </c>
      <c r="C55" s="9">
        <v>388146</v>
      </c>
      <c r="D55" s="128">
        <f>C55-B55</f>
        <v>155</v>
      </c>
      <c r="E55" s="9">
        <v>120013</v>
      </c>
      <c r="F55" s="9">
        <v>120242</v>
      </c>
      <c r="G55" s="137">
        <f t="shared" si="1"/>
        <v>229</v>
      </c>
      <c r="H55" s="128">
        <f t="shared" si="2"/>
        <v>384</v>
      </c>
      <c r="I55" s="9">
        <v>597660</v>
      </c>
      <c r="J55" s="9">
        <v>597923</v>
      </c>
      <c r="K55" s="137">
        <f t="shared" si="0"/>
        <v>263</v>
      </c>
      <c r="L55" s="9">
        <v>213025</v>
      </c>
      <c r="M55" s="9">
        <v>213190</v>
      </c>
      <c r="N55" s="137">
        <f t="shared" si="3"/>
        <v>165</v>
      </c>
      <c r="O55" s="128">
        <f t="shared" si="4"/>
        <v>428</v>
      </c>
      <c r="P55" s="9">
        <v>218390</v>
      </c>
      <c r="Q55" s="9">
        <v>218390</v>
      </c>
      <c r="R55" s="128">
        <v>0</v>
      </c>
      <c r="AQ55" s="8"/>
      <c r="AR55" s="8"/>
      <c r="AS55" s="8"/>
    </row>
    <row r="56" spans="1:45">
      <c r="A56" s="12">
        <v>44431</v>
      </c>
      <c r="B56" s="8">
        <v>388146</v>
      </c>
      <c r="C56" s="8">
        <v>388375</v>
      </c>
      <c r="D56" s="128">
        <f>C56-B56</f>
        <v>229</v>
      </c>
      <c r="E56" s="8">
        <v>120242</v>
      </c>
      <c r="F56" s="8">
        <v>120564</v>
      </c>
      <c r="G56" s="137">
        <f t="shared" si="1"/>
        <v>322</v>
      </c>
      <c r="H56" s="128">
        <f t="shared" si="2"/>
        <v>551</v>
      </c>
      <c r="I56" s="8">
        <v>597923</v>
      </c>
      <c r="J56" s="8">
        <v>598144</v>
      </c>
      <c r="K56" s="137">
        <f t="shared" si="0"/>
        <v>221</v>
      </c>
      <c r="L56" s="8">
        <v>213190</v>
      </c>
      <c r="M56" s="8">
        <v>213379</v>
      </c>
      <c r="N56" s="137">
        <f t="shared" si="3"/>
        <v>189</v>
      </c>
      <c r="O56" s="128">
        <f t="shared" si="4"/>
        <v>410</v>
      </c>
      <c r="P56" s="8">
        <v>218390</v>
      </c>
      <c r="Q56" s="8">
        <v>218390</v>
      </c>
      <c r="R56" s="128">
        <v>0</v>
      </c>
      <c r="AQ56" s="8"/>
      <c r="AR56" s="8"/>
      <c r="AS56" s="8"/>
    </row>
    <row r="57" spans="1:45">
      <c r="A57" s="12">
        <v>44432</v>
      </c>
      <c r="B57" s="8">
        <v>388375</v>
      </c>
      <c r="C57" s="8">
        <v>388708</v>
      </c>
      <c r="D57" s="128">
        <f>C57-B57</f>
        <v>333</v>
      </c>
      <c r="E57" s="8">
        <v>120564</v>
      </c>
      <c r="F57" s="8">
        <v>120601</v>
      </c>
      <c r="G57" s="137">
        <f t="shared" si="1"/>
        <v>37</v>
      </c>
      <c r="H57" s="128">
        <f t="shared" si="2"/>
        <v>370</v>
      </c>
      <c r="I57" s="8">
        <v>598144</v>
      </c>
      <c r="J57" s="8">
        <v>598361</v>
      </c>
      <c r="K57" s="137">
        <f t="shared" si="0"/>
        <v>217</v>
      </c>
      <c r="L57" s="8">
        <v>213379</v>
      </c>
      <c r="M57" s="8">
        <v>213579</v>
      </c>
      <c r="N57" s="137">
        <f t="shared" si="3"/>
        <v>200</v>
      </c>
      <c r="O57" s="128">
        <f t="shared" si="4"/>
        <v>417</v>
      </c>
      <c r="P57" s="9">
        <v>218390</v>
      </c>
      <c r="Q57" s="9">
        <v>218390</v>
      </c>
      <c r="R57" s="128">
        <v>0</v>
      </c>
      <c r="AQ57" s="8"/>
      <c r="AR57" s="8"/>
      <c r="AS57" s="8"/>
    </row>
    <row r="58" spans="1:45">
      <c r="A58" s="12">
        <v>44433</v>
      </c>
      <c r="B58" s="8">
        <v>388708</v>
      </c>
      <c r="C58" s="8">
        <v>389002</v>
      </c>
      <c r="D58" s="128">
        <f t="shared" ref="D58:D65" si="6">C58-B58</f>
        <v>294</v>
      </c>
      <c r="E58" s="8">
        <v>120601</v>
      </c>
      <c r="F58" s="8">
        <v>120973</v>
      </c>
      <c r="G58" s="137">
        <f t="shared" si="1"/>
        <v>372</v>
      </c>
      <c r="H58" s="128">
        <f t="shared" si="2"/>
        <v>666</v>
      </c>
      <c r="I58" s="8">
        <v>598361</v>
      </c>
      <c r="J58" s="8">
        <v>598579</v>
      </c>
      <c r="K58" s="137">
        <f t="shared" si="0"/>
        <v>218</v>
      </c>
      <c r="L58" s="8">
        <v>213579</v>
      </c>
      <c r="M58" s="8">
        <v>213745</v>
      </c>
      <c r="N58" s="137">
        <f t="shared" si="3"/>
        <v>166</v>
      </c>
      <c r="O58" s="128">
        <f t="shared" si="4"/>
        <v>384</v>
      </c>
      <c r="P58" s="9">
        <v>218390</v>
      </c>
      <c r="Q58" s="9">
        <v>218390</v>
      </c>
      <c r="R58" s="128">
        <v>0</v>
      </c>
      <c r="AQ58" s="8"/>
      <c r="AR58" s="8"/>
      <c r="AS58" s="8"/>
    </row>
    <row r="59" spans="1:45">
      <c r="A59" s="12">
        <v>44434</v>
      </c>
      <c r="B59" s="8">
        <v>389002</v>
      </c>
      <c r="C59" s="8">
        <v>389269</v>
      </c>
      <c r="D59" s="128">
        <f t="shared" si="6"/>
        <v>267</v>
      </c>
      <c r="E59" s="8">
        <v>120973</v>
      </c>
      <c r="F59" s="8">
        <v>121294</v>
      </c>
      <c r="G59" s="137">
        <f t="shared" si="1"/>
        <v>321</v>
      </c>
      <c r="H59" s="128">
        <f t="shared" si="2"/>
        <v>588</v>
      </c>
      <c r="I59" s="8">
        <v>598579</v>
      </c>
      <c r="J59" s="8">
        <v>598810</v>
      </c>
      <c r="K59" s="137">
        <f t="shared" si="0"/>
        <v>231</v>
      </c>
      <c r="L59" s="8">
        <v>213745</v>
      </c>
      <c r="M59" s="8">
        <v>213950</v>
      </c>
      <c r="N59" s="137">
        <f t="shared" si="3"/>
        <v>205</v>
      </c>
      <c r="O59" s="128">
        <f t="shared" si="4"/>
        <v>436</v>
      </c>
      <c r="P59" s="8">
        <v>218390</v>
      </c>
      <c r="Q59" s="8">
        <v>218390</v>
      </c>
      <c r="R59" s="128">
        <v>0</v>
      </c>
      <c r="AQ59" s="8"/>
      <c r="AR59" s="8"/>
      <c r="AS59" s="8"/>
    </row>
    <row r="60" spans="1:45">
      <c r="A60" s="12">
        <v>44435</v>
      </c>
      <c r="B60" s="8">
        <v>389269</v>
      </c>
      <c r="C60" s="8">
        <v>389491</v>
      </c>
      <c r="D60" s="128">
        <f>C60-B60</f>
        <v>222</v>
      </c>
      <c r="E60" s="8">
        <v>121294</v>
      </c>
      <c r="F60" s="8">
        <v>121633</v>
      </c>
      <c r="G60" s="137">
        <f t="shared" si="1"/>
        <v>339</v>
      </c>
      <c r="H60" s="128">
        <f t="shared" si="2"/>
        <v>561</v>
      </c>
      <c r="I60" s="8">
        <v>598810</v>
      </c>
      <c r="J60" s="8">
        <v>599028</v>
      </c>
      <c r="K60" s="137">
        <f t="shared" si="0"/>
        <v>218</v>
      </c>
      <c r="L60" s="8">
        <v>213950</v>
      </c>
      <c r="M60" s="8">
        <v>214161</v>
      </c>
      <c r="N60" s="137">
        <f t="shared" si="3"/>
        <v>211</v>
      </c>
      <c r="O60" s="128">
        <f t="shared" si="4"/>
        <v>429</v>
      </c>
      <c r="P60" s="8">
        <v>218390</v>
      </c>
      <c r="Q60" s="8">
        <v>218390</v>
      </c>
      <c r="R60" s="128">
        <v>0</v>
      </c>
      <c r="AQ60" s="8"/>
      <c r="AR60" s="8"/>
      <c r="AS60" s="8"/>
    </row>
    <row r="61" spans="1:45">
      <c r="A61" s="12">
        <v>44436</v>
      </c>
      <c r="B61" s="8">
        <v>389269</v>
      </c>
      <c r="C61" s="8">
        <v>389491</v>
      </c>
      <c r="D61" s="128">
        <f t="shared" si="6"/>
        <v>222</v>
      </c>
      <c r="E61" s="8">
        <v>121633</v>
      </c>
      <c r="F61" s="8">
        <v>121633</v>
      </c>
      <c r="G61" s="137">
        <f t="shared" si="1"/>
        <v>0</v>
      </c>
      <c r="H61" s="128">
        <f t="shared" si="2"/>
        <v>222</v>
      </c>
      <c r="I61" s="8">
        <v>599028</v>
      </c>
      <c r="J61" s="8">
        <v>599183</v>
      </c>
      <c r="K61" s="137">
        <f t="shared" si="0"/>
        <v>155</v>
      </c>
      <c r="L61" s="8">
        <v>214161</v>
      </c>
      <c r="M61" s="8">
        <v>214161</v>
      </c>
      <c r="N61" s="137">
        <f t="shared" si="3"/>
        <v>0</v>
      </c>
      <c r="O61" s="128">
        <f t="shared" si="4"/>
        <v>155</v>
      </c>
      <c r="P61" s="8">
        <v>218390</v>
      </c>
      <c r="Q61" s="8">
        <v>218390</v>
      </c>
      <c r="R61" s="128">
        <v>0</v>
      </c>
      <c r="S61" s="8" t="s">
        <v>137</v>
      </c>
      <c r="AQ61" s="8"/>
      <c r="AR61" s="8"/>
      <c r="AS61" s="8"/>
    </row>
    <row r="62" spans="1:45">
      <c r="A62" s="12">
        <v>44437</v>
      </c>
      <c r="B62" s="8">
        <v>389491</v>
      </c>
      <c r="C62" s="8">
        <v>389960</v>
      </c>
      <c r="D62" s="128">
        <f t="shared" si="6"/>
        <v>469</v>
      </c>
      <c r="E62" s="8">
        <v>121633</v>
      </c>
      <c r="F62" s="8">
        <v>122080</v>
      </c>
      <c r="G62" s="137">
        <f>F62-E62</f>
        <v>447</v>
      </c>
      <c r="H62" s="128">
        <f t="shared" si="2"/>
        <v>916</v>
      </c>
      <c r="I62" s="8">
        <v>599183</v>
      </c>
      <c r="J62" s="8">
        <v>599494</v>
      </c>
      <c r="K62" s="137">
        <f>J62-I62</f>
        <v>311</v>
      </c>
      <c r="L62" s="8">
        <v>214161</v>
      </c>
      <c r="M62" s="8">
        <v>214434</v>
      </c>
      <c r="N62" s="137">
        <f t="shared" si="3"/>
        <v>273</v>
      </c>
      <c r="O62" s="128">
        <f t="shared" si="4"/>
        <v>584</v>
      </c>
      <c r="P62" s="8">
        <v>218390</v>
      </c>
      <c r="Q62" s="8">
        <v>218397</v>
      </c>
      <c r="R62" s="128">
        <v>7</v>
      </c>
      <c r="AQ62" s="8"/>
      <c r="AR62" s="8"/>
      <c r="AS62" s="8"/>
    </row>
    <row r="63" spans="1:45">
      <c r="A63" s="12">
        <v>44438</v>
      </c>
      <c r="B63" s="8">
        <v>389960</v>
      </c>
      <c r="C63" s="8">
        <v>390259</v>
      </c>
      <c r="D63" s="128">
        <f t="shared" si="6"/>
        <v>299</v>
      </c>
      <c r="E63" s="8">
        <v>122080</v>
      </c>
      <c r="F63" s="8">
        <v>122417</v>
      </c>
      <c r="G63" s="137">
        <f t="shared" si="1"/>
        <v>337</v>
      </c>
      <c r="H63" s="128">
        <f t="shared" si="2"/>
        <v>636</v>
      </c>
      <c r="I63" s="8">
        <v>599498</v>
      </c>
      <c r="J63" s="8">
        <v>599787</v>
      </c>
      <c r="K63" s="137">
        <f t="shared" si="0"/>
        <v>289</v>
      </c>
      <c r="L63" s="8">
        <v>214434</v>
      </c>
      <c r="M63" s="8">
        <v>214646</v>
      </c>
      <c r="N63" s="137">
        <f t="shared" si="3"/>
        <v>212</v>
      </c>
      <c r="O63" s="128">
        <f t="shared" si="4"/>
        <v>501</v>
      </c>
      <c r="P63" s="8">
        <v>218397</v>
      </c>
      <c r="Q63" s="8">
        <v>218397</v>
      </c>
      <c r="R63" s="128">
        <v>0</v>
      </c>
      <c r="AQ63" s="8"/>
      <c r="AR63" s="8"/>
      <c r="AS63" s="8"/>
    </row>
    <row r="64" spans="1:45">
      <c r="A64" s="12">
        <v>44439</v>
      </c>
      <c r="B64" s="8">
        <v>390259</v>
      </c>
      <c r="C64" s="8">
        <v>390499</v>
      </c>
      <c r="D64" s="128">
        <f t="shared" si="6"/>
        <v>240</v>
      </c>
      <c r="E64" s="8">
        <v>122417</v>
      </c>
      <c r="F64" s="8">
        <v>122737</v>
      </c>
      <c r="G64" s="137">
        <f>F64-E64</f>
        <v>320</v>
      </c>
      <c r="H64" s="128">
        <f t="shared" si="2"/>
        <v>560</v>
      </c>
      <c r="I64" s="8">
        <v>599787</v>
      </c>
      <c r="J64" s="8">
        <v>600016</v>
      </c>
      <c r="K64" s="137">
        <f t="shared" si="0"/>
        <v>229</v>
      </c>
      <c r="L64" s="8">
        <v>214646</v>
      </c>
      <c r="M64" s="8">
        <v>214834</v>
      </c>
      <c r="N64" s="137">
        <f t="shared" si="3"/>
        <v>188</v>
      </c>
      <c r="O64" s="128">
        <f t="shared" si="4"/>
        <v>417</v>
      </c>
      <c r="P64" s="8">
        <v>218397</v>
      </c>
      <c r="Q64" s="8">
        <v>218397</v>
      </c>
      <c r="R64" s="128">
        <v>0</v>
      </c>
      <c r="AQ64" s="8"/>
      <c r="AR64" s="8"/>
      <c r="AS64" s="8"/>
    </row>
    <row r="65" spans="1:45">
      <c r="A65" s="12">
        <v>44440</v>
      </c>
      <c r="B65" s="8">
        <v>390499</v>
      </c>
      <c r="C65" s="8">
        <v>390720</v>
      </c>
      <c r="D65" s="128">
        <f t="shared" si="6"/>
        <v>221</v>
      </c>
      <c r="E65" s="8">
        <v>122737</v>
      </c>
      <c r="F65" s="8">
        <v>123035</v>
      </c>
      <c r="G65" s="137">
        <f>F65-E65</f>
        <v>298</v>
      </c>
      <c r="H65" s="128">
        <f>D65+G65</f>
        <v>519</v>
      </c>
      <c r="I65" s="8">
        <v>600016</v>
      </c>
      <c r="J65" s="8">
        <v>600262</v>
      </c>
      <c r="K65" s="137">
        <f t="shared" si="0"/>
        <v>246</v>
      </c>
      <c r="L65" s="8">
        <v>214834</v>
      </c>
      <c r="M65" s="8">
        <v>215026</v>
      </c>
      <c r="N65" s="137">
        <f t="shared" si="3"/>
        <v>192</v>
      </c>
      <c r="O65" s="128">
        <f t="shared" si="4"/>
        <v>438</v>
      </c>
      <c r="P65" s="8">
        <v>218397</v>
      </c>
      <c r="Q65" s="8">
        <v>218397</v>
      </c>
      <c r="R65" s="128">
        <v>0</v>
      </c>
      <c r="S65" s="8" t="s">
        <v>161</v>
      </c>
      <c r="AQ65" s="8"/>
      <c r="AR65" s="8"/>
      <c r="AS65" s="8"/>
    </row>
    <row r="66" spans="1:45">
      <c r="A66" s="12">
        <v>44441</v>
      </c>
      <c r="B66" s="8">
        <v>390720</v>
      </c>
      <c r="C66" s="8">
        <v>390962</v>
      </c>
      <c r="D66" s="128">
        <f>C66-B66</f>
        <v>242</v>
      </c>
      <c r="E66" s="8">
        <v>123035</v>
      </c>
      <c r="F66" s="8">
        <v>123392</v>
      </c>
      <c r="G66" s="137">
        <f>F66-E66</f>
        <v>357</v>
      </c>
      <c r="H66" s="128">
        <f t="shared" si="2"/>
        <v>599</v>
      </c>
      <c r="I66" s="8">
        <v>600262</v>
      </c>
      <c r="J66" s="8">
        <v>600470</v>
      </c>
      <c r="K66" s="137">
        <f>J66-I66</f>
        <v>208</v>
      </c>
      <c r="L66" s="8">
        <v>215026</v>
      </c>
      <c r="M66" s="8">
        <v>215210</v>
      </c>
      <c r="N66" s="137">
        <f>M66-L66</f>
        <v>184</v>
      </c>
      <c r="O66" s="128">
        <f>N66+K66</f>
        <v>392</v>
      </c>
      <c r="P66" s="8">
        <v>218397</v>
      </c>
      <c r="Q66" s="8">
        <v>218397</v>
      </c>
      <c r="R66" s="128">
        <v>0</v>
      </c>
      <c r="S66" s="8" t="s">
        <v>162</v>
      </c>
      <c r="Y66" s="79">
        <v>44264</v>
      </c>
      <c r="Z66" s="8" t="s">
        <v>163</v>
      </c>
      <c r="AQ66" s="8"/>
      <c r="AR66" s="8"/>
      <c r="AS66" s="8"/>
    </row>
    <row r="67" spans="1:45">
      <c r="A67" s="12">
        <v>44442</v>
      </c>
      <c r="B67" s="8">
        <v>390962</v>
      </c>
      <c r="C67" s="8">
        <v>391148</v>
      </c>
      <c r="D67" s="128">
        <f t="shared" ref="D67:D100" si="7">C67-B67</f>
        <v>186</v>
      </c>
      <c r="E67" s="8">
        <v>123392</v>
      </c>
      <c r="F67" s="8">
        <v>123624</v>
      </c>
      <c r="G67" s="137">
        <f t="shared" ref="G67:G130" si="8">F67-E67</f>
        <v>232</v>
      </c>
      <c r="H67" s="128">
        <f t="shared" si="2"/>
        <v>418</v>
      </c>
      <c r="I67" s="8">
        <v>600470</v>
      </c>
      <c r="J67" s="8">
        <v>600618</v>
      </c>
      <c r="K67" s="137">
        <f t="shared" si="0"/>
        <v>148</v>
      </c>
      <c r="L67" s="8">
        <v>215210</v>
      </c>
      <c r="M67" s="8">
        <v>215385</v>
      </c>
      <c r="N67" s="137">
        <f t="shared" si="3"/>
        <v>175</v>
      </c>
      <c r="O67" s="128">
        <f t="shared" si="4"/>
        <v>323</v>
      </c>
      <c r="P67" s="8">
        <v>218397</v>
      </c>
      <c r="Q67" s="8">
        <v>218397</v>
      </c>
      <c r="R67" s="128">
        <v>0</v>
      </c>
      <c r="AQ67" s="8"/>
      <c r="AR67" s="8"/>
      <c r="AS67" s="8"/>
    </row>
    <row r="68" spans="1:45">
      <c r="A68" s="12">
        <v>44443</v>
      </c>
      <c r="B68" s="8">
        <v>391148</v>
      </c>
      <c r="C68" s="8">
        <v>391475</v>
      </c>
      <c r="D68" s="128">
        <f t="shared" si="7"/>
        <v>327</v>
      </c>
      <c r="E68" s="8">
        <v>123624</v>
      </c>
      <c r="F68" s="8">
        <v>123921</v>
      </c>
      <c r="G68" s="137">
        <f t="shared" si="8"/>
        <v>297</v>
      </c>
      <c r="H68" s="128">
        <f t="shared" ref="H68:H132" si="9">D68+G68</f>
        <v>624</v>
      </c>
      <c r="I68" s="8">
        <v>600618</v>
      </c>
      <c r="J68" s="8">
        <v>600850</v>
      </c>
      <c r="K68" s="137">
        <f t="shared" ref="K68:K100" si="10">J68-I68</f>
        <v>232</v>
      </c>
      <c r="L68" s="8">
        <v>215385</v>
      </c>
      <c r="M68" s="8">
        <v>215556</v>
      </c>
      <c r="N68" s="137">
        <f t="shared" ref="N68:N131" si="11">M68-L68</f>
        <v>171</v>
      </c>
      <c r="O68" s="128">
        <f t="shared" ref="O68:O131" si="12">N68+K68</f>
        <v>403</v>
      </c>
      <c r="P68" s="8">
        <v>218397</v>
      </c>
      <c r="Q68" s="8">
        <v>218397</v>
      </c>
      <c r="R68" s="128">
        <v>0</v>
      </c>
      <c r="AQ68" s="8"/>
      <c r="AR68" s="8"/>
      <c r="AS68" s="8"/>
    </row>
    <row r="69" spans="1:45">
      <c r="A69" s="12">
        <v>44444</v>
      </c>
      <c r="B69" s="8">
        <v>391475</v>
      </c>
      <c r="C69" s="8">
        <v>391794</v>
      </c>
      <c r="D69" s="128">
        <f t="shared" si="7"/>
        <v>319</v>
      </c>
      <c r="E69" s="8">
        <v>123921</v>
      </c>
      <c r="F69" s="8">
        <v>124265</v>
      </c>
      <c r="G69" s="137">
        <f t="shared" si="8"/>
        <v>344</v>
      </c>
      <c r="H69" s="128">
        <f t="shared" si="9"/>
        <v>663</v>
      </c>
      <c r="I69" s="8">
        <v>600850</v>
      </c>
      <c r="J69" s="8">
        <v>601096</v>
      </c>
      <c r="K69" s="137">
        <f t="shared" si="10"/>
        <v>246</v>
      </c>
      <c r="L69" s="8">
        <v>215556</v>
      </c>
      <c r="M69" s="8">
        <v>215856</v>
      </c>
      <c r="N69" s="137">
        <f t="shared" si="11"/>
        <v>300</v>
      </c>
      <c r="O69" s="128">
        <f t="shared" si="12"/>
        <v>546</v>
      </c>
      <c r="P69" s="8">
        <v>218397</v>
      </c>
      <c r="Q69" s="8">
        <v>218397</v>
      </c>
      <c r="R69" s="128">
        <v>0</v>
      </c>
      <c r="AQ69" s="8"/>
      <c r="AR69" s="8"/>
      <c r="AS69" s="8"/>
    </row>
    <row r="70" spans="1:45">
      <c r="A70" s="12">
        <v>44445</v>
      </c>
      <c r="B70" s="8">
        <v>391794</v>
      </c>
      <c r="C70" s="8">
        <v>392047</v>
      </c>
      <c r="D70" s="128">
        <f t="shared" si="7"/>
        <v>253</v>
      </c>
      <c r="E70" s="8">
        <v>124265</v>
      </c>
      <c r="F70" s="8">
        <v>124617</v>
      </c>
      <c r="G70" s="137">
        <f t="shared" si="8"/>
        <v>352</v>
      </c>
      <c r="H70" s="128">
        <f t="shared" si="9"/>
        <v>605</v>
      </c>
      <c r="I70" s="8">
        <v>601096</v>
      </c>
      <c r="J70" s="8">
        <v>601324</v>
      </c>
      <c r="K70" s="137">
        <f t="shared" si="10"/>
        <v>228</v>
      </c>
      <c r="L70" s="8">
        <v>215856</v>
      </c>
      <c r="M70" s="8">
        <v>216101</v>
      </c>
      <c r="N70" s="137">
        <f t="shared" si="11"/>
        <v>245</v>
      </c>
      <c r="O70" s="128">
        <f t="shared" si="12"/>
        <v>473</v>
      </c>
      <c r="P70" s="8">
        <v>218397</v>
      </c>
      <c r="Q70" s="8">
        <v>218397</v>
      </c>
      <c r="R70" s="128">
        <v>0</v>
      </c>
      <c r="AQ70" s="8"/>
      <c r="AR70" s="8"/>
      <c r="AS70" s="8"/>
    </row>
    <row r="71" spans="1:45">
      <c r="A71" s="12">
        <v>44446</v>
      </c>
      <c r="B71" s="8">
        <v>392047</v>
      </c>
      <c r="C71" s="8">
        <v>392218</v>
      </c>
      <c r="D71" s="128">
        <f t="shared" si="7"/>
        <v>171</v>
      </c>
      <c r="E71" s="8">
        <v>124617</v>
      </c>
      <c r="F71" s="8">
        <v>124824</v>
      </c>
      <c r="G71" s="137">
        <f t="shared" si="8"/>
        <v>207</v>
      </c>
      <c r="H71" s="128">
        <f t="shared" si="9"/>
        <v>378</v>
      </c>
      <c r="I71" s="8">
        <v>601324</v>
      </c>
      <c r="J71" s="8">
        <v>601531</v>
      </c>
      <c r="K71" s="137">
        <f t="shared" si="10"/>
        <v>207</v>
      </c>
      <c r="L71" s="8">
        <v>216101</v>
      </c>
      <c r="M71" s="8">
        <v>216292</v>
      </c>
      <c r="N71" s="137">
        <f t="shared" si="11"/>
        <v>191</v>
      </c>
      <c r="O71" s="128">
        <f t="shared" si="12"/>
        <v>398</v>
      </c>
      <c r="P71" s="8">
        <v>218397</v>
      </c>
      <c r="Q71" s="8">
        <v>218397</v>
      </c>
      <c r="R71" s="128">
        <v>0</v>
      </c>
      <c r="AQ71" s="8"/>
      <c r="AR71" s="8"/>
      <c r="AS71" s="8"/>
    </row>
    <row r="72" spans="1:45">
      <c r="A72" s="12">
        <v>44447</v>
      </c>
      <c r="B72" s="8">
        <v>392218</v>
      </c>
      <c r="C72" s="8">
        <v>392462</v>
      </c>
      <c r="D72" s="128">
        <f t="shared" si="7"/>
        <v>244</v>
      </c>
      <c r="E72" s="8">
        <v>124824</v>
      </c>
      <c r="F72" s="8">
        <v>125175</v>
      </c>
      <c r="G72" s="137">
        <f t="shared" si="8"/>
        <v>351</v>
      </c>
      <c r="H72" s="128">
        <f t="shared" si="9"/>
        <v>595</v>
      </c>
      <c r="I72" s="8">
        <v>601531</v>
      </c>
      <c r="J72" s="8">
        <v>601777</v>
      </c>
      <c r="K72" s="137">
        <f t="shared" si="10"/>
        <v>246</v>
      </c>
      <c r="L72" s="8">
        <v>216292</v>
      </c>
      <c r="M72" s="8">
        <v>216588</v>
      </c>
      <c r="N72" s="137">
        <f t="shared" si="11"/>
        <v>296</v>
      </c>
      <c r="O72" s="128">
        <f t="shared" si="12"/>
        <v>542</v>
      </c>
      <c r="P72" s="8">
        <v>218397</v>
      </c>
      <c r="Q72" s="8">
        <v>218397</v>
      </c>
      <c r="R72" s="128">
        <v>0</v>
      </c>
      <c r="AQ72" s="8"/>
      <c r="AR72" s="8"/>
      <c r="AS72" s="8"/>
    </row>
    <row r="73" spans="1:45">
      <c r="A73" s="12">
        <v>44448</v>
      </c>
      <c r="B73" s="8">
        <v>392462</v>
      </c>
      <c r="C73" s="8">
        <v>392713</v>
      </c>
      <c r="D73" s="128">
        <f t="shared" si="7"/>
        <v>251</v>
      </c>
      <c r="E73" s="8">
        <v>125175</v>
      </c>
      <c r="F73" s="8">
        <v>125530</v>
      </c>
      <c r="G73" s="137">
        <f t="shared" si="8"/>
        <v>355</v>
      </c>
      <c r="H73" s="128">
        <f t="shared" si="9"/>
        <v>606</v>
      </c>
      <c r="I73" s="8">
        <v>601777</v>
      </c>
      <c r="J73" s="8">
        <v>602000</v>
      </c>
      <c r="K73" s="137">
        <f t="shared" si="10"/>
        <v>223</v>
      </c>
      <c r="L73" s="8">
        <v>216588</v>
      </c>
      <c r="M73" s="8">
        <v>216785</v>
      </c>
      <c r="N73" s="137">
        <f t="shared" si="11"/>
        <v>197</v>
      </c>
      <c r="O73" s="128">
        <f t="shared" si="12"/>
        <v>420</v>
      </c>
      <c r="P73" s="8">
        <v>218397</v>
      </c>
      <c r="Q73" s="8">
        <v>218397</v>
      </c>
      <c r="R73" s="128">
        <v>0</v>
      </c>
      <c r="AQ73" s="8"/>
      <c r="AR73" s="8"/>
      <c r="AS73" s="8"/>
    </row>
    <row r="74" spans="1:45">
      <c r="A74" s="12">
        <v>44449</v>
      </c>
      <c r="B74" s="8">
        <v>392713</v>
      </c>
      <c r="C74" s="8">
        <v>392966</v>
      </c>
      <c r="D74" s="128">
        <f t="shared" si="7"/>
        <v>253</v>
      </c>
      <c r="E74" s="8">
        <v>125530</v>
      </c>
      <c r="F74" s="8">
        <v>125855</v>
      </c>
      <c r="G74" s="137">
        <f t="shared" si="8"/>
        <v>325</v>
      </c>
      <c r="H74" s="128">
        <f t="shared" si="9"/>
        <v>578</v>
      </c>
      <c r="I74" s="8">
        <v>602000</v>
      </c>
      <c r="J74" s="8">
        <v>602239</v>
      </c>
      <c r="K74" s="137">
        <f t="shared" si="10"/>
        <v>239</v>
      </c>
      <c r="L74" s="8">
        <v>216785</v>
      </c>
      <c r="M74" s="8">
        <v>217018</v>
      </c>
      <c r="N74" s="137">
        <f t="shared" si="11"/>
        <v>233</v>
      </c>
      <c r="O74" s="128">
        <f t="shared" si="12"/>
        <v>472</v>
      </c>
      <c r="P74" s="8">
        <v>218397</v>
      </c>
      <c r="Q74" s="8">
        <v>218397</v>
      </c>
      <c r="R74" s="128">
        <v>0</v>
      </c>
      <c r="AQ74" s="8"/>
      <c r="AR74" s="8"/>
      <c r="AS74" s="8"/>
    </row>
    <row r="75" spans="1:45">
      <c r="A75" s="12">
        <v>44450</v>
      </c>
      <c r="B75" s="8">
        <v>392966</v>
      </c>
      <c r="C75" s="8">
        <v>393114</v>
      </c>
      <c r="D75" s="128">
        <f t="shared" si="7"/>
        <v>148</v>
      </c>
      <c r="E75" s="8">
        <v>125855</v>
      </c>
      <c r="F75" s="8">
        <v>126158</v>
      </c>
      <c r="G75" s="137">
        <f t="shared" si="8"/>
        <v>303</v>
      </c>
      <c r="H75" s="128">
        <f t="shared" si="9"/>
        <v>451</v>
      </c>
      <c r="I75" s="8">
        <v>602239</v>
      </c>
      <c r="J75" s="8">
        <v>602493</v>
      </c>
      <c r="K75" s="137">
        <f t="shared" si="10"/>
        <v>254</v>
      </c>
      <c r="L75" s="8">
        <v>217018</v>
      </c>
      <c r="M75" s="8">
        <v>217208</v>
      </c>
      <c r="N75" s="137">
        <f t="shared" si="11"/>
        <v>190</v>
      </c>
      <c r="O75" s="128">
        <f t="shared" si="12"/>
        <v>444</v>
      </c>
      <c r="P75" s="8">
        <v>218397</v>
      </c>
      <c r="Q75" s="8">
        <v>218397</v>
      </c>
      <c r="R75" s="128">
        <v>0</v>
      </c>
      <c r="AQ75" s="8"/>
      <c r="AR75" s="8"/>
      <c r="AS75" s="8"/>
    </row>
    <row r="76" spans="1:45">
      <c r="A76" s="12">
        <v>44451</v>
      </c>
      <c r="B76" s="8">
        <v>393114</v>
      </c>
      <c r="C76" s="8">
        <v>393474</v>
      </c>
      <c r="D76" s="128">
        <f t="shared" si="7"/>
        <v>360</v>
      </c>
      <c r="E76" s="8">
        <v>126158</v>
      </c>
      <c r="F76" s="8">
        <v>126480</v>
      </c>
      <c r="G76" s="137">
        <f t="shared" si="8"/>
        <v>322</v>
      </c>
      <c r="H76" s="128">
        <f t="shared" si="9"/>
        <v>682</v>
      </c>
      <c r="I76" s="8">
        <v>602493</v>
      </c>
      <c r="J76" s="8">
        <v>602774</v>
      </c>
      <c r="K76" s="137">
        <f t="shared" si="10"/>
        <v>281</v>
      </c>
      <c r="L76" s="8">
        <v>217208</v>
      </c>
      <c r="M76" s="8">
        <v>217418</v>
      </c>
      <c r="N76" s="137">
        <f t="shared" si="11"/>
        <v>210</v>
      </c>
      <c r="O76" s="128">
        <f t="shared" si="12"/>
        <v>491</v>
      </c>
      <c r="P76" s="8">
        <v>218397</v>
      </c>
      <c r="Q76" s="8">
        <v>218397</v>
      </c>
      <c r="R76" s="128">
        <v>0</v>
      </c>
      <c r="AQ76" s="8"/>
      <c r="AR76" s="8"/>
      <c r="AS76" s="8"/>
    </row>
    <row r="77" spans="1:45">
      <c r="A77" s="12">
        <v>44452</v>
      </c>
      <c r="B77" s="8">
        <v>393474</v>
      </c>
      <c r="C77" s="8">
        <v>393623</v>
      </c>
      <c r="D77" s="128">
        <f t="shared" si="7"/>
        <v>149</v>
      </c>
      <c r="E77" s="8">
        <v>126480</v>
      </c>
      <c r="F77" s="8">
        <v>126845</v>
      </c>
      <c r="G77" s="137">
        <f t="shared" si="8"/>
        <v>365</v>
      </c>
      <c r="H77" s="128">
        <f t="shared" si="9"/>
        <v>514</v>
      </c>
      <c r="I77" s="8">
        <v>602774</v>
      </c>
      <c r="J77" s="8">
        <v>602997</v>
      </c>
      <c r="K77" s="137">
        <f t="shared" si="10"/>
        <v>223</v>
      </c>
      <c r="L77" s="8">
        <v>217418</v>
      </c>
      <c r="M77" s="8">
        <v>217803</v>
      </c>
      <c r="N77" s="137">
        <f t="shared" si="11"/>
        <v>385</v>
      </c>
      <c r="O77" s="128">
        <f t="shared" si="12"/>
        <v>608</v>
      </c>
      <c r="P77" s="8">
        <v>218397</v>
      </c>
      <c r="Q77" s="8">
        <v>218397</v>
      </c>
      <c r="R77" s="128">
        <v>0</v>
      </c>
      <c r="AQ77" s="8"/>
      <c r="AR77" s="8"/>
      <c r="AS77" s="8"/>
    </row>
    <row r="78" spans="1:45">
      <c r="A78" s="12">
        <v>44453</v>
      </c>
      <c r="B78" s="8">
        <v>393623</v>
      </c>
      <c r="C78" s="8">
        <v>393970</v>
      </c>
      <c r="D78" s="128">
        <f t="shared" si="7"/>
        <v>347</v>
      </c>
      <c r="E78" s="8">
        <v>126845</v>
      </c>
      <c r="F78" s="8">
        <v>127175</v>
      </c>
      <c r="G78" s="137">
        <f t="shared" si="8"/>
        <v>330</v>
      </c>
      <c r="H78" s="128">
        <f t="shared" si="9"/>
        <v>677</v>
      </c>
      <c r="I78" s="8">
        <v>602997</v>
      </c>
      <c r="J78" s="8">
        <v>603223</v>
      </c>
      <c r="K78" s="137">
        <f t="shared" si="10"/>
        <v>226</v>
      </c>
      <c r="L78" s="8">
        <v>217803</v>
      </c>
      <c r="M78" s="8">
        <v>218058</v>
      </c>
      <c r="N78" s="137">
        <f t="shared" si="11"/>
        <v>255</v>
      </c>
      <c r="O78" s="128">
        <f t="shared" si="12"/>
        <v>481</v>
      </c>
      <c r="P78" s="8">
        <v>218397</v>
      </c>
      <c r="Q78" s="8">
        <v>218397</v>
      </c>
      <c r="R78" s="128">
        <v>0</v>
      </c>
      <c r="AQ78" s="8"/>
      <c r="AR78" s="8"/>
      <c r="AS78" s="8"/>
    </row>
    <row r="79" spans="1:45">
      <c r="A79" s="12">
        <v>44454</v>
      </c>
      <c r="B79" s="8">
        <v>393970</v>
      </c>
      <c r="C79" s="8">
        <v>394121</v>
      </c>
      <c r="D79" s="128">
        <f t="shared" si="7"/>
        <v>151</v>
      </c>
      <c r="E79" s="8">
        <v>127175</v>
      </c>
      <c r="F79" s="8">
        <v>127443</v>
      </c>
      <c r="G79" s="137">
        <f t="shared" si="8"/>
        <v>268</v>
      </c>
      <c r="H79" s="128">
        <f t="shared" si="9"/>
        <v>419</v>
      </c>
      <c r="I79" s="8">
        <v>603223</v>
      </c>
      <c r="J79" s="8">
        <v>603469</v>
      </c>
      <c r="K79" s="137">
        <f t="shared" si="10"/>
        <v>246</v>
      </c>
      <c r="L79" s="8">
        <v>218058</v>
      </c>
      <c r="M79" s="8">
        <v>218353</v>
      </c>
      <c r="N79" s="137">
        <f t="shared" si="11"/>
        <v>295</v>
      </c>
      <c r="O79" s="128">
        <f t="shared" si="12"/>
        <v>541</v>
      </c>
      <c r="P79" s="8">
        <v>218397</v>
      </c>
      <c r="Q79" s="8">
        <v>218397</v>
      </c>
      <c r="R79" s="128">
        <v>0</v>
      </c>
      <c r="AQ79" s="8"/>
      <c r="AR79" s="8"/>
      <c r="AS79" s="8"/>
    </row>
    <row r="80" spans="1:45">
      <c r="A80" s="12">
        <v>44455</v>
      </c>
      <c r="B80" s="8">
        <v>394121</v>
      </c>
      <c r="C80" s="8">
        <v>394370</v>
      </c>
      <c r="D80" s="128">
        <f t="shared" si="7"/>
        <v>249</v>
      </c>
      <c r="E80" s="8">
        <v>127443</v>
      </c>
      <c r="F80" s="8">
        <v>127712</v>
      </c>
      <c r="G80" s="137">
        <f t="shared" si="8"/>
        <v>269</v>
      </c>
      <c r="H80" s="128">
        <f t="shared" si="9"/>
        <v>518</v>
      </c>
      <c r="I80" s="8">
        <v>603469</v>
      </c>
      <c r="J80" s="8">
        <v>603694</v>
      </c>
      <c r="K80" s="137">
        <f t="shared" si="10"/>
        <v>225</v>
      </c>
      <c r="L80" s="8">
        <v>218353</v>
      </c>
      <c r="M80" s="8">
        <v>218601</v>
      </c>
      <c r="N80" s="137">
        <f t="shared" si="11"/>
        <v>248</v>
      </c>
      <c r="O80" s="128">
        <f t="shared" si="12"/>
        <v>473</v>
      </c>
      <c r="P80" s="8">
        <v>218397</v>
      </c>
      <c r="Q80" s="8">
        <v>218397</v>
      </c>
      <c r="R80" s="128">
        <v>0</v>
      </c>
      <c r="AQ80" s="8"/>
      <c r="AR80" s="8"/>
      <c r="AS80" s="8"/>
    </row>
    <row r="81" spans="1:45">
      <c r="A81" s="12">
        <v>44456</v>
      </c>
      <c r="B81" s="8">
        <v>394370</v>
      </c>
      <c r="C81" s="8">
        <v>394651</v>
      </c>
      <c r="D81" s="128">
        <f t="shared" si="7"/>
        <v>281</v>
      </c>
      <c r="E81" s="8">
        <v>127712</v>
      </c>
      <c r="F81" s="8">
        <v>127857</v>
      </c>
      <c r="G81" s="137">
        <f t="shared" si="8"/>
        <v>145</v>
      </c>
      <c r="H81" s="128">
        <f t="shared" si="9"/>
        <v>426</v>
      </c>
      <c r="I81" s="8">
        <v>603694</v>
      </c>
      <c r="J81" s="8">
        <v>603908</v>
      </c>
      <c r="K81" s="137">
        <f t="shared" si="10"/>
        <v>214</v>
      </c>
      <c r="L81" s="8">
        <v>218601</v>
      </c>
      <c r="M81" s="8">
        <v>218868</v>
      </c>
      <c r="N81" s="137">
        <f t="shared" si="11"/>
        <v>267</v>
      </c>
      <c r="O81" s="128">
        <f t="shared" si="12"/>
        <v>481</v>
      </c>
      <c r="P81" s="8">
        <v>218397</v>
      </c>
      <c r="Q81" s="8">
        <v>218397</v>
      </c>
      <c r="R81" s="128">
        <v>0</v>
      </c>
      <c r="AQ81" s="8"/>
      <c r="AR81" s="8"/>
      <c r="AS81" s="8"/>
    </row>
    <row r="82" spans="1:45">
      <c r="A82" s="12">
        <v>44457</v>
      </c>
      <c r="B82" s="8">
        <v>394651</v>
      </c>
      <c r="C82" s="8">
        <v>394859</v>
      </c>
      <c r="D82" s="128">
        <f t="shared" si="7"/>
        <v>208</v>
      </c>
      <c r="E82" s="8">
        <v>127857</v>
      </c>
      <c r="F82" s="8">
        <v>128204</v>
      </c>
      <c r="G82" s="137">
        <f t="shared" si="8"/>
        <v>347</v>
      </c>
      <c r="H82" s="128">
        <f t="shared" si="9"/>
        <v>555</v>
      </c>
      <c r="I82" s="8">
        <v>603908</v>
      </c>
      <c r="J82" s="8">
        <v>604158</v>
      </c>
      <c r="K82" s="137">
        <f t="shared" si="10"/>
        <v>250</v>
      </c>
      <c r="L82" s="8">
        <v>218868</v>
      </c>
      <c r="M82" s="8">
        <v>219017</v>
      </c>
      <c r="N82" s="137">
        <f t="shared" si="11"/>
        <v>149</v>
      </c>
      <c r="O82" s="128">
        <f t="shared" si="12"/>
        <v>399</v>
      </c>
      <c r="P82" s="8">
        <v>218397</v>
      </c>
      <c r="Q82" s="8">
        <v>218397</v>
      </c>
      <c r="R82" s="128">
        <v>0</v>
      </c>
      <c r="AQ82" s="8"/>
      <c r="AR82" s="8"/>
      <c r="AS82" s="8"/>
    </row>
    <row r="83" spans="1:45">
      <c r="A83" s="12">
        <v>44458</v>
      </c>
      <c r="B83" s="8">
        <v>394859</v>
      </c>
      <c r="C83" s="8">
        <v>395006</v>
      </c>
      <c r="D83" s="128">
        <f t="shared" si="7"/>
        <v>147</v>
      </c>
      <c r="E83" s="8">
        <v>128208</v>
      </c>
      <c r="F83" s="8">
        <v>128436</v>
      </c>
      <c r="G83" s="137">
        <f t="shared" si="8"/>
        <v>228</v>
      </c>
      <c r="H83" s="128">
        <f t="shared" si="9"/>
        <v>375</v>
      </c>
      <c r="I83" s="8">
        <v>604158</v>
      </c>
      <c r="J83" s="8">
        <v>604442</v>
      </c>
      <c r="K83" s="137">
        <f t="shared" si="10"/>
        <v>284</v>
      </c>
      <c r="L83" s="8">
        <v>219017</v>
      </c>
      <c r="M83" s="8">
        <v>219195</v>
      </c>
      <c r="N83" s="137">
        <f t="shared" si="11"/>
        <v>178</v>
      </c>
      <c r="O83" s="128">
        <f t="shared" si="12"/>
        <v>462</v>
      </c>
      <c r="P83" s="8">
        <v>218397</v>
      </c>
      <c r="Q83" s="8">
        <v>218397</v>
      </c>
      <c r="R83" s="128">
        <v>0</v>
      </c>
      <c r="AQ83" s="8"/>
      <c r="AR83" s="8"/>
      <c r="AS83" s="8"/>
    </row>
    <row r="84" spans="1:45">
      <c r="A84" s="12">
        <v>44459</v>
      </c>
      <c r="B84" s="8">
        <v>395006</v>
      </c>
      <c r="C84" s="8">
        <v>395220</v>
      </c>
      <c r="D84" s="128">
        <f t="shared" si="7"/>
        <v>214</v>
      </c>
      <c r="E84" s="8">
        <v>128436</v>
      </c>
      <c r="F84" s="8">
        <v>128726</v>
      </c>
      <c r="G84" s="137">
        <f t="shared" si="8"/>
        <v>290</v>
      </c>
      <c r="H84" s="128">
        <f t="shared" si="9"/>
        <v>504</v>
      </c>
      <c r="I84" s="8">
        <v>604442</v>
      </c>
      <c r="J84" s="8">
        <v>604646</v>
      </c>
      <c r="K84" s="137">
        <f t="shared" si="10"/>
        <v>204</v>
      </c>
      <c r="L84" s="8">
        <v>219195</v>
      </c>
      <c r="M84" s="8">
        <v>219344</v>
      </c>
      <c r="N84" s="137">
        <f t="shared" si="11"/>
        <v>149</v>
      </c>
      <c r="O84" s="128">
        <f t="shared" si="12"/>
        <v>353</v>
      </c>
      <c r="P84" s="8">
        <v>218397</v>
      </c>
      <c r="Q84" s="8">
        <v>218397</v>
      </c>
      <c r="R84" s="128">
        <v>0</v>
      </c>
      <c r="AQ84" s="8"/>
      <c r="AR84" s="8"/>
      <c r="AS84" s="8"/>
    </row>
    <row r="85" spans="1:45">
      <c r="A85" s="12">
        <v>44460</v>
      </c>
      <c r="B85" s="8">
        <v>395220</v>
      </c>
      <c r="C85" s="8">
        <v>395450</v>
      </c>
      <c r="D85" s="128">
        <f t="shared" si="7"/>
        <v>230</v>
      </c>
      <c r="E85" s="8">
        <v>128726</v>
      </c>
      <c r="F85" s="8">
        <v>129057</v>
      </c>
      <c r="G85" s="137">
        <f t="shared" si="8"/>
        <v>331</v>
      </c>
      <c r="H85" s="128">
        <f t="shared" si="9"/>
        <v>561</v>
      </c>
      <c r="I85" s="8">
        <v>604646</v>
      </c>
      <c r="J85" s="8">
        <v>604877</v>
      </c>
      <c r="K85" s="137">
        <f t="shared" si="10"/>
        <v>231</v>
      </c>
      <c r="L85" s="8">
        <v>219344</v>
      </c>
      <c r="M85" s="8">
        <v>219507</v>
      </c>
      <c r="N85" s="137">
        <f t="shared" si="11"/>
        <v>163</v>
      </c>
      <c r="O85" s="128">
        <f t="shared" si="12"/>
        <v>394</v>
      </c>
      <c r="P85" s="8">
        <v>218397</v>
      </c>
      <c r="Q85" s="8">
        <v>218397</v>
      </c>
      <c r="R85" s="128">
        <v>0</v>
      </c>
      <c r="AQ85" s="8"/>
      <c r="AR85" s="8"/>
      <c r="AS85" s="8"/>
    </row>
    <row r="86" spans="1:45">
      <c r="A86" s="12">
        <v>44461</v>
      </c>
      <c r="B86" s="8">
        <v>395450</v>
      </c>
      <c r="C86" s="8">
        <v>395672</v>
      </c>
      <c r="D86" s="128">
        <f t="shared" si="7"/>
        <v>222</v>
      </c>
      <c r="E86" s="8">
        <v>129057</v>
      </c>
      <c r="F86" s="8">
        <v>129440</v>
      </c>
      <c r="G86" s="137">
        <f t="shared" si="8"/>
        <v>383</v>
      </c>
      <c r="H86" s="128">
        <f t="shared" si="9"/>
        <v>605</v>
      </c>
      <c r="I86" s="8">
        <v>604877</v>
      </c>
      <c r="J86" s="8">
        <v>605079</v>
      </c>
      <c r="K86" s="137">
        <f t="shared" si="10"/>
        <v>202</v>
      </c>
      <c r="L86" s="8">
        <v>219507</v>
      </c>
      <c r="M86" s="8">
        <v>219678</v>
      </c>
      <c r="N86" s="137">
        <f t="shared" si="11"/>
        <v>171</v>
      </c>
      <c r="O86" s="128">
        <f t="shared" si="12"/>
        <v>373</v>
      </c>
      <c r="P86" s="8">
        <v>218397</v>
      </c>
      <c r="Q86" s="8">
        <v>218397</v>
      </c>
      <c r="R86" s="128">
        <v>0</v>
      </c>
      <c r="AQ86" s="8"/>
      <c r="AR86" s="8"/>
      <c r="AS86" s="8"/>
    </row>
    <row r="87" spans="1:45">
      <c r="A87" s="12">
        <v>44462</v>
      </c>
      <c r="B87" s="8">
        <v>395672</v>
      </c>
      <c r="C87" s="8">
        <v>395855</v>
      </c>
      <c r="D87" s="128">
        <f t="shared" si="7"/>
        <v>183</v>
      </c>
      <c r="E87" s="8">
        <v>129440</v>
      </c>
      <c r="F87" s="8">
        <v>129718</v>
      </c>
      <c r="G87" s="137">
        <f t="shared" si="8"/>
        <v>278</v>
      </c>
      <c r="H87" s="128">
        <f t="shared" si="9"/>
        <v>461</v>
      </c>
      <c r="I87" s="8">
        <v>605079</v>
      </c>
      <c r="J87" s="8">
        <v>605293</v>
      </c>
      <c r="K87" s="137">
        <f t="shared" si="10"/>
        <v>214</v>
      </c>
      <c r="L87" s="8">
        <v>219678</v>
      </c>
      <c r="M87" s="8">
        <v>219828</v>
      </c>
      <c r="N87" s="137">
        <f t="shared" si="11"/>
        <v>150</v>
      </c>
      <c r="O87" s="128">
        <f t="shared" si="12"/>
        <v>364</v>
      </c>
      <c r="P87" s="8">
        <v>218397</v>
      </c>
      <c r="Q87" s="8">
        <v>218397</v>
      </c>
      <c r="R87" s="128">
        <v>0</v>
      </c>
      <c r="AQ87" s="8"/>
      <c r="AR87" s="8"/>
      <c r="AS87" s="8"/>
    </row>
    <row r="88" spans="1:45">
      <c r="A88" s="12">
        <v>44463</v>
      </c>
      <c r="B88" s="8">
        <v>395855</v>
      </c>
      <c r="C88" s="8">
        <v>396141</v>
      </c>
      <c r="D88" s="128">
        <f t="shared" si="7"/>
        <v>286</v>
      </c>
      <c r="E88" s="8">
        <v>129718</v>
      </c>
      <c r="F88" s="8">
        <v>130119</v>
      </c>
      <c r="G88" s="137">
        <f t="shared" si="8"/>
        <v>401</v>
      </c>
      <c r="H88" s="128">
        <f t="shared" si="9"/>
        <v>687</v>
      </c>
      <c r="I88" s="8">
        <v>605293</v>
      </c>
      <c r="J88" s="8">
        <v>605510</v>
      </c>
      <c r="K88" s="137">
        <f t="shared" si="10"/>
        <v>217</v>
      </c>
      <c r="L88" s="8">
        <v>219828</v>
      </c>
      <c r="M88" s="8">
        <v>220022</v>
      </c>
      <c r="N88" s="137">
        <f t="shared" si="11"/>
        <v>194</v>
      </c>
      <c r="O88" s="128">
        <f t="shared" si="12"/>
        <v>411</v>
      </c>
      <c r="P88" s="8">
        <v>218397</v>
      </c>
      <c r="Q88" s="8">
        <v>218397</v>
      </c>
      <c r="R88" s="128">
        <v>0</v>
      </c>
      <c r="AQ88" s="8"/>
      <c r="AR88" s="8"/>
      <c r="AS88" s="8"/>
    </row>
    <row r="89" spans="1:45">
      <c r="A89" s="12">
        <v>44464</v>
      </c>
      <c r="B89" s="8">
        <v>396141</v>
      </c>
      <c r="C89" s="8">
        <v>396395</v>
      </c>
      <c r="D89" s="128">
        <f t="shared" si="7"/>
        <v>254</v>
      </c>
      <c r="E89" s="8">
        <v>130119</v>
      </c>
      <c r="F89" s="8">
        <v>130428</v>
      </c>
      <c r="G89" s="137">
        <f t="shared" si="8"/>
        <v>309</v>
      </c>
      <c r="H89" s="128">
        <f t="shared" si="9"/>
        <v>563</v>
      </c>
      <c r="I89" s="8">
        <v>605510</v>
      </c>
      <c r="J89" s="8">
        <v>605757</v>
      </c>
      <c r="K89" s="137">
        <f t="shared" si="10"/>
        <v>247</v>
      </c>
      <c r="L89" s="8">
        <v>220022</v>
      </c>
      <c r="M89" s="8">
        <v>220281</v>
      </c>
      <c r="N89" s="137">
        <f t="shared" si="11"/>
        <v>259</v>
      </c>
      <c r="O89" s="128">
        <f t="shared" si="12"/>
        <v>506</v>
      </c>
      <c r="P89" s="8">
        <v>218397</v>
      </c>
      <c r="Q89" s="8">
        <v>218397</v>
      </c>
      <c r="R89" s="128">
        <v>0</v>
      </c>
      <c r="AQ89" s="8"/>
      <c r="AR89" s="8"/>
      <c r="AS89" s="8"/>
    </row>
    <row r="90" spans="1:45">
      <c r="A90" s="12">
        <v>44465</v>
      </c>
      <c r="B90" s="8">
        <v>396395</v>
      </c>
      <c r="C90" s="8">
        <v>396668</v>
      </c>
      <c r="D90" s="128">
        <f t="shared" si="7"/>
        <v>273</v>
      </c>
      <c r="E90" s="8">
        <v>130428</v>
      </c>
      <c r="F90" s="8">
        <v>130703</v>
      </c>
      <c r="G90" s="137">
        <f t="shared" si="8"/>
        <v>275</v>
      </c>
      <c r="H90" s="128">
        <f t="shared" si="9"/>
        <v>548</v>
      </c>
      <c r="I90" s="8">
        <v>605757</v>
      </c>
      <c r="J90" s="8">
        <v>606014</v>
      </c>
      <c r="K90" s="137">
        <f t="shared" si="10"/>
        <v>257</v>
      </c>
      <c r="L90" s="8">
        <v>220281</v>
      </c>
      <c r="M90" s="8">
        <v>220501</v>
      </c>
      <c r="N90" s="137">
        <f t="shared" si="11"/>
        <v>220</v>
      </c>
      <c r="O90" s="128">
        <f t="shared" si="12"/>
        <v>477</v>
      </c>
      <c r="P90" s="8">
        <v>218397</v>
      </c>
      <c r="Q90" s="8">
        <v>218397</v>
      </c>
      <c r="R90" s="128">
        <v>0</v>
      </c>
      <c r="AQ90" s="8"/>
      <c r="AR90" s="8"/>
      <c r="AS90" s="8"/>
    </row>
    <row r="91" spans="1:45">
      <c r="A91" s="12">
        <v>44466</v>
      </c>
      <c r="B91" s="8">
        <v>396668</v>
      </c>
      <c r="C91" s="8">
        <v>396994</v>
      </c>
      <c r="D91" s="128">
        <f t="shared" si="7"/>
        <v>326</v>
      </c>
      <c r="E91" s="8">
        <v>130703</v>
      </c>
      <c r="F91" s="8">
        <v>131078</v>
      </c>
      <c r="G91" s="137">
        <f t="shared" si="8"/>
        <v>375</v>
      </c>
      <c r="H91" s="128">
        <f t="shared" si="9"/>
        <v>701</v>
      </c>
      <c r="I91" s="8">
        <v>606014</v>
      </c>
      <c r="J91" s="8">
        <v>606234</v>
      </c>
      <c r="K91" s="137">
        <f t="shared" si="10"/>
        <v>220</v>
      </c>
      <c r="L91" s="8">
        <v>220501</v>
      </c>
      <c r="M91" s="8">
        <v>220694</v>
      </c>
      <c r="N91" s="137">
        <f t="shared" si="11"/>
        <v>193</v>
      </c>
      <c r="O91" s="128">
        <f t="shared" si="12"/>
        <v>413</v>
      </c>
      <c r="P91" s="8">
        <v>218397</v>
      </c>
      <c r="Q91" s="8">
        <v>218397</v>
      </c>
      <c r="R91" s="128">
        <v>0</v>
      </c>
      <c r="AQ91" s="8"/>
      <c r="AR91" s="8"/>
      <c r="AS91" s="8"/>
    </row>
    <row r="92" spans="1:45">
      <c r="A92" s="12">
        <v>44467</v>
      </c>
      <c r="B92" s="8">
        <v>396994</v>
      </c>
      <c r="C92" s="8">
        <v>397341</v>
      </c>
      <c r="D92" s="128">
        <f t="shared" si="7"/>
        <v>347</v>
      </c>
      <c r="E92" s="8">
        <v>131078</v>
      </c>
      <c r="F92" s="8">
        <v>131363</v>
      </c>
      <c r="G92" s="137">
        <f t="shared" si="8"/>
        <v>285</v>
      </c>
      <c r="H92" s="128">
        <f t="shared" si="9"/>
        <v>632</v>
      </c>
      <c r="I92" s="8">
        <v>606234</v>
      </c>
      <c r="J92" s="8">
        <v>606453</v>
      </c>
      <c r="K92" s="137">
        <f t="shared" si="10"/>
        <v>219</v>
      </c>
      <c r="L92" s="8">
        <v>220694</v>
      </c>
      <c r="M92" s="8">
        <v>220874</v>
      </c>
      <c r="N92" s="137">
        <f t="shared" si="11"/>
        <v>180</v>
      </c>
      <c r="O92" s="128">
        <f t="shared" si="12"/>
        <v>399</v>
      </c>
      <c r="P92" s="8">
        <v>218397</v>
      </c>
      <c r="Q92" s="8">
        <v>218397</v>
      </c>
      <c r="R92" s="128">
        <v>0</v>
      </c>
      <c r="AQ92" s="8"/>
      <c r="AR92" s="8"/>
      <c r="AS92" s="8"/>
    </row>
    <row r="93" spans="1:45">
      <c r="A93" s="12">
        <v>44468</v>
      </c>
      <c r="B93" s="8">
        <v>397341</v>
      </c>
      <c r="C93" s="8">
        <v>400210</v>
      </c>
      <c r="D93" s="128">
        <f t="shared" si="7"/>
        <v>2869</v>
      </c>
      <c r="E93" s="8">
        <v>131363</v>
      </c>
      <c r="F93" s="8">
        <v>131672</v>
      </c>
      <c r="G93" s="137">
        <f t="shared" si="8"/>
        <v>309</v>
      </c>
      <c r="H93" s="128">
        <f t="shared" si="9"/>
        <v>3178</v>
      </c>
      <c r="I93" s="8">
        <v>606453</v>
      </c>
      <c r="J93" s="8">
        <v>606676</v>
      </c>
      <c r="K93" s="137">
        <f t="shared" si="10"/>
        <v>223</v>
      </c>
      <c r="L93" s="8">
        <v>220874</v>
      </c>
      <c r="M93" s="8">
        <v>220945</v>
      </c>
      <c r="N93" s="137">
        <f t="shared" si="11"/>
        <v>71</v>
      </c>
      <c r="O93" s="128">
        <f t="shared" si="12"/>
        <v>294</v>
      </c>
      <c r="P93" s="8">
        <v>218397</v>
      </c>
      <c r="Q93" s="8">
        <v>218397</v>
      </c>
      <c r="R93" s="128">
        <v>0</v>
      </c>
      <c r="S93" s="8" t="s">
        <v>274</v>
      </c>
      <c r="AQ93" s="8"/>
      <c r="AR93" s="8"/>
      <c r="AS93" s="8"/>
    </row>
    <row r="94" spans="1:45">
      <c r="A94" s="12">
        <v>44469</v>
      </c>
      <c r="B94" s="8">
        <v>400210</v>
      </c>
      <c r="C94" s="8">
        <v>400554</v>
      </c>
      <c r="D94" s="128">
        <f t="shared" si="7"/>
        <v>344</v>
      </c>
      <c r="E94" s="8">
        <v>131672</v>
      </c>
      <c r="F94" s="8">
        <v>131974</v>
      </c>
      <c r="G94" s="137">
        <f t="shared" si="8"/>
        <v>302</v>
      </c>
      <c r="H94" s="128">
        <f t="shared" si="9"/>
        <v>646</v>
      </c>
      <c r="I94" s="8">
        <v>606676</v>
      </c>
      <c r="J94" s="8">
        <v>606918</v>
      </c>
      <c r="K94" s="137">
        <f t="shared" si="10"/>
        <v>242</v>
      </c>
      <c r="L94" s="8">
        <v>220945</v>
      </c>
      <c r="M94" s="8">
        <v>221116</v>
      </c>
      <c r="N94" s="137">
        <f t="shared" si="11"/>
        <v>171</v>
      </c>
      <c r="O94" s="128">
        <f t="shared" si="12"/>
        <v>413</v>
      </c>
      <c r="P94" s="8">
        <v>218397</v>
      </c>
      <c r="Q94" s="8">
        <v>218397</v>
      </c>
      <c r="R94" s="128">
        <v>0</v>
      </c>
      <c r="S94" s="8" t="s">
        <v>275</v>
      </c>
      <c r="AQ94" s="8"/>
      <c r="AR94" s="8"/>
      <c r="AS94" s="8"/>
    </row>
    <row r="95" spans="1:45">
      <c r="A95" s="12">
        <v>44470</v>
      </c>
      <c r="B95" s="8">
        <v>400554</v>
      </c>
      <c r="C95" s="8">
        <v>400812</v>
      </c>
      <c r="D95" s="128">
        <f t="shared" si="7"/>
        <v>258</v>
      </c>
      <c r="E95" s="8">
        <v>131974</v>
      </c>
      <c r="F95" s="8">
        <v>132293</v>
      </c>
      <c r="G95" s="137">
        <f t="shared" si="8"/>
        <v>319</v>
      </c>
      <c r="H95" s="128">
        <f t="shared" si="9"/>
        <v>577</v>
      </c>
      <c r="I95" s="8">
        <v>606918</v>
      </c>
      <c r="J95" s="8">
        <v>607162</v>
      </c>
      <c r="K95" s="137">
        <f t="shared" si="10"/>
        <v>244</v>
      </c>
      <c r="L95" s="8">
        <v>221116</v>
      </c>
      <c r="M95" s="8">
        <v>221357</v>
      </c>
      <c r="N95" s="137">
        <f t="shared" si="11"/>
        <v>241</v>
      </c>
      <c r="O95" s="128">
        <f t="shared" si="12"/>
        <v>485</v>
      </c>
      <c r="P95" s="8">
        <v>218397</v>
      </c>
      <c r="Q95" s="8">
        <v>218397</v>
      </c>
      <c r="R95" s="128">
        <v>0</v>
      </c>
      <c r="AQ95" s="8"/>
      <c r="AR95" s="8"/>
      <c r="AS95" s="8"/>
    </row>
    <row r="96" spans="1:45">
      <c r="A96" s="12">
        <v>44471</v>
      </c>
      <c r="B96" s="8">
        <v>400812</v>
      </c>
      <c r="C96" s="8">
        <v>401102</v>
      </c>
      <c r="D96" s="128">
        <f t="shared" si="7"/>
        <v>290</v>
      </c>
      <c r="E96" s="8">
        <v>132293</v>
      </c>
      <c r="F96" s="8">
        <v>132677</v>
      </c>
      <c r="G96" s="137">
        <f t="shared" si="8"/>
        <v>384</v>
      </c>
      <c r="H96" s="128">
        <f t="shared" si="9"/>
        <v>674</v>
      </c>
      <c r="I96" s="8">
        <v>607162</v>
      </c>
      <c r="J96" s="8">
        <v>607417</v>
      </c>
      <c r="K96" s="137">
        <f t="shared" si="10"/>
        <v>255</v>
      </c>
      <c r="L96" s="8">
        <v>221357</v>
      </c>
      <c r="M96" s="8">
        <v>221512</v>
      </c>
      <c r="N96" s="137">
        <f t="shared" si="11"/>
        <v>155</v>
      </c>
      <c r="O96" s="128">
        <f t="shared" si="12"/>
        <v>410</v>
      </c>
      <c r="P96" s="8">
        <v>218397</v>
      </c>
      <c r="Q96" s="8">
        <v>218397</v>
      </c>
      <c r="R96" s="128">
        <v>0</v>
      </c>
      <c r="AQ96" s="8"/>
      <c r="AR96" s="8"/>
      <c r="AS96" s="8"/>
    </row>
    <row r="97" spans="1:45">
      <c r="A97" s="12">
        <v>44472</v>
      </c>
      <c r="B97" s="8">
        <v>401102</v>
      </c>
      <c r="C97" s="8">
        <v>401254</v>
      </c>
      <c r="D97" s="128">
        <f t="shared" si="7"/>
        <v>152</v>
      </c>
      <c r="E97" s="8">
        <v>132677</v>
      </c>
      <c r="F97" s="8">
        <v>132940</v>
      </c>
      <c r="G97" s="137">
        <f t="shared" si="8"/>
        <v>263</v>
      </c>
      <c r="H97" s="128">
        <f t="shared" si="9"/>
        <v>415</v>
      </c>
      <c r="I97" s="8">
        <v>607417</v>
      </c>
      <c r="J97" s="8">
        <v>607657</v>
      </c>
      <c r="K97" s="137">
        <f t="shared" si="10"/>
        <v>240</v>
      </c>
      <c r="L97" s="8">
        <v>221512</v>
      </c>
      <c r="M97" s="8">
        <v>221680</v>
      </c>
      <c r="N97" s="137">
        <f t="shared" si="11"/>
        <v>168</v>
      </c>
      <c r="O97" s="128">
        <f t="shared" si="12"/>
        <v>408</v>
      </c>
      <c r="P97" s="8">
        <v>218397</v>
      </c>
      <c r="Q97" s="8">
        <v>218397</v>
      </c>
      <c r="R97" s="128">
        <v>0</v>
      </c>
      <c r="AQ97" s="8"/>
      <c r="AR97" s="8"/>
      <c r="AS97" s="8"/>
    </row>
    <row r="98" spans="1:45">
      <c r="A98" s="12">
        <v>44473</v>
      </c>
      <c r="B98" s="8">
        <v>401254</v>
      </c>
      <c r="C98" s="8">
        <v>401507</v>
      </c>
      <c r="D98" s="128">
        <f t="shared" si="7"/>
        <v>253</v>
      </c>
      <c r="E98" s="8">
        <v>132940</v>
      </c>
      <c r="F98" s="8">
        <v>133291</v>
      </c>
      <c r="G98" s="137">
        <f t="shared" si="8"/>
        <v>351</v>
      </c>
      <c r="H98" s="128">
        <f t="shared" si="9"/>
        <v>604</v>
      </c>
      <c r="I98" s="8">
        <v>607657</v>
      </c>
      <c r="J98" s="8">
        <v>607892</v>
      </c>
      <c r="K98" s="137">
        <f t="shared" si="10"/>
        <v>235</v>
      </c>
      <c r="L98" s="8">
        <v>221680</v>
      </c>
      <c r="M98" s="8">
        <v>221867</v>
      </c>
      <c r="N98" s="137">
        <f t="shared" si="11"/>
        <v>187</v>
      </c>
      <c r="O98" s="128">
        <f t="shared" si="12"/>
        <v>422</v>
      </c>
      <c r="P98" s="8">
        <v>218397</v>
      </c>
      <c r="Q98" s="8">
        <v>218397</v>
      </c>
      <c r="R98" s="128">
        <v>0</v>
      </c>
      <c r="AQ98" s="8"/>
      <c r="AR98" s="8"/>
      <c r="AS98" s="8"/>
    </row>
    <row r="99" spans="1:45">
      <c r="A99" s="12">
        <v>44474</v>
      </c>
      <c r="B99" s="8">
        <v>401507</v>
      </c>
      <c r="C99" s="8">
        <v>401734</v>
      </c>
      <c r="D99" s="128">
        <f t="shared" si="7"/>
        <v>227</v>
      </c>
      <c r="E99" s="8">
        <v>133291</v>
      </c>
      <c r="F99" s="8">
        <v>133660</v>
      </c>
      <c r="G99" s="137">
        <f t="shared" si="8"/>
        <v>369</v>
      </c>
      <c r="H99" s="128">
        <f t="shared" si="9"/>
        <v>596</v>
      </c>
      <c r="I99" s="8">
        <v>607892</v>
      </c>
      <c r="J99" s="8">
        <v>608129</v>
      </c>
      <c r="K99" s="137">
        <f t="shared" si="10"/>
        <v>237</v>
      </c>
      <c r="L99" s="8">
        <v>221869</v>
      </c>
      <c r="M99" s="8">
        <v>222046</v>
      </c>
      <c r="N99" s="137">
        <f t="shared" si="11"/>
        <v>177</v>
      </c>
      <c r="O99" s="128">
        <f t="shared" si="12"/>
        <v>414</v>
      </c>
      <c r="P99" s="8">
        <v>218397</v>
      </c>
      <c r="Q99" s="8">
        <v>218397</v>
      </c>
      <c r="R99" s="128">
        <v>0</v>
      </c>
      <c r="AQ99" s="8"/>
      <c r="AR99" s="8"/>
      <c r="AS99" s="8"/>
    </row>
    <row r="100" spans="1:45">
      <c r="A100" s="12">
        <v>44475</v>
      </c>
      <c r="B100" s="8">
        <v>401734</v>
      </c>
      <c r="C100" s="8">
        <v>401988</v>
      </c>
      <c r="D100" s="128">
        <f t="shared" si="7"/>
        <v>254</v>
      </c>
      <c r="E100" s="8">
        <v>133660</v>
      </c>
      <c r="F100" s="8">
        <v>133854</v>
      </c>
      <c r="G100" s="137">
        <f t="shared" si="8"/>
        <v>194</v>
      </c>
      <c r="H100" s="128">
        <f t="shared" si="9"/>
        <v>448</v>
      </c>
      <c r="I100" s="8">
        <v>608129</v>
      </c>
      <c r="J100" s="8">
        <v>608367</v>
      </c>
      <c r="K100" s="137">
        <f t="shared" si="10"/>
        <v>238</v>
      </c>
      <c r="L100" s="8">
        <v>222046</v>
      </c>
      <c r="M100" s="8">
        <v>222176</v>
      </c>
      <c r="N100" s="137">
        <f t="shared" si="11"/>
        <v>130</v>
      </c>
      <c r="O100" s="128">
        <f t="shared" si="12"/>
        <v>368</v>
      </c>
      <c r="P100" s="8">
        <v>218397</v>
      </c>
      <c r="Q100" s="8">
        <v>218397</v>
      </c>
      <c r="R100" s="128">
        <v>0</v>
      </c>
      <c r="AQ100" s="8"/>
      <c r="AR100" s="8"/>
      <c r="AS100" s="8"/>
    </row>
    <row r="101" spans="1:45">
      <c r="A101" s="12">
        <v>44476</v>
      </c>
      <c r="B101" s="8">
        <v>401988</v>
      </c>
      <c r="C101" s="8">
        <v>402236</v>
      </c>
      <c r="D101" s="128">
        <f>C101-B101</f>
        <v>248</v>
      </c>
      <c r="E101" s="8">
        <v>133854</v>
      </c>
      <c r="F101" s="8">
        <v>134128</v>
      </c>
      <c r="G101" s="137">
        <f t="shared" si="8"/>
        <v>274</v>
      </c>
      <c r="H101" s="128">
        <f t="shared" si="9"/>
        <v>522</v>
      </c>
      <c r="I101" s="8">
        <v>608367</v>
      </c>
      <c r="J101" s="8">
        <v>608667</v>
      </c>
      <c r="K101" s="137">
        <f>J101-I101</f>
        <v>300</v>
      </c>
      <c r="L101" s="8">
        <v>222176</v>
      </c>
      <c r="M101" s="8">
        <v>222348</v>
      </c>
      <c r="N101" s="137">
        <f t="shared" si="11"/>
        <v>172</v>
      </c>
      <c r="O101" s="128">
        <f t="shared" si="12"/>
        <v>472</v>
      </c>
      <c r="P101" s="8">
        <v>218397</v>
      </c>
      <c r="Q101" s="8">
        <v>218397</v>
      </c>
      <c r="R101" s="128">
        <v>0</v>
      </c>
      <c r="AQ101" s="8"/>
      <c r="AR101" s="8"/>
      <c r="AS101" s="8"/>
    </row>
    <row r="102" spans="1:45">
      <c r="A102" s="12">
        <v>44477</v>
      </c>
      <c r="B102" s="8">
        <v>402236</v>
      </c>
      <c r="C102" s="8">
        <v>402491</v>
      </c>
      <c r="D102" s="128">
        <f t="shared" ref="D102:D165" si="13">C102-B102</f>
        <v>255</v>
      </c>
      <c r="E102" s="8">
        <v>134128</v>
      </c>
      <c r="F102" s="8">
        <v>134506</v>
      </c>
      <c r="G102" s="137">
        <f t="shared" si="8"/>
        <v>378</v>
      </c>
      <c r="H102" s="128">
        <f t="shared" si="9"/>
        <v>633</v>
      </c>
      <c r="I102" s="8">
        <v>608667</v>
      </c>
      <c r="J102" s="8">
        <v>608872</v>
      </c>
      <c r="K102" s="137">
        <f t="shared" ref="K102:K165" si="14">J102-I102</f>
        <v>205</v>
      </c>
      <c r="L102" s="8">
        <v>222348</v>
      </c>
      <c r="M102" s="8">
        <v>222599</v>
      </c>
      <c r="N102" s="137">
        <f t="shared" si="11"/>
        <v>251</v>
      </c>
      <c r="O102" s="128">
        <f t="shared" si="12"/>
        <v>456</v>
      </c>
      <c r="P102" s="8">
        <v>218397</v>
      </c>
      <c r="Q102" s="8">
        <v>218397</v>
      </c>
      <c r="R102" s="128">
        <v>0</v>
      </c>
      <c r="AQ102" s="8"/>
      <c r="AR102" s="8"/>
      <c r="AS102" s="8"/>
    </row>
    <row r="103" spans="1:45">
      <c r="A103" s="12">
        <v>44478</v>
      </c>
      <c r="B103" s="8">
        <v>402491</v>
      </c>
      <c r="C103" s="8">
        <v>402707</v>
      </c>
      <c r="D103" s="128">
        <f t="shared" si="13"/>
        <v>216</v>
      </c>
      <c r="E103" s="8">
        <v>134506</v>
      </c>
      <c r="F103" s="8">
        <v>134851</v>
      </c>
      <c r="G103" s="137">
        <f t="shared" si="8"/>
        <v>345</v>
      </c>
      <c r="H103" s="128">
        <f t="shared" si="9"/>
        <v>561</v>
      </c>
      <c r="I103" s="53">
        <v>608872</v>
      </c>
      <c r="J103" s="8">
        <v>609105</v>
      </c>
      <c r="K103" s="137">
        <f t="shared" si="14"/>
        <v>233</v>
      </c>
      <c r="L103" s="8">
        <v>222599</v>
      </c>
      <c r="M103" s="8">
        <v>222755</v>
      </c>
      <c r="N103" s="137">
        <f t="shared" si="11"/>
        <v>156</v>
      </c>
      <c r="O103" s="128">
        <f t="shared" si="12"/>
        <v>389</v>
      </c>
      <c r="P103" s="8">
        <v>218397</v>
      </c>
      <c r="Q103" s="8">
        <v>218397</v>
      </c>
      <c r="R103" s="128">
        <v>0</v>
      </c>
      <c r="AQ103" s="8"/>
      <c r="AR103" s="8"/>
      <c r="AS103" s="8"/>
    </row>
    <row r="104" spans="1:45">
      <c r="A104" s="12">
        <v>44479</v>
      </c>
      <c r="B104" s="8">
        <v>402707</v>
      </c>
      <c r="C104" s="8">
        <v>402906</v>
      </c>
      <c r="D104" s="128">
        <f t="shared" si="13"/>
        <v>199</v>
      </c>
      <c r="E104" s="8">
        <v>134851</v>
      </c>
      <c r="F104" s="8">
        <v>135099</v>
      </c>
      <c r="G104" s="137">
        <f t="shared" si="8"/>
        <v>248</v>
      </c>
      <c r="H104" s="128">
        <f t="shared" si="9"/>
        <v>447</v>
      </c>
      <c r="I104" s="8">
        <v>609105</v>
      </c>
      <c r="J104" s="8">
        <v>609307</v>
      </c>
      <c r="K104" s="137">
        <f t="shared" si="14"/>
        <v>202</v>
      </c>
      <c r="L104" s="8">
        <v>222755</v>
      </c>
      <c r="M104" s="8">
        <v>222970</v>
      </c>
      <c r="N104" s="137">
        <f t="shared" si="11"/>
        <v>215</v>
      </c>
      <c r="O104" s="128">
        <f t="shared" si="12"/>
        <v>417</v>
      </c>
      <c r="P104" s="8">
        <v>218397</v>
      </c>
      <c r="Q104" s="8">
        <v>218397</v>
      </c>
      <c r="R104" s="128">
        <v>0</v>
      </c>
      <c r="AQ104" s="8"/>
      <c r="AR104" s="8"/>
      <c r="AS104" s="8"/>
    </row>
    <row r="105" spans="1:45">
      <c r="A105" s="12">
        <v>44480</v>
      </c>
      <c r="B105" s="8">
        <v>402906</v>
      </c>
      <c r="C105" s="8">
        <v>403161</v>
      </c>
      <c r="D105" s="128">
        <f t="shared" si="13"/>
        <v>255</v>
      </c>
      <c r="E105" s="8">
        <v>135099</v>
      </c>
      <c r="F105" s="8">
        <v>135447</v>
      </c>
      <c r="G105" s="137">
        <f t="shared" si="8"/>
        <v>348</v>
      </c>
      <c r="H105" s="128">
        <f t="shared" si="9"/>
        <v>603</v>
      </c>
      <c r="I105" s="8">
        <v>609307</v>
      </c>
      <c r="J105" s="8">
        <v>609557</v>
      </c>
      <c r="K105" s="137">
        <f t="shared" si="14"/>
        <v>250</v>
      </c>
      <c r="L105" s="8">
        <v>222970</v>
      </c>
      <c r="M105" s="8">
        <v>223181</v>
      </c>
      <c r="N105" s="137">
        <f t="shared" si="11"/>
        <v>211</v>
      </c>
      <c r="O105" s="128">
        <f t="shared" si="12"/>
        <v>461</v>
      </c>
      <c r="P105" s="8">
        <v>218397</v>
      </c>
      <c r="Q105" s="8">
        <v>218397</v>
      </c>
      <c r="R105" s="128">
        <v>0</v>
      </c>
      <c r="AQ105" s="8"/>
      <c r="AR105" s="8"/>
      <c r="AS105" s="8"/>
    </row>
    <row r="106" spans="1:45">
      <c r="A106" s="12">
        <v>44481</v>
      </c>
      <c r="B106" s="8">
        <v>403161</v>
      </c>
      <c r="C106" s="8">
        <v>403391</v>
      </c>
      <c r="D106" s="128">
        <f t="shared" si="13"/>
        <v>230</v>
      </c>
      <c r="E106" s="8">
        <v>135447</v>
      </c>
      <c r="F106" s="8">
        <v>135714</v>
      </c>
      <c r="G106" s="137">
        <f t="shared" si="8"/>
        <v>267</v>
      </c>
      <c r="H106" s="128">
        <f t="shared" si="9"/>
        <v>497</v>
      </c>
      <c r="I106" s="8">
        <v>609557</v>
      </c>
      <c r="J106" s="8">
        <v>609763</v>
      </c>
      <c r="K106" s="137">
        <f t="shared" si="14"/>
        <v>206</v>
      </c>
      <c r="L106" s="8">
        <v>223181</v>
      </c>
      <c r="M106" s="8">
        <v>223411</v>
      </c>
      <c r="N106" s="137">
        <f t="shared" si="11"/>
        <v>230</v>
      </c>
      <c r="O106" s="128">
        <f t="shared" si="12"/>
        <v>436</v>
      </c>
      <c r="P106" s="8">
        <v>218397</v>
      </c>
      <c r="Q106" s="8">
        <v>218397</v>
      </c>
      <c r="R106" s="128">
        <v>0</v>
      </c>
      <c r="AQ106" s="8"/>
      <c r="AR106" s="8"/>
      <c r="AS106" s="8"/>
    </row>
    <row r="107" spans="1:45">
      <c r="A107" s="12">
        <v>44482</v>
      </c>
      <c r="B107" s="8">
        <v>403391</v>
      </c>
      <c r="C107" s="8">
        <v>403627</v>
      </c>
      <c r="D107" s="128">
        <f t="shared" si="13"/>
        <v>236</v>
      </c>
      <c r="E107" s="8">
        <v>135714</v>
      </c>
      <c r="F107" s="8">
        <v>135973</v>
      </c>
      <c r="G107" s="137">
        <f t="shared" si="8"/>
        <v>259</v>
      </c>
      <c r="H107" s="128">
        <f t="shared" si="9"/>
        <v>495</v>
      </c>
      <c r="I107" s="8">
        <v>609763</v>
      </c>
      <c r="J107" s="8">
        <v>610020</v>
      </c>
      <c r="K107" s="137">
        <f t="shared" si="14"/>
        <v>257</v>
      </c>
      <c r="L107" s="8">
        <v>223411</v>
      </c>
      <c r="M107" s="8">
        <v>223657</v>
      </c>
      <c r="N107" s="137">
        <f t="shared" si="11"/>
        <v>246</v>
      </c>
      <c r="O107" s="128">
        <f t="shared" si="12"/>
        <v>503</v>
      </c>
      <c r="P107" s="8">
        <v>218397</v>
      </c>
      <c r="Q107" s="8">
        <v>218397</v>
      </c>
      <c r="R107" s="128">
        <v>0</v>
      </c>
      <c r="AQ107" s="8"/>
      <c r="AR107" s="8"/>
      <c r="AS107" s="8"/>
    </row>
    <row r="108" spans="1:45">
      <c r="A108" s="12">
        <v>44483</v>
      </c>
      <c r="B108" s="8">
        <v>403627</v>
      </c>
      <c r="C108" s="8">
        <v>403814</v>
      </c>
      <c r="D108" s="128">
        <f t="shared" si="13"/>
        <v>187</v>
      </c>
      <c r="E108" s="8">
        <v>135973</v>
      </c>
      <c r="F108" s="8">
        <v>136315</v>
      </c>
      <c r="G108" s="137">
        <f t="shared" si="8"/>
        <v>342</v>
      </c>
      <c r="H108" s="128">
        <f t="shared" si="9"/>
        <v>529</v>
      </c>
      <c r="I108" s="8">
        <v>610020</v>
      </c>
      <c r="J108" s="8">
        <v>610233</v>
      </c>
      <c r="K108" s="137">
        <f t="shared" si="14"/>
        <v>213</v>
      </c>
      <c r="L108" s="8">
        <v>223657</v>
      </c>
      <c r="M108" s="8">
        <v>223833</v>
      </c>
      <c r="N108" s="137">
        <f t="shared" si="11"/>
        <v>176</v>
      </c>
      <c r="O108" s="128">
        <f t="shared" si="12"/>
        <v>389</v>
      </c>
      <c r="P108" s="8">
        <v>218397</v>
      </c>
      <c r="Q108" s="8">
        <v>218397</v>
      </c>
      <c r="R108" s="128">
        <v>0</v>
      </c>
      <c r="AQ108" s="8"/>
      <c r="AR108" s="8"/>
      <c r="AS108" s="8"/>
    </row>
    <row r="109" spans="1:45">
      <c r="A109" s="12">
        <v>44484</v>
      </c>
      <c r="B109" s="8">
        <v>403814</v>
      </c>
      <c r="C109" s="8">
        <v>403992</v>
      </c>
      <c r="D109" s="128">
        <f t="shared" si="13"/>
        <v>178</v>
      </c>
      <c r="E109" s="8">
        <v>136215</v>
      </c>
      <c r="F109" s="8">
        <v>136674</v>
      </c>
      <c r="G109" s="137">
        <f t="shared" si="8"/>
        <v>459</v>
      </c>
      <c r="H109" s="128">
        <f t="shared" si="9"/>
        <v>637</v>
      </c>
      <c r="I109" s="8">
        <v>610233</v>
      </c>
      <c r="J109" s="8">
        <v>610426</v>
      </c>
      <c r="K109" s="137">
        <f t="shared" si="14"/>
        <v>193</v>
      </c>
      <c r="L109" s="8">
        <v>223833</v>
      </c>
      <c r="M109" s="8">
        <v>223833</v>
      </c>
      <c r="N109" s="137">
        <f t="shared" si="11"/>
        <v>0</v>
      </c>
      <c r="O109" s="128">
        <f t="shared" si="12"/>
        <v>193</v>
      </c>
      <c r="P109" s="8">
        <v>218397</v>
      </c>
      <c r="Q109" s="8">
        <v>218397</v>
      </c>
      <c r="R109" s="128">
        <v>0</v>
      </c>
      <c r="AQ109" s="8"/>
      <c r="AR109" s="8"/>
      <c r="AS109" s="8"/>
    </row>
    <row r="110" spans="1:45">
      <c r="A110" s="12">
        <v>44485</v>
      </c>
      <c r="B110" s="8">
        <v>403992</v>
      </c>
      <c r="C110" s="8">
        <v>404190</v>
      </c>
      <c r="D110" s="128">
        <f t="shared" si="13"/>
        <v>198</v>
      </c>
      <c r="E110" s="8">
        <v>136674</v>
      </c>
      <c r="F110" s="8">
        <v>137008</v>
      </c>
      <c r="G110" s="137">
        <f t="shared" si="8"/>
        <v>334</v>
      </c>
      <c r="H110" s="128">
        <f t="shared" si="9"/>
        <v>532</v>
      </c>
      <c r="I110" s="8">
        <v>610426</v>
      </c>
      <c r="J110" s="8">
        <v>610698</v>
      </c>
      <c r="K110" s="137">
        <f t="shared" si="14"/>
        <v>272</v>
      </c>
      <c r="L110" s="8">
        <v>223833</v>
      </c>
      <c r="M110" s="8">
        <v>224083</v>
      </c>
      <c r="N110" s="137">
        <f t="shared" si="11"/>
        <v>250</v>
      </c>
      <c r="O110" s="128">
        <f t="shared" si="12"/>
        <v>522</v>
      </c>
      <c r="P110" s="8">
        <v>218397</v>
      </c>
      <c r="Q110" s="8">
        <v>218397</v>
      </c>
      <c r="R110" s="128">
        <v>0</v>
      </c>
      <c r="AQ110" s="8"/>
      <c r="AR110" s="8"/>
      <c r="AS110" s="8"/>
    </row>
    <row r="111" spans="1:45">
      <c r="A111" s="12">
        <v>44486</v>
      </c>
      <c r="B111" s="8">
        <v>404190</v>
      </c>
      <c r="C111" s="8">
        <v>404401</v>
      </c>
      <c r="D111" s="128">
        <f t="shared" si="13"/>
        <v>211</v>
      </c>
      <c r="E111" s="8">
        <v>137008</v>
      </c>
      <c r="F111" s="8">
        <v>137349</v>
      </c>
      <c r="G111" s="137">
        <f t="shared" si="8"/>
        <v>341</v>
      </c>
      <c r="H111" s="128">
        <f t="shared" si="9"/>
        <v>552</v>
      </c>
      <c r="I111" s="8">
        <v>610698</v>
      </c>
      <c r="J111" s="8">
        <v>610942</v>
      </c>
      <c r="K111" s="137">
        <f t="shared" si="14"/>
        <v>244</v>
      </c>
      <c r="L111" s="8">
        <v>224083</v>
      </c>
      <c r="M111" s="8">
        <v>224256</v>
      </c>
      <c r="N111" s="137">
        <f t="shared" si="11"/>
        <v>173</v>
      </c>
      <c r="O111" s="128">
        <f t="shared" si="12"/>
        <v>417</v>
      </c>
      <c r="P111" s="8">
        <v>218397</v>
      </c>
      <c r="Q111" s="8">
        <v>218397</v>
      </c>
      <c r="R111" s="128">
        <v>0</v>
      </c>
      <c r="AQ111" s="8"/>
      <c r="AR111" s="8"/>
      <c r="AS111" s="8"/>
    </row>
    <row r="112" spans="1:45">
      <c r="A112" s="12">
        <v>44487</v>
      </c>
      <c r="B112" s="8">
        <v>404401</v>
      </c>
      <c r="C112" s="8">
        <v>404645</v>
      </c>
      <c r="D112" s="128">
        <f t="shared" si="13"/>
        <v>244</v>
      </c>
      <c r="E112" s="8">
        <v>137349</v>
      </c>
      <c r="F112" s="8">
        <v>137709</v>
      </c>
      <c r="G112" s="137">
        <f t="shared" si="8"/>
        <v>360</v>
      </c>
      <c r="H112" s="128">
        <f t="shared" si="9"/>
        <v>604</v>
      </c>
      <c r="I112" s="8">
        <v>610942</v>
      </c>
      <c r="J112" s="8">
        <v>611171</v>
      </c>
      <c r="K112" s="137">
        <f t="shared" si="14"/>
        <v>229</v>
      </c>
      <c r="L112" s="8">
        <v>224256</v>
      </c>
      <c r="M112" s="8">
        <v>224504</v>
      </c>
      <c r="N112" s="137">
        <f t="shared" si="11"/>
        <v>248</v>
      </c>
      <c r="O112" s="128">
        <f t="shared" si="12"/>
        <v>477</v>
      </c>
      <c r="P112" s="8">
        <v>218397</v>
      </c>
      <c r="Q112" s="8">
        <v>218397</v>
      </c>
      <c r="R112" s="128">
        <v>0</v>
      </c>
      <c r="AQ112" s="8"/>
      <c r="AR112" s="8"/>
      <c r="AS112" s="8"/>
    </row>
    <row r="113" spans="1:45">
      <c r="A113" s="12">
        <v>44488</v>
      </c>
      <c r="B113" s="8">
        <v>404645</v>
      </c>
      <c r="C113" s="8">
        <v>404925</v>
      </c>
      <c r="D113" s="128">
        <f t="shared" si="13"/>
        <v>280</v>
      </c>
      <c r="E113" s="8">
        <v>137709</v>
      </c>
      <c r="F113" s="8">
        <v>138051</v>
      </c>
      <c r="G113" s="137">
        <f t="shared" si="8"/>
        <v>342</v>
      </c>
      <c r="H113" s="128">
        <f t="shared" si="9"/>
        <v>622</v>
      </c>
      <c r="I113" s="8">
        <v>611171</v>
      </c>
      <c r="J113" s="8">
        <v>611395</v>
      </c>
      <c r="K113" s="137">
        <f t="shared" si="14"/>
        <v>224</v>
      </c>
      <c r="L113" s="8">
        <v>224504</v>
      </c>
      <c r="M113" s="8">
        <v>224575</v>
      </c>
      <c r="N113" s="137">
        <f t="shared" si="11"/>
        <v>71</v>
      </c>
      <c r="O113" s="128">
        <f t="shared" si="12"/>
        <v>295</v>
      </c>
      <c r="P113" s="8">
        <v>218397</v>
      </c>
      <c r="Q113" s="8">
        <v>218397</v>
      </c>
      <c r="R113" s="128">
        <v>0</v>
      </c>
      <c r="AQ113" s="8"/>
      <c r="AR113" s="8"/>
      <c r="AS113" s="8"/>
    </row>
    <row r="114" spans="1:45">
      <c r="A114" s="12">
        <v>44489</v>
      </c>
      <c r="B114" s="8">
        <v>404925</v>
      </c>
      <c r="C114" s="8">
        <v>405068</v>
      </c>
      <c r="D114" s="128">
        <f t="shared" si="13"/>
        <v>143</v>
      </c>
      <c r="E114" s="8">
        <v>138051</v>
      </c>
      <c r="F114" s="8">
        <v>138324</v>
      </c>
      <c r="G114" s="137">
        <f t="shared" si="8"/>
        <v>273</v>
      </c>
      <c r="H114" s="128">
        <f t="shared" si="9"/>
        <v>416</v>
      </c>
      <c r="I114" s="8">
        <v>611395</v>
      </c>
      <c r="J114" s="8">
        <v>611643</v>
      </c>
      <c r="K114" s="137">
        <f t="shared" si="14"/>
        <v>248</v>
      </c>
      <c r="L114" s="8">
        <v>224575</v>
      </c>
      <c r="M114" s="8">
        <v>224766</v>
      </c>
      <c r="N114" s="137">
        <f t="shared" si="11"/>
        <v>191</v>
      </c>
      <c r="O114" s="128">
        <f t="shared" si="12"/>
        <v>439</v>
      </c>
      <c r="P114" s="8">
        <v>218397</v>
      </c>
      <c r="Q114" s="8">
        <v>218397</v>
      </c>
      <c r="R114" s="128">
        <v>0</v>
      </c>
      <c r="S114" s="8" t="s">
        <v>360</v>
      </c>
      <c r="AQ114" s="8"/>
      <c r="AR114" s="8"/>
      <c r="AS114" s="8"/>
    </row>
    <row r="115" spans="1:45">
      <c r="A115" s="12">
        <v>44490</v>
      </c>
      <c r="B115" s="8">
        <v>405068</v>
      </c>
      <c r="C115" s="8">
        <v>405254</v>
      </c>
      <c r="D115" s="128">
        <f t="shared" si="13"/>
        <v>186</v>
      </c>
      <c r="E115" s="8">
        <v>138324</v>
      </c>
      <c r="F115" s="8">
        <v>138566</v>
      </c>
      <c r="G115" s="137">
        <f t="shared" si="8"/>
        <v>242</v>
      </c>
      <c r="H115" s="128">
        <f t="shared" si="9"/>
        <v>428</v>
      </c>
      <c r="I115" s="8">
        <v>611643</v>
      </c>
      <c r="J115" s="8">
        <v>611872</v>
      </c>
      <c r="K115" s="137">
        <f t="shared" si="14"/>
        <v>229</v>
      </c>
      <c r="L115" s="8">
        <v>224766</v>
      </c>
      <c r="M115" s="8">
        <v>224874</v>
      </c>
      <c r="N115" s="137">
        <f t="shared" si="11"/>
        <v>108</v>
      </c>
      <c r="O115" s="128">
        <f t="shared" si="12"/>
        <v>337</v>
      </c>
      <c r="P115" s="8">
        <v>218397</v>
      </c>
      <c r="Q115" s="8">
        <v>218397</v>
      </c>
      <c r="R115" s="128">
        <v>0</v>
      </c>
      <c r="AQ115" s="8"/>
      <c r="AR115" s="8"/>
      <c r="AS115" s="8"/>
    </row>
    <row r="116" spans="1:45">
      <c r="A116" s="12">
        <v>44491</v>
      </c>
      <c r="B116" s="8">
        <v>405254</v>
      </c>
      <c r="C116" s="8">
        <v>405501</v>
      </c>
      <c r="D116" s="128">
        <f t="shared" si="13"/>
        <v>247</v>
      </c>
      <c r="E116" s="8">
        <v>138566</v>
      </c>
      <c r="F116" s="8">
        <v>138862</v>
      </c>
      <c r="G116" s="137">
        <f t="shared" si="8"/>
        <v>296</v>
      </c>
      <c r="H116" s="128">
        <f t="shared" si="9"/>
        <v>543</v>
      </c>
      <c r="I116" s="8">
        <v>611872</v>
      </c>
      <c r="J116" s="8">
        <v>612122</v>
      </c>
      <c r="K116" s="137">
        <f t="shared" si="14"/>
        <v>250</v>
      </c>
      <c r="L116" s="8">
        <v>224874</v>
      </c>
      <c r="M116" s="8">
        <v>225075</v>
      </c>
      <c r="N116" s="137">
        <f t="shared" si="11"/>
        <v>201</v>
      </c>
      <c r="O116" s="128">
        <f t="shared" si="12"/>
        <v>451</v>
      </c>
      <c r="P116" s="8">
        <v>218397</v>
      </c>
      <c r="Q116" s="8">
        <v>218397</v>
      </c>
      <c r="R116" s="128">
        <v>0</v>
      </c>
      <c r="S116" s="8" t="s">
        <v>361</v>
      </c>
      <c r="AQ116" s="8"/>
      <c r="AR116" s="8"/>
      <c r="AS116" s="8"/>
    </row>
    <row r="117" spans="1:45">
      <c r="A117" s="12">
        <v>44492</v>
      </c>
      <c r="B117" s="8">
        <v>405501</v>
      </c>
      <c r="C117" s="8">
        <v>405678</v>
      </c>
      <c r="D117" s="128">
        <f t="shared" si="13"/>
        <v>177</v>
      </c>
      <c r="E117" s="8">
        <v>138862</v>
      </c>
      <c r="F117" s="8">
        <v>139232</v>
      </c>
      <c r="G117" s="137">
        <f t="shared" si="8"/>
        <v>370</v>
      </c>
      <c r="H117" s="128">
        <f t="shared" si="9"/>
        <v>547</v>
      </c>
      <c r="I117" s="8">
        <v>612122</v>
      </c>
      <c r="J117" s="8">
        <v>612400</v>
      </c>
      <c r="K117" s="137">
        <f t="shared" si="14"/>
        <v>278</v>
      </c>
      <c r="L117" s="8">
        <v>225075</v>
      </c>
      <c r="M117" s="8">
        <v>225272</v>
      </c>
      <c r="N117" s="137">
        <f t="shared" si="11"/>
        <v>197</v>
      </c>
      <c r="O117" s="128">
        <f t="shared" si="12"/>
        <v>475</v>
      </c>
      <c r="P117" s="8">
        <v>218397</v>
      </c>
      <c r="Q117" s="8">
        <v>218397</v>
      </c>
      <c r="R117" s="128">
        <v>0</v>
      </c>
      <c r="AQ117" s="8"/>
      <c r="AR117" s="8"/>
      <c r="AS117" s="8"/>
    </row>
    <row r="118" spans="1:45">
      <c r="A118" s="12">
        <v>44493</v>
      </c>
      <c r="B118" s="8">
        <v>405678</v>
      </c>
      <c r="C118" s="8">
        <v>405857</v>
      </c>
      <c r="D118" s="128">
        <f t="shared" si="13"/>
        <v>179</v>
      </c>
      <c r="E118" s="8">
        <v>139232</v>
      </c>
      <c r="F118" s="8">
        <v>139507</v>
      </c>
      <c r="G118" s="137">
        <f t="shared" si="8"/>
        <v>275</v>
      </c>
      <c r="H118" s="128">
        <f t="shared" si="9"/>
        <v>454</v>
      </c>
      <c r="I118" s="8">
        <v>612400</v>
      </c>
      <c r="J118" s="8">
        <v>612626</v>
      </c>
      <c r="K118" s="137">
        <f t="shared" si="14"/>
        <v>226</v>
      </c>
      <c r="L118" s="8">
        <v>225272</v>
      </c>
      <c r="M118" s="8">
        <v>225442</v>
      </c>
      <c r="N118" s="137">
        <f t="shared" si="11"/>
        <v>170</v>
      </c>
      <c r="O118" s="128">
        <f t="shared" si="12"/>
        <v>396</v>
      </c>
      <c r="P118" s="8">
        <v>218397</v>
      </c>
      <c r="Q118" s="8">
        <v>218397</v>
      </c>
      <c r="R118" s="128">
        <v>0</v>
      </c>
      <c r="AQ118" s="8"/>
      <c r="AR118" s="8"/>
      <c r="AS118" s="8"/>
    </row>
    <row r="119" spans="1:45">
      <c r="A119" s="12">
        <v>44494</v>
      </c>
      <c r="B119" s="8">
        <v>405857</v>
      </c>
      <c r="C119" s="8">
        <v>406098</v>
      </c>
      <c r="D119" s="128">
        <f t="shared" si="13"/>
        <v>241</v>
      </c>
      <c r="E119" s="8">
        <v>139507</v>
      </c>
      <c r="F119" s="8">
        <v>139784</v>
      </c>
      <c r="G119" s="137">
        <f t="shared" si="8"/>
        <v>277</v>
      </c>
      <c r="H119" s="128">
        <f t="shared" si="9"/>
        <v>518</v>
      </c>
      <c r="I119" s="8">
        <v>612626</v>
      </c>
      <c r="J119" s="8">
        <v>612863</v>
      </c>
      <c r="K119" s="137">
        <f t="shared" si="14"/>
        <v>237</v>
      </c>
      <c r="L119" s="8">
        <v>225442</v>
      </c>
      <c r="M119" s="8">
        <v>225628</v>
      </c>
      <c r="N119" s="137">
        <f>M119-L119</f>
        <v>186</v>
      </c>
      <c r="O119" s="128">
        <f t="shared" si="12"/>
        <v>423</v>
      </c>
      <c r="P119" s="8">
        <v>218397</v>
      </c>
      <c r="Q119" s="8">
        <v>218397</v>
      </c>
      <c r="R119" s="128">
        <v>0</v>
      </c>
      <c r="AQ119" s="8"/>
      <c r="AR119" s="8"/>
      <c r="AS119" s="8"/>
    </row>
    <row r="120" spans="1:45">
      <c r="A120" s="12">
        <v>44495</v>
      </c>
      <c r="B120" s="8">
        <v>406098</v>
      </c>
      <c r="C120" s="8">
        <v>406384</v>
      </c>
      <c r="D120" s="128">
        <f t="shared" si="13"/>
        <v>286</v>
      </c>
      <c r="E120" s="8">
        <v>139784</v>
      </c>
      <c r="F120" s="8">
        <v>140070</v>
      </c>
      <c r="G120" s="137">
        <f t="shared" si="8"/>
        <v>286</v>
      </c>
      <c r="H120" s="128">
        <f t="shared" si="9"/>
        <v>572</v>
      </c>
      <c r="I120" s="8">
        <v>612863</v>
      </c>
      <c r="J120" s="8">
        <v>613071</v>
      </c>
      <c r="K120" s="137">
        <f t="shared" si="14"/>
        <v>208</v>
      </c>
      <c r="L120" s="8">
        <v>225628</v>
      </c>
      <c r="M120" s="8">
        <v>225790</v>
      </c>
      <c r="N120" s="137">
        <f t="shared" ref="N120:N130" si="15">M120-L120</f>
        <v>162</v>
      </c>
      <c r="O120" s="128">
        <f t="shared" si="12"/>
        <v>370</v>
      </c>
      <c r="P120" s="8">
        <v>218397</v>
      </c>
      <c r="Q120" s="8">
        <v>218397</v>
      </c>
      <c r="R120" s="128">
        <v>0</v>
      </c>
      <c r="AQ120" s="8"/>
      <c r="AR120" s="8"/>
      <c r="AS120" s="8"/>
    </row>
    <row r="121" spans="1:45">
      <c r="A121" s="12">
        <v>44496</v>
      </c>
      <c r="B121" s="8">
        <v>406384</v>
      </c>
      <c r="C121" s="8">
        <v>406659</v>
      </c>
      <c r="D121" s="128">
        <f t="shared" si="13"/>
        <v>275</v>
      </c>
      <c r="E121" s="8">
        <v>140070</v>
      </c>
      <c r="F121" s="8">
        <v>140381</v>
      </c>
      <c r="G121" s="137">
        <f t="shared" si="8"/>
        <v>311</v>
      </c>
      <c r="H121" s="128">
        <f t="shared" si="9"/>
        <v>586</v>
      </c>
      <c r="I121" s="8">
        <v>613071</v>
      </c>
      <c r="J121" s="8">
        <v>613298</v>
      </c>
      <c r="K121" s="137">
        <f t="shared" si="14"/>
        <v>227</v>
      </c>
      <c r="L121" s="8">
        <v>225790</v>
      </c>
      <c r="M121" s="8">
        <v>225970</v>
      </c>
      <c r="N121" s="137">
        <f t="shared" si="15"/>
        <v>180</v>
      </c>
      <c r="O121" s="128">
        <f t="shared" si="12"/>
        <v>407</v>
      </c>
      <c r="P121" s="8">
        <v>218397</v>
      </c>
      <c r="Q121" s="8">
        <v>218397</v>
      </c>
      <c r="R121" s="128">
        <v>0</v>
      </c>
      <c r="AQ121" s="8"/>
      <c r="AR121" s="8"/>
      <c r="AS121" s="8"/>
    </row>
    <row r="122" spans="1:45">
      <c r="A122" s="12">
        <v>44497</v>
      </c>
      <c r="B122" s="8">
        <v>406659</v>
      </c>
      <c r="C122" s="8">
        <v>406964</v>
      </c>
      <c r="D122" s="128">
        <f t="shared" si="13"/>
        <v>305</v>
      </c>
      <c r="E122" s="8">
        <v>140381</v>
      </c>
      <c r="F122" s="8">
        <v>140756</v>
      </c>
      <c r="G122" s="137">
        <f t="shared" si="8"/>
        <v>375</v>
      </c>
      <c r="H122" s="128">
        <f t="shared" si="9"/>
        <v>680</v>
      </c>
      <c r="I122" s="8">
        <v>613298</v>
      </c>
      <c r="J122" s="8">
        <v>613525</v>
      </c>
      <c r="K122" s="137">
        <f t="shared" si="14"/>
        <v>227</v>
      </c>
      <c r="L122" s="8">
        <v>225970</v>
      </c>
      <c r="M122" s="8">
        <v>226185</v>
      </c>
      <c r="N122" s="137">
        <f t="shared" si="15"/>
        <v>215</v>
      </c>
      <c r="O122" s="128">
        <f t="shared" si="12"/>
        <v>442</v>
      </c>
      <c r="P122" s="8">
        <v>218397</v>
      </c>
      <c r="Q122" s="8">
        <v>218397</v>
      </c>
      <c r="R122" s="128">
        <v>0</v>
      </c>
      <c r="AQ122" s="8"/>
      <c r="AR122" s="8"/>
      <c r="AS122" s="8"/>
    </row>
    <row r="123" spans="1:45">
      <c r="A123" s="12">
        <v>44498</v>
      </c>
      <c r="B123" s="8">
        <v>406964</v>
      </c>
      <c r="C123" s="8">
        <v>407046</v>
      </c>
      <c r="D123" s="128">
        <f t="shared" si="13"/>
        <v>82</v>
      </c>
      <c r="E123" s="8">
        <v>140756</v>
      </c>
      <c r="F123" s="8">
        <v>140938</v>
      </c>
      <c r="G123" s="137">
        <f t="shared" si="8"/>
        <v>182</v>
      </c>
      <c r="H123" s="128">
        <f t="shared" si="9"/>
        <v>264</v>
      </c>
      <c r="I123" s="8">
        <v>613525</v>
      </c>
      <c r="J123" s="8">
        <v>613723</v>
      </c>
      <c r="K123" s="137">
        <f t="shared" si="14"/>
        <v>198</v>
      </c>
      <c r="L123" s="8">
        <v>226185</v>
      </c>
      <c r="M123" s="8">
        <v>226371</v>
      </c>
      <c r="N123" s="137">
        <f>M123-L123</f>
        <v>186</v>
      </c>
      <c r="O123" s="128">
        <f t="shared" si="12"/>
        <v>384</v>
      </c>
      <c r="P123" s="8">
        <v>218397</v>
      </c>
      <c r="Q123" s="8">
        <v>218397</v>
      </c>
      <c r="R123" s="128">
        <v>0</v>
      </c>
      <c r="AQ123" s="8"/>
      <c r="AR123" s="8"/>
      <c r="AS123" s="8"/>
    </row>
    <row r="124" spans="1:45">
      <c r="A124" s="12">
        <v>44499</v>
      </c>
      <c r="B124" s="8">
        <v>407046</v>
      </c>
      <c r="C124" s="8">
        <v>407334</v>
      </c>
      <c r="D124" s="128">
        <f t="shared" si="13"/>
        <v>288</v>
      </c>
      <c r="E124" s="8">
        <v>140938</v>
      </c>
      <c r="F124" s="8">
        <v>141264</v>
      </c>
      <c r="G124" s="137">
        <f t="shared" si="8"/>
        <v>326</v>
      </c>
      <c r="H124" s="128">
        <f t="shared" si="9"/>
        <v>614</v>
      </c>
      <c r="I124" s="8">
        <v>613723</v>
      </c>
      <c r="J124" s="8">
        <v>613981</v>
      </c>
      <c r="K124" s="137">
        <f t="shared" si="14"/>
        <v>258</v>
      </c>
      <c r="L124" s="8">
        <v>226371</v>
      </c>
      <c r="M124" s="8">
        <v>226562</v>
      </c>
      <c r="N124" s="137">
        <f t="shared" si="15"/>
        <v>191</v>
      </c>
      <c r="O124" s="128">
        <f t="shared" si="12"/>
        <v>449</v>
      </c>
      <c r="P124" s="8">
        <v>218397</v>
      </c>
      <c r="Q124" s="8">
        <v>218397</v>
      </c>
      <c r="R124" s="128">
        <v>0</v>
      </c>
      <c r="AQ124" s="8"/>
      <c r="AR124" s="8"/>
      <c r="AS124" s="8"/>
    </row>
    <row r="125" spans="1:45">
      <c r="A125" s="12">
        <v>44500</v>
      </c>
      <c r="B125" s="8">
        <v>407334</v>
      </c>
      <c r="C125" s="8">
        <v>407541</v>
      </c>
      <c r="D125" s="128">
        <f t="shared" si="13"/>
        <v>207</v>
      </c>
      <c r="E125" s="8">
        <v>141264</v>
      </c>
      <c r="F125" s="8">
        <v>141505</v>
      </c>
      <c r="G125" s="137">
        <f t="shared" si="8"/>
        <v>241</v>
      </c>
      <c r="H125" s="128">
        <f t="shared" si="9"/>
        <v>448</v>
      </c>
      <c r="I125" s="8">
        <v>613981</v>
      </c>
      <c r="J125" s="8">
        <v>614247</v>
      </c>
      <c r="K125" s="137">
        <f t="shared" si="14"/>
        <v>266</v>
      </c>
      <c r="L125" s="8">
        <v>226562</v>
      </c>
      <c r="M125" s="8">
        <v>226777</v>
      </c>
      <c r="N125" s="137">
        <f t="shared" si="15"/>
        <v>215</v>
      </c>
      <c r="O125" s="128">
        <f t="shared" si="12"/>
        <v>481</v>
      </c>
      <c r="P125" s="8">
        <v>218397</v>
      </c>
      <c r="Q125" s="8">
        <v>218397</v>
      </c>
      <c r="R125" s="128">
        <v>0</v>
      </c>
      <c r="AQ125" s="8"/>
      <c r="AR125" s="8"/>
      <c r="AS125" s="8"/>
    </row>
    <row r="126" spans="1:45">
      <c r="A126" s="12">
        <v>44501</v>
      </c>
      <c r="B126" s="8">
        <v>407541</v>
      </c>
      <c r="C126" s="8">
        <v>407739</v>
      </c>
      <c r="D126" s="128">
        <f t="shared" si="13"/>
        <v>198</v>
      </c>
      <c r="E126" s="8">
        <v>141505</v>
      </c>
      <c r="F126" s="8">
        <v>141801</v>
      </c>
      <c r="G126" s="137">
        <f t="shared" si="8"/>
        <v>296</v>
      </c>
      <c r="H126" s="128">
        <f t="shared" si="9"/>
        <v>494</v>
      </c>
      <c r="I126" s="8">
        <v>614247</v>
      </c>
      <c r="J126" s="8">
        <v>614381</v>
      </c>
      <c r="K126" s="137">
        <f t="shared" si="14"/>
        <v>134</v>
      </c>
      <c r="L126" s="8">
        <v>226777</v>
      </c>
      <c r="M126" s="8">
        <v>226855</v>
      </c>
      <c r="N126" s="137">
        <f t="shared" si="15"/>
        <v>78</v>
      </c>
      <c r="O126" s="128">
        <f t="shared" si="12"/>
        <v>212</v>
      </c>
      <c r="P126" s="8">
        <v>218397</v>
      </c>
      <c r="Q126" s="8">
        <v>218397</v>
      </c>
      <c r="R126" s="128">
        <v>0</v>
      </c>
      <c r="AQ126" s="8"/>
      <c r="AR126" s="8"/>
      <c r="AS126" s="8"/>
    </row>
    <row r="127" spans="1:45">
      <c r="A127" s="12">
        <v>44502</v>
      </c>
      <c r="B127" s="8">
        <v>407739</v>
      </c>
      <c r="C127" s="8">
        <v>407921</v>
      </c>
      <c r="D127" s="128">
        <f t="shared" si="13"/>
        <v>182</v>
      </c>
      <c r="E127" s="8">
        <v>141801</v>
      </c>
      <c r="F127" s="8">
        <v>142106</v>
      </c>
      <c r="G127" s="137">
        <f t="shared" si="8"/>
        <v>305</v>
      </c>
      <c r="H127" s="128">
        <f t="shared" si="9"/>
        <v>487</v>
      </c>
      <c r="I127" s="8">
        <v>614381</v>
      </c>
      <c r="J127" s="8">
        <v>614486</v>
      </c>
      <c r="K127" s="137">
        <f t="shared" si="14"/>
        <v>105</v>
      </c>
      <c r="L127" s="8">
        <v>226855</v>
      </c>
      <c r="M127" s="8">
        <v>227035</v>
      </c>
      <c r="N127" s="137">
        <f t="shared" si="15"/>
        <v>180</v>
      </c>
      <c r="O127" s="128">
        <f t="shared" si="12"/>
        <v>285</v>
      </c>
      <c r="P127" s="8">
        <v>218397</v>
      </c>
      <c r="Q127" s="8">
        <v>218397</v>
      </c>
      <c r="R127" s="128">
        <v>0</v>
      </c>
      <c r="S127" s="8" t="s">
        <v>454</v>
      </c>
      <c r="AQ127" s="8"/>
      <c r="AR127" s="8"/>
      <c r="AS127" s="8"/>
    </row>
    <row r="128" spans="1:45">
      <c r="A128" s="12">
        <v>44503</v>
      </c>
      <c r="B128" s="8">
        <v>407921</v>
      </c>
      <c r="C128" s="8">
        <v>408342</v>
      </c>
      <c r="D128" s="128">
        <f t="shared" si="13"/>
        <v>421</v>
      </c>
      <c r="E128" s="8">
        <v>142106</v>
      </c>
      <c r="F128" s="8">
        <v>142414</v>
      </c>
      <c r="G128" s="137">
        <f t="shared" si="8"/>
        <v>308</v>
      </c>
      <c r="H128" s="128">
        <f t="shared" si="9"/>
        <v>729</v>
      </c>
      <c r="I128" s="8">
        <v>614486</v>
      </c>
      <c r="J128" s="8">
        <v>614732</v>
      </c>
      <c r="K128" s="137">
        <f t="shared" si="14"/>
        <v>246</v>
      </c>
      <c r="L128" s="8">
        <v>227035</v>
      </c>
      <c r="M128" s="8">
        <v>227250</v>
      </c>
      <c r="N128" s="137">
        <f t="shared" si="15"/>
        <v>215</v>
      </c>
      <c r="O128" s="128">
        <f t="shared" si="12"/>
        <v>461</v>
      </c>
      <c r="P128" s="8">
        <v>218397</v>
      </c>
      <c r="Q128" s="8">
        <v>218397</v>
      </c>
      <c r="R128" s="128">
        <v>0</v>
      </c>
      <c r="AQ128" s="8"/>
      <c r="AR128" s="8"/>
      <c r="AS128" s="8"/>
    </row>
    <row r="129" spans="1:45">
      <c r="A129" s="12">
        <v>44504</v>
      </c>
      <c r="B129" s="8">
        <v>408342</v>
      </c>
      <c r="C129" s="8">
        <v>408570</v>
      </c>
      <c r="D129" s="128">
        <f t="shared" si="13"/>
        <v>228</v>
      </c>
      <c r="E129" s="8">
        <v>142414</v>
      </c>
      <c r="F129" s="8">
        <v>142741</v>
      </c>
      <c r="G129" s="137">
        <f t="shared" si="8"/>
        <v>327</v>
      </c>
      <c r="H129" s="128">
        <f t="shared" si="9"/>
        <v>555</v>
      </c>
      <c r="I129" s="8">
        <v>614732</v>
      </c>
      <c r="J129" s="8">
        <v>615038</v>
      </c>
      <c r="K129" s="137">
        <f t="shared" si="14"/>
        <v>306</v>
      </c>
      <c r="L129" s="8">
        <v>227250</v>
      </c>
      <c r="M129" s="8">
        <v>227371</v>
      </c>
      <c r="N129" s="137">
        <f t="shared" si="15"/>
        <v>121</v>
      </c>
      <c r="O129" s="128">
        <f t="shared" si="12"/>
        <v>427</v>
      </c>
      <c r="P129" s="8">
        <v>218397</v>
      </c>
      <c r="Q129" s="8">
        <v>218397</v>
      </c>
      <c r="R129" s="128">
        <v>0</v>
      </c>
      <c r="AQ129" s="8"/>
      <c r="AR129" s="8"/>
      <c r="AS129" s="8"/>
    </row>
    <row r="130" spans="1:45">
      <c r="A130" s="12">
        <v>44505</v>
      </c>
      <c r="B130" s="8">
        <v>408570</v>
      </c>
      <c r="C130" s="8">
        <v>408890</v>
      </c>
      <c r="D130" s="128">
        <f t="shared" si="13"/>
        <v>320</v>
      </c>
      <c r="E130" s="8">
        <v>142741</v>
      </c>
      <c r="F130" s="8">
        <v>143101</v>
      </c>
      <c r="G130" s="137">
        <f t="shared" si="8"/>
        <v>360</v>
      </c>
      <c r="H130" s="128">
        <f t="shared" si="9"/>
        <v>680</v>
      </c>
      <c r="I130" s="8">
        <v>615038</v>
      </c>
      <c r="J130" s="8">
        <v>615283</v>
      </c>
      <c r="K130" s="137">
        <f t="shared" si="14"/>
        <v>245</v>
      </c>
      <c r="L130" s="8">
        <v>227371</v>
      </c>
      <c r="M130" s="8">
        <v>227583</v>
      </c>
      <c r="N130" s="137">
        <f t="shared" si="15"/>
        <v>212</v>
      </c>
      <c r="O130" s="128">
        <f t="shared" si="12"/>
        <v>457</v>
      </c>
      <c r="P130" s="8">
        <v>218397</v>
      </c>
      <c r="Q130" s="8">
        <v>218397</v>
      </c>
      <c r="R130" s="128">
        <v>0</v>
      </c>
      <c r="AQ130" s="8"/>
      <c r="AR130" s="8"/>
      <c r="AS130" s="8"/>
    </row>
    <row r="131" spans="1:45">
      <c r="A131" s="12">
        <v>44506</v>
      </c>
      <c r="B131" s="8">
        <v>408890</v>
      </c>
      <c r="C131" s="8">
        <v>408890</v>
      </c>
      <c r="D131" s="128">
        <f t="shared" si="13"/>
        <v>0</v>
      </c>
      <c r="E131" s="8">
        <v>143101</v>
      </c>
      <c r="F131" s="8">
        <v>143456</v>
      </c>
      <c r="G131" s="137">
        <f t="shared" ref="G131:G194" si="16">F131-E131</f>
        <v>355</v>
      </c>
      <c r="H131" s="128">
        <f t="shared" si="9"/>
        <v>355</v>
      </c>
      <c r="I131" s="8">
        <v>615283</v>
      </c>
      <c r="J131" s="8">
        <v>615563</v>
      </c>
      <c r="K131" s="137">
        <f t="shared" si="14"/>
        <v>280</v>
      </c>
      <c r="L131" s="8">
        <v>227583</v>
      </c>
      <c r="M131" s="8">
        <v>227828</v>
      </c>
      <c r="N131" s="137">
        <f t="shared" si="11"/>
        <v>245</v>
      </c>
      <c r="O131" s="128">
        <f t="shared" si="12"/>
        <v>525</v>
      </c>
      <c r="P131" s="8">
        <v>218397</v>
      </c>
      <c r="Q131" s="8">
        <v>218397</v>
      </c>
      <c r="R131" s="128">
        <v>0</v>
      </c>
      <c r="AQ131" s="8"/>
      <c r="AR131" s="8"/>
      <c r="AS131" s="8"/>
    </row>
    <row r="132" spans="1:45">
      <c r="A132" s="12">
        <v>44507</v>
      </c>
      <c r="B132" s="8">
        <v>408890</v>
      </c>
      <c r="C132" s="8">
        <v>408890</v>
      </c>
      <c r="D132" s="128">
        <f t="shared" si="13"/>
        <v>0</v>
      </c>
      <c r="E132" s="8">
        <v>143456</v>
      </c>
      <c r="F132" s="8">
        <v>143456</v>
      </c>
      <c r="G132" s="137">
        <f t="shared" si="16"/>
        <v>0</v>
      </c>
      <c r="H132" s="128">
        <f t="shared" si="9"/>
        <v>0</v>
      </c>
      <c r="I132" s="8">
        <v>615563</v>
      </c>
      <c r="J132" s="8">
        <v>615746</v>
      </c>
      <c r="K132" s="137">
        <f t="shared" si="14"/>
        <v>183</v>
      </c>
      <c r="L132" s="8">
        <v>227828</v>
      </c>
      <c r="M132" s="8">
        <v>227828</v>
      </c>
      <c r="N132" s="137">
        <f t="shared" ref="N132:N195" si="17">M132-L132</f>
        <v>0</v>
      </c>
      <c r="O132" s="128">
        <f t="shared" ref="O132:O195" si="18">N132+K132</f>
        <v>183</v>
      </c>
      <c r="P132" s="8">
        <v>218397</v>
      </c>
      <c r="Q132" s="8">
        <v>218397</v>
      </c>
      <c r="R132" s="128">
        <v>0</v>
      </c>
      <c r="S132" s="8" t="s">
        <v>503</v>
      </c>
      <c r="AQ132" s="8"/>
      <c r="AR132" s="8"/>
      <c r="AS132" s="8"/>
    </row>
    <row r="133" spans="1:45">
      <c r="A133" s="12">
        <v>44508</v>
      </c>
      <c r="B133" s="8">
        <v>408890</v>
      </c>
      <c r="C133" s="8">
        <v>409263</v>
      </c>
      <c r="D133" s="128">
        <f t="shared" si="13"/>
        <v>373</v>
      </c>
      <c r="E133" s="8">
        <v>143456</v>
      </c>
      <c r="F133" s="8">
        <v>143712</v>
      </c>
      <c r="G133" s="137">
        <f t="shared" si="16"/>
        <v>256</v>
      </c>
      <c r="H133" s="128">
        <f t="shared" ref="H133:H195" si="19">D133+G133</f>
        <v>629</v>
      </c>
      <c r="I133" s="8">
        <v>615746</v>
      </c>
      <c r="J133" s="8">
        <v>615987</v>
      </c>
      <c r="K133" s="137">
        <f t="shared" si="14"/>
        <v>241</v>
      </c>
      <c r="L133" s="8">
        <v>227828</v>
      </c>
      <c r="M133" s="8">
        <v>228007</v>
      </c>
      <c r="N133" s="137">
        <f t="shared" si="17"/>
        <v>179</v>
      </c>
      <c r="O133" s="128">
        <f t="shared" si="18"/>
        <v>420</v>
      </c>
      <c r="P133" s="8">
        <v>218397</v>
      </c>
      <c r="Q133" s="8">
        <v>218397</v>
      </c>
      <c r="R133" s="128">
        <v>0</v>
      </c>
      <c r="AQ133" s="8"/>
      <c r="AR133" s="8"/>
      <c r="AS133" s="8"/>
    </row>
    <row r="134" spans="1:45">
      <c r="A134" s="12">
        <v>44509</v>
      </c>
      <c r="B134" s="8">
        <v>409263</v>
      </c>
      <c r="C134" s="8">
        <v>409555</v>
      </c>
      <c r="D134" s="128">
        <f t="shared" si="13"/>
        <v>292</v>
      </c>
      <c r="E134" s="8">
        <v>143712</v>
      </c>
      <c r="F134" s="8">
        <v>144025</v>
      </c>
      <c r="G134" s="137">
        <f t="shared" si="16"/>
        <v>313</v>
      </c>
      <c r="H134" s="128">
        <f t="shared" si="19"/>
        <v>605</v>
      </c>
      <c r="I134" s="8">
        <v>615987</v>
      </c>
      <c r="J134" s="8">
        <v>616179</v>
      </c>
      <c r="K134" s="137">
        <f t="shared" si="14"/>
        <v>192</v>
      </c>
      <c r="L134" s="8">
        <v>228007</v>
      </c>
      <c r="M134" s="8">
        <v>228179</v>
      </c>
      <c r="N134" s="137">
        <f t="shared" si="17"/>
        <v>172</v>
      </c>
      <c r="O134" s="128">
        <f t="shared" si="18"/>
        <v>364</v>
      </c>
      <c r="P134" s="8">
        <v>218397</v>
      </c>
      <c r="Q134" s="8">
        <v>218397</v>
      </c>
      <c r="R134" s="128">
        <v>0</v>
      </c>
      <c r="AQ134" s="8"/>
      <c r="AR134" s="8"/>
      <c r="AS134" s="8"/>
    </row>
    <row r="135" spans="1:45">
      <c r="A135" s="12">
        <v>44510</v>
      </c>
      <c r="B135" s="8">
        <v>409555</v>
      </c>
      <c r="C135" s="8">
        <v>409931</v>
      </c>
      <c r="D135" s="128">
        <f t="shared" si="13"/>
        <v>376</v>
      </c>
      <c r="E135" s="8">
        <v>144025</v>
      </c>
      <c r="F135" s="8">
        <v>144312</v>
      </c>
      <c r="G135" s="137">
        <f t="shared" si="16"/>
        <v>287</v>
      </c>
      <c r="H135" s="128">
        <f t="shared" si="19"/>
        <v>663</v>
      </c>
      <c r="I135" s="8">
        <v>616179</v>
      </c>
      <c r="J135" s="8">
        <v>616418</v>
      </c>
      <c r="K135" s="137">
        <f t="shared" si="14"/>
        <v>239</v>
      </c>
      <c r="L135" s="8">
        <v>228179</v>
      </c>
      <c r="M135" s="8">
        <v>228403</v>
      </c>
      <c r="N135" s="137">
        <f t="shared" si="17"/>
        <v>224</v>
      </c>
      <c r="O135" s="128">
        <f t="shared" si="18"/>
        <v>463</v>
      </c>
      <c r="P135" s="8">
        <v>218397</v>
      </c>
      <c r="Q135" s="8">
        <v>218397</v>
      </c>
      <c r="R135" s="128">
        <v>0</v>
      </c>
      <c r="AQ135" s="8"/>
      <c r="AR135" s="8"/>
      <c r="AS135" s="8"/>
    </row>
    <row r="136" spans="1:45">
      <c r="A136" s="12">
        <v>44511</v>
      </c>
      <c r="B136" s="8">
        <v>409931</v>
      </c>
      <c r="C136" s="8">
        <v>410199</v>
      </c>
      <c r="D136" s="128">
        <f t="shared" si="13"/>
        <v>268</v>
      </c>
      <c r="E136" s="8">
        <v>144312</v>
      </c>
      <c r="F136" s="8">
        <v>144548</v>
      </c>
      <c r="G136" s="137">
        <f t="shared" si="16"/>
        <v>236</v>
      </c>
      <c r="H136" s="128">
        <f t="shared" si="19"/>
        <v>504</v>
      </c>
      <c r="I136" s="8">
        <v>616418</v>
      </c>
      <c r="J136" s="8">
        <v>616673</v>
      </c>
      <c r="K136" s="137">
        <f t="shared" si="14"/>
        <v>255</v>
      </c>
      <c r="L136" s="8">
        <v>228403</v>
      </c>
      <c r="M136" s="8">
        <v>228596</v>
      </c>
      <c r="N136" s="137">
        <f t="shared" si="17"/>
        <v>193</v>
      </c>
      <c r="O136" s="128">
        <f t="shared" si="18"/>
        <v>448</v>
      </c>
      <c r="P136" s="8">
        <v>218397</v>
      </c>
      <c r="Q136" s="8">
        <v>218397</v>
      </c>
      <c r="R136" s="128">
        <v>0</v>
      </c>
      <c r="AQ136" s="8"/>
      <c r="AR136" s="8"/>
      <c r="AS136" s="8"/>
    </row>
    <row r="137" spans="1:45">
      <c r="A137" s="12">
        <v>44512</v>
      </c>
      <c r="B137" s="8">
        <v>410199</v>
      </c>
      <c r="C137" s="8">
        <v>410505</v>
      </c>
      <c r="D137" s="128">
        <f t="shared" si="13"/>
        <v>306</v>
      </c>
      <c r="E137" s="8">
        <v>144548</v>
      </c>
      <c r="F137" s="8">
        <v>144678</v>
      </c>
      <c r="G137" s="137">
        <f t="shared" si="16"/>
        <v>130</v>
      </c>
      <c r="H137" s="128">
        <f t="shared" si="19"/>
        <v>436</v>
      </c>
      <c r="I137" s="8">
        <v>616673</v>
      </c>
      <c r="J137" s="8">
        <v>616926</v>
      </c>
      <c r="K137" s="137">
        <f t="shared" si="14"/>
        <v>253</v>
      </c>
      <c r="L137" s="8">
        <v>228596</v>
      </c>
      <c r="M137" s="8">
        <v>228779</v>
      </c>
      <c r="N137" s="137">
        <f t="shared" si="17"/>
        <v>183</v>
      </c>
      <c r="O137" s="128">
        <f t="shared" si="18"/>
        <v>436</v>
      </c>
      <c r="P137" s="8">
        <v>218397</v>
      </c>
      <c r="Q137" s="8">
        <v>218397</v>
      </c>
      <c r="R137" s="128">
        <v>0</v>
      </c>
      <c r="AQ137" s="8"/>
      <c r="AR137" s="8"/>
      <c r="AS137" s="8"/>
    </row>
    <row r="138" spans="1:45">
      <c r="A138" s="12">
        <v>44513</v>
      </c>
      <c r="B138" s="8">
        <v>410505</v>
      </c>
      <c r="C138" s="8">
        <v>410777</v>
      </c>
      <c r="D138" s="128">
        <f t="shared" si="13"/>
        <v>272</v>
      </c>
      <c r="E138" s="8">
        <v>144678</v>
      </c>
      <c r="F138" s="8">
        <v>145122</v>
      </c>
      <c r="G138" s="137">
        <f t="shared" si="16"/>
        <v>444</v>
      </c>
      <c r="H138" s="128">
        <f t="shared" si="19"/>
        <v>716</v>
      </c>
      <c r="I138" s="8">
        <v>616926</v>
      </c>
      <c r="J138" s="8">
        <v>617178</v>
      </c>
      <c r="K138" s="137">
        <f t="shared" si="14"/>
        <v>252</v>
      </c>
      <c r="L138" s="8">
        <v>228779</v>
      </c>
      <c r="M138" s="8">
        <v>228977</v>
      </c>
      <c r="N138" s="137">
        <f t="shared" si="17"/>
        <v>198</v>
      </c>
      <c r="O138" s="128">
        <f t="shared" si="18"/>
        <v>450</v>
      </c>
      <c r="P138" s="8">
        <v>218397</v>
      </c>
      <c r="Q138" s="8">
        <v>218397</v>
      </c>
      <c r="R138" s="128">
        <f>Q138-P138</f>
        <v>0</v>
      </c>
      <c r="AQ138" s="8"/>
      <c r="AR138" s="8"/>
      <c r="AS138" s="8"/>
    </row>
    <row r="139" spans="1:45">
      <c r="A139" s="12">
        <v>44514</v>
      </c>
      <c r="B139" s="8">
        <v>410777</v>
      </c>
      <c r="C139" s="8">
        <v>410986</v>
      </c>
      <c r="D139" s="128">
        <f t="shared" si="13"/>
        <v>209</v>
      </c>
      <c r="E139" s="8">
        <v>145122</v>
      </c>
      <c r="F139" s="8">
        <v>145300</v>
      </c>
      <c r="G139" s="137">
        <f t="shared" si="16"/>
        <v>178</v>
      </c>
      <c r="H139" s="128">
        <f t="shared" si="19"/>
        <v>387</v>
      </c>
      <c r="I139" s="8">
        <v>617178</v>
      </c>
      <c r="J139" s="8">
        <v>617424</v>
      </c>
      <c r="K139" s="137">
        <f t="shared" si="14"/>
        <v>246</v>
      </c>
      <c r="L139" s="8">
        <v>228977</v>
      </c>
      <c r="M139" s="8">
        <v>229184</v>
      </c>
      <c r="N139" s="137">
        <f t="shared" si="17"/>
        <v>207</v>
      </c>
      <c r="O139" s="128">
        <f t="shared" si="18"/>
        <v>453</v>
      </c>
      <c r="P139" s="8">
        <v>218397</v>
      </c>
      <c r="Q139" s="8">
        <v>218397</v>
      </c>
      <c r="R139" s="128">
        <f t="shared" ref="R139:R202" si="20">Q139-P139</f>
        <v>0</v>
      </c>
      <c r="AQ139" s="8"/>
      <c r="AR139" s="8"/>
      <c r="AS139" s="8"/>
    </row>
    <row r="140" spans="1:45">
      <c r="A140" s="12">
        <v>44515</v>
      </c>
      <c r="B140" s="8">
        <v>410986</v>
      </c>
      <c r="C140" s="8">
        <v>411231</v>
      </c>
      <c r="D140" s="128">
        <f t="shared" si="13"/>
        <v>245</v>
      </c>
      <c r="E140" s="8">
        <v>145300</v>
      </c>
      <c r="F140" s="8">
        <v>145672</v>
      </c>
      <c r="G140" s="137">
        <f t="shared" si="16"/>
        <v>372</v>
      </c>
      <c r="H140" s="128">
        <f t="shared" si="19"/>
        <v>617</v>
      </c>
      <c r="I140" s="8">
        <v>617424</v>
      </c>
      <c r="J140" s="8">
        <v>617668</v>
      </c>
      <c r="K140" s="137">
        <f t="shared" si="14"/>
        <v>244</v>
      </c>
      <c r="L140" s="8">
        <v>229184</v>
      </c>
      <c r="M140" s="8">
        <v>229328</v>
      </c>
      <c r="N140" s="137">
        <f t="shared" si="17"/>
        <v>144</v>
      </c>
      <c r="O140" s="128">
        <f t="shared" si="18"/>
        <v>388</v>
      </c>
      <c r="P140" s="8">
        <v>218397</v>
      </c>
      <c r="Q140" s="8">
        <v>218397</v>
      </c>
      <c r="R140" s="128">
        <f t="shared" si="20"/>
        <v>0</v>
      </c>
      <c r="AQ140" s="8"/>
      <c r="AR140" s="8"/>
      <c r="AS140" s="8"/>
    </row>
    <row r="141" spans="1:45">
      <c r="A141" s="12">
        <v>44516</v>
      </c>
      <c r="B141" s="8">
        <v>411231</v>
      </c>
      <c r="C141" s="8">
        <v>411410</v>
      </c>
      <c r="D141" s="128">
        <f t="shared" si="13"/>
        <v>179</v>
      </c>
      <c r="E141" s="8">
        <v>145672</v>
      </c>
      <c r="F141" s="8">
        <v>145929</v>
      </c>
      <c r="G141" s="137">
        <f t="shared" si="16"/>
        <v>257</v>
      </c>
      <c r="H141" s="128">
        <f t="shared" si="19"/>
        <v>436</v>
      </c>
      <c r="I141" s="8">
        <v>617668</v>
      </c>
      <c r="J141" s="8">
        <v>617886</v>
      </c>
      <c r="K141" s="137">
        <f t="shared" si="14"/>
        <v>218</v>
      </c>
      <c r="L141" s="8">
        <v>229328</v>
      </c>
      <c r="M141" s="8">
        <v>229341</v>
      </c>
      <c r="N141" s="137">
        <f t="shared" si="17"/>
        <v>13</v>
      </c>
      <c r="O141" s="128">
        <f t="shared" si="18"/>
        <v>231</v>
      </c>
      <c r="P141" s="8">
        <v>218397</v>
      </c>
      <c r="Q141" s="8">
        <v>218822</v>
      </c>
      <c r="R141" s="128">
        <f t="shared" si="20"/>
        <v>425</v>
      </c>
      <c r="AQ141" s="8"/>
      <c r="AR141" s="8"/>
      <c r="AS141" s="8"/>
    </row>
    <row r="142" spans="1:45">
      <c r="A142" s="12">
        <v>44517</v>
      </c>
      <c r="B142" s="8">
        <v>411410</v>
      </c>
      <c r="C142" s="8">
        <v>411698</v>
      </c>
      <c r="D142" s="128">
        <f t="shared" si="13"/>
        <v>288</v>
      </c>
      <c r="E142" s="8">
        <v>145929</v>
      </c>
      <c r="F142" s="8">
        <v>146256</v>
      </c>
      <c r="G142" s="137">
        <f t="shared" si="16"/>
        <v>327</v>
      </c>
      <c r="H142" s="128">
        <f t="shared" si="19"/>
        <v>615</v>
      </c>
      <c r="I142" s="8">
        <v>617886</v>
      </c>
      <c r="J142" s="8">
        <v>618105</v>
      </c>
      <c r="K142" s="137">
        <f t="shared" si="14"/>
        <v>219</v>
      </c>
      <c r="L142" s="8">
        <v>229341</v>
      </c>
      <c r="M142" s="8">
        <v>229653</v>
      </c>
      <c r="N142" s="137">
        <f t="shared" si="17"/>
        <v>312</v>
      </c>
      <c r="O142" s="128">
        <f t="shared" si="18"/>
        <v>531</v>
      </c>
      <c r="P142" s="8">
        <v>218822</v>
      </c>
      <c r="Q142" s="8">
        <v>219130</v>
      </c>
      <c r="R142" s="128">
        <f t="shared" si="20"/>
        <v>308</v>
      </c>
      <c r="AQ142" s="8"/>
      <c r="AR142" s="8"/>
      <c r="AS142" s="8"/>
    </row>
    <row r="143" spans="1:45">
      <c r="A143" s="12">
        <v>44518</v>
      </c>
      <c r="B143" s="8">
        <v>411698</v>
      </c>
      <c r="C143" s="8">
        <v>411984</v>
      </c>
      <c r="D143" s="128">
        <f t="shared" si="13"/>
        <v>286</v>
      </c>
      <c r="E143" s="8">
        <v>146256</v>
      </c>
      <c r="F143" s="8">
        <v>146591</v>
      </c>
      <c r="G143" s="137">
        <f t="shared" si="16"/>
        <v>335</v>
      </c>
      <c r="H143" s="128">
        <f t="shared" si="19"/>
        <v>621</v>
      </c>
      <c r="I143" s="8">
        <v>618105</v>
      </c>
      <c r="J143" s="8">
        <v>618333</v>
      </c>
      <c r="K143" s="137">
        <f t="shared" si="14"/>
        <v>228</v>
      </c>
      <c r="L143" s="8">
        <v>229653</v>
      </c>
      <c r="M143" s="8">
        <v>229928</v>
      </c>
      <c r="N143" s="137">
        <f t="shared" si="17"/>
        <v>275</v>
      </c>
      <c r="O143" s="128">
        <f t="shared" si="18"/>
        <v>503</v>
      </c>
      <c r="P143" s="8">
        <v>219130</v>
      </c>
      <c r="Q143" s="8">
        <v>219329</v>
      </c>
      <c r="R143" s="128">
        <f t="shared" si="20"/>
        <v>199</v>
      </c>
      <c r="AQ143" s="8"/>
      <c r="AR143" s="8"/>
      <c r="AS143" s="8"/>
    </row>
    <row r="144" spans="1:45">
      <c r="A144" s="12">
        <v>44519</v>
      </c>
      <c r="B144" s="8">
        <v>411984</v>
      </c>
      <c r="C144" s="8">
        <v>412296</v>
      </c>
      <c r="D144" s="128">
        <f t="shared" si="13"/>
        <v>312</v>
      </c>
      <c r="E144" s="8">
        <v>146591</v>
      </c>
      <c r="F144" s="8">
        <v>146874</v>
      </c>
      <c r="G144" s="137">
        <f t="shared" si="16"/>
        <v>283</v>
      </c>
      <c r="H144" s="129">
        <f t="shared" si="19"/>
        <v>595</v>
      </c>
      <c r="I144" s="8">
        <v>618333</v>
      </c>
      <c r="J144" s="8">
        <v>618586</v>
      </c>
      <c r="K144" s="137">
        <f t="shared" si="14"/>
        <v>253</v>
      </c>
      <c r="L144" s="8">
        <v>229928</v>
      </c>
      <c r="M144" s="8">
        <v>230189</v>
      </c>
      <c r="N144" s="137">
        <f t="shared" si="17"/>
        <v>261</v>
      </c>
      <c r="O144" s="128">
        <f t="shared" si="18"/>
        <v>514</v>
      </c>
      <c r="P144" s="8">
        <v>219329</v>
      </c>
      <c r="Q144" s="8">
        <v>219637</v>
      </c>
      <c r="R144" s="128">
        <f t="shared" si="20"/>
        <v>308</v>
      </c>
      <c r="AQ144" s="8"/>
      <c r="AR144" s="8"/>
      <c r="AS144" s="8"/>
    </row>
    <row r="145" spans="1:45">
      <c r="A145" s="12">
        <v>44520</v>
      </c>
      <c r="B145" s="8">
        <v>412296</v>
      </c>
      <c r="C145" s="8">
        <v>412620</v>
      </c>
      <c r="D145" s="128">
        <f t="shared" si="13"/>
        <v>324</v>
      </c>
      <c r="E145" s="8">
        <v>146874</v>
      </c>
      <c r="F145" s="8">
        <v>147207</v>
      </c>
      <c r="G145" s="137">
        <f t="shared" si="16"/>
        <v>333</v>
      </c>
      <c r="H145" s="128">
        <f t="shared" si="19"/>
        <v>657</v>
      </c>
      <c r="I145" s="8">
        <v>618586</v>
      </c>
      <c r="J145" s="8">
        <v>618878</v>
      </c>
      <c r="K145" s="137">
        <f t="shared" si="14"/>
        <v>292</v>
      </c>
      <c r="L145" s="8">
        <v>230189</v>
      </c>
      <c r="M145" s="8">
        <v>230363</v>
      </c>
      <c r="N145" s="137">
        <f t="shared" si="17"/>
        <v>174</v>
      </c>
      <c r="O145" s="128">
        <f t="shared" si="18"/>
        <v>466</v>
      </c>
      <c r="P145" s="8">
        <v>219637</v>
      </c>
      <c r="Q145" s="8">
        <v>219782</v>
      </c>
      <c r="R145" s="128">
        <f t="shared" si="20"/>
        <v>145</v>
      </c>
      <c r="AQ145" s="8"/>
      <c r="AR145" s="8"/>
      <c r="AS145" s="8"/>
    </row>
    <row r="146" spans="1:45">
      <c r="A146" s="12">
        <v>44521</v>
      </c>
      <c r="B146" s="8">
        <v>412620</v>
      </c>
      <c r="C146" s="8">
        <v>412831</v>
      </c>
      <c r="D146" s="128">
        <f t="shared" si="13"/>
        <v>211</v>
      </c>
      <c r="E146" s="8">
        <v>147207</v>
      </c>
      <c r="F146" s="8">
        <v>147468</v>
      </c>
      <c r="G146" s="137">
        <f t="shared" si="16"/>
        <v>261</v>
      </c>
      <c r="H146" s="128">
        <f t="shared" si="19"/>
        <v>472</v>
      </c>
      <c r="I146" s="8">
        <v>618878</v>
      </c>
      <c r="J146" s="8">
        <v>619148</v>
      </c>
      <c r="K146" s="137">
        <f t="shared" si="14"/>
        <v>270</v>
      </c>
      <c r="L146" s="8">
        <v>230363</v>
      </c>
      <c r="M146" s="8">
        <v>230504</v>
      </c>
      <c r="N146" s="137">
        <f t="shared" si="17"/>
        <v>141</v>
      </c>
      <c r="O146" s="128">
        <f t="shared" si="18"/>
        <v>411</v>
      </c>
      <c r="P146" s="8">
        <v>219782</v>
      </c>
      <c r="Q146" s="8">
        <v>219957</v>
      </c>
      <c r="R146" s="128">
        <f t="shared" si="20"/>
        <v>175</v>
      </c>
      <c r="AQ146" s="8"/>
      <c r="AR146" s="8"/>
      <c r="AS146" s="8"/>
    </row>
    <row r="147" spans="1:45">
      <c r="A147" s="12">
        <v>44522</v>
      </c>
      <c r="B147" s="8">
        <v>412831</v>
      </c>
      <c r="C147" s="8">
        <v>413192</v>
      </c>
      <c r="D147" s="128">
        <f t="shared" si="13"/>
        <v>361</v>
      </c>
      <c r="E147" s="8">
        <v>147468</v>
      </c>
      <c r="F147" s="8">
        <v>147782</v>
      </c>
      <c r="G147" s="137">
        <f t="shared" si="16"/>
        <v>314</v>
      </c>
      <c r="H147" s="128">
        <f t="shared" si="19"/>
        <v>675</v>
      </c>
      <c r="I147" s="8">
        <v>619148</v>
      </c>
      <c r="J147" s="8">
        <v>619208</v>
      </c>
      <c r="K147" s="137">
        <f t="shared" si="14"/>
        <v>60</v>
      </c>
      <c r="L147" s="8">
        <v>230504</v>
      </c>
      <c r="M147" s="8">
        <v>230659</v>
      </c>
      <c r="N147" s="137">
        <f t="shared" si="17"/>
        <v>155</v>
      </c>
      <c r="O147" s="128">
        <f t="shared" si="18"/>
        <v>215</v>
      </c>
      <c r="P147" s="8">
        <v>219957</v>
      </c>
      <c r="Q147" s="8">
        <v>219957</v>
      </c>
      <c r="R147" s="128">
        <f t="shared" si="20"/>
        <v>0</v>
      </c>
      <c r="S147" s="8" t="s">
        <v>585</v>
      </c>
      <c r="AQ147" s="8"/>
      <c r="AR147" s="8"/>
      <c r="AS147" s="8"/>
    </row>
    <row r="148" spans="1:45">
      <c r="A148" s="12">
        <v>44523</v>
      </c>
      <c r="B148" s="8">
        <v>413192</v>
      </c>
      <c r="C148" s="8">
        <v>413519</v>
      </c>
      <c r="D148" s="128">
        <f t="shared" si="13"/>
        <v>327</v>
      </c>
      <c r="E148" s="8">
        <v>147782</v>
      </c>
      <c r="F148" s="8">
        <v>148135</v>
      </c>
      <c r="G148" s="137">
        <f t="shared" si="16"/>
        <v>353</v>
      </c>
      <c r="H148" s="128">
        <f t="shared" si="19"/>
        <v>680</v>
      </c>
      <c r="I148" s="8">
        <v>619208</v>
      </c>
      <c r="J148" s="8">
        <v>619315</v>
      </c>
      <c r="K148" s="137">
        <f t="shared" si="14"/>
        <v>107</v>
      </c>
      <c r="L148" s="8">
        <v>230659</v>
      </c>
      <c r="M148" s="8">
        <v>230842</v>
      </c>
      <c r="N148" s="137">
        <f t="shared" si="17"/>
        <v>183</v>
      </c>
      <c r="O148" s="128">
        <f t="shared" si="18"/>
        <v>290</v>
      </c>
      <c r="P148" s="8">
        <v>219957</v>
      </c>
      <c r="Q148" s="8">
        <v>219957</v>
      </c>
      <c r="R148" s="128">
        <f t="shared" si="20"/>
        <v>0</v>
      </c>
      <c r="AQ148" s="8"/>
      <c r="AR148" s="8"/>
      <c r="AS148" s="8"/>
    </row>
    <row r="149" spans="1:45">
      <c r="A149" s="12">
        <v>44524</v>
      </c>
      <c r="B149" s="8">
        <v>413519</v>
      </c>
      <c r="C149" s="8">
        <v>413835</v>
      </c>
      <c r="D149" s="128">
        <f t="shared" si="13"/>
        <v>316</v>
      </c>
      <c r="E149" s="8">
        <v>148135</v>
      </c>
      <c r="F149" s="8">
        <v>148428</v>
      </c>
      <c r="G149" s="137">
        <f t="shared" si="16"/>
        <v>293</v>
      </c>
      <c r="H149" s="128">
        <f t="shared" si="19"/>
        <v>609</v>
      </c>
      <c r="I149" s="8">
        <v>619315</v>
      </c>
      <c r="J149" s="8">
        <v>619497</v>
      </c>
      <c r="K149" s="137">
        <f t="shared" si="14"/>
        <v>182</v>
      </c>
      <c r="L149" s="8">
        <v>230842</v>
      </c>
      <c r="M149" s="8">
        <v>231031</v>
      </c>
      <c r="N149" s="137">
        <f t="shared" si="17"/>
        <v>189</v>
      </c>
      <c r="O149" s="128">
        <f t="shared" si="18"/>
        <v>371</v>
      </c>
      <c r="P149" s="8">
        <v>219957</v>
      </c>
      <c r="Q149" s="8">
        <v>220582</v>
      </c>
      <c r="R149" s="128">
        <f t="shared" si="20"/>
        <v>625</v>
      </c>
      <c r="AQ149" s="8"/>
      <c r="AR149" s="8"/>
      <c r="AS149" s="8"/>
    </row>
    <row r="150" spans="1:45">
      <c r="A150" s="12">
        <v>44525</v>
      </c>
      <c r="B150" s="8">
        <v>413835</v>
      </c>
      <c r="C150" s="8">
        <v>414150</v>
      </c>
      <c r="D150" s="128">
        <f t="shared" si="13"/>
        <v>315</v>
      </c>
      <c r="E150" s="8">
        <v>148428</v>
      </c>
      <c r="F150" s="8">
        <v>148751</v>
      </c>
      <c r="G150" s="137">
        <f t="shared" si="16"/>
        <v>323</v>
      </c>
      <c r="H150" s="128">
        <f t="shared" si="19"/>
        <v>638</v>
      </c>
      <c r="I150" s="8">
        <v>619497</v>
      </c>
      <c r="J150" s="8">
        <v>619752</v>
      </c>
      <c r="K150" s="137">
        <f t="shared" si="14"/>
        <v>255</v>
      </c>
      <c r="L150" s="8">
        <v>231031</v>
      </c>
      <c r="M150" s="8">
        <v>231184</v>
      </c>
      <c r="N150" s="137">
        <f t="shared" si="17"/>
        <v>153</v>
      </c>
      <c r="O150" s="128">
        <f t="shared" si="18"/>
        <v>408</v>
      </c>
      <c r="P150" s="8">
        <v>220582</v>
      </c>
      <c r="Q150" s="8">
        <v>220582</v>
      </c>
      <c r="R150" s="128">
        <f t="shared" si="20"/>
        <v>0</v>
      </c>
      <c r="AQ150" s="8"/>
      <c r="AR150" s="8"/>
      <c r="AS150" s="8"/>
    </row>
    <row r="151" spans="1:45">
      <c r="A151" s="12">
        <v>44526</v>
      </c>
      <c r="B151" s="8">
        <v>414150</v>
      </c>
      <c r="C151" s="8">
        <v>414388</v>
      </c>
      <c r="D151" s="128">
        <f t="shared" si="13"/>
        <v>238</v>
      </c>
      <c r="E151" s="8">
        <v>148751</v>
      </c>
      <c r="F151" s="8">
        <v>148993</v>
      </c>
      <c r="G151" s="137">
        <f t="shared" si="16"/>
        <v>242</v>
      </c>
      <c r="H151" s="128">
        <f t="shared" si="19"/>
        <v>480</v>
      </c>
      <c r="I151" s="8">
        <v>619752</v>
      </c>
      <c r="J151" s="8">
        <v>620008</v>
      </c>
      <c r="K151" s="137">
        <f t="shared" si="14"/>
        <v>256</v>
      </c>
      <c r="L151" s="8">
        <v>231184</v>
      </c>
      <c r="M151" s="8">
        <v>231383</v>
      </c>
      <c r="N151" s="137">
        <f t="shared" si="17"/>
        <v>199</v>
      </c>
      <c r="O151" s="128">
        <f t="shared" si="18"/>
        <v>455</v>
      </c>
      <c r="P151" s="8">
        <v>220582</v>
      </c>
      <c r="Q151" s="8">
        <v>221016</v>
      </c>
      <c r="R151" s="128">
        <f t="shared" si="20"/>
        <v>434</v>
      </c>
      <c r="AQ151" s="8"/>
      <c r="AR151" s="8"/>
      <c r="AS151" s="8"/>
    </row>
    <row r="152" spans="1:45">
      <c r="A152" s="12">
        <v>44527</v>
      </c>
      <c r="B152" s="8">
        <v>414388</v>
      </c>
      <c r="C152" s="8">
        <v>414568</v>
      </c>
      <c r="D152" s="128">
        <f t="shared" si="13"/>
        <v>180</v>
      </c>
      <c r="E152" s="8">
        <v>148993</v>
      </c>
      <c r="F152" s="8">
        <v>149144</v>
      </c>
      <c r="G152" s="137">
        <f t="shared" si="16"/>
        <v>151</v>
      </c>
      <c r="H152" s="128">
        <f t="shared" si="19"/>
        <v>331</v>
      </c>
      <c r="I152" s="8">
        <v>620008</v>
      </c>
      <c r="J152" s="8">
        <v>620276</v>
      </c>
      <c r="K152" s="137">
        <f t="shared" si="14"/>
        <v>268</v>
      </c>
      <c r="L152" s="8">
        <v>231383</v>
      </c>
      <c r="M152" s="8">
        <v>231494</v>
      </c>
      <c r="N152" s="137">
        <f t="shared" si="17"/>
        <v>111</v>
      </c>
      <c r="O152" s="128">
        <f t="shared" si="18"/>
        <v>379</v>
      </c>
      <c r="P152" s="8">
        <v>221016</v>
      </c>
      <c r="Q152" s="8">
        <v>221016</v>
      </c>
      <c r="R152" s="128">
        <f t="shared" si="20"/>
        <v>0</v>
      </c>
      <c r="S152" s="8" t="s">
        <v>624</v>
      </c>
      <c r="AQ152" s="8"/>
      <c r="AR152" s="8"/>
      <c r="AS152" s="8"/>
    </row>
    <row r="153" spans="1:45">
      <c r="A153" s="12">
        <v>44528</v>
      </c>
      <c r="B153" s="8">
        <v>414568</v>
      </c>
      <c r="C153" s="8">
        <v>414831</v>
      </c>
      <c r="D153" s="128">
        <f t="shared" si="13"/>
        <v>263</v>
      </c>
      <c r="E153" s="8">
        <v>149144</v>
      </c>
      <c r="F153" s="8">
        <v>149412</v>
      </c>
      <c r="G153" s="137">
        <f t="shared" si="16"/>
        <v>268</v>
      </c>
      <c r="H153" s="128">
        <f t="shared" si="19"/>
        <v>531</v>
      </c>
      <c r="I153" s="8">
        <v>620276</v>
      </c>
      <c r="J153" s="8">
        <v>620525</v>
      </c>
      <c r="K153" s="137">
        <f t="shared" si="14"/>
        <v>249</v>
      </c>
      <c r="L153" s="8">
        <v>231494</v>
      </c>
      <c r="M153" s="8">
        <v>231656</v>
      </c>
      <c r="N153" s="137">
        <f t="shared" si="17"/>
        <v>162</v>
      </c>
      <c r="O153" s="128">
        <f t="shared" si="18"/>
        <v>411</v>
      </c>
      <c r="P153" s="8">
        <v>221016</v>
      </c>
      <c r="Q153" s="8">
        <v>221016</v>
      </c>
      <c r="R153" s="128">
        <f t="shared" si="20"/>
        <v>0</v>
      </c>
      <c r="AQ153" s="8"/>
      <c r="AR153" s="8"/>
      <c r="AS153" s="8"/>
    </row>
    <row r="154" spans="1:45">
      <c r="A154" s="12">
        <v>44529</v>
      </c>
      <c r="B154" s="8">
        <v>414831</v>
      </c>
      <c r="C154" s="8">
        <v>415182</v>
      </c>
      <c r="D154" s="128">
        <f t="shared" si="13"/>
        <v>351</v>
      </c>
      <c r="E154" s="8">
        <v>149412</v>
      </c>
      <c r="F154" s="8">
        <v>149744</v>
      </c>
      <c r="G154" s="137">
        <f t="shared" si="16"/>
        <v>332</v>
      </c>
      <c r="H154" s="128">
        <f t="shared" si="19"/>
        <v>683</v>
      </c>
      <c r="I154" s="8">
        <v>620525</v>
      </c>
      <c r="J154" s="8">
        <v>620726</v>
      </c>
      <c r="K154" s="137">
        <f t="shared" si="14"/>
        <v>201</v>
      </c>
      <c r="L154" s="8">
        <v>231656</v>
      </c>
      <c r="M154" s="8">
        <v>231844</v>
      </c>
      <c r="N154" s="137">
        <f t="shared" si="17"/>
        <v>188</v>
      </c>
      <c r="O154" s="128">
        <f t="shared" si="18"/>
        <v>389</v>
      </c>
      <c r="P154" s="8">
        <v>221016</v>
      </c>
      <c r="Q154" s="8">
        <v>221887</v>
      </c>
      <c r="R154" s="128">
        <f t="shared" si="20"/>
        <v>871</v>
      </c>
      <c r="AQ154" s="8"/>
      <c r="AR154" s="8"/>
      <c r="AS154" s="8"/>
    </row>
    <row r="155" spans="1:45">
      <c r="A155" s="12">
        <v>44530</v>
      </c>
      <c r="B155" s="8">
        <v>415182</v>
      </c>
      <c r="C155" s="8">
        <v>415521</v>
      </c>
      <c r="D155" s="128">
        <f t="shared" si="13"/>
        <v>339</v>
      </c>
      <c r="E155" s="8">
        <v>149744</v>
      </c>
      <c r="F155" s="8">
        <v>150115</v>
      </c>
      <c r="G155" s="137">
        <f t="shared" si="16"/>
        <v>371</v>
      </c>
      <c r="H155" s="128">
        <f t="shared" si="19"/>
        <v>710</v>
      </c>
      <c r="I155" s="8">
        <v>620726</v>
      </c>
      <c r="J155" s="8">
        <v>620918</v>
      </c>
      <c r="K155" s="137">
        <f t="shared" si="14"/>
        <v>192</v>
      </c>
      <c r="L155" s="8">
        <v>231844</v>
      </c>
      <c r="M155" s="8">
        <v>232020</v>
      </c>
      <c r="N155" s="137">
        <f t="shared" si="17"/>
        <v>176</v>
      </c>
      <c r="O155" s="128">
        <f t="shared" si="18"/>
        <v>368</v>
      </c>
      <c r="P155" s="8">
        <v>221887</v>
      </c>
      <c r="Q155" s="8">
        <v>221930</v>
      </c>
      <c r="R155" s="128">
        <f t="shared" si="20"/>
        <v>43</v>
      </c>
      <c r="AQ155" s="8"/>
      <c r="AR155" s="8"/>
      <c r="AS155" s="8"/>
    </row>
    <row r="156" spans="1:45">
      <c r="A156" s="12">
        <v>44531</v>
      </c>
      <c r="B156" s="8">
        <v>415521</v>
      </c>
      <c r="C156" s="8">
        <v>415721</v>
      </c>
      <c r="D156" s="128">
        <f t="shared" si="13"/>
        <v>200</v>
      </c>
      <c r="E156" s="8">
        <v>150115</v>
      </c>
      <c r="F156" s="8">
        <v>150374</v>
      </c>
      <c r="G156" s="137">
        <f t="shared" si="16"/>
        <v>259</v>
      </c>
      <c r="H156" s="128">
        <f t="shared" si="19"/>
        <v>459</v>
      </c>
      <c r="I156" s="8">
        <v>620918</v>
      </c>
      <c r="J156" s="8">
        <v>621147</v>
      </c>
      <c r="K156" s="137">
        <f t="shared" si="14"/>
        <v>229</v>
      </c>
      <c r="L156" s="8">
        <v>232020</v>
      </c>
      <c r="M156" s="8">
        <v>232231</v>
      </c>
      <c r="N156" s="137">
        <f t="shared" si="17"/>
        <v>211</v>
      </c>
      <c r="O156" s="128">
        <f t="shared" si="18"/>
        <v>440</v>
      </c>
      <c r="P156" s="8">
        <v>221930</v>
      </c>
      <c r="Q156" s="8">
        <v>222040</v>
      </c>
      <c r="R156" s="128">
        <f t="shared" si="20"/>
        <v>110</v>
      </c>
      <c r="AQ156" s="8"/>
      <c r="AR156" s="8"/>
      <c r="AS156" s="8"/>
    </row>
    <row r="157" spans="1:45">
      <c r="A157" s="12">
        <v>44532</v>
      </c>
      <c r="B157" s="8">
        <v>415721</v>
      </c>
      <c r="C157" s="8">
        <v>415971</v>
      </c>
      <c r="D157" s="128">
        <f t="shared" si="13"/>
        <v>250</v>
      </c>
      <c r="E157" s="8">
        <v>150374</v>
      </c>
      <c r="F157" s="8">
        <v>150647</v>
      </c>
      <c r="G157" s="137">
        <f t="shared" si="16"/>
        <v>273</v>
      </c>
      <c r="H157" s="128">
        <f t="shared" si="19"/>
        <v>523</v>
      </c>
      <c r="I157" s="8">
        <v>621147</v>
      </c>
      <c r="J157" s="8">
        <v>621373</v>
      </c>
      <c r="K157" s="137">
        <f t="shared" si="14"/>
        <v>226</v>
      </c>
      <c r="L157" s="8">
        <v>232231</v>
      </c>
      <c r="M157" s="8">
        <v>232397</v>
      </c>
      <c r="N157" s="137">
        <f t="shared" si="17"/>
        <v>166</v>
      </c>
      <c r="O157" s="128">
        <f t="shared" si="18"/>
        <v>392</v>
      </c>
      <c r="P157" s="8">
        <v>222040</v>
      </c>
      <c r="Q157" s="8">
        <v>222075</v>
      </c>
      <c r="R157" s="128">
        <f t="shared" si="20"/>
        <v>35</v>
      </c>
      <c r="AQ157" s="8"/>
      <c r="AR157" s="8"/>
      <c r="AS157" s="8"/>
    </row>
    <row r="158" spans="1:45">
      <c r="A158" s="12">
        <v>44533</v>
      </c>
      <c r="B158" s="8">
        <v>415971</v>
      </c>
      <c r="C158" s="8">
        <v>416210</v>
      </c>
      <c r="D158" s="128">
        <f t="shared" si="13"/>
        <v>239</v>
      </c>
      <c r="E158" s="8">
        <v>150647</v>
      </c>
      <c r="F158" s="8">
        <v>150894</v>
      </c>
      <c r="G158" s="137">
        <f t="shared" si="16"/>
        <v>247</v>
      </c>
      <c r="H158" s="128">
        <f t="shared" si="19"/>
        <v>486</v>
      </c>
      <c r="I158" s="8">
        <v>621373</v>
      </c>
      <c r="J158" s="8">
        <v>621586</v>
      </c>
      <c r="K158" s="137">
        <f t="shared" si="14"/>
        <v>213</v>
      </c>
      <c r="L158" s="8">
        <v>232397</v>
      </c>
      <c r="M158" s="8">
        <v>232607</v>
      </c>
      <c r="N158" s="137">
        <f t="shared" si="17"/>
        <v>210</v>
      </c>
      <c r="O158" s="128">
        <f t="shared" si="18"/>
        <v>423</v>
      </c>
      <c r="P158" s="8">
        <v>222075</v>
      </c>
      <c r="Q158" s="8">
        <v>222243</v>
      </c>
      <c r="R158" s="128">
        <f t="shared" si="20"/>
        <v>168</v>
      </c>
      <c r="AQ158" s="8"/>
      <c r="AR158" s="8"/>
      <c r="AS158" s="8"/>
    </row>
    <row r="159" spans="1:45">
      <c r="A159" s="12">
        <v>44534</v>
      </c>
      <c r="B159" s="8">
        <v>416210</v>
      </c>
      <c r="C159" s="8">
        <v>416365</v>
      </c>
      <c r="D159" s="128">
        <f t="shared" si="13"/>
        <v>155</v>
      </c>
      <c r="E159" s="8">
        <v>150894</v>
      </c>
      <c r="F159" s="8">
        <v>151254</v>
      </c>
      <c r="G159" s="137">
        <f t="shared" si="16"/>
        <v>360</v>
      </c>
      <c r="H159" s="128">
        <f t="shared" si="19"/>
        <v>515</v>
      </c>
      <c r="I159" s="8">
        <v>621586</v>
      </c>
      <c r="J159" s="8">
        <v>621850</v>
      </c>
      <c r="K159" s="137">
        <f t="shared" si="14"/>
        <v>264</v>
      </c>
      <c r="L159" s="8">
        <v>232607</v>
      </c>
      <c r="M159" s="8">
        <v>232636</v>
      </c>
      <c r="N159" s="137">
        <f t="shared" si="17"/>
        <v>29</v>
      </c>
      <c r="O159" s="128">
        <f t="shared" si="18"/>
        <v>293</v>
      </c>
      <c r="P159" s="8">
        <v>222243</v>
      </c>
      <c r="Q159" s="8">
        <v>222243</v>
      </c>
      <c r="R159" s="128">
        <f t="shared" si="20"/>
        <v>0</v>
      </c>
      <c r="AQ159" s="8"/>
      <c r="AR159" s="8"/>
      <c r="AS159" s="8"/>
    </row>
    <row r="160" spans="1:45">
      <c r="A160" s="12">
        <v>44535</v>
      </c>
      <c r="B160" s="8">
        <v>416365</v>
      </c>
      <c r="C160" s="8">
        <v>416566</v>
      </c>
      <c r="D160" s="128">
        <f t="shared" si="13"/>
        <v>201</v>
      </c>
      <c r="E160" s="8">
        <v>151254</v>
      </c>
      <c r="F160" s="8">
        <v>151488</v>
      </c>
      <c r="G160" s="137">
        <f t="shared" si="16"/>
        <v>234</v>
      </c>
      <c r="H160" s="128">
        <f t="shared" si="19"/>
        <v>435</v>
      </c>
      <c r="I160" s="8">
        <v>621850</v>
      </c>
      <c r="J160" s="8">
        <v>622108</v>
      </c>
      <c r="K160" s="137">
        <f t="shared" si="14"/>
        <v>258</v>
      </c>
      <c r="L160" s="8">
        <v>232636</v>
      </c>
      <c r="M160" s="8">
        <v>232879</v>
      </c>
      <c r="N160" s="137">
        <f t="shared" si="17"/>
        <v>243</v>
      </c>
      <c r="O160" s="128">
        <f t="shared" si="18"/>
        <v>501</v>
      </c>
      <c r="P160" s="8">
        <v>222243</v>
      </c>
      <c r="Q160" s="8">
        <v>222500</v>
      </c>
      <c r="R160" s="128">
        <f t="shared" si="20"/>
        <v>257</v>
      </c>
      <c r="AQ160" s="8"/>
      <c r="AR160" s="8"/>
      <c r="AS160" s="8"/>
    </row>
    <row r="161" spans="1:45">
      <c r="A161" s="12">
        <v>44536</v>
      </c>
      <c r="B161" s="8">
        <v>416566</v>
      </c>
      <c r="C161" s="8">
        <v>416800</v>
      </c>
      <c r="D161" s="128">
        <f t="shared" si="13"/>
        <v>234</v>
      </c>
      <c r="E161" s="8">
        <v>151488</v>
      </c>
      <c r="F161" s="8">
        <v>151731</v>
      </c>
      <c r="G161" s="137">
        <f t="shared" si="16"/>
        <v>243</v>
      </c>
      <c r="H161" s="128">
        <f t="shared" si="19"/>
        <v>477</v>
      </c>
      <c r="I161" s="8">
        <v>622108</v>
      </c>
      <c r="J161" s="8">
        <v>622343</v>
      </c>
      <c r="K161" s="137">
        <f t="shared" si="14"/>
        <v>235</v>
      </c>
      <c r="L161" s="8">
        <v>232879</v>
      </c>
      <c r="M161" s="8">
        <v>233025</v>
      </c>
      <c r="N161" s="137">
        <f t="shared" si="17"/>
        <v>146</v>
      </c>
      <c r="O161" s="128">
        <f t="shared" si="18"/>
        <v>381</v>
      </c>
      <c r="P161" s="8">
        <v>222500</v>
      </c>
      <c r="Q161" s="8">
        <v>223143</v>
      </c>
      <c r="R161" s="128">
        <f t="shared" si="20"/>
        <v>643</v>
      </c>
      <c r="AQ161" s="8"/>
      <c r="AR161" s="8"/>
      <c r="AS161" s="8"/>
    </row>
    <row r="162" spans="1:45">
      <c r="A162" s="12">
        <v>44537</v>
      </c>
      <c r="B162" s="8">
        <v>416800</v>
      </c>
      <c r="C162" s="8">
        <v>417059</v>
      </c>
      <c r="D162" s="128">
        <f t="shared" si="13"/>
        <v>259</v>
      </c>
      <c r="E162" s="8">
        <v>151731</v>
      </c>
      <c r="F162" s="8">
        <v>152006</v>
      </c>
      <c r="G162" s="137">
        <f t="shared" si="16"/>
        <v>275</v>
      </c>
      <c r="H162" s="128">
        <f t="shared" si="19"/>
        <v>534</v>
      </c>
      <c r="I162" s="8">
        <v>622343</v>
      </c>
      <c r="J162" s="8">
        <v>622580</v>
      </c>
      <c r="K162" s="137">
        <f t="shared" si="14"/>
        <v>237</v>
      </c>
      <c r="L162" s="8">
        <v>233025</v>
      </c>
      <c r="M162" s="8">
        <v>233063</v>
      </c>
      <c r="N162" s="137">
        <f t="shared" si="17"/>
        <v>38</v>
      </c>
      <c r="O162" s="128">
        <f t="shared" si="18"/>
        <v>275</v>
      </c>
      <c r="P162" s="8">
        <v>223143</v>
      </c>
      <c r="Q162" s="8">
        <v>223519</v>
      </c>
      <c r="R162" s="128">
        <f t="shared" si="20"/>
        <v>376</v>
      </c>
      <c r="AQ162" s="8"/>
      <c r="AR162" s="8"/>
      <c r="AS162" s="8"/>
    </row>
    <row r="163" spans="1:45">
      <c r="A163" s="12">
        <v>44538</v>
      </c>
      <c r="B163" s="8">
        <v>417059</v>
      </c>
      <c r="C163" s="8">
        <v>417290</v>
      </c>
      <c r="D163" s="128">
        <f t="shared" si="13"/>
        <v>231</v>
      </c>
      <c r="E163" s="8">
        <v>152006</v>
      </c>
      <c r="F163" s="8">
        <v>152307</v>
      </c>
      <c r="G163" s="137">
        <f t="shared" si="16"/>
        <v>301</v>
      </c>
      <c r="H163" s="128">
        <f t="shared" si="19"/>
        <v>532</v>
      </c>
      <c r="I163" s="8">
        <v>622580</v>
      </c>
      <c r="J163" s="8">
        <v>622820</v>
      </c>
      <c r="K163" s="137">
        <f t="shared" si="14"/>
        <v>240</v>
      </c>
      <c r="L163" s="8">
        <v>233063</v>
      </c>
      <c r="M163" s="8">
        <v>233177</v>
      </c>
      <c r="N163" s="137">
        <f t="shared" si="17"/>
        <v>114</v>
      </c>
      <c r="O163" s="128">
        <f t="shared" si="18"/>
        <v>354</v>
      </c>
      <c r="P163" s="8">
        <v>223519</v>
      </c>
      <c r="Q163" s="8">
        <v>223604</v>
      </c>
      <c r="R163" s="128">
        <f t="shared" si="20"/>
        <v>85</v>
      </c>
      <c r="AQ163" s="8"/>
      <c r="AR163" s="8"/>
      <c r="AS163" s="8"/>
    </row>
    <row r="164" spans="1:45">
      <c r="A164" s="12">
        <v>44539</v>
      </c>
      <c r="B164" s="8">
        <v>417290</v>
      </c>
      <c r="C164" s="8">
        <v>417537</v>
      </c>
      <c r="D164" s="128">
        <f t="shared" si="13"/>
        <v>247</v>
      </c>
      <c r="E164" s="8">
        <v>152307</v>
      </c>
      <c r="F164" s="8">
        <v>152551</v>
      </c>
      <c r="G164" s="137">
        <f t="shared" si="16"/>
        <v>244</v>
      </c>
      <c r="H164" s="128">
        <f t="shared" si="19"/>
        <v>491</v>
      </c>
      <c r="I164" s="8">
        <v>622820</v>
      </c>
      <c r="J164" s="8">
        <v>623040</v>
      </c>
      <c r="K164" s="137">
        <f t="shared" si="14"/>
        <v>220</v>
      </c>
      <c r="L164" s="8">
        <v>233177</v>
      </c>
      <c r="M164" s="8">
        <v>233284</v>
      </c>
      <c r="N164" s="137">
        <f t="shared" si="17"/>
        <v>107</v>
      </c>
      <c r="O164" s="128">
        <f t="shared" si="18"/>
        <v>327</v>
      </c>
      <c r="P164" s="8">
        <v>223604</v>
      </c>
      <c r="Q164" s="8">
        <v>223830</v>
      </c>
      <c r="R164" s="128">
        <f t="shared" si="20"/>
        <v>226</v>
      </c>
      <c r="AQ164" s="8"/>
      <c r="AR164" s="8"/>
      <c r="AS164" s="8"/>
    </row>
    <row r="165" spans="1:45">
      <c r="A165" s="12">
        <v>44540</v>
      </c>
      <c r="B165" s="8">
        <v>417537</v>
      </c>
      <c r="C165" s="8">
        <v>417880</v>
      </c>
      <c r="D165" s="128">
        <f t="shared" si="13"/>
        <v>343</v>
      </c>
      <c r="E165" s="8">
        <v>152551</v>
      </c>
      <c r="F165" s="8">
        <v>152820</v>
      </c>
      <c r="G165" s="137">
        <f t="shared" si="16"/>
        <v>269</v>
      </c>
      <c r="H165" s="128">
        <f t="shared" si="19"/>
        <v>612</v>
      </c>
      <c r="I165" s="8">
        <v>623040</v>
      </c>
      <c r="J165" s="8">
        <v>623310</v>
      </c>
      <c r="K165" s="137">
        <f t="shared" si="14"/>
        <v>270</v>
      </c>
      <c r="L165" s="8">
        <v>233284</v>
      </c>
      <c r="M165" s="8">
        <v>233388</v>
      </c>
      <c r="N165" s="137">
        <f t="shared" si="17"/>
        <v>104</v>
      </c>
      <c r="O165" s="128">
        <f t="shared" si="18"/>
        <v>374</v>
      </c>
      <c r="P165" s="8">
        <v>223830</v>
      </c>
      <c r="Q165" s="8">
        <v>223830</v>
      </c>
      <c r="R165" s="128">
        <f t="shared" si="20"/>
        <v>0</v>
      </c>
      <c r="AQ165" s="8"/>
      <c r="AR165" s="8"/>
      <c r="AS165" s="8"/>
    </row>
    <row r="166" spans="1:45">
      <c r="A166" s="12">
        <v>44541</v>
      </c>
      <c r="B166" s="8">
        <v>417880</v>
      </c>
      <c r="C166" s="8">
        <v>418136</v>
      </c>
      <c r="D166" s="128">
        <f t="shared" ref="D166:D229" si="21">C166-B166</f>
        <v>256</v>
      </c>
      <c r="E166" s="8">
        <v>152820</v>
      </c>
      <c r="F166" s="8">
        <v>153219</v>
      </c>
      <c r="G166" s="137">
        <f t="shared" si="16"/>
        <v>399</v>
      </c>
      <c r="H166" s="128">
        <f t="shared" si="19"/>
        <v>655</v>
      </c>
      <c r="I166" s="8">
        <v>623310</v>
      </c>
      <c r="J166" s="8">
        <v>623587</v>
      </c>
      <c r="K166" s="137">
        <f t="shared" ref="K166:K229" si="22">J166-I166</f>
        <v>277</v>
      </c>
      <c r="L166" s="8">
        <v>233388</v>
      </c>
      <c r="M166" s="8">
        <v>233388</v>
      </c>
      <c r="N166" s="137">
        <f t="shared" si="17"/>
        <v>0</v>
      </c>
      <c r="O166" s="128">
        <f t="shared" si="18"/>
        <v>277</v>
      </c>
      <c r="P166" s="8">
        <v>223830</v>
      </c>
      <c r="Q166" s="8">
        <v>223830</v>
      </c>
      <c r="R166" s="128">
        <f t="shared" si="20"/>
        <v>0</v>
      </c>
      <c r="AQ166" s="8"/>
      <c r="AR166" s="8"/>
      <c r="AS166" s="8"/>
    </row>
    <row r="167" spans="1:45">
      <c r="A167" s="12">
        <v>44542</v>
      </c>
      <c r="B167" s="8">
        <v>418136</v>
      </c>
      <c r="C167" s="8">
        <v>418450</v>
      </c>
      <c r="D167" s="128">
        <f t="shared" si="21"/>
        <v>314</v>
      </c>
      <c r="E167" s="8">
        <v>153219</v>
      </c>
      <c r="F167" s="8">
        <v>153490</v>
      </c>
      <c r="G167" s="137">
        <f t="shared" si="16"/>
        <v>271</v>
      </c>
      <c r="H167" s="128">
        <f t="shared" si="19"/>
        <v>585</v>
      </c>
      <c r="I167" s="8">
        <v>623587</v>
      </c>
      <c r="J167" s="8">
        <v>623837</v>
      </c>
      <c r="K167" s="137">
        <f t="shared" si="22"/>
        <v>250</v>
      </c>
      <c r="L167" s="8">
        <v>233388</v>
      </c>
      <c r="M167" s="8">
        <v>233448</v>
      </c>
      <c r="N167" s="137">
        <f t="shared" si="17"/>
        <v>60</v>
      </c>
      <c r="O167" s="128">
        <f t="shared" si="18"/>
        <v>310</v>
      </c>
      <c r="P167" s="8">
        <v>223830</v>
      </c>
      <c r="Q167" s="8">
        <v>223830</v>
      </c>
      <c r="R167" s="128">
        <f t="shared" si="20"/>
        <v>0</v>
      </c>
      <c r="AQ167" s="8"/>
      <c r="AR167" s="8"/>
      <c r="AS167" s="8"/>
    </row>
    <row r="168" spans="1:45">
      <c r="A168" s="12">
        <v>44543</v>
      </c>
      <c r="B168" s="8">
        <v>418450</v>
      </c>
      <c r="C168" s="8">
        <v>418609</v>
      </c>
      <c r="D168" s="128">
        <f t="shared" si="21"/>
        <v>159</v>
      </c>
      <c r="E168" s="8">
        <v>153490</v>
      </c>
      <c r="F168" s="8">
        <v>153773</v>
      </c>
      <c r="G168" s="137">
        <f t="shared" si="16"/>
        <v>283</v>
      </c>
      <c r="H168" s="128">
        <f t="shared" si="19"/>
        <v>442</v>
      </c>
      <c r="I168" s="8">
        <v>623837</v>
      </c>
      <c r="J168" s="8">
        <v>624100</v>
      </c>
      <c r="K168" s="137">
        <f t="shared" si="22"/>
        <v>263</v>
      </c>
      <c r="L168" s="8">
        <v>233448</v>
      </c>
      <c r="M168" s="8">
        <v>233552</v>
      </c>
      <c r="N168" s="137">
        <f t="shared" si="17"/>
        <v>104</v>
      </c>
      <c r="O168" s="128">
        <f t="shared" si="18"/>
        <v>367</v>
      </c>
      <c r="P168" s="8">
        <v>223830</v>
      </c>
      <c r="Q168" s="8">
        <v>224149</v>
      </c>
      <c r="R168" s="128">
        <f t="shared" si="20"/>
        <v>319</v>
      </c>
      <c r="AQ168" s="8"/>
      <c r="AR168" s="8"/>
      <c r="AS168" s="8"/>
    </row>
    <row r="169" spans="1:45">
      <c r="A169" s="12">
        <v>44544</v>
      </c>
      <c r="B169" s="8">
        <v>418609</v>
      </c>
      <c r="C169" s="8">
        <v>418851</v>
      </c>
      <c r="D169" s="128">
        <f t="shared" si="21"/>
        <v>242</v>
      </c>
      <c r="E169" s="8">
        <v>153773</v>
      </c>
      <c r="F169" s="8">
        <v>154174</v>
      </c>
      <c r="G169" s="137">
        <f t="shared" si="16"/>
        <v>401</v>
      </c>
      <c r="H169" s="128">
        <f t="shared" si="19"/>
        <v>643</v>
      </c>
      <c r="I169" s="8">
        <v>624100</v>
      </c>
      <c r="J169" s="8">
        <v>624356</v>
      </c>
      <c r="K169" s="137">
        <f t="shared" si="22"/>
        <v>256</v>
      </c>
      <c r="L169" s="8">
        <v>233552</v>
      </c>
      <c r="M169" s="8">
        <v>233671</v>
      </c>
      <c r="N169" s="137">
        <f t="shared" si="17"/>
        <v>119</v>
      </c>
      <c r="O169" s="128">
        <f t="shared" si="18"/>
        <v>375</v>
      </c>
      <c r="P169" s="8">
        <v>224149</v>
      </c>
      <c r="Q169" s="8">
        <v>224149</v>
      </c>
      <c r="R169" s="128">
        <f t="shared" si="20"/>
        <v>0</v>
      </c>
      <c r="AQ169" s="8"/>
      <c r="AR169" s="8"/>
      <c r="AS169" s="8"/>
    </row>
    <row r="170" spans="1:45">
      <c r="A170" s="12">
        <v>44545</v>
      </c>
      <c r="B170" s="8">
        <v>418851</v>
      </c>
      <c r="C170" s="8">
        <v>419101</v>
      </c>
      <c r="D170" s="128">
        <f t="shared" si="21"/>
        <v>250</v>
      </c>
      <c r="E170" s="8">
        <v>154174</v>
      </c>
      <c r="F170" s="8">
        <v>154515</v>
      </c>
      <c r="G170" s="137">
        <f t="shared" si="16"/>
        <v>341</v>
      </c>
      <c r="H170" s="128">
        <f t="shared" si="19"/>
        <v>591</v>
      </c>
      <c r="I170" s="8">
        <v>624356</v>
      </c>
      <c r="J170" s="8">
        <v>624610</v>
      </c>
      <c r="K170" s="137">
        <f t="shared" si="22"/>
        <v>254</v>
      </c>
      <c r="L170" s="8">
        <v>233671</v>
      </c>
      <c r="M170" s="8">
        <v>233786</v>
      </c>
      <c r="N170" s="137">
        <f t="shared" si="17"/>
        <v>115</v>
      </c>
      <c r="O170" s="128">
        <f t="shared" si="18"/>
        <v>369</v>
      </c>
      <c r="P170" s="8">
        <v>224149</v>
      </c>
      <c r="Q170" s="8">
        <v>224149</v>
      </c>
      <c r="R170" s="128">
        <f t="shared" si="20"/>
        <v>0</v>
      </c>
      <c r="AQ170" s="8"/>
      <c r="AR170" s="8"/>
      <c r="AS170" s="8"/>
    </row>
    <row r="171" spans="1:45">
      <c r="A171" s="12">
        <v>44546</v>
      </c>
      <c r="B171" s="8">
        <v>419101</v>
      </c>
      <c r="C171" s="8">
        <v>419387</v>
      </c>
      <c r="D171" s="128">
        <f t="shared" si="21"/>
        <v>286</v>
      </c>
      <c r="E171" s="8">
        <v>154515</v>
      </c>
      <c r="F171" s="8">
        <v>154836</v>
      </c>
      <c r="G171" s="137">
        <f t="shared" si="16"/>
        <v>321</v>
      </c>
      <c r="H171" s="128">
        <f t="shared" si="19"/>
        <v>607</v>
      </c>
      <c r="I171" s="8">
        <v>624610</v>
      </c>
      <c r="J171" s="8">
        <v>624866</v>
      </c>
      <c r="K171" s="137">
        <f t="shared" si="22"/>
        <v>256</v>
      </c>
      <c r="L171" s="8">
        <v>233786</v>
      </c>
      <c r="M171" s="8">
        <v>233831</v>
      </c>
      <c r="N171" s="137">
        <f t="shared" si="17"/>
        <v>45</v>
      </c>
      <c r="O171" s="128">
        <f t="shared" si="18"/>
        <v>301</v>
      </c>
      <c r="P171" s="8">
        <v>224149</v>
      </c>
      <c r="Q171" s="8">
        <v>224149</v>
      </c>
      <c r="R171" s="128">
        <f t="shared" si="20"/>
        <v>0</v>
      </c>
      <c r="AQ171" s="8"/>
      <c r="AR171" s="8"/>
      <c r="AS171" s="8"/>
    </row>
    <row r="172" spans="1:45">
      <c r="A172" s="12">
        <v>44547</v>
      </c>
      <c r="B172" s="8">
        <v>419387</v>
      </c>
      <c r="C172" s="8">
        <v>419533</v>
      </c>
      <c r="D172" s="128">
        <f t="shared" si="21"/>
        <v>146</v>
      </c>
      <c r="E172" s="8">
        <v>154836</v>
      </c>
      <c r="F172" s="8">
        <v>154936</v>
      </c>
      <c r="G172" s="137">
        <f t="shared" si="16"/>
        <v>100</v>
      </c>
      <c r="H172" s="128">
        <f t="shared" si="19"/>
        <v>246</v>
      </c>
      <c r="I172" s="8">
        <v>624866</v>
      </c>
      <c r="J172" s="8">
        <v>625135</v>
      </c>
      <c r="K172" s="137">
        <f t="shared" si="22"/>
        <v>269</v>
      </c>
      <c r="L172" s="8">
        <v>233831</v>
      </c>
      <c r="M172" s="8">
        <v>233871</v>
      </c>
      <c r="N172" s="137">
        <f t="shared" si="17"/>
        <v>40</v>
      </c>
      <c r="O172" s="128">
        <f t="shared" si="18"/>
        <v>309</v>
      </c>
      <c r="P172" s="8">
        <v>224149</v>
      </c>
      <c r="Q172" s="8">
        <v>224149</v>
      </c>
      <c r="R172" s="128">
        <f t="shared" si="20"/>
        <v>0</v>
      </c>
      <c r="AQ172" s="8"/>
      <c r="AR172" s="8"/>
      <c r="AS172" s="8"/>
    </row>
    <row r="173" spans="1:45">
      <c r="A173" s="12">
        <v>44548</v>
      </c>
      <c r="B173" s="8">
        <v>419533</v>
      </c>
      <c r="C173" s="8">
        <v>419857</v>
      </c>
      <c r="D173" s="128">
        <f t="shared" si="21"/>
        <v>324</v>
      </c>
      <c r="E173" s="8">
        <v>154936</v>
      </c>
      <c r="F173" s="8">
        <v>155169</v>
      </c>
      <c r="G173" s="137">
        <f t="shared" si="16"/>
        <v>233</v>
      </c>
      <c r="H173" s="128">
        <f t="shared" si="19"/>
        <v>557</v>
      </c>
      <c r="I173" s="8">
        <v>625135</v>
      </c>
      <c r="J173" s="8">
        <v>625464</v>
      </c>
      <c r="K173" s="137">
        <f t="shared" si="22"/>
        <v>329</v>
      </c>
      <c r="L173" s="8">
        <v>233871</v>
      </c>
      <c r="M173" s="8">
        <v>233976</v>
      </c>
      <c r="N173" s="137">
        <f t="shared" si="17"/>
        <v>105</v>
      </c>
      <c r="O173" s="128">
        <f t="shared" si="18"/>
        <v>434</v>
      </c>
      <c r="P173" s="8">
        <v>224149</v>
      </c>
      <c r="Q173" s="8">
        <v>224149</v>
      </c>
      <c r="R173" s="128">
        <f t="shared" si="20"/>
        <v>0</v>
      </c>
      <c r="AQ173" s="8"/>
      <c r="AR173" s="8"/>
      <c r="AS173" s="8"/>
    </row>
    <row r="174" spans="1:45">
      <c r="A174" s="12">
        <v>44549</v>
      </c>
      <c r="B174" s="8">
        <v>419857</v>
      </c>
      <c r="C174" s="8">
        <v>420011</v>
      </c>
      <c r="D174" s="128">
        <f t="shared" si="21"/>
        <v>154</v>
      </c>
      <c r="E174" s="8">
        <v>155169</v>
      </c>
      <c r="F174" s="8">
        <v>155303</v>
      </c>
      <c r="G174" s="137">
        <f t="shared" si="16"/>
        <v>134</v>
      </c>
      <c r="H174" s="128">
        <f t="shared" si="19"/>
        <v>288</v>
      </c>
      <c r="I174" s="8">
        <v>625464</v>
      </c>
      <c r="J174" s="8">
        <v>625740</v>
      </c>
      <c r="K174" s="137">
        <f t="shared" si="22"/>
        <v>276</v>
      </c>
      <c r="L174" s="8">
        <v>233976</v>
      </c>
      <c r="M174" s="8">
        <v>234061</v>
      </c>
      <c r="N174" s="137">
        <f t="shared" si="17"/>
        <v>85</v>
      </c>
      <c r="O174" s="128">
        <f t="shared" si="18"/>
        <v>361</v>
      </c>
      <c r="P174" s="8">
        <v>224149</v>
      </c>
      <c r="Q174" s="8">
        <v>224149</v>
      </c>
      <c r="R174" s="128">
        <f t="shared" si="20"/>
        <v>0</v>
      </c>
      <c r="AQ174" s="8"/>
      <c r="AR174" s="8"/>
      <c r="AS174" s="8"/>
    </row>
    <row r="175" spans="1:45">
      <c r="A175" s="12">
        <v>44550</v>
      </c>
      <c r="B175" s="8">
        <v>420011</v>
      </c>
      <c r="C175" s="8">
        <v>420235</v>
      </c>
      <c r="D175" s="128">
        <f t="shared" si="21"/>
        <v>224</v>
      </c>
      <c r="E175" s="8">
        <v>155303</v>
      </c>
      <c r="F175" s="8">
        <v>155468</v>
      </c>
      <c r="G175" s="137">
        <f t="shared" si="16"/>
        <v>165</v>
      </c>
      <c r="H175" s="128">
        <f t="shared" si="19"/>
        <v>389</v>
      </c>
      <c r="I175" s="8">
        <v>625740</v>
      </c>
      <c r="J175" s="8">
        <v>626003</v>
      </c>
      <c r="K175" s="137">
        <f t="shared" si="22"/>
        <v>263</v>
      </c>
      <c r="L175" s="8">
        <v>234061</v>
      </c>
      <c r="M175" s="8">
        <v>234077</v>
      </c>
      <c r="N175" s="137">
        <f t="shared" si="17"/>
        <v>16</v>
      </c>
      <c r="O175" s="128">
        <f t="shared" si="18"/>
        <v>279</v>
      </c>
      <c r="P175" s="8">
        <v>224149</v>
      </c>
      <c r="Q175" s="8">
        <v>224292</v>
      </c>
      <c r="R175" s="128">
        <f t="shared" si="20"/>
        <v>143</v>
      </c>
      <c r="AQ175" s="8"/>
      <c r="AR175" s="8"/>
      <c r="AS175" s="8"/>
    </row>
    <row r="176" spans="1:45">
      <c r="A176" s="12">
        <v>44551</v>
      </c>
      <c r="B176" s="8">
        <v>420235</v>
      </c>
      <c r="C176" s="8">
        <v>420458</v>
      </c>
      <c r="D176" s="128">
        <f t="shared" si="21"/>
        <v>223</v>
      </c>
      <c r="E176" s="8">
        <v>155468</v>
      </c>
      <c r="F176" s="8">
        <v>155792</v>
      </c>
      <c r="G176" s="137">
        <f t="shared" si="16"/>
        <v>324</v>
      </c>
      <c r="H176" s="128">
        <f t="shared" si="19"/>
        <v>547</v>
      </c>
      <c r="I176" s="8">
        <v>626003</v>
      </c>
      <c r="J176" s="8">
        <v>626226</v>
      </c>
      <c r="K176" s="137">
        <f t="shared" si="22"/>
        <v>223</v>
      </c>
      <c r="L176" s="8">
        <v>234077</v>
      </c>
      <c r="M176" s="8">
        <v>234099</v>
      </c>
      <c r="N176" s="137">
        <f t="shared" si="17"/>
        <v>22</v>
      </c>
      <c r="O176" s="128">
        <f t="shared" si="18"/>
        <v>245</v>
      </c>
      <c r="P176" s="8">
        <v>224292</v>
      </c>
      <c r="Q176" s="8">
        <v>224816</v>
      </c>
      <c r="R176" s="128">
        <f t="shared" si="20"/>
        <v>524</v>
      </c>
      <c r="AQ176" s="8"/>
      <c r="AR176" s="8"/>
      <c r="AS176" s="8"/>
    </row>
    <row r="177" spans="1:45">
      <c r="A177" s="12">
        <v>44552</v>
      </c>
      <c r="B177" s="8">
        <v>420458</v>
      </c>
      <c r="C177" s="8">
        <v>420742</v>
      </c>
      <c r="D177" s="128">
        <f t="shared" si="21"/>
        <v>284</v>
      </c>
      <c r="E177" s="8">
        <v>155792</v>
      </c>
      <c r="F177" s="8">
        <v>156110</v>
      </c>
      <c r="G177" s="137">
        <f t="shared" si="16"/>
        <v>318</v>
      </c>
      <c r="H177" s="128">
        <f t="shared" si="19"/>
        <v>602</v>
      </c>
      <c r="I177" s="8">
        <v>626226</v>
      </c>
      <c r="J177" s="8">
        <v>626512</v>
      </c>
      <c r="K177" s="137">
        <f t="shared" si="22"/>
        <v>286</v>
      </c>
      <c r="L177" s="8">
        <v>234099</v>
      </c>
      <c r="M177" s="8">
        <v>234132</v>
      </c>
      <c r="N177" s="137">
        <f t="shared" si="17"/>
        <v>33</v>
      </c>
      <c r="O177" s="128">
        <f t="shared" si="18"/>
        <v>319</v>
      </c>
      <c r="P177" s="8">
        <v>224816</v>
      </c>
      <c r="Q177" s="8">
        <v>225490</v>
      </c>
      <c r="R177" s="128">
        <f t="shared" si="20"/>
        <v>674</v>
      </c>
      <c r="AQ177" s="8"/>
      <c r="AR177" s="8"/>
      <c r="AS177" s="8"/>
    </row>
    <row r="178" spans="1:45">
      <c r="A178" s="12">
        <v>44553</v>
      </c>
      <c r="B178" s="8">
        <v>420742</v>
      </c>
      <c r="C178" s="8">
        <v>420941</v>
      </c>
      <c r="D178" s="128">
        <f t="shared" si="21"/>
        <v>199</v>
      </c>
      <c r="E178" s="8">
        <v>156110</v>
      </c>
      <c r="F178" s="8">
        <v>156379</v>
      </c>
      <c r="G178" s="137">
        <f t="shared" si="16"/>
        <v>269</v>
      </c>
      <c r="H178" s="128">
        <f t="shared" si="19"/>
        <v>468</v>
      </c>
      <c r="I178" s="8">
        <v>626512</v>
      </c>
      <c r="J178" s="8">
        <v>626689</v>
      </c>
      <c r="K178" s="137">
        <f t="shared" si="22"/>
        <v>177</v>
      </c>
      <c r="L178" s="8">
        <v>234132</v>
      </c>
      <c r="M178" s="8">
        <v>234140</v>
      </c>
      <c r="N178" s="137">
        <f t="shared" si="17"/>
        <v>8</v>
      </c>
      <c r="O178" s="128">
        <f t="shared" si="18"/>
        <v>185</v>
      </c>
      <c r="P178" s="8">
        <v>225490</v>
      </c>
      <c r="Q178" s="8">
        <v>225490</v>
      </c>
      <c r="R178" s="128">
        <f t="shared" si="20"/>
        <v>0</v>
      </c>
      <c r="AQ178" s="8"/>
      <c r="AR178" s="8"/>
      <c r="AS178" s="8"/>
    </row>
    <row r="179" spans="1:45">
      <c r="A179" s="12">
        <v>44554</v>
      </c>
      <c r="B179" s="8">
        <v>420941</v>
      </c>
      <c r="C179" s="8">
        <v>421189</v>
      </c>
      <c r="D179" s="128">
        <f t="shared" si="21"/>
        <v>248</v>
      </c>
      <c r="E179" s="8">
        <v>156379</v>
      </c>
      <c r="F179" s="8">
        <v>156831</v>
      </c>
      <c r="G179" s="137">
        <f>F179-E179</f>
        <v>452</v>
      </c>
      <c r="H179" s="128">
        <f t="shared" si="19"/>
        <v>700</v>
      </c>
      <c r="I179" s="8">
        <v>626689</v>
      </c>
      <c r="J179" s="8">
        <v>627011</v>
      </c>
      <c r="K179" s="137">
        <f t="shared" si="22"/>
        <v>322</v>
      </c>
      <c r="L179" s="8">
        <v>234140</v>
      </c>
      <c r="M179" s="8">
        <v>234201</v>
      </c>
      <c r="N179" s="137">
        <f t="shared" si="17"/>
        <v>61</v>
      </c>
      <c r="O179" s="128">
        <f t="shared" si="18"/>
        <v>383</v>
      </c>
      <c r="P179" s="8">
        <v>225490</v>
      </c>
      <c r="Q179" s="8">
        <v>225490</v>
      </c>
      <c r="R179" s="128">
        <f t="shared" si="20"/>
        <v>0</v>
      </c>
      <c r="AQ179" s="8"/>
      <c r="AR179" s="8"/>
      <c r="AS179" s="8"/>
    </row>
    <row r="180" spans="1:45">
      <c r="A180" s="12">
        <v>44555</v>
      </c>
      <c r="B180" s="8">
        <v>421189</v>
      </c>
      <c r="C180" s="8">
        <v>421305</v>
      </c>
      <c r="D180" s="128">
        <f t="shared" si="21"/>
        <v>116</v>
      </c>
      <c r="E180" s="8">
        <v>156831</v>
      </c>
      <c r="F180" s="8">
        <v>156969</v>
      </c>
      <c r="G180" s="137">
        <f t="shared" si="16"/>
        <v>138</v>
      </c>
      <c r="H180" s="128">
        <f t="shared" si="19"/>
        <v>254</v>
      </c>
      <c r="I180" s="8">
        <v>627011</v>
      </c>
      <c r="J180" s="8">
        <v>627275</v>
      </c>
      <c r="K180" s="137">
        <f t="shared" si="22"/>
        <v>264</v>
      </c>
      <c r="L180" s="8">
        <v>234201</v>
      </c>
      <c r="M180" s="8">
        <v>234238</v>
      </c>
      <c r="N180" s="137">
        <f t="shared" si="17"/>
        <v>37</v>
      </c>
      <c r="O180" s="128">
        <f t="shared" si="18"/>
        <v>301</v>
      </c>
      <c r="P180" s="8">
        <v>225490</v>
      </c>
      <c r="Q180" s="8">
        <v>225490</v>
      </c>
      <c r="R180" s="128">
        <f t="shared" si="20"/>
        <v>0</v>
      </c>
      <c r="AQ180" s="8"/>
      <c r="AR180" s="8"/>
      <c r="AS180" s="8"/>
    </row>
    <row r="181" spans="1:45">
      <c r="A181" s="12">
        <v>44556</v>
      </c>
      <c r="B181" s="8">
        <v>421305</v>
      </c>
      <c r="C181" s="8">
        <v>421598</v>
      </c>
      <c r="D181" s="128">
        <f t="shared" si="21"/>
        <v>293</v>
      </c>
      <c r="E181" s="8">
        <v>156969</v>
      </c>
      <c r="F181" s="8">
        <v>157223</v>
      </c>
      <c r="G181" s="137">
        <f t="shared" si="16"/>
        <v>254</v>
      </c>
      <c r="H181" s="128">
        <f t="shared" si="19"/>
        <v>547</v>
      </c>
      <c r="I181" s="8">
        <v>627275</v>
      </c>
      <c r="J181" s="8">
        <v>627533</v>
      </c>
      <c r="K181" s="137">
        <f t="shared" si="22"/>
        <v>258</v>
      </c>
      <c r="L181" s="8">
        <v>234238</v>
      </c>
      <c r="M181" s="8">
        <v>234320</v>
      </c>
      <c r="N181" s="137">
        <f t="shared" si="17"/>
        <v>82</v>
      </c>
      <c r="O181" s="128">
        <f t="shared" si="18"/>
        <v>340</v>
      </c>
      <c r="P181" s="8">
        <v>225490</v>
      </c>
      <c r="Q181" s="8">
        <v>225490</v>
      </c>
      <c r="R181" s="128">
        <f t="shared" si="20"/>
        <v>0</v>
      </c>
      <c r="AQ181" s="8"/>
      <c r="AR181" s="8"/>
      <c r="AS181" s="8"/>
    </row>
    <row r="182" spans="1:45">
      <c r="A182" s="12">
        <v>44557</v>
      </c>
      <c r="B182" s="8">
        <v>421598</v>
      </c>
      <c r="C182" s="8">
        <v>421812</v>
      </c>
      <c r="D182" s="128">
        <f t="shared" si="21"/>
        <v>214</v>
      </c>
      <c r="E182" s="8">
        <v>157223</v>
      </c>
      <c r="F182" s="8">
        <v>157528</v>
      </c>
      <c r="G182" s="137">
        <f t="shared" si="16"/>
        <v>305</v>
      </c>
      <c r="H182" s="128">
        <f t="shared" si="19"/>
        <v>519</v>
      </c>
      <c r="I182" s="8">
        <v>627533</v>
      </c>
      <c r="J182" s="8">
        <v>627803</v>
      </c>
      <c r="K182" s="137">
        <f t="shared" si="22"/>
        <v>270</v>
      </c>
      <c r="L182" s="8">
        <v>234320</v>
      </c>
      <c r="M182" s="8">
        <v>234447</v>
      </c>
      <c r="N182" s="137">
        <f t="shared" si="17"/>
        <v>127</v>
      </c>
      <c r="O182" s="128">
        <f t="shared" si="18"/>
        <v>397</v>
      </c>
      <c r="P182" s="8">
        <v>225490</v>
      </c>
      <c r="Q182" s="8">
        <v>225490</v>
      </c>
      <c r="R182" s="128">
        <f t="shared" si="20"/>
        <v>0</v>
      </c>
      <c r="AQ182" s="8"/>
      <c r="AR182" s="8"/>
      <c r="AS182" s="8"/>
    </row>
    <row r="183" spans="1:45">
      <c r="A183" s="12">
        <v>44558</v>
      </c>
      <c r="B183" s="8">
        <v>421812</v>
      </c>
      <c r="C183" s="8">
        <v>422049</v>
      </c>
      <c r="D183" s="128">
        <f t="shared" si="21"/>
        <v>237</v>
      </c>
      <c r="E183" s="8">
        <v>157528</v>
      </c>
      <c r="F183" s="8">
        <v>157802</v>
      </c>
      <c r="G183" s="137">
        <f t="shared" si="16"/>
        <v>274</v>
      </c>
      <c r="H183" s="128">
        <f t="shared" si="19"/>
        <v>511</v>
      </c>
      <c r="I183" s="8">
        <v>627803</v>
      </c>
      <c r="J183" s="8">
        <v>628069</v>
      </c>
      <c r="K183" s="137">
        <f t="shared" si="22"/>
        <v>266</v>
      </c>
      <c r="L183" s="8">
        <v>234447</v>
      </c>
      <c r="M183" s="8">
        <v>234498</v>
      </c>
      <c r="N183" s="137">
        <f t="shared" si="17"/>
        <v>51</v>
      </c>
      <c r="O183" s="128">
        <f t="shared" si="18"/>
        <v>317</v>
      </c>
      <c r="P183" s="8">
        <v>225490</v>
      </c>
      <c r="Q183" s="8">
        <v>226243</v>
      </c>
      <c r="R183" s="128">
        <f t="shared" si="20"/>
        <v>753</v>
      </c>
      <c r="AQ183" s="8"/>
      <c r="AR183" s="8"/>
      <c r="AS183" s="8"/>
    </row>
    <row r="184" spans="1:45">
      <c r="A184" s="12">
        <v>44559</v>
      </c>
      <c r="B184" s="8">
        <v>422049</v>
      </c>
      <c r="C184" s="8">
        <v>422260</v>
      </c>
      <c r="D184" s="128">
        <f t="shared" si="21"/>
        <v>211</v>
      </c>
      <c r="E184" s="8">
        <v>157802</v>
      </c>
      <c r="F184" s="8">
        <v>158065</v>
      </c>
      <c r="G184" s="137">
        <f t="shared" si="16"/>
        <v>263</v>
      </c>
      <c r="H184" s="128">
        <f t="shared" si="19"/>
        <v>474</v>
      </c>
      <c r="I184" s="8">
        <v>628069</v>
      </c>
      <c r="J184" s="8">
        <v>628368</v>
      </c>
      <c r="K184" s="137">
        <f t="shared" si="22"/>
        <v>299</v>
      </c>
      <c r="L184" s="8">
        <v>234498</v>
      </c>
      <c r="M184" s="8">
        <v>234570</v>
      </c>
      <c r="N184" s="137">
        <f t="shared" si="17"/>
        <v>72</v>
      </c>
      <c r="O184" s="128">
        <f t="shared" si="18"/>
        <v>371</v>
      </c>
      <c r="P184" s="8">
        <v>226243</v>
      </c>
      <c r="Q184" s="8">
        <v>226969</v>
      </c>
      <c r="R184" s="128">
        <f t="shared" si="20"/>
        <v>726</v>
      </c>
      <c r="AQ184" s="8"/>
      <c r="AR184" s="8"/>
      <c r="AS184" s="8"/>
    </row>
    <row r="185" spans="1:45">
      <c r="A185" s="12">
        <v>44560</v>
      </c>
      <c r="B185" s="8">
        <v>422260</v>
      </c>
      <c r="C185" s="8">
        <v>422474</v>
      </c>
      <c r="D185" s="128">
        <f t="shared" si="21"/>
        <v>214</v>
      </c>
      <c r="E185" s="8">
        <v>158065</v>
      </c>
      <c r="F185" s="8">
        <v>158303</v>
      </c>
      <c r="G185" s="137">
        <f t="shared" si="16"/>
        <v>238</v>
      </c>
      <c r="H185" s="128">
        <f t="shared" si="19"/>
        <v>452</v>
      </c>
      <c r="I185" s="8">
        <v>628368</v>
      </c>
      <c r="J185" s="8">
        <v>628636</v>
      </c>
      <c r="K185" s="137">
        <f t="shared" si="22"/>
        <v>268</v>
      </c>
      <c r="L185" s="8">
        <v>234570</v>
      </c>
      <c r="M185" s="8">
        <v>234653</v>
      </c>
      <c r="N185" s="137">
        <f t="shared" si="17"/>
        <v>83</v>
      </c>
      <c r="O185" s="128">
        <f t="shared" si="18"/>
        <v>351</v>
      </c>
      <c r="P185" s="8">
        <v>226969</v>
      </c>
      <c r="Q185" s="8">
        <v>227250</v>
      </c>
      <c r="R185" s="128">
        <f t="shared" si="20"/>
        <v>281</v>
      </c>
      <c r="AQ185" s="8"/>
      <c r="AR185" s="8"/>
      <c r="AS185" s="8"/>
    </row>
    <row r="186" spans="1:45">
      <c r="A186" s="12">
        <v>44926</v>
      </c>
      <c r="B186" s="8">
        <v>422474</v>
      </c>
      <c r="C186" s="8">
        <v>422702</v>
      </c>
      <c r="D186" s="128">
        <f t="shared" si="21"/>
        <v>228</v>
      </c>
      <c r="E186" s="8">
        <v>158303</v>
      </c>
      <c r="F186" s="8">
        <v>158610</v>
      </c>
      <c r="G186" s="137">
        <f t="shared" si="16"/>
        <v>307</v>
      </c>
      <c r="H186" s="128">
        <f t="shared" si="19"/>
        <v>535</v>
      </c>
      <c r="I186" s="8">
        <v>628636</v>
      </c>
      <c r="J186" s="8">
        <v>628947</v>
      </c>
      <c r="K186" s="137">
        <f t="shared" si="22"/>
        <v>311</v>
      </c>
      <c r="L186" s="8">
        <v>234653</v>
      </c>
      <c r="M186" s="8">
        <v>234702</v>
      </c>
      <c r="N186" s="137">
        <f t="shared" si="17"/>
        <v>49</v>
      </c>
      <c r="O186" s="128">
        <f t="shared" si="18"/>
        <v>360</v>
      </c>
      <c r="P186" s="8">
        <v>227250</v>
      </c>
      <c r="Q186" s="8">
        <v>227563</v>
      </c>
      <c r="R186" s="128">
        <f t="shared" si="20"/>
        <v>313</v>
      </c>
      <c r="AQ186" s="8"/>
      <c r="AR186" s="8"/>
      <c r="AS186" s="8"/>
    </row>
    <row r="187" spans="1:45">
      <c r="A187" s="12">
        <v>44562</v>
      </c>
      <c r="B187" s="8">
        <v>422702</v>
      </c>
      <c r="C187" s="8">
        <v>422892</v>
      </c>
      <c r="D187" s="128">
        <f t="shared" si="21"/>
        <v>190</v>
      </c>
      <c r="E187" s="8">
        <v>158610</v>
      </c>
      <c r="F187" s="8">
        <v>158845</v>
      </c>
      <c r="G187" s="137">
        <f t="shared" si="16"/>
        <v>235</v>
      </c>
      <c r="H187" s="128">
        <f t="shared" si="19"/>
        <v>425</v>
      </c>
      <c r="I187" s="8">
        <v>628947</v>
      </c>
      <c r="J187" s="8">
        <v>629253</v>
      </c>
      <c r="K187" s="137">
        <f t="shared" si="22"/>
        <v>306</v>
      </c>
      <c r="L187" s="8">
        <v>234702</v>
      </c>
      <c r="M187" s="8">
        <v>234762</v>
      </c>
      <c r="N187" s="137">
        <f t="shared" si="17"/>
        <v>60</v>
      </c>
      <c r="O187" s="128">
        <f t="shared" si="18"/>
        <v>366</v>
      </c>
      <c r="P187" s="8">
        <v>227563</v>
      </c>
      <c r="Q187" s="8">
        <v>227563</v>
      </c>
      <c r="R187" s="128">
        <f t="shared" si="20"/>
        <v>0</v>
      </c>
      <c r="AQ187" s="8"/>
      <c r="AR187" s="8"/>
      <c r="AS187" s="8"/>
    </row>
    <row r="188" spans="1:45">
      <c r="A188" s="12">
        <v>44563</v>
      </c>
      <c r="B188" s="8">
        <v>422892</v>
      </c>
      <c r="C188" s="8">
        <v>423119</v>
      </c>
      <c r="D188" s="128">
        <f t="shared" si="21"/>
        <v>227</v>
      </c>
      <c r="E188" s="8">
        <v>158845</v>
      </c>
      <c r="F188" s="8">
        <v>159193</v>
      </c>
      <c r="G188" s="137">
        <f t="shared" si="16"/>
        <v>348</v>
      </c>
      <c r="H188" s="128">
        <f t="shared" si="19"/>
        <v>575</v>
      </c>
      <c r="I188" s="8">
        <v>629253</v>
      </c>
      <c r="J188" s="8">
        <v>629528</v>
      </c>
      <c r="K188" s="137">
        <f t="shared" si="22"/>
        <v>275</v>
      </c>
      <c r="L188" s="8">
        <v>234762</v>
      </c>
      <c r="M188" s="8">
        <v>234818</v>
      </c>
      <c r="N188" s="137">
        <f t="shared" si="17"/>
        <v>56</v>
      </c>
      <c r="O188" s="128">
        <f t="shared" si="18"/>
        <v>331</v>
      </c>
      <c r="P188" s="8">
        <v>227563</v>
      </c>
      <c r="Q188" s="8">
        <v>227563</v>
      </c>
      <c r="R188" s="128">
        <f t="shared" si="20"/>
        <v>0</v>
      </c>
      <c r="AQ188" s="8"/>
      <c r="AR188" s="8"/>
      <c r="AS188" s="8"/>
    </row>
    <row r="189" spans="1:45">
      <c r="A189" s="12">
        <v>44564</v>
      </c>
      <c r="B189" s="8">
        <v>423119</v>
      </c>
      <c r="C189" s="8">
        <v>423374</v>
      </c>
      <c r="D189" s="128">
        <f t="shared" si="21"/>
        <v>255</v>
      </c>
      <c r="E189" s="8">
        <v>159193</v>
      </c>
      <c r="F189" s="8">
        <v>159528</v>
      </c>
      <c r="G189" s="137">
        <f t="shared" si="16"/>
        <v>335</v>
      </c>
      <c r="H189" s="128">
        <f t="shared" si="19"/>
        <v>590</v>
      </c>
      <c r="I189" s="8">
        <v>629528</v>
      </c>
      <c r="J189" s="8">
        <v>629803</v>
      </c>
      <c r="K189" s="137">
        <f t="shared" si="22"/>
        <v>275</v>
      </c>
      <c r="L189" s="8">
        <v>234818</v>
      </c>
      <c r="M189" s="8">
        <v>234901</v>
      </c>
      <c r="N189" s="137">
        <f t="shared" si="17"/>
        <v>83</v>
      </c>
      <c r="O189" s="128">
        <f t="shared" si="18"/>
        <v>358</v>
      </c>
      <c r="P189" s="8">
        <v>227563</v>
      </c>
      <c r="Q189" s="8">
        <v>227770</v>
      </c>
      <c r="R189" s="128">
        <f t="shared" si="20"/>
        <v>207</v>
      </c>
      <c r="AQ189" s="8"/>
      <c r="AR189" s="8"/>
      <c r="AS189" s="8"/>
    </row>
    <row r="190" spans="1:45">
      <c r="A190" s="12">
        <v>44565</v>
      </c>
      <c r="B190" s="8">
        <v>423374</v>
      </c>
      <c r="C190" s="8">
        <v>423600</v>
      </c>
      <c r="D190" s="128">
        <f t="shared" si="21"/>
        <v>226</v>
      </c>
      <c r="E190" s="8">
        <v>159528</v>
      </c>
      <c r="F190" s="8">
        <v>159821</v>
      </c>
      <c r="G190" s="137">
        <f t="shared" si="16"/>
        <v>293</v>
      </c>
      <c r="H190" s="128">
        <f t="shared" si="19"/>
        <v>519</v>
      </c>
      <c r="I190" s="8">
        <v>629803</v>
      </c>
      <c r="J190" s="8">
        <v>630081</v>
      </c>
      <c r="K190" s="137">
        <f t="shared" si="22"/>
        <v>278</v>
      </c>
      <c r="L190" s="8">
        <v>234901</v>
      </c>
      <c r="M190" s="8">
        <v>234932</v>
      </c>
      <c r="N190" s="137">
        <f t="shared" si="17"/>
        <v>31</v>
      </c>
      <c r="O190" s="128">
        <f t="shared" si="18"/>
        <v>309</v>
      </c>
      <c r="P190" s="8">
        <v>227770</v>
      </c>
      <c r="Q190" s="8">
        <v>227808</v>
      </c>
      <c r="R190" s="128">
        <f t="shared" si="20"/>
        <v>38</v>
      </c>
      <c r="AQ190" s="8"/>
      <c r="AR190" s="8"/>
      <c r="AS190" s="8"/>
    </row>
    <row r="191" spans="1:45">
      <c r="A191" s="12">
        <v>44566</v>
      </c>
      <c r="B191" s="8">
        <v>423600</v>
      </c>
      <c r="C191" s="8">
        <v>423826</v>
      </c>
      <c r="D191" s="128">
        <f t="shared" si="21"/>
        <v>226</v>
      </c>
      <c r="E191" s="8">
        <v>159821</v>
      </c>
      <c r="F191" s="8">
        <v>160079</v>
      </c>
      <c r="G191" s="137">
        <f t="shared" si="16"/>
        <v>258</v>
      </c>
      <c r="H191" s="128">
        <f t="shared" si="19"/>
        <v>484</v>
      </c>
      <c r="I191" s="8">
        <v>630081</v>
      </c>
      <c r="J191" s="8">
        <v>630341</v>
      </c>
      <c r="K191" s="137">
        <f t="shared" si="22"/>
        <v>260</v>
      </c>
      <c r="L191" s="8">
        <v>234932</v>
      </c>
      <c r="M191" s="8">
        <v>234974</v>
      </c>
      <c r="N191" s="137">
        <f t="shared" si="17"/>
        <v>42</v>
      </c>
      <c r="O191" s="128">
        <f t="shared" si="18"/>
        <v>302</v>
      </c>
      <c r="P191" s="8">
        <v>227808</v>
      </c>
      <c r="Q191" s="8">
        <v>228149</v>
      </c>
      <c r="R191" s="128">
        <f t="shared" si="20"/>
        <v>341</v>
      </c>
      <c r="AQ191" s="8"/>
      <c r="AR191" s="8"/>
      <c r="AS191" s="8"/>
    </row>
    <row r="192" spans="1:45">
      <c r="A192" s="12">
        <v>44567</v>
      </c>
      <c r="B192" s="8">
        <v>423826</v>
      </c>
      <c r="C192" s="8">
        <v>424016</v>
      </c>
      <c r="D192" s="128">
        <f t="shared" si="21"/>
        <v>190</v>
      </c>
      <c r="E192" s="8">
        <v>160079</v>
      </c>
      <c r="F192" s="8">
        <v>160487</v>
      </c>
      <c r="G192" s="137">
        <f t="shared" si="16"/>
        <v>408</v>
      </c>
      <c r="H192" s="128">
        <f t="shared" si="19"/>
        <v>598</v>
      </c>
      <c r="I192" s="8">
        <v>630341</v>
      </c>
      <c r="J192" s="8">
        <v>630549</v>
      </c>
      <c r="K192" s="137">
        <f t="shared" si="22"/>
        <v>208</v>
      </c>
      <c r="L192" s="8">
        <v>234974</v>
      </c>
      <c r="M192" s="8">
        <v>235023</v>
      </c>
      <c r="N192" s="137">
        <f t="shared" si="17"/>
        <v>49</v>
      </c>
      <c r="O192" s="128">
        <f t="shared" si="18"/>
        <v>257</v>
      </c>
      <c r="P192" s="8">
        <v>228149</v>
      </c>
      <c r="Q192" s="8">
        <v>228302</v>
      </c>
      <c r="R192" s="128">
        <f t="shared" si="20"/>
        <v>153</v>
      </c>
      <c r="AQ192" s="8"/>
      <c r="AR192" s="8"/>
      <c r="AS192" s="8"/>
    </row>
    <row r="193" spans="1:45">
      <c r="A193" s="12">
        <v>44568</v>
      </c>
      <c r="B193" s="8">
        <v>424016</v>
      </c>
      <c r="C193" s="8">
        <v>424220</v>
      </c>
      <c r="D193" s="128">
        <f t="shared" si="21"/>
        <v>204</v>
      </c>
      <c r="E193" s="8">
        <v>160487</v>
      </c>
      <c r="F193" s="8">
        <v>160835</v>
      </c>
      <c r="G193" s="137">
        <f t="shared" si="16"/>
        <v>348</v>
      </c>
      <c r="H193" s="128">
        <f t="shared" si="19"/>
        <v>552</v>
      </c>
      <c r="I193" s="8">
        <v>630549</v>
      </c>
      <c r="J193" s="8">
        <v>630848</v>
      </c>
      <c r="K193" s="137">
        <f t="shared" si="22"/>
        <v>299</v>
      </c>
      <c r="L193" s="8">
        <v>235023</v>
      </c>
      <c r="M193" s="8">
        <v>235085</v>
      </c>
      <c r="N193" s="137">
        <f t="shared" si="17"/>
        <v>62</v>
      </c>
      <c r="O193" s="128">
        <f t="shared" si="18"/>
        <v>361</v>
      </c>
      <c r="P193" s="8">
        <v>228302</v>
      </c>
      <c r="Q193" s="8">
        <v>228704</v>
      </c>
      <c r="R193" s="128">
        <f t="shared" si="20"/>
        <v>402</v>
      </c>
      <c r="AQ193" s="8"/>
      <c r="AR193" s="8"/>
      <c r="AS193" s="8"/>
    </row>
    <row r="194" spans="1:45">
      <c r="A194" s="12">
        <v>44569</v>
      </c>
      <c r="B194" s="8">
        <v>424220</v>
      </c>
      <c r="C194" s="8">
        <v>424675</v>
      </c>
      <c r="D194" s="128">
        <f t="shared" si="21"/>
        <v>455</v>
      </c>
      <c r="E194" s="8">
        <v>160835</v>
      </c>
      <c r="F194" s="8">
        <v>161195</v>
      </c>
      <c r="G194" s="137">
        <f t="shared" si="16"/>
        <v>360</v>
      </c>
      <c r="H194" s="128">
        <f t="shared" si="19"/>
        <v>815</v>
      </c>
      <c r="I194" s="8">
        <v>630848</v>
      </c>
      <c r="J194" s="8">
        <v>631146</v>
      </c>
      <c r="K194" s="137">
        <f t="shared" si="22"/>
        <v>298</v>
      </c>
      <c r="L194" s="8">
        <v>235085</v>
      </c>
      <c r="M194" s="8">
        <v>235138</v>
      </c>
      <c r="N194" s="137">
        <f t="shared" si="17"/>
        <v>53</v>
      </c>
      <c r="O194" s="128">
        <f t="shared" si="18"/>
        <v>351</v>
      </c>
      <c r="P194" s="8">
        <v>228704</v>
      </c>
      <c r="Q194" s="8">
        <v>228997</v>
      </c>
      <c r="R194" s="128">
        <f t="shared" si="20"/>
        <v>293</v>
      </c>
      <c r="AQ194" s="8"/>
      <c r="AR194" s="8"/>
      <c r="AS194" s="8"/>
    </row>
    <row r="195" spans="1:45">
      <c r="A195" s="12">
        <v>44570</v>
      </c>
      <c r="B195" s="8">
        <v>424675</v>
      </c>
      <c r="C195" s="8">
        <v>424883</v>
      </c>
      <c r="D195" s="128">
        <f t="shared" si="21"/>
        <v>208</v>
      </c>
      <c r="E195" s="8">
        <v>161195</v>
      </c>
      <c r="F195" s="8">
        <v>161460</v>
      </c>
      <c r="G195" s="137">
        <f t="shared" ref="G195:G258" si="23">F195-E195</f>
        <v>265</v>
      </c>
      <c r="H195" s="128">
        <f t="shared" si="19"/>
        <v>473</v>
      </c>
      <c r="I195" s="8">
        <v>631146</v>
      </c>
      <c r="J195" s="8">
        <v>631432</v>
      </c>
      <c r="K195" s="137">
        <f t="shared" si="22"/>
        <v>286</v>
      </c>
      <c r="L195" s="8">
        <v>235138</v>
      </c>
      <c r="M195" s="8">
        <v>235192</v>
      </c>
      <c r="N195" s="137">
        <f t="shared" si="17"/>
        <v>54</v>
      </c>
      <c r="O195" s="128">
        <f t="shared" si="18"/>
        <v>340</v>
      </c>
      <c r="P195" s="8">
        <v>228997</v>
      </c>
      <c r="Q195" s="8">
        <v>228997</v>
      </c>
      <c r="R195" s="128">
        <f t="shared" si="20"/>
        <v>0</v>
      </c>
      <c r="AQ195" s="8"/>
      <c r="AR195" s="8"/>
      <c r="AS195" s="8"/>
    </row>
    <row r="196" spans="1:45">
      <c r="A196" s="12">
        <v>44571</v>
      </c>
      <c r="B196" s="8">
        <v>424883</v>
      </c>
      <c r="C196" s="8">
        <v>425120</v>
      </c>
      <c r="D196" s="128">
        <f t="shared" si="21"/>
        <v>237</v>
      </c>
      <c r="E196" s="8">
        <v>161460</v>
      </c>
      <c r="F196" s="8">
        <v>161710</v>
      </c>
      <c r="G196" s="137">
        <f t="shared" si="23"/>
        <v>250</v>
      </c>
      <c r="H196" s="128">
        <f t="shared" ref="H196:H259" si="24">D196+G196</f>
        <v>487</v>
      </c>
      <c r="I196" s="8">
        <v>631432</v>
      </c>
      <c r="J196" s="8">
        <v>631677</v>
      </c>
      <c r="K196" s="137">
        <f t="shared" si="22"/>
        <v>245</v>
      </c>
      <c r="L196" s="8">
        <v>235192</v>
      </c>
      <c r="M196" s="8">
        <v>235215</v>
      </c>
      <c r="N196" s="137">
        <f t="shared" ref="N196:N259" si="25">M196-L196</f>
        <v>23</v>
      </c>
      <c r="O196" s="128">
        <f t="shared" ref="O196:O259" si="26">N196+K196</f>
        <v>268</v>
      </c>
      <c r="P196" s="8">
        <v>228997</v>
      </c>
      <c r="Q196" s="8">
        <v>228997</v>
      </c>
      <c r="R196" s="128">
        <f t="shared" si="20"/>
        <v>0</v>
      </c>
      <c r="AQ196" s="8"/>
      <c r="AR196" s="8"/>
      <c r="AS196" s="8"/>
    </row>
    <row r="197" spans="1:45">
      <c r="A197" s="12">
        <v>44572</v>
      </c>
      <c r="B197" s="8">
        <v>425120</v>
      </c>
      <c r="C197" s="8">
        <v>425334</v>
      </c>
      <c r="D197" s="128">
        <f t="shared" si="21"/>
        <v>214</v>
      </c>
      <c r="E197" s="8">
        <v>161710</v>
      </c>
      <c r="F197" s="8">
        <v>161945</v>
      </c>
      <c r="G197" s="137">
        <f t="shared" si="23"/>
        <v>235</v>
      </c>
      <c r="H197" s="128">
        <f t="shared" si="24"/>
        <v>449</v>
      </c>
      <c r="I197" s="8">
        <v>631677</v>
      </c>
      <c r="J197" s="8">
        <v>631933</v>
      </c>
      <c r="K197" s="137">
        <f t="shared" si="22"/>
        <v>256</v>
      </c>
      <c r="L197" s="8">
        <v>235215</v>
      </c>
      <c r="M197" s="8">
        <v>235258</v>
      </c>
      <c r="N197" s="137">
        <f t="shared" si="25"/>
        <v>43</v>
      </c>
      <c r="O197" s="128">
        <f t="shared" si="26"/>
        <v>299</v>
      </c>
      <c r="P197" s="8">
        <v>228997</v>
      </c>
      <c r="Q197" s="8">
        <v>229318</v>
      </c>
      <c r="R197" s="128">
        <f t="shared" si="20"/>
        <v>321</v>
      </c>
      <c r="AQ197" s="8"/>
      <c r="AR197" s="8"/>
      <c r="AS197" s="8"/>
    </row>
    <row r="198" spans="1:45">
      <c r="A198" s="12">
        <v>44573</v>
      </c>
      <c r="B198" s="8">
        <v>425334</v>
      </c>
      <c r="C198" s="8">
        <v>425656</v>
      </c>
      <c r="D198" s="128">
        <f t="shared" si="21"/>
        <v>322</v>
      </c>
      <c r="E198" s="8">
        <v>161945</v>
      </c>
      <c r="F198" s="8">
        <v>162286</v>
      </c>
      <c r="G198" s="137">
        <f t="shared" si="23"/>
        <v>341</v>
      </c>
      <c r="H198" s="128">
        <f t="shared" si="24"/>
        <v>663</v>
      </c>
      <c r="I198" s="8">
        <v>631933</v>
      </c>
      <c r="J198" s="8">
        <v>632212</v>
      </c>
      <c r="K198" s="137">
        <f t="shared" si="22"/>
        <v>279</v>
      </c>
      <c r="L198" s="8">
        <v>235258</v>
      </c>
      <c r="M198" s="8">
        <v>235331</v>
      </c>
      <c r="N198" s="137">
        <f t="shared" si="25"/>
        <v>73</v>
      </c>
      <c r="O198" s="128">
        <f t="shared" si="26"/>
        <v>352</v>
      </c>
      <c r="P198" s="8">
        <v>229318</v>
      </c>
      <c r="Q198" s="8">
        <v>229318</v>
      </c>
      <c r="R198" s="128">
        <f t="shared" si="20"/>
        <v>0</v>
      </c>
      <c r="AQ198" s="8"/>
      <c r="AR198" s="8"/>
      <c r="AS198" s="8"/>
    </row>
    <row r="199" spans="1:45">
      <c r="A199" s="12">
        <v>44574</v>
      </c>
      <c r="B199" s="8">
        <v>425656</v>
      </c>
      <c r="C199" s="8">
        <v>425897</v>
      </c>
      <c r="D199" s="128">
        <f t="shared" si="21"/>
        <v>241</v>
      </c>
      <c r="E199" s="8">
        <v>162286</v>
      </c>
      <c r="F199" s="8">
        <v>162566</v>
      </c>
      <c r="G199" s="137">
        <f t="shared" si="23"/>
        <v>280</v>
      </c>
      <c r="H199" s="128">
        <f t="shared" si="24"/>
        <v>521</v>
      </c>
      <c r="I199" s="8">
        <v>632212</v>
      </c>
      <c r="J199" s="8">
        <v>632455</v>
      </c>
      <c r="K199" s="137">
        <f t="shared" si="22"/>
        <v>243</v>
      </c>
      <c r="L199" s="8">
        <v>235331</v>
      </c>
      <c r="M199" s="8">
        <v>235387</v>
      </c>
      <c r="N199" s="137">
        <f t="shared" si="25"/>
        <v>56</v>
      </c>
      <c r="O199" s="128">
        <f t="shared" si="26"/>
        <v>299</v>
      </c>
      <c r="P199" s="8">
        <v>229318</v>
      </c>
      <c r="Q199" s="8">
        <v>229318</v>
      </c>
      <c r="R199" s="128">
        <f t="shared" si="20"/>
        <v>0</v>
      </c>
      <c r="AQ199" s="8"/>
      <c r="AR199" s="8"/>
      <c r="AS199" s="8"/>
    </row>
    <row r="200" spans="1:45">
      <c r="A200" s="12">
        <v>44575</v>
      </c>
      <c r="B200" s="8">
        <v>425897</v>
      </c>
      <c r="C200" s="8">
        <v>426088</v>
      </c>
      <c r="D200" s="128">
        <f t="shared" si="21"/>
        <v>191</v>
      </c>
      <c r="E200" s="8">
        <v>162566</v>
      </c>
      <c r="F200" s="8">
        <v>162742</v>
      </c>
      <c r="G200" s="137">
        <f t="shared" si="23"/>
        <v>176</v>
      </c>
      <c r="H200" s="128">
        <f t="shared" si="24"/>
        <v>367</v>
      </c>
      <c r="I200" s="8">
        <v>632455</v>
      </c>
      <c r="J200" s="8">
        <v>632684</v>
      </c>
      <c r="K200" s="137">
        <f t="shared" si="22"/>
        <v>229</v>
      </c>
      <c r="L200" s="8">
        <v>235387</v>
      </c>
      <c r="M200" s="8">
        <v>235403</v>
      </c>
      <c r="N200" s="137">
        <f t="shared" si="25"/>
        <v>16</v>
      </c>
      <c r="O200" s="128">
        <f t="shared" si="26"/>
        <v>245</v>
      </c>
      <c r="P200" s="8">
        <v>229318</v>
      </c>
      <c r="Q200" s="8">
        <v>229318</v>
      </c>
      <c r="R200" s="128">
        <f t="shared" si="20"/>
        <v>0</v>
      </c>
      <c r="AQ200" s="8"/>
      <c r="AR200" s="8"/>
      <c r="AS200" s="8"/>
    </row>
    <row r="201" spans="1:45">
      <c r="A201" s="12">
        <v>44576</v>
      </c>
      <c r="B201" s="8">
        <v>426088</v>
      </c>
      <c r="C201" s="8">
        <v>426357</v>
      </c>
      <c r="D201" s="128">
        <f t="shared" si="21"/>
        <v>269</v>
      </c>
      <c r="E201" s="8">
        <v>162742</v>
      </c>
      <c r="F201" s="8">
        <v>163044</v>
      </c>
      <c r="G201" s="137">
        <f t="shared" si="23"/>
        <v>302</v>
      </c>
      <c r="H201" s="128">
        <f t="shared" si="24"/>
        <v>571</v>
      </c>
      <c r="I201" s="8">
        <v>632684</v>
      </c>
      <c r="J201" s="8">
        <v>632951</v>
      </c>
      <c r="K201" s="137">
        <f t="shared" si="22"/>
        <v>267</v>
      </c>
      <c r="L201" s="8">
        <v>235403</v>
      </c>
      <c r="M201" s="8">
        <v>235513</v>
      </c>
      <c r="N201" s="137">
        <f t="shared" si="25"/>
        <v>110</v>
      </c>
      <c r="O201" s="128">
        <f t="shared" si="26"/>
        <v>377</v>
      </c>
      <c r="P201" s="8">
        <v>229318</v>
      </c>
      <c r="Q201" s="8">
        <v>229318</v>
      </c>
      <c r="R201" s="128">
        <f t="shared" si="20"/>
        <v>0</v>
      </c>
      <c r="AQ201" s="8"/>
      <c r="AR201" s="8"/>
      <c r="AS201" s="8"/>
    </row>
    <row r="202" spans="1:45">
      <c r="A202" s="12">
        <v>44577</v>
      </c>
      <c r="B202" s="8">
        <v>426357</v>
      </c>
      <c r="C202" s="8">
        <v>426648</v>
      </c>
      <c r="D202" s="128">
        <f t="shared" si="21"/>
        <v>291</v>
      </c>
      <c r="E202" s="8">
        <v>163044</v>
      </c>
      <c r="F202" s="8">
        <v>163363</v>
      </c>
      <c r="G202" s="137">
        <f t="shared" si="23"/>
        <v>319</v>
      </c>
      <c r="H202" s="128">
        <f t="shared" si="24"/>
        <v>610</v>
      </c>
      <c r="I202" s="8">
        <v>632951</v>
      </c>
      <c r="J202" s="8">
        <v>633220</v>
      </c>
      <c r="K202" s="137">
        <f t="shared" si="22"/>
        <v>269</v>
      </c>
      <c r="L202" s="8">
        <v>235513</v>
      </c>
      <c r="M202" s="8">
        <v>235528</v>
      </c>
      <c r="N202" s="137">
        <f t="shared" si="25"/>
        <v>15</v>
      </c>
      <c r="O202" s="128">
        <f t="shared" si="26"/>
        <v>284</v>
      </c>
      <c r="P202" s="8">
        <v>229318</v>
      </c>
      <c r="Q202" s="8">
        <v>229980</v>
      </c>
      <c r="R202" s="128">
        <f t="shared" si="20"/>
        <v>662</v>
      </c>
      <c r="AQ202" s="8"/>
      <c r="AR202" s="8"/>
      <c r="AS202" s="8"/>
    </row>
    <row r="203" spans="1:45">
      <c r="A203" s="12">
        <v>44578</v>
      </c>
      <c r="B203" s="8">
        <v>426648</v>
      </c>
      <c r="C203" s="8">
        <v>426898</v>
      </c>
      <c r="D203" s="128">
        <f t="shared" si="21"/>
        <v>250</v>
      </c>
      <c r="E203" s="8">
        <v>163363</v>
      </c>
      <c r="F203" s="8">
        <v>163656</v>
      </c>
      <c r="G203" s="137">
        <f t="shared" si="23"/>
        <v>293</v>
      </c>
      <c r="H203" s="128">
        <f t="shared" si="24"/>
        <v>543</v>
      </c>
      <c r="I203" s="8">
        <v>633220</v>
      </c>
      <c r="J203" s="8">
        <v>633408</v>
      </c>
      <c r="K203" s="137">
        <f t="shared" si="22"/>
        <v>188</v>
      </c>
      <c r="L203" s="8">
        <v>235528</v>
      </c>
      <c r="M203" s="8">
        <v>235552</v>
      </c>
      <c r="N203" s="137">
        <f t="shared" si="25"/>
        <v>24</v>
      </c>
      <c r="O203" s="128">
        <f t="shared" si="26"/>
        <v>212</v>
      </c>
      <c r="P203" s="8">
        <v>229318</v>
      </c>
      <c r="Q203" s="8">
        <v>229980</v>
      </c>
      <c r="R203" s="128">
        <f t="shared" ref="R203:R266" si="27">Q203-P203</f>
        <v>662</v>
      </c>
      <c r="AQ203" s="8"/>
      <c r="AR203" s="8"/>
      <c r="AS203" s="8"/>
    </row>
    <row r="204" spans="1:45">
      <c r="A204" s="12">
        <v>44579</v>
      </c>
      <c r="B204" s="8">
        <v>426898</v>
      </c>
      <c r="C204" s="8">
        <v>426995</v>
      </c>
      <c r="D204" s="128">
        <f t="shared" si="21"/>
        <v>97</v>
      </c>
      <c r="E204" s="8">
        <v>163656</v>
      </c>
      <c r="F204" s="8">
        <v>163980</v>
      </c>
      <c r="G204" s="137">
        <f t="shared" si="23"/>
        <v>324</v>
      </c>
      <c r="H204" s="128">
        <f t="shared" si="24"/>
        <v>421</v>
      </c>
      <c r="I204" s="8">
        <v>633408</v>
      </c>
      <c r="J204" s="8">
        <v>633623</v>
      </c>
      <c r="K204" s="137">
        <f t="shared" si="22"/>
        <v>215</v>
      </c>
      <c r="L204" s="8">
        <v>235552</v>
      </c>
      <c r="M204" s="8">
        <v>235583</v>
      </c>
      <c r="N204" s="137">
        <f t="shared" si="25"/>
        <v>31</v>
      </c>
      <c r="O204" s="128">
        <f t="shared" si="26"/>
        <v>246</v>
      </c>
      <c r="P204" s="8">
        <v>229980</v>
      </c>
      <c r="Q204" s="8">
        <v>230499</v>
      </c>
      <c r="R204" s="128">
        <f t="shared" si="27"/>
        <v>519</v>
      </c>
      <c r="AQ204" s="8"/>
      <c r="AR204" s="8"/>
      <c r="AS204" s="8"/>
    </row>
    <row r="205" spans="1:45">
      <c r="A205" s="12">
        <v>44580</v>
      </c>
      <c r="B205" s="8">
        <v>426995</v>
      </c>
      <c r="C205" s="8">
        <v>427207</v>
      </c>
      <c r="D205" s="128">
        <f t="shared" si="21"/>
        <v>212</v>
      </c>
      <c r="E205" s="8">
        <v>163980</v>
      </c>
      <c r="F205" s="8">
        <v>164227</v>
      </c>
      <c r="G205" s="137">
        <f t="shared" si="23"/>
        <v>247</v>
      </c>
      <c r="H205" s="128">
        <f t="shared" si="24"/>
        <v>459</v>
      </c>
      <c r="I205" s="8">
        <v>633623</v>
      </c>
      <c r="J205" s="8">
        <v>633842</v>
      </c>
      <c r="K205" s="137">
        <f t="shared" si="22"/>
        <v>219</v>
      </c>
      <c r="L205" s="8">
        <v>235583</v>
      </c>
      <c r="M205" s="8">
        <v>235610</v>
      </c>
      <c r="N205" s="137">
        <f t="shared" si="25"/>
        <v>27</v>
      </c>
      <c r="O205" s="128">
        <f t="shared" si="26"/>
        <v>246</v>
      </c>
      <c r="P205" s="8">
        <v>230499</v>
      </c>
      <c r="Q205" s="8">
        <v>230499</v>
      </c>
      <c r="R205" s="128">
        <f t="shared" si="27"/>
        <v>0</v>
      </c>
      <c r="AQ205" s="8"/>
      <c r="AR205" s="8"/>
      <c r="AS205" s="8"/>
    </row>
    <row r="206" spans="1:45">
      <c r="A206" s="12">
        <v>44581</v>
      </c>
      <c r="B206" s="8">
        <v>427207</v>
      </c>
      <c r="C206" s="8">
        <v>427538</v>
      </c>
      <c r="D206" s="128">
        <f t="shared" si="21"/>
        <v>331</v>
      </c>
      <c r="E206" s="8">
        <v>164227</v>
      </c>
      <c r="F206" s="8">
        <v>164541</v>
      </c>
      <c r="G206" s="137">
        <f t="shared" si="23"/>
        <v>314</v>
      </c>
      <c r="H206" s="128">
        <f t="shared" si="24"/>
        <v>645</v>
      </c>
      <c r="I206" s="8">
        <v>633842</v>
      </c>
      <c r="J206" s="8">
        <v>634048</v>
      </c>
      <c r="K206" s="137">
        <f t="shared" si="22"/>
        <v>206</v>
      </c>
      <c r="L206" s="8">
        <v>235610</v>
      </c>
      <c r="M206" s="8">
        <v>235638</v>
      </c>
      <c r="N206" s="137">
        <f t="shared" si="25"/>
        <v>28</v>
      </c>
      <c r="O206" s="128">
        <f t="shared" si="26"/>
        <v>234</v>
      </c>
      <c r="P206" s="8">
        <v>230499</v>
      </c>
      <c r="Q206" s="8">
        <v>230499</v>
      </c>
      <c r="R206" s="128">
        <f t="shared" si="27"/>
        <v>0</v>
      </c>
      <c r="AQ206" s="8"/>
      <c r="AR206" s="8"/>
      <c r="AS206" s="8"/>
    </row>
    <row r="207" spans="1:45">
      <c r="A207" s="12">
        <v>44582</v>
      </c>
      <c r="B207" s="8">
        <v>427538</v>
      </c>
      <c r="C207" s="8">
        <v>427826</v>
      </c>
      <c r="D207" s="128">
        <f t="shared" si="21"/>
        <v>288</v>
      </c>
      <c r="E207" s="8">
        <v>164541</v>
      </c>
      <c r="F207" s="8">
        <v>164805</v>
      </c>
      <c r="G207" s="137">
        <f t="shared" si="23"/>
        <v>264</v>
      </c>
      <c r="H207" s="128">
        <f t="shared" si="24"/>
        <v>552</v>
      </c>
      <c r="I207" s="8">
        <v>634048</v>
      </c>
      <c r="J207" s="8">
        <v>634246</v>
      </c>
      <c r="K207" s="137">
        <f t="shared" si="22"/>
        <v>198</v>
      </c>
      <c r="L207" s="8">
        <v>235638</v>
      </c>
      <c r="M207" s="8">
        <v>235683</v>
      </c>
      <c r="N207" s="137">
        <f t="shared" si="25"/>
        <v>45</v>
      </c>
      <c r="O207" s="128">
        <f t="shared" si="26"/>
        <v>243</v>
      </c>
      <c r="P207" s="8">
        <v>230499</v>
      </c>
      <c r="Q207" s="8">
        <v>230499</v>
      </c>
      <c r="R207" s="128">
        <f t="shared" si="27"/>
        <v>0</v>
      </c>
      <c r="AQ207" s="8"/>
      <c r="AR207" s="8"/>
      <c r="AS207" s="8"/>
    </row>
    <row r="208" spans="1:45">
      <c r="A208" s="12">
        <v>44583</v>
      </c>
      <c r="B208" s="8">
        <v>427826</v>
      </c>
      <c r="C208" s="8">
        <v>428120</v>
      </c>
      <c r="D208" s="128">
        <f t="shared" si="21"/>
        <v>294</v>
      </c>
      <c r="E208" s="8">
        <v>164805</v>
      </c>
      <c r="F208" s="8">
        <v>165162</v>
      </c>
      <c r="G208" s="137">
        <f t="shared" si="23"/>
        <v>357</v>
      </c>
      <c r="H208" s="128">
        <f t="shared" si="24"/>
        <v>651</v>
      </c>
      <c r="I208" s="8">
        <v>634246</v>
      </c>
      <c r="J208" s="8">
        <v>634538</v>
      </c>
      <c r="K208" s="137">
        <f t="shared" si="22"/>
        <v>292</v>
      </c>
      <c r="L208" s="8">
        <v>235683</v>
      </c>
      <c r="M208" s="8">
        <v>235749</v>
      </c>
      <c r="N208" s="137">
        <f t="shared" si="25"/>
        <v>66</v>
      </c>
      <c r="O208" s="128">
        <f t="shared" si="26"/>
        <v>358</v>
      </c>
      <c r="P208" s="8">
        <v>230499</v>
      </c>
      <c r="Q208" s="8">
        <v>230499</v>
      </c>
      <c r="R208" s="128">
        <f t="shared" si="27"/>
        <v>0</v>
      </c>
      <c r="AQ208" s="8"/>
      <c r="AR208" s="8"/>
      <c r="AS208" s="8"/>
    </row>
    <row r="209" spans="1:45">
      <c r="A209" s="12">
        <v>44584</v>
      </c>
      <c r="B209" s="8">
        <v>428120</v>
      </c>
      <c r="C209" s="8">
        <v>428297</v>
      </c>
      <c r="D209" s="128">
        <f t="shared" si="21"/>
        <v>177</v>
      </c>
      <c r="E209" s="8">
        <v>165162</v>
      </c>
      <c r="F209" s="8">
        <v>165463</v>
      </c>
      <c r="G209" s="137">
        <f t="shared" si="23"/>
        <v>301</v>
      </c>
      <c r="H209" s="128">
        <f t="shared" si="24"/>
        <v>478</v>
      </c>
      <c r="I209" s="8">
        <v>634538</v>
      </c>
      <c r="J209" s="8">
        <v>634796</v>
      </c>
      <c r="K209" s="137">
        <f t="shared" si="22"/>
        <v>258</v>
      </c>
      <c r="L209" s="8">
        <v>235749</v>
      </c>
      <c r="M209" s="8">
        <v>235777</v>
      </c>
      <c r="N209" s="137">
        <f t="shared" si="25"/>
        <v>28</v>
      </c>
      <c r="O209" s="128">
        <f t="shared" si="26"/>
        <v>286</v>
      </c>
      <c r="P209" s="8">
        <v>230499</v>
      </c>
      <c r="Q209" s="8">
        <v>230499</v>
      </c>
      <c r="R209" s="128">
        <f t="shared" si="27"/>
        <v>0</v>
      </c>
      <c r="AQ209" s="8"/>
      <c r="AR209" s="8"/>
      <c r="AS209" s="8"/>
    </row>
    <row r="210" spans="1:45">
      <c r="A210" s="12">
        <v>44585</v>
      </c>
      <c r="B210" s="8">
        <v>428297</v>
      </c>
      <c r="C210" s="8">
        <v>428538</v>
      </c>
      <c r="D210" s="128">
        <f t="shared" si="21"/>
        <v>241</v>
      </c>
      <c r="E210" s="8">
        <v>165463</v>
      </c>
      <c r="F210" s="8">
        <v>165794</v>
      </c>
      <c r="G210" s="137">
        <f t="shared" si="23"/>
        <v>331</v>
      </c>
      <c r="H210" s="128">
        <f t="shared" si="24"/>
        <v>572</v>
      </c>
      <c r="I210" s="8">
        <v>634796</v>
      </c>
      <c r="J210" s="8">
        <v>635011</v>
      </c>
      <c r="K210" s="137">
        <f t="shared" si="22"/>
        <v>215</v>
      </c>
      <c r="L210" s="8">
        <v>235777</v>
      </c>
      <c r="M210" s="8">
        <v>235801</v>
      </c>
      <c r="N210" s="137">
        <f t="shared" si="25"/>
        <v>24</v>
      </c>
      <c r="O210" s="128">
        <f t="shared" si="26"/>
        <v>239</v>
      </c>
      <c r="P210" s="8">
        <v>230499</v>
      </c>
      <c r="Q210" s="8">
        <v>231814</v>
      </c>
      <c r="R210" s="128">
        <f t="shared" si="27"/>
        <v>1315</v>
      </c>
      <c r="AQ210" s="8"/>
      <c r="AR210" s="8"/>
      <c r="AS210" s="8"/>
    </row>
    <row r="211" spans="1:45">
      <c r="A211" s="12">
        <v>44586</v>
      </c>
      <c r="B211" s="8">
        <v>428538</v>
      </c>
      <c r="C211" s="8">
        <v>428780</v>
      </c>
      <c r="D211" s="128">
        <f t="shared" si="21"/>
        <v>242</v>
      </c>
      <c r="E211" s="8">
        <v>165794</v>
      </c>
      <c r="F211" s="8">
        <v>165958</v>
      </c>
      <c r="G211" s="137">
        <f t="shared" si="23"/>
        <v>164</v>
      </c>
      <c r="H211" s="128">
        <f t="shared" si="24"/>
        <v>406</v>
      </c>
      <c r="I211" s="8">
        <v>635011</v>
      </c>
      <c r="J211" s="8">
        <v>635261</v>
      </c>
      <c r="K211" s="137">
        <f t="shared" si="22"/>
        <v>250</v>
      </c>
      <c r="L211" s="8">
        <v>235801</v>
      </c>
      <c r="M211" s="8">
        <v>235811</v>
      </c>
      <c r="N211" s="137">
        <f t="shared" si="25"/>
        <v>10</v>
      </c>
      <c r="O211" s="128">
        <f t="shared" si="26"/>
        <v>260</v>
      </c>
      <c r="P211" s="8">
        <v>231814</v>
      </c>
      <c r="Q211" s="8">
        <v>232184</v>
      </c>
      <c r="R211" s="128">
        <f t="shared" si="27"/>
        <v>370</v>
      </c>
      <c r="AQ211" s="8"/>
      <c r="AR211" s="8"/>
      <c r="AS211" s="8"/>
    </row>
    <row r="212" spans="1:45">
      <c r="A212" s="12">
        <v>44587</v>
      </c>
      <c r="B212" s="8">
        <v>428780</v>
      </c>
      <c r="C212" s="8">
        <v>429004</v>
      </c>
      <c r="D212" s="128">
        <f t="shared" si="21"/>
        <v>224</v>
      </c>
      <c r="E212" s="8">
        <v>165958</v>
      </c>
      <c r="F212" s="8">
        <v>166208</v>
      </c>
      <c r="G212" s="137">
        <f t="shared" si="23"/>
        <v>250</v>
      </c>
      <c r="H212" s="128">
        <f t="shared" si="24"/>
        <v>474</v>
      </c>
      <c r="I212" s="8">
        <v>635261</v>
      </c>
      <c r="J212" s="8">
        <v>635506</v>
      </c>
      <c r="K212" s="137">
        <f t="shared" si="22"/>
        <v>245</v>
      </c>
      <c r="L212" s="8">
        <v>235811</v>
      </c>
      <c r="M212" s="8">
        <v>235826</v>
      </c>
      <c r="N212" s="137">
        <f t="shared" si="25"/>
        <v>15</v>
      </c>
      <c r="O212" s="128">
        <f t="shared" si="26"/>
        <v>260</v>
      </c>
      <c r="P212" s="8">
        <v>232184</v>
      </c>
      <c r="Q212" s="8">
        <v>232489</v>
      </c>
      <c r="R212" s="128">
        <f t="shared" si="27"/>
        <v>305</v>
      </c>
      <c r="AQ212" s="8"/>
      <c r="AR212" s="8"/>
      <c r="AS212" s="8"/>
    </row>
    <row r="213" spans="1:45">
      <c r="A213" s="12">
        <v>44588</v>
      </c>
      <c r="B213" s="8">
        <v>429004</v>
      </c>
      <c r="C213" s="8">
        <v>429004</v>
      </c>
      <c r="D213" s="128">
        <f>C213-B213</f>
        <v>0</v>
      </c>
      <c r="E213" s="8">
        <v>166208</v>
      </c>
      <c r="F213" s="8">
        <v>166264</v>
      </c>
      <c r="G213" s="137">
        <f t="shared" si="23"/>
        <v>56</v>
      </c>
      <c r="H213" s="128">
        <f t="shared" si="24"/>
        <v>56</v>
      </c>
      <c r="I213" s="8">
        <v>635506</v>
      </c>
      <c r="J213" s="8">
        <v>635745</v>
      </c>
      <c r="K213" s="137">
        <f t="shared" si="22"/>
        <v>239</v>
      </c>
      <c r="L213" s="8">
        <v>235826</v>
      </c>
      <c r="M213" s="8">
        <v>235830</v>
      </c>
      <c r="N213" s="137">
        <f t="shared" si="25"/>
        <v>4</v>
      </c>
      <c r="O213" s="128">
        <f t="shared" si="26"/>
        <v>243</v>
      </c>
      <c r="P213" s="8">
        <v>232489</v>
      </c>
      <c r="Q213" s="8">
        <v>232489</v>
      </c>
      <c r="R213" s="128">
        <f t="shared" si="27"/>
        <v>0</v>
      </c>
      <c r="AQ213" s="8"/>
      <c r="AR213" s="8"/>
      <c r="AS213" s="8"/>
    </row>
    <row r="214" spans="1:45">
      <c r="A214" s="12">
        <v>44589</v>
      </c>
      <c r="B214" s="8">
        <v>429004</v>
      </c>
      <c r="C214" s="53">
        <v>429099</v>
      </c>
      <c r="D214" s="128">
        <f t="shared" si="21"/>
        <v>95</v>
      </c>
      <c r="E214" s="8">
        <v>166264</v>
      </c>
      <c r="F214" s="8">
        <v>166264</v>
      </c>
      <c r="G214" s="137">
        <f t="shared" si="23"/>
        <v>0</v>
      </c>
      <c r="H214" s="128">
        <f t="shared" si="24"/>
        <v>95</v>
      </c>
      <c r="I214" s="8">
        <v>635745</v>
      </c>
      <c r="J214" s="8">
        <v>635993</v>
      </c>
      <c r="K214" s="137">
        <f t="shared" si="22"/>
        <v>248</v>
      </c>
      <c r="L214" s="8">
        <v>235830</v>
      </c>
      <c r="M214" s="8">
        <v>235830</v>
      </c>
      <c r="N214" s="137">
        <f t="shared" si="25"/>
        <v>0</v>
      </c>
      <c r="O214" s="128">
        <f t="shared" si="26"/>
        <v>248</v>
      </c>
      <c r="P214" s="8">
        <v>232489</v>
      </c>
      <c r="Q214" s="8">
        <v>232489</v>
      </c>
      <c r="R214" s="128">
        <f t="shared" si="27"/>
        <v>0</v>
      </c>
      <c r="AQ214" s="8"/>
      <c r="AR214" s="8"/>
      <c r="AS214" s="8"/>
    </row>
    <row r="215" spans="1:45">
      <c r="A215" s="12">
        <v>44590</v>
      </c>
      <c r="B215" s="53">
        <v>429099</v>
      </c>
      <c r="C215" s="53">
        <v>429437</v>
      </c>
      <c r="D215" s="128">
        <f t="shared" si="21"/>
        <v>338</v>
      </c>
      <c r="E215" s="8">
        <v>166264</v>
      </c>
      <c r="F215" s="8">
        <v>166649</v>
      </c>
      <c r="G215" s="137">
        <f t="shared" si="23"/>
        <v>385</v>
      </c>
      <c r="H215" s="128">
        <f t="shared" si="24"/>
        <v>723</v>
      </c>
      <c r="I215" s="8">
        <v>635993</v>
      </c>
      <c r="J215" s="8">
        <v>636286</v>
      </c>
      <c r="K215" s="137">
        <f t="shared" si="22"/>
        <v>293</v>
      </c>
      <c r="L215" s="8">
        <v>235830</v>
      </c>
      <c r="M215" s="8">
        <v>235848</v>
      </c>
      <c r="N215" s="137">
        <f t="shared" si="25"/>
        <v>18</v>
      </c>
      <c r="O215" s="128">
        <f t="shared" si="26"/>
        <v>311</v>
      </c>
      <c r="P215" s="8">
        <v>232489</v>
      </c>
      <c r="Q215" s="8">
        <v>232496</v>
      </c>
      <c r="R215" s="128">
        <f t="shared" si="27"/>
        <v>7</v>
      </c>
      <c r="AQ215" s="8"/>
      <c r="AR215" s="8"/>
      <c r="AS215" s="8"/>
    </row>
    <row r="216" spans="1:45">
      <c r="A216" s="12">
        <v>44591</v>
      </c>
      <c r="B216" s="53">
        <v>429437</v>
      </c>
      <c r="C216" s="8">
        <v>429861</v>
      </c>
      <c r="D216" s="128">
        <f t="shared" si="21"/>
        <v>424</v>
      </c>
      <c r="E216" s="8">
        <v>166649</v>
      </c>
      <c r="F216" s="8">
        <v>167063</v>
      </c>
      <c r="G216" s="137">
        <f t="shared" si="23"/>
        <v>414</v>
      </c>
      <c r="H216" s="128">
        <f t="shared" si="24"/>
        <v>838</v>
      </c>
      <c r="I216" s="8">
        <v>636286</v>
      </c>
      <c r="J216" s="8">
        <v>636496</v>
      </c>
      <c r="K216" s="137">
        <f t="shared" si="22"/>
        <v>210</v>
      </c>
      <c r="L216" s="8">
        <v>235848</v>
      </c>
      <c r="M216" s="8">
        <v>235868</v>
      </c>
      <c r="N216" s="137">
        <f t="shared" si="25"/>
        <v>20</v>
      </c>
      <c r="O216" s="128">
        <f t="shared" si="26"/>
        <v>230</v>
      </c>
      <c r="P216" s="8">
        <v>232496</v>
      </c>
      <c r="Q216" s="8">
        <v>233199</v>
      </c>
      <c r="R216" s="128">
        <f>Q216-P216</f>
        <v>703</v>
      </c>
      <c r="AQ216" s="8"/>
      <c r="AR216" s="8"/>
      <c r="AS216" s="8"/>
    </row>
    <row r="217" spans="1:45">
      <c r="A217" s="12">
        <v>44592</v>
      </c>
      <c r="B217" s="8">
        <v>429861</v>
      </c>
      <c r="C217" s="8">
        <v>430128</v>
      </c>
      <c r="D217" s="128">
        <f t="shared" si="21"/>
        <v>267</v>
      </c>
      <c r="E217" s="8">
        <v>167063</v>
      </c>
      <c r="F217" s="8">
        <v>167374</v>
      </c>
      <c r="G217" s="137">
        <f t="shared" si="23"/>
        <v>311</v>
      </c>
      <c r="H217" s="128">
        <f t="shared" si="24"/>
        <v>578</v>
      </c>
      <c r="I217" s="8">
        <v>636496</v>
      </c>
      <c r="J217" s="8">
        <v>636720</v>
      </c>
      <c r="K217" s="137">
        <f t="shared" si="22"/>
        <v>224</v>
      </c>
      <c r="L217" s="8">
        <v>235868</v>
      </c>
      <c r="M217" s="8">
        <v>235879</v>
      </c>
      <c r="N217" s="137">
        <f t="shared" si="25"/>
        <v>11</v>
      </c>
      <c r="O217" s="128">
        <f t="shared" si="26"/>
        <v>235</v>
      </c>
      <c r="P217" s="8">
        <v>233199</v>
      </c>
      <c r="Q217" s="8">
        <v>233911</v>
      </c>
      <c r="R217" s="128">
        <f t="shared" si="27"/>
        <v>712</v>
      </c>
      <c r="AQ217" s="8"/>
      <c r="AR217" s="8"/>
      <c r="AS217" s="8"/>
    </row>
    <row r="218" spans="1:45">
      <c r="A218" s="12">
        <v>44593</v>
      </c>
      <c r="B218" s="8">
        <v>430128</v>
      </c>
      <c r="C218" s="8">
        <v>430368</v>
      </c>
      <c r="D218" s="128">
        <f t="shared" si="21"/>
        <v>240</v>
      </c>
      <c r="E218" s="8">
        <v>167374</v>
      </c>
      <c r="F218" s="8">
        <v>167772</v>
      </c>
      <c r="G218" s="137">
        <f t="shared" si="23"/>
        <v>398</v>
      </c>
      <c r="H218" s="128">
        <f t="shared" si="24"/>
        <v>638</v>
      </c>
      <c r="I218" s="8">
        <v>636720</v>
      </c>
      <c r="J218" s="8">
        <v>636957</v>
      </c>
      <c r="K218" s="137">
        <f t="shared" si="22"/>
        <v>237</v>
      </c>
      <c r="L218" s="8">
        <v>235879</v>
      </c>
      <c r="M218" s="8">
        <v>235889</v>
      </c>
      <c r="N218" s="137">
        <f t="shared" si="25"/>
        <v>10</v>
      </c>
      <c r="O218" s="128">
        <f t="shared" si="26"/>
        <v>247</v>
      </c>
      <c r="P218" s="8">
        <v>233911</v>
      </c>
      <c r="Q218" s="8">
        <v>234104</v>
      </c>
      <c r="R218" s="128">
        <f t="shared" si="27"/>
        <v>193</v>
      </c>
      <c r="AQ218" s="8"/>
      <c r="AR218" s="8"/>
      <c r="AS218" s="8"/>
    </row>
    <row r="219" spans="1:45">
      <c r="A219" s="12">
        <v>44594</v>
      </c>
      <c r="B219" s="8">
        <v>430368</v>
      </c>
      <c r="C219" s="8">
        <v>430612</v>
      </c>
      <c r="D219" s="128">
        <f t="shared" si="21"/>
        <v>244</v>
      </c>
      <c r="E219" s="8">
        <v>167772</v>
      </c>
      <c r="F219" s="8">
        <v>167983</v>
      </c>
      <c r="G219" s="137">
        <f t="shared" si="23"/>
        <v>211</v>
      </c>
      <c r="H219" s="128">
        <f t="shared" si="24"/>
        <v>455</v>
      </c>
      <c r="I219" s="8">
        <v>636957</v>
      </c>
      <c r="J219" s="8">
        <v>637168</v>
      </c>
      <c r="K219" s="137">
        <f t="shared" si="22"/>
        <v>211</v>
      </c>
      <c r="L219" s="8">
        <v>235889</v>
      </c>
      <c r="M219" s="8">
        <v>235900</v>
      </c>
      <c r="N219" s="137">
        <f t="shared" si="25"/>
        <v>11</v>
      </c>
      <c r="O219" s="128">
        <f t="shared" si="26"/>
        <v>222</v>
      </c>
      <c r="P219" s="8">
        <v>234104</v>
      </c>
      <c r="Q219" s="8">
        <v>234104</v>
      </c>
      <c r="R219" s="128">
        <f t="shared" si="27"/>
        <v>0</v>
      </c>
      <c r="AQ219" s="8"/>
      <c r="AR219" s="8"/>
      <c r="AS219" s="8"/>
    </row>
    <row r="220" spans="1:45">
      <c r="A220" s="12">
        <v>44595</v>
      </c>
      <c r="B220" s="8">
        <v>430612</v>
      </c>
      <c r="C220" s="8">
        <v>430729</v>
      </c>
      <c r="D220" s="128">
        <f t="shared" si="21"/>
        <v>117</v>
      </c>
      <c r="E220" s="8">
        <v>167983</v>
      </c>
      <c r="F220" s="8">
        <v>168323</v>
      </c>
      <c r="G220" s="137">
        <f t="shared" si="23"/>
        <v>340</v>
      </c>
      <c r="H220" s="128">
        <f t="shared" si="24"/>
        <v>457</v>
      </c>
      <c r="I220" s="8">
        <v>637168</v>
      </c>
      <c r="J220" s="8">
        <v>637403</v>
      </c>
      <c r="K220" s="137">
        <f t="shared" si="22"/>
        <v>235</v>
      </c>
      <c r="L220" s="8">
        <v>235900</v>
      </c>
      <c r="M220" s="8">
        <v>235905</v>
      </c>
      <c r="N220" s="137">
        <f t="shared" si="25"/>
        <v>5</v>
      </c>
      <c r="O220" s="128">
        <f t="shared" si="26"/>
        <v>240</v>
      </c>
      <c r="P220" s="8">
        <v>234104</v>
      </c>
      <c r="Q220" s="8">
        <v>234451</v>
      </c>
      <c r="R220" s="128">
        <f t="shared" si="27"/>
        <v>347</v>
      </c>
      <c r="AQ220" s="8"/>
      <c r="AR220" s="8"/>
      <c r="AS220" s="8"/>
    </row>
    <row r="221" spans="1:45">
      <c r="A221" s="12">
        <v>44596</v>
      </c>
      <c r="B221" s="8">
        <v>430729</v>
      </c>
      <c r="C221" s="8">
        <v>431008</v>
      </c>
      <c r="D221" s="128">
        <f t="shared" si="21"/>
        <v>279</v>
      </c>
      <c r="E221" s="8">
        <v>168323</v>
      </c>
      <c r="F221" s="8">
        <v>168686</v>
      </c>
      <c r="G221" s="137">
        <f t="shared" si="23"/>
        <v>363</v>
      </c>
      <c r="H221" s="128">
        <f t="shared" si="24"/>
        <v>642</v>
      </c>
      <c r="I221" s="8">
        <v>637403</v>
      </c>
      <c r="J221" s="8">
        <v>637626</v>
      </c>
      <c r="K221" s="137">
        <f t="shared" si="22"/>
        <v>223</v>
      </c>
      <c r="L221" s="8">
        <v>235905</v>
      </c>
      <c r="M221" s="8">
        <v>235920</v>
      </c>
      <c r="N221" s="137">
        <f t="shared" si="25"/>
        <v>15</v>
      </c>
      <c r="O221" s="128">
        <f t="shared" si="26"/>
        <v>238</v>
      </c>
      <c r="P221" s="8">
        <v>234451</v>
      </c>
      <c r="Q221" s="8">
        <v>234451</v>
      </c>
      <c r="R221" s="128">
        <f t="shared" si="27"/>
        <v>0</v>
      </c>
      <c r="AQ221" s="8"/>
      <c r="AR221" s="8"/>
      <c r="AS221" s="8"/>
    </row>
    <row r="222" spans="1:45">
      <c r="A222" s="12">
        <v>44597</v>
      </c>
      <c r="B222" s="8">
        <v>431008</v>
      </c>
      <c r="C222" s="8">
        <v>431215</v>
      </c>
      <c r="D222" s="128">
        <f t="shared" si="21"/>
        <v>207</v>
      </c>
      <c r="E222" s="8">
        <v>168686</v>
      </c>
      <c r="F222" s="8">
        <v>168964</v>
      </c>
      <c r="G222" s="137">
        <f t="shared" si="23"/>
        <v>278</v>
      </c>
      <c r="H222" s="128">
        <f t="shared" si="24"/>
        <v>485</v>
      </c>
      <c r="I222" s="8">
        <v>637626</v>
      </c>
      <c r="J222" s="8">
        <v>637917</v>
      </c>
      <c r="K222" s="137">
        <f t="shared" si="22"/>
        <v>291</v>
      </c>
      <c r="L222" s="8">
        <v>235920</v>
      </c>
      <c r="M222" s="8">
        <v>235930</v>
      </c>
      <c r="N222" s="137">
        <f t="shared" si="25"/>
        <v>10</v>
      </c>
      <c r="O222" s="128">
        <f t="shared" si="26"/>
        <v>301</v>
      </c>
      <c r="P222" s="8">
        <v>234451</v>
      </c>
      <c r="Q222" s="8">
        <v>234451</v>
      </c>
      <c r="R222" s="128">
        <f t="shared" si="27"/>
        <v>0</v>
      </c>
      <c r="AQ222" s="8"/>
      <c r="AR222" s="8"/>
      <c r="AS222" s="8"/>
    </row>
    <row r="223" spans="1:45">
      <c r="A223" s="12">
        <v>44598</v>
      </c>
      <c r="B223" s="8">
        <v>431215</v>
      </c>
      <c r="C223" s="8">
        <v>431455</v>
      </c>
      <c r="D223" s="128">
        <f t="shared" si="21"/>
        <v>240</v>
      </c>
      <c r="E223" s="8">
        <v>168964</v>
      </c>
      <c r="F223" s="8">
        <v>169251</v>
      </c>
      <c r="G223" s="137">
        <f t="shared" si="23"/>
        <v>287</v>
      </c>
      <c r="H223" s="128">
        <f t="shared" si="24"/>
        <v>527</v>
      </c>
      <c r="I223" s="8">
        <v>637917</v>
      </c>
      <c r="J223" s="8">
        <v>638191</v>
      </c>
      <c r="K223" s="137">
        <f t="shared" si="22"/>
        <v>274</v>
      </c>
      <c r="L223" s="8">
        <v>235930</v>
      </c>
      <c r="M223" s="8">
        <v>235940</v>
      </c>
      <c r="N223" s="137">
        <f t="shared" si="25"/>
        <v>10</v>
      </c>
      <c r="O223" s="128">
        <f t="shared" si="26"/>
        <v>284</v>
      </c>
      <c r="P223" s="8">
        <v>234451</v>
      </c>
      <c r="Q223" s="8">
        <v>234751</v>
      </c>
      <c r="R223" s="128">
        <f t="shared" si="27"/>
        <v>300</v>
      </c>
      <c r="AQ223" s="8"/>
      <c r="AR223" s="8"/>
      <c r="AS223" s="8"/>
    </row>
    <row r="224" spans="1:45">
      <c r="A224" s="12">
        <v>44599</v>
      </c>
      <c r="B224" s="8">
        <v>431455</v>
      </c>
      <c r="C224" s="8">
        <v>431762</v>
      </c>
      <c r="D224" s="128">
        <f t="shared" si="21"/>
        <v>307</v>
      </c>
      <c r="E224" s="8">
        <v>169251</v>
      </c>
      <c r="F224" s="8">
        <v>169497</v>
      </c>
      <c r="G224" s="137">
        <f t="shared" si="23"/>
        <v>246</v>
      </c>
      <c r="H224" s="128">
        <f t="shared" si="24"/>
        <v>553</v>
      </c>
      <c r="I224" s="8">
        <v>638191</v>
      </c>
      <c r="J224" s="8">
        <v>638437</v>
      </c>
      <c r="K224" s="137">
        <f t="shared" si="22"/>
        <v>246</v>
      </c>
      <c r="L224" s="8">
        <v>235940</v>
      </c>
      <c r="M224" s="8">
        <v>235950</v>
      </c>
      <c r="N224" s="137">
        <f t="shared" si="25"/>
        <v>10</v>
      </c>
      <c r="O224" s="128">
        <f t="shared" si="26"/>
        <v>256</v>
      </c>
      <c r="P224" s="8">
        <v>234751</v>
      </c>
      <c r="Q224" s="8">
        <v>234751</v>
      </c>
      <c r="R224" s="128">
        <f t="shared" si="27"/>
        <v>0</v>
      </c>
      <c r="AQ224" s="8"/>
      <c r="AR224" s="8"/>
      <c r="AS224" s="8"/>
    </row>
    <row r="225" spans="1:45">
      <c r="A225" s="12">
        <v>44600</v>
      </c>
      <c r="B225" s="8">
        <v>431762</v>
      </c>
      <c r="C225" s="8">
        <v>432053</v>
      </c>
      <c r="D225" s="128">
        <f t="shared" si="21"/>
        <v>291</v>
      </c>
      <c r="E225" s="8">
        <v>169497</v>
      </c>
      <c r="F225" s="8">
        <v>169836</v>
      </c>
      <c r="G225" s="137">
        <f t="shared" si="23"/>
        <v>339</v>
      </c>
      <c r="H225" s="128">
        <f t="shared" si="24"/>
        <v>630</v>
      </c>
      <c r="I225" s="8">
        <v>638437</v>
      </c>
      <c r="J225" s="8">
        <v>638670</v>
      </c>
      <c r="K225" s="137">
        <f t="shared" si="22"/>
        <v>233</v>
      </c>
      <c r="L225" s="8">
        <v>235950</v>
      </c>
      <c r="M225" s="8">
        <v>235954</v>
      </c>
      <c r="N225" s="137">
        <f t="shared" si="25"/>
        <v>4</v>
      </c>
      <c r="O225" s="128">
        <f t="shared" si="26"/>
        <v>237</v>
      </c>
      <c r="P225" s="8">
        <v>234751</v>
      </c>
      <c r="Q225" s="8">
        <v>235131</v>
      </c>
      <c r="R225" s="128">
        <f t="shared" si="27"/>
        <v>380</v>
      </c>
      <c r="AQ225" s="8"/>
      <c r="AR225" s="8"/>
      <c r="AS225" s="8"/>
    </row>
    <row r="226" spans="1:45">
      <c r="A226" s="12">
        <v>44601</v>
      </c>
      <c r="B226" s="8">
        <v>432053</v>
      </c>
      <c r="C226" s="8">
        <v>432289</v>
      </c>
      <c r="D226" s="128">
        <f t="shared" si="21"/>
        <v>236</v>
      </c>
      <c r="E226" s="8">
        <v>169836</v>
      </c>
      <c r="F226" s="8">
        <v>170177</v>
      </c>
      <c r="G226" s="137">
        <f t="shared" si="23"/>
        <v>341</v>
      </c>
      <c r="H226" s="128">
        <f t="shared" si="24"/>
        <v>577</v>
      </c>
      <c r="I226" s="8">
        <v>638670</v>
      </c>
      <c r="J226" s="8">
        <v>638904</v>
      </c>
      <c r="K226" s="137">
        <f t="shared" si="22"/>
        <v>234</v>
      </c>
      <c r="L226" s="8">
        <v>235954</v>
      </c>
      <c r="M226" s="8">
        <v>235965</v>
      </c>
      <c r="N226" s="137">
        <f t="shared" si="25"/>
        <v>11</v>
      </c>
      <c r="O226" s="128">
        <f t="shared" si="26"/>
        <v>245</v>
      </c>
      <c r="P226" s="8">
        <v>235131</v>
      </c>
      <c r="Q226" s="8">
        <v>235131</v>
      </c>
      <c r="R226" s="128">
        <f t="shared" si="27"/>
        <v>0</v>
      </c>
      <c r="AQ226" s="8"/>
      <c r="AR226" s="8"/>
      <c r="AS226" s="8"/>
    </row>
    <row r="227" spans="1:45">
      <c r="A227" s="12">
        <v>44602</v>
      </c>
      <c r="B227" s="8">
        <v>432289</v>
      </c>
      <c r="C227" s="8">
        <v>432512</v>
      </c>
      <c r="D227" s="128">
        <f t="shared" si="21"/>
        <v>223</v>
      </c>
      <c r="E227" s="8">
        <v>170177</v>
      </c>
      <c r="F227" s="8">
        <v>170462</v>
      </c>
      <c r="G227" s="137">
        <f t="shared" si="23"/>
        <v>285</v>
      </c>
      <c r="H227" s="128">
        <f t="shared" si="24"/>
        <v>508</v>
      </c>
      <c r="I227" s="8">
        <v>638904</v>
      </c>
      <c r="J227" s="8">
        <v>639158</v>
      </c>
      <c r="K227" s="137">
        <f t="shared" si="22"/>
        <v>254</v>
      </c>
      <c r="L227" s="8">
        <v>235965</v>
      </c>
      <c r="M227" s="8">
        <v>235973</v>
      </c>
      <c r="N227" s="137">
        <f t="shared" si="25"/>
        <v>8</v>
      </c>
      <c r="O227" s="128">
        <f t="shared" si="26"/>
        <v>262</v>
      </c>
      <c r="P227" s="8">
        <v>235131</v>
      </c>
      <c r="Q227" s="8">
        <v>235443</v>
      </c>
      <c r="R227" s="128">
        <f t="shared" si="27"/>
        <v>312</v>
      </c>
      <c r="AQ227" s="8"/>
      <c r="AR227" s="8"/>
      <c r="AS227" s="8"/>
    </row>
    <row r="228" spans="1:45">
      <c r="A228" s="12">
        <v>44603</v>
      </c>
      <c r="B228" s="8">
        <v>432512</v>
      </c>
      <c r="C228" s="8">
        <v>432723</v>
      </c>
      <c r="D228" s="128">
        <f t="shared" si="21"/>
        <v>211</v>
      </c>
      <c r="E228" s="8">
        <v>170462</v>
      </c>
      <c r="F228" s="8">
        <v>170959</v>
      </c>
      <c r="G228" s="137">
        <f t="shared" si="23"/>
        <v>497</v>
      </c>
      <c r="H228" s="128">
        <f t="shared" si="24"/>
        <v>708</v>
      </c>
      <c r="I228" s="8">
        <v>639158</v>
      </c>
      <c r="J228" s="8">
        <v>639368</v>
      </c>
      <c r="K228" s="137">
        <f t="shared" si="22"/>
        <v>210</v>
      </c>
      <c r="L228" s="8">
        <v>235973</v>
      </c>
      <c r="M228" s="8">
        <v>235984</v>
      </c>
      <c r="N228" s="137">
        <f t="shared" si="25"/>
        <v>11</v>
      </c>
      <c r="O228" s="128">
        <f t="shared" si="26"/>
        <v>221</v>
      </c>
      <c r="P228" s="8">
        <v>235443</v>
      </c>
      <c r="Q228" s="8">
        <v>235443</v>
      </c>
      <c r="R228" s="128">
        <f t="shared" si="27"/>
        <v>0</v>
      </c>
      <c r="AQ228" s="8"/>
      <c r="AR228" s="8"/>
      <c r="AS228" s="8"/>
    </row>
    <row r="229" spans="1:45">
      <c r="A229" s="12">
        <v>44604</v>
      </c>
      <c r="B229" s="8">
        <v>432723</v>
      </c>
      <c r="C229" s="8">
        <v>432994</v>
      </c>
      <c r="D229" s="128">
        <f t="shared" si="21"/>
        <v>271</v>
      </c>
      <c r="E229" s="8">
        <v>170959</v>
      </c>
      <c r="F229" s="8">
        <v>171290</v>
      </c>
      <c r="G229" s="137">
        <f t="shared" si="23"/>
        <v>331</v>
      </c>
      <c r="H229" s="128">
        <f t="shared" si="24"/>
        <v>602</v>
      </c>
      <c r="I229" s="8">
        <v>639368</v>
      </c>
      <c r="J229" s="8">
        <v>639642</v>
      </c>
      <c r="K229" s="137">
        <f t="shared" si="22"/>
        <v>274</v>
      </c>
      <c r="L229" s="8">
        <v>235984</v>
      </c>
      <c r="M229" s="8">
        <v>236205</v>
      </c>
      <c r="N229" s="137">
        <f t="shared" si="25"/>
        <v>221</v>
      </c>
      <c r="O229" s="128">
        <f t="shared" si="26"/>
        <v>495</v>
      </c>
      <c r="P229" s="8">
        <v>235443</v>
      </c>
      <c r="Q229" s="8">
        <v>235443</v>
      </c>
      <c r="R229" s="128">
        <f t="shared" si="27"/>
        <v>0</v>
      </c>
      <c r="AQ229" s="8"/>
      <c r="AR229" s="8"/>
      <c r="AS229" s="8"/>
    </row>
    <row r="230" spans="1:45">
      <c r="A230" s="12">
        <v>44605</v>
      </c>
      <c r="B230" s="8">
        <v>432994</v>
      </c>
      <c r="C230" s="8">
        <v>433280</v>
      </c>
      <c r="D230" s="128">
        <f t="shared" ref="D230:D293" si="28">C230-B230</f>
        <v>286</v>
      </c>
      <c r="E230" s="8">
        <v>171290</v>
      </c>
      <c r="F230" s="8">
        <v>171686</v>
      </c>
      <c r="G230" s="137">
        <f t="shared" si="23"/>
        <v>396</v>
      </c>
      <c r="H230" s="128">
        <f t="shared" si="24"/>
        <v>682</v>
      </c>
      <c r="I230" s="8">
        <v>639642</v>
      </c>
      <c r="J230" s="8">
        <v>639769</v>
      </c>
      <c r="K230" s="137">
        <f>J230-I230</f>
        <v>127</v>
      </c>
      <c r="L230" s="8">
        <v>236205</v>
      </c>
      <c r="M230" s="8">
        <v>236999</v>
      </c>
      <c r="N230" s="137">
        <f t="shared" si="25"/>
        <v>794</v>
      </c>
      <c r="O230" s="128">
        <f t="shared" si="26"/>
        <v>921</v>
      </c>
      <c r="P230" s="8">
        <v>235443</v>
      </c>
      <c r="Q230" s="8">
        <v>235443</v>
      </c>
      <c r="R230" s="128">
        <f t="shared" si="27"/>
        <v>0</v>
      </c>
      <c r="AQ230" s="8"/>
      <c r="AR230" s="8"/>
      <c r="AS230" s="8"/>
    </row>
    <row r="231" spans="1:45">
      <c r="A231" s="12">
        <v>44606</v>
      </c>
      <c r="B231" s="8">
        <v>433280</v>
      </c>
      <c r="C231" s="8">
        <v>433574</v>
      </c>
      <c r="D231" s="128">
        <f t="shared" si="28"/>
        <v>294</v>
      </c>
      <c r="E231" s="8">
        <v>171686</v>
      </c>
      <c r="F231" s="8">
        <v>172064</v>
      </c>
      <c r="G231" s="137">
        <f t="shared" si="23"/>
        <v>378</v>
      </c>
      <c r="H231" s="128">
        <f t="shared" si="24"/>
        <v>672</v>
      </c>
      <c r="I231" s="8">
        <v>639769</v>
      </c>
      <c r="J231" s="8">
        <v>640062</v>
      </c>
      <c r="K231" s="137">
        <f t="shared" ref="K231:K295" si="29">J231-I231</f>
        <v>293</v>
      </c>
      <c r="L231" s="8">
        <v>236999</v>
      </c>
      <c r="M231" s="8">
        <v>236007</v>
      </c>
      <c r="N231" s="137">
        <f t="shared" si="25"/>
        <v>-992</v>
      </c>
      <c r="O231" s="128">
        <f t="shared" si="26"/>
        <v>-699</v>
      </c>
      <c r="P231" s="8">
        <v>235443</v>
      </c>
      <c r="Q231" s="45">
        <v>235699</v>
      </c>
      <c r="R231" s="128">
        <f t="shared" si="27"/>
        <v>256</v>
      </c>
      <c r="AQ231" s="8"/>
      <c r="AR231" s="8"/>
      <c r="AS231" s="8"/>
    </row>
    <row r="232" spans="1:45">
      <c r="A232" s="12">
        <v>44607</v>
      </c>
      <c r="B232" s="8">
        <v>433574</v>
      </c>
      <c r="C232" s="8">
        <v>433856</v>
      </c>
      <c r="D232" s="128">
        <f t="shared" si="28"/>
        <v>282</v>
      </c>
      <c r="E232" s="8">
        <v>172064</v>
      </c>
      <c r="F232" s="8">
        <v>172445</v>
      </c>
      <c r="G232" s="137">
        <f t="shared" si="23"/>
        <v>381</v>
      </c>
      <c r="H232" s="128">
        <f t="shared" si="24"/>
        <v>663</v>
      </c>
      <c r="I232" s="8">
        <v>640062</v>
      </c>
      <c r="J232" s="8">
        <v>640219</v>
      </c>
      <c r="K232" s="137">
        <f t="shared" si="29"/>
        <v>157</v>
      </c>
      <c r="L232" s="8">
        <v>236007</v>
      </c>
      <c r="M232" s="8">
        <v>236015</v>
      </c>
      <c r="N232" s="137">
        <f t="shared" si="25"/>
        <v>8</v>
      </c>
      <c r="O232" s="128">
        <f t="shared" si="26"/>
        <v>165</v>
      </c>
      <c r="P232" s="45">
        <v>235699</v>
      </c>
      <c r="Q232" s="45">
        <v>235699</v>
      </c>
      <c r="R232" s="128">
        <f t="shared" si="27"/>
        <v>0</v>
      </c>
      <c r="AQ232" s="8"/>
      <c r="AR232" s="8"/>
      <c r="AS232" s="8"/>
    </row>
    <row r="233" spans="1:45">
      <c r="A233" s="12">
        <v>44608</v>
      </c>
      <c r="B233" s="8">
        <v>433856</v>
      </c>
      <c r="C233" s="8">
        <v>434072</v>
      </c>
      <c r="D233" s="128">
        <f t="shared" si="28"/>
        <v>216</v>
      </c>
      <c r="E233" s="8">
        <v>172445</v>
      </c>
      <c r="F233" s="8">
        <v>172744</v>
      </c>
      <c r="G233" s="137">
        <f t="shared" si="23"/>
        <v>299</v>
      </c>
      <c r="H233" s="128">
        <f t="shared" si="24"/>
        <v>515</v>
      </c>
      <c r="I233" s="8">
        <v>640219</v>
      </c>
      <c r="J233" s="8">
        <v>640454</v>
      </c>
      <c r="K233" s="137">
        <f t="shared" si="29"/>
        <v>235</v>
      </c>
      <c r="L233" s="8">
        <v>236015</v>
      </c>
      <c r="M233" s="8">
        <v>236021</v>
      </c>
      <c r="N233" s="137">
        <f t="shared" si="25"/>
        <v>6</v>
      </c>
      <c r="O233" s="128">
        <f t="shared" si="26"/>
        <v>241</v>
      </c>
      <c r="P233" s="45">
        <v>235699</v>
      </c>
      <c r="Q233" s="45">
        <v>235699</v>
      </c>
      <c r="R233" s="128">
        <f t="shared" si="27"/>
        <v>0</v>
      </c>
      <c r="AQ233" s="8"/>
      <c r="AR233" s="8"/>
      <c r="AS233" s="8"/>
    </row>
    <row r="234" spans="1:45">
      <c r="A234" s="12">
        <v>44609</v>
      </c>
      <c r="B234" s="8">
        <v>434072</v>
      </c>
      <c r="C234" s="8">
        <v>434333</v>
      </c>
      <c r="D234" s="128">
        <f t="shared" si="28"/>
        <v>261</v>
      </c>
      <c r="E234" s="8">
        <v>172744</v>
      </c>
      <c r="F234" s="8">
        <v>173085</v>
      </c>
      <c r="G234" s="137">
        <f t="shared" si="23"/>
        <v>341</v>
      </c>
      <c r="H234" s="128">
        <f t="shared" si="24"/>
        <v>602</v>
      </c>
      <c r="I234" s="8">
        <v>640454</v>
      </c>
      <c r="J234" s="8">
        <v>640665</v>
      </c>
      <c r="K234" s="137">
        <f t="shared" si="29"/>
        <v>211</v>
      </c>
      <c r="L234" s="8">
        <v>236021</v>
      </c>
      <c r="M234" s="8">
        <v>236026</v>
      </c>
      <c r="N234" s="137">
        <f t="shared" si="25"/>
        <v>5</v>
      </c>
      <c r="O234" s="128">
        <f t="shared" si="26"/>
        <v>216</v>
      </c>
      <c r="P234" s="45">
        <v>235699</v>
      </c>
      <c r="Q234" s="45">
        <v>235699</v>
      </c>
      <c r="R234" s="128">
        <f t="shared" si="27"/>
        <v>0</v>
      </c>
      <c r="AQ234" s="8"/>
      <c r="AR234" s="8"/>
      <c r="AS234" s="8"/>
    </row>
    <row r="235" spans="1:45">
      <c r="A235" s="12">
        <v>44610</v>
      </c>
      <c r="B235" s="8">
        <v>434333</v>
      </c>
      <c r="C235" s="8">
        <v>434677</v>
      </c>
      <c r="D235" s="128">
        <f t="shared" si="28"/>
        <v>344</v>
      </c>
      <c r="E235" s="8">
        <v>173085</v>
      </c>
      <c r="F235" s="8">
        <v>173578</v>
      </c>
      <c r="G235" s="137">
        <f t="shared" si="23"/>
        <v>493</v>
      </c>
      <c r="H235" s="128">
        <f t="shared" si="24"/>
        <v>837</v>
      </c>
      <c r="I235" s="8">
        <v>640665</v>
      </c>
      <c r="J235" s="8">
        <v>640831</v>
      </c>
      <c r="K235" s="137">
        <f t="shared" si="29"/>
        <v>166</v>
      </c>
      <c r="L235" s="8">
        <v>236026</v>
      </c>
      <c r="M235" s="8">
        <v>236035</v>
      </c>
      <c r="N235" s="137">
        <f t="shared" si="25"/>
        <v>9</v>
      </c>
      <c r="O235" s="128">
        <f t="shared" si="26"/>
        <v>175</v>
      </c>
      <c r="P235" s="45">
        <v>235699</v>
      </c>
      <c r="Q235" s="45">
        <v>235699</v>
      </c>
      <c r="R235" s="128">
        <f t="shared" si="27"/>
        <v>0</v>
      </c>
      <c r="AQ235" s="8"/>
      <c r="AR235" s="8"/>
      <c r="AS235" s="8"/>
    </row>
    <row r="236" spans="1:45">
      <c r="A236" s="12">
        <v>44611</v>
      </c>
      <c r="B236" s="8">
        <v>434677</v>
      </c>
      <c r="C236" s="8">
        <v>434864</v>
      </c>
      <c r="D236" s="128">
        <f t="shared" si="28"/>
        <v>187</v>
      </c>
      <c r="E236" s="8">
        <v>173578</v>
      </c>
      <c r="F236" s="8">
        <v>173810</v>
      </c>
      <c r="G236" s="137">
        <f t="shared" si="23"/>
        <v>232</v>
      </c>
      <c r="H236" s="128">
        <f t="shared" si="24"/>
        <v>419</v>
      </c>
      <c r="I236" s="8">
        <v>640831</v>
      </c>
      <c r="J236" s="8">
        <v>641095</v>
      </c>
      <c r="K236" s="137">
        <f t="shared" si="29"/>
        <v>264</v>
      </c>
      <c r="L236" s="8">
        <v>236035</v>
      </c>
      <c r="M236" s="8">
        <v>236044</v>
      </c>
      <c r="N236" s="137">
        <f t="shared" si="25"/>
        <v>9</v>
      </c>
      <c r="O236" s="128">
        <f t="shared" si="26"/>
        <v>273</v>
      </c>
      <c r="P236" s="45">
        <v>235699</v>
      </c>
      <c r="Q236" s="45">
        <v>235699</v>
      </c>
      <c r="R236" s="128">
        <f t="shared" si="27"/>
        <v>0</v>
      </c>
      <c r="AQ236" s="8"/>
      <c r="AR236" s="8"/>
      <c r="AS236" s="8"/>
    </row>
    <row r="237" spans="1:45">
      <c r="A237" s="12">
        <v>44612</v>
      </c>
      <c r="B237" s="8">
        <v>434864</v>
      </c>
      <c r="C237" s="8">
        <v>435066</v>
      </c>
      <c r="D237" s="128">
        <f t="shared" si="28"/>
        <v>202</v>
      </c>
      <c r="E237" s="8">
        <v>173810</v>
      </c>
      <c r="F237" s="8">
        <v>174012</v>
      </c>
      <c r="G237" s="137">
        <f t="shared" si="23"/>
        <v>202</v>
      </c>
      <c r="H237" s="128">
        <f t="shared" si="24"/>
        <v>404</v>
      </c>
      <c r="I237" s="8">
        <v>641095</v>
      </c>
      <c r="J237" s="8">
        <v>641314</v>
      </c>
      <c r="K237" s="137">
        <f t="shared" si="29"/>
        <v>219</v>
      </c>
      <c r="L237" s="8">
        <v>236044</v>
      </c>
      <c r="M237" s="8">
        <v>236052</v>
      </c>
      <c r="N237" s="137">
        <f t="shared" si="25"/>
        <v>8</v>
      </c>
      <c r="O237" s="128">
        <f t="shared" si="26"/>
        <v>227</v>
      </c>
      <c r="P237" s="45">
        <v>235699</v>
      </c>
      <c r="Q237" s="45">
        <v>235699</v>
      </c>
      <c r="R237" s="128">
        <f t="shared" si="27"/>
        <v>0</v>
      </c>
      <c r="AQ237" s="8"/>
      <c r="AR237" s="8"/>
      <c r="AS237" s="8"/>
    </row>
    <row r="238" spans="1:45">
      <c r="A238" s="12">
        <v>44613</v>
      </c>
      <c r="B238" s="8">
        <v>435066</v>
      </c>
      <c r="C238" s="8">
        <v>435354</v>
      </c>
      <c r="D238" s="128">
        <f t="shared" si="28"/>
        <v>288</v>
      </c>
      <c r="E238" s="8">
        <v>174012</v>
      </c>
      <c r="F238" s="8">
        <v>174329</v>
      </c>
      <c r="G238" s="137">
        <f t="shared" si="23"/>
        <v>317</v>
      </c>
      <c r="H238" s="128">
        <f t="shared" si="24"/>
        <v>605</v>
      </c>
      <c r="I238" s="8">
        <v>641314</v>
      </c>
      <c r="J238" s="8">
        <v>641518</v>
      </c>
      <c r="K238" s="137">
        <f t="shared" si="29"/>
        <v>204</v>
      </c>
      <c r="L238" s="8">
        <v>236052</v>
      </c>
      <c r="M238" s="8">
        <v>236080</v>
      </c>
      <c r="N238" s="137">
        <f t="shared" si="25"/>
        <v>28</v>
      </c>
      <c r="O238" s="128">
        <f t="shared" si="26"/>
        <v>232</v>
      </c>
      <c r="P238" s="45">
        <v>235699</v>
      </c>
      <c r="Q238" s="45">
        <v>235699</v>
      </c>
      <c r="R238" s="128">
        <f t="shared" si="27"/>
        <v>0</v>
      </c>
      <c r="AQ238" s="8"/>
      <c r="AR238" s="8"/>
      <c r="AS238" s="8"/>
    </row>
    <row r="239" spans="1:45">
      <c r="A239" s="12">
        <v>44614</v>
      </c>
      <c r="B239" s="8">
        <v>435354</v>
      </c>
      <c r="C239" s="8">
        <v>435591</v>
      </c>
      <c r="D239" s="128">
        <f t="shared" si="28"/>
        <v>237</v>
      </c>
      <c r="E239" s="8">
        <v>174329</v>
      </c>
      <c r="F239" s="8">
        <v>174565</v>
      </c>
      <c r="G239" s="137">
        <f t="shared" si="23"/>
        <v>236</v>
      </c>
      <c r="H239" s="128">
        <f t="shared" si="24"/>
        <v>473</v>
      </c>
      <c r="I239" s="8">
        <v>641518</v>
      </c>
      <c r="J239" s="8">
        <v>641806</v>
      </c>
      <c r="K239" s="137">
        <f t="shared" si="29"/>
        <v>288</v>
      </c>
      <c r="L239" s="8">
        <v>236080</v>
      </c>
      <c r="M239" s="8">
        <v>236084</v>
      </c>
      <c r="N239" s="137">
        <f t="shared" si="25"/>
        <v>4</v>
      </c>
      <c r="O239" s="128">
        <f t="shared" si="26"/>
        <v>292</v>
      </c>
      <c r="P239" s="45">
        <v>235699</v>
      </c>
      <c r="Q239" s="45">
        <v>235699</v>
      </c>
      <c r="R239" s="128">
        <f t="shared" si="27"/>
        <v>0</v>
      </c>
      <c r="AQ239" s="8"/>
      <c r="AR239" s="8"/>
      <c r="AS239" s="8"/>
    </row>
    <row r="240" spans="1:45">
      <c r="A240" s="12">
        <v>44615</v>
      </c>
      <c r="B240" s="8">
        <v>435591</v>
      </c>
      <c r="C240" s="8">
        <v>435657</v>
      </c>
      <c r="D240" s="128">
        <f t="shared" si="28"/>
        <v>66</v>
      </c>
      <c r="E240" s="8">
        <v>174565</v>
      </c>
      <c r="F240" s="8">
        <v>174604</v>
      </c>
      <c r="G240" s="137">
        <f t="shared" si="23"/>
        <v>39</v>
      </c>
      <c r="H240" s="128">
        <f t="shared" si="24"/>
        <v>105</v>
      </c>
      <c r="I240" s="8">
        <v>641806</v>
      </c>
      <c r="J240" s="8">
        <v>641943</v>
      </c>
      <c r="K240" s="137">
        <f t="shared" si="29"/>
        <v>137</v>
      </c>
      <c r="L240" s="8">
        <v>236084</v>
      </c>
      <c r="M240" s="8">
        <v>236091</v>
      </c>
      <c r="N240" s="137">
        <f t="shared" si="25"/>
        <v>7</v>
      </c>
      <c r="O240" s="128">
        <f t="shared" si="26"/>
        <v>144</v>
      </c>
      <c r="P240" s="45">
        <v>235699</v>
      </c>
      <c r="Q240" s="45">
        <v>236182</v>
      </c>
      <c r="R240" s="128">
        <f t="shared" si="27"/>
        <v>483</v>
      </c>
      <c r="AQ240" s="8"/>
      <c r="AR240" s="8"/>
      <c r="AS240" s="8"/>
    </row>
    <row r="241" spans="1:45">
      <c r="A241" s="12">
        <v>44616</v>
      </c>
      <c r="B241" s="8">
        <v>435657</v>
      </c>
      <c r="C241" s="8">
        <v>435714</v>
      </c>
      <c r="D241" s="128">
        <f t="shared" si="28"/>
        <v>57</v>
      </c>
      <c r="E241" s="8">
        <v>174604</v>
      </c>
      <c r="F241" s="8">
        <v>174627</v>
      </c>
      <c r="G241" s="137">
        <f t="shared" si="23"/>
        <v>23</v>
      </c>
      <c r="H241" s="128">
        <f t="shared" si="24"/>
        <v>80</v>
      </c>
      <c r="I241" s="8">
        <v>641943</v>
      </c>
      <c r="J241" s="8">
        <v>642143</v>
      </c>
      <c r="K241" s="137">
        <f t="shared" si="29"/>
        <v>200</v>
      </c>
      <c r="L241" s="8">
        <v>236091</v>
      </c>
      <c r="M241" s="8">
        <v>236095</v>
      </c>
      <c r="N241" s="137">
        <f t="shared" si="25"/>
        <v>4</v>
      </c>
      <c r="O241" s="128">
        <f t="shared" si="26"/>
        <v>204</v>
      </c>
      <c r="P241" s="45">
        <v>236182</v>
      </c>
      <c r="Q241" s="45">
        <v>236682</v>
      </c>
      <c r="R241" s="128">
        <f t="shared" si="27"/>
        <v>500</v>
      </c>
      <c r="AQ241" s="8"/>
      <c r="AR241" s="8"/>
      <c r="AS241" s="8"/>
    </row>
    <row r="242" spans="1:45">
      <c r="A242" s="12">
        <v>44617</v>
      </c>
      <c r="B242" s="8">
        <v>435714</v>
      </c>
      <c r="C242" s="8">
        <v>435811</v>
      </c>
      <c r="D242" s="128">
        <f t="shared" si="28"/>
        <v>97</v>
      </c>
      <c r="E242" s="8">
        <v>174627</v>
      </c>
      <c r="F242" s="8">
        <v>174671</v>
      </c>
      <c r="G242" s="137">
        <f t="shared" si="23"/>
        <v>44</v>
      </c>
      <c r="H242" s="128">
        <f t="shared" si="24"/>
        <v>141</v>
      </c>
      <c r="I242" s="8">
        <v>642143</v>
      </c>
      <c r="J242" s="8">
        <v>642362</v>
      </c>
      <c r="K242" s="137">
        <f t="shared" si="29"/>
        <v>219</v>
      </c>
      <c r="L242" s="8">
        <v>236095</v>
      </c>
      <c r="M242" s="8">
        <v>236103</v>
      </c>
      <c r="N242" s="137">
        <f t="shared" si="25"/>
        <v>8</v>
      </c>
      <c r="O242" s="128">
        <f t="shared" si="26"/>
        <v>227</v>
      </c>
      <c r="P242" s="45">
        <v>236682</v>
      </c>
      <c r="Q242" s="8">
        <v>237094</v>
      </c>
      <c r="R242" s="128">
        <f t="shared" si="27"/>
        <v>412</v>
      </c>
      <c r="V242" s="8">
        <v>0</v>
      </c>
      <c r="AQ242" s="8"/>
      <c r="AR242" s="8"/>
      <c r="AS242" s="8"/>
    </row>
    <row r="243" spans="1:45">
      <c r="A243" s="12">
        <v>44618</v>
      </c>
      <c r="B243" s="8">
        <v>435811</v>
      </c>
      <c r="C243" s="8">
        <v>436142</v>
      </c>
      <c r="D243" s="128">
        <f t="shared" si="28"/>
        <v>331</v>
      </c>
      <c r="E243" s="8">
        <v>174671</v>
      </c>
      <c r="F243" s="8">
        <v>174743</v>
      </c>
      <c r="G243" s="137">
        <f t="shared" si="23"/>
        <v>72</v>
      </c>
      <c r="H243" s="128">
        <f t="shared" si="24"/>
        <v>403</v>
      </c>
      <c r="I243" s="8">
        <v>642362</v>
      </c>
      <c r="J243" s="8">
        <v>642693</v>
      </c>
      <c r="K243" s="137">
        <f t="shared" si="29"/>
        <v>331</v>
      </c>
      <c r="L243" s="8">
        <v>236103</v>
      </c>
      <c r="M243" s="8">
        <v>236122</v>
      </c>
      <c r="N243" s="137">
        <f t="shared" si="25"/>
        <v>19</v>
      </c>
      <c r="O243" s="128">
        <f t="shared" si="26"/>
        <v>350</v>
      </c>
      <c r="P243" s="8">
        <v>237094</v>
      </c>
      <c r="Q243" s="8">
        <v>237094</v>
      </c>
      <c r="R243" s="128">
        <f t="shared" si="27"/>
        <v>0</v>
      </c>
      <c r="AQ243" s="8"/>
      <c r="AR243" s="8"/>
      <c r="AS243" s="8"/>
    </row>
    <row r="244" spans="1:45">
      <c r="A244" s="12">
        <v>44619</v>
      </c>
      <c r="B244" s="8">
        <v>436142</v>
      </c>
      <c r="C244" s="8">
        <v>436365</v>
      </c>
      <c r="D244" s="128">
        <f t="shared" si="28"/>
        <v>223</v>
      </c>
      <c r="E244" s="8">
        <v>174743</v>
      </c>
      <c r="F244" s="8">
        <v>174743</v>
      </c>
      <c r="G244" s="137">
        <f t="shared" si="23"/>
        <v>0</v>
      </c>
      <c r="H244" s="128">
        <f t="shared" si="24"/>
        <v>223</v>
      </c>
      <c r="I244" s="8">
        <v>642693</v>
      </c>
      <c r="J244" s="8">
        <v>642946</v>
      </c>
      <c r="K244" s="137">
        <f t="shared" si="29"/>
        <v>253</v>
      </c>
      <c r="L244" s="8">
        <v>236122</v>
      </c>
      <c r="M244" s="8">
        <v>236126</v>
      </c>
      <c r="N244" s="137">
        <f t="shared" si="25"/>
        <v>4</v>
      </c>
      <c r="O244" s="128">
        <f t="shared" si="26"/>
        <v>257</v>
      </c>
      <c r="P244" s="8">
        <v>237094</v>
      </c>
      <c r="Q244" s="8">
        <v>237246</v>
      </c>
      <c r="R244" s="128">
        <f t="shared" si="27"/>
        <v>152</v>
      </c>
      <c r="AQ244" s="8"/>
      <c r="AR244" s="8"/>
      <c r="AS244" s="8"/>
    </row>
    <row r="245" spans="1:45">
      <c r="A245" s="12">
        <v>44620</v>
      </c>
      <c r="B245" s="8">
        <v>436365</v>
      </c>
      <c r="C245" s="8">
        <v>436549</v>
      </c>
      <c r="D245" s="128">
        <f t="shared" si="28"/>
        <v>184</v>
      </c>
      <c r="E245" s="8">
        <v>174743</v>
      </c>
      <c r="F245" s="8">
        <v>174979</v>
      </c>
      <c r="G245" s="137">
        <f t="shared" si="23"/>
        <v>236</v>
      </c>
      <c r="H245" s="128">
        <f t="shared" si="24"/>
        <v>420</v>
      </c>
      <c r="I245" s="8">
        <v>642946</v>
      </c>
      <c r="J245" s="8">
        <v>643159</v>
      </c>
      <c r="K245" s="137">
        <f t="shared" si="29"/>
        <v>213</v>
      </c>
      <c r="L245" s="8">
        <v>236126</v>
      </c>
      <c r="M245" s="8">
        <v>236132</v>
      </c>
      <c r="N245" s="137">
        <f t="shared" si="25"/>
        <v>6</v>
      </c>
      <c r="O245" s="128">
        <f t="shared" si="26"/>
        <v>219</v>
      </c>
      <c r="P245" s="8">
        <v>237246</v>
      </c>
      <c r="Q245" s="8">
        <v>237246</v>
      </c>
      <c r="R245" s="128">
        <f t="shared" si="27"/>
        <v>0</v>
      </c>
      <c r="AQ245" s="8"/>
      <c r="AR245" s="8"/>
      <c r="AS245" s="8"/>
    </row>
    <row r="246" spans="1:45">
      <c r="A246" s="12">
        <v>44621</v>
      </c>
      <c r="B246" s="8">
        <v>436549</v>
      </c>
      <c r="C246" s="8">
        <v>436734</v>
      </c>
      <c r="D246" s="128">
        <f t="shared" si="28"/>
        <v>185</v>
      </c>
      <c r="E246" s="8">
        <v>174979</v>
      </c>
      <c r="F246" s="8">
        <v>175185</v>
      </c>
      <c r="G246" s="137">
        <f t="shared" si="23"/>
        <v>206</v>
      </c>
      <c r="H246" s="128">
        <f t="shared" si="24"/>
        <v>391</v>
      </c>
      <c r="I246" s="8">
        <v>643159</v>
      </c>
      <c r="J246" s="8">
        <v>643302</v>
      </c>
      <c r="K246" s="137">
        <f t="shared" si="29"/>
        <v>143</v>
      </c>
      <c r="L246" s="8">
        <v>236132</v>
      </c>
      <c r="M246" s="8">
        <v>236136</v>
      </c>
      <c r="N246" s="137">
        <f t="shared" si="25"/>
        <v>4</v>
      </c>
      <c r="O246" s="128">
        <f t="shared" si="26"/>
        <v>147</v>
      </c>
      <c r="P246" s="8">
        <v>237246</v>
      </c>
      <c r="Q246" s="8">
        <v>237246</v>
      </c>
      <c r="R246" s="128">
        <f t="shared" si="27"/>
        <v>0</v>
      </c>
      <c r="AQ246" s="8"/>
      <c r="AR246" s="8"/>
      <c r="AS246" s="8"/>
    </row>
    <row r="247" spans="1:45">
      <c r="A247" s="12">
        <v>44622</v>
      </c>
      <c r="B247" s="8">
        <v>436734</v>
      </c>
      <c r="C247" s="8">
        <v>436766</v>
      </c>
      <c r="D247" s="128">
        <f t="shared" si="28"/>
        <v>32</v>
      </c>
      <c r="E247" s="8">
        <v>175185</v>
      </c>
      <c r="F247" s="8">
        <v>175440</v>
      </c>
      <c r="G247" s="137">
        <f t="shared" si="23"/>
        <v>255</v>
      </c>
      <c r="H247" s="128">
        <f t="shared" si="24"/>
        <v>287</v>
      </c>
      <c r="I247" s="8">
        <v>643302</v>
      </c>
      <c r="J247" s="8">
        <v>643497</v>
      </c>
      <c r="K247" s="137">
        <f t="shared" si="29"/>
        <v>195</v>
      </c>
      <c r="L247" s="8">
        <v>236136</v>
      </c>
      <c r="M247" s="8">
        <v>236144</v>
      </c>
      <c r="N247" s="137">
        <f t="shared" si="25"/>
        <v>8</v>
      </c>
      <c r="O247" s="128">
        <f t="shared" si="26"/>
        <v>203</v>
      </c>
      <c r="P247" s="8">
        <v>237246</v>
      </c>
      <c r="Q247" s="8">
        <v>237486</v>
      </c>
      <c r="R247" s="128">
        <f t="shared" si="27"/>
        <v>240</v>
      </c>
      <c r="AQ247" s="8"/>
      <c r="AR247" s="8"/>
      <c r="AS247" s="8"/>
    </row>
    <row r="248" spans="1:45">
      <c r="A248" s="12">
        <v>44623</v>
      </c>
      <c r="B248" s="8">
        <v>436766</v>
      </c>
      <c r="C248" s="8">
        <v>437073</v>
      </c>
      <c r="D248" s="128">
        <f t="shared" si="28"/>
        <v>307</v>
      </c>
      <c r="E248" s="8">
        <v>175440</v>
      </c>
      <c r="F248" s="8">
        <v>175732</v>
      </c>
      <c r="G248" s="137">
        <f t="shared" si="23"/>
        <v>292</v>
      </c>
      <c r="H248" s="128">
        <f t="shared" si="24"/>
        <v>599</v>
      </c>
      <c r="I248" s="8">
        <v>643497</v>
      </c>
      <c r="J248" s="8">
        <v>643735</v>
      </c>
      <c r="K248" s="137">
        <f t="shared" si="29"/>
        <v>238</v>
      </c>
      <c r="L248" s="8">
        <v>236144</v>
      </c>
      <c r="M248" s="8">
        <v>236150</v>
      </c>
      <c r="N248" s="137">
        <f t="shared" si="25"/>
        <v>6</v>
      </c>
      <c r="O248" s="128">
        <f t="shared" si="26"/>
        <v>244</v>
      </c>
      <c r="P248" s="8">
        <v>237486</v>
      </c>
      <c r="Q248" s="8">
        <v>237644</v>
      </c>
      <c r="R248" s="128">
        <f t="shared" si="27"/>
        <v>158</v>
      </c>
      <c r="AQ248" s="8"/>
      <c r="AR248" s="8"/>
      <c r="AS248" s="8"/>
    </row>
    <row r="249" spans="1:45">
      <c r="A249" s="12">
        <v>44624</v>
      </c>
      <c r="B249" s="8">
        <v>437073</v>
      </c>
      <c r="C249" s="8">
        <v>437344</v>
      </c>
      <c r="D249" s="128">
        <f t="shared" si="28"/>
        <v>271</v>
      </c>
      <c r="E249" s="8">
        <v>175732</v>
      </c>
      <c r="F249" s="8">
        <v>176055</v>
      </c>
      <c r="G249" s="137">
        <f t="shared" si="23"/>
        <v>323</v>
      </c>
      <c r="H249" s="128">
        <f t="shared" si="24"/>
        <v>594</v>
      </c>
      <c r="I249" s="8">
        <v>643735</v>
      </c>
      <c r="J249" s="8">
        <v>643978</v>
      </c>
      <c r="K249" s="137">
        <f t="shared" si="29"/>
        <v>243</v>
      </c>
      <c r="L249" s="8">
        <v>236150</v>
      </c>
      <c r="M249" s="8">
        <v>236161</v>
      </c>
      <c r="N249" s="137">
        <f t="shared" si="25"/>
        <v>11</v>
      </c>
      <c r="O249" s="128">
        <f t="shared" si="26"/>
        <v>254</v>
      </c>
      <c r="P249" s="8">
        <v>237644</v>
      </c>
      <c r="Q249" s="8">
        <v>238126</v>
      </c>
      <c r="R249" s="128">
        <f t="shared" si="27"/>
        <v>482</v>
      </c>
      <c r="AQ249" s="8"/>
      <c r="AR249" s="8"/>
      <c r="AS249" s="8"/>
    </row>
    <row r="250" spans="1:45">
      <c r="A250" s="12">
        <v>44625</v>
      </c>
      <c r="B250" s="8">
        <v>437344</v>
      </c>
      <c r="C250" s="8">
        <v>437663</v>
      </c>
      <c r="D250" s="128">
        <f t="shared" si="28"/>
        <v>319</v>
      </c>
      <c r="E250" s="8">
        <v>176055</v>
      </c>
      <c r="F250" s="8">
        <v>176430</v>
      </c>
      <c r="G250" s="137">
        <f t="shared" si="23"/>
        <v>375</v>
      </c>
      <c r="H250" s="128">
        <f t="shared" si="24"/>
        <v>694</v>
      </c>
      <c r="I250" s="8">
        <v>643978</v>
      </c>
      <c r="J250" s="8">
        <v>644195</v>
      </c>
      <c r="K250" s="137">
        <f t="shared" si="29"/>
        <v>217</v>
      </c>
      <c r="L250" s="8">
        <v>236161</v>
      </c>
      <c r="M250" s="8">
        <v>236171</v>
      </c>
      <c r="N250" s="137">
        <f t="shared" si="25"/>
        <v>10</v>
      </c>
      <c r="O250" s="128">
        <f t="shared" si="26"/>
        <v>227</v>
      </c>
      <c r="P250" s="8">
        <v>238126</v>
      </c>
      <c r="Q250" s="8">
        <v>238126</v>
      </c>
      <c r="R250" s="128">
        <f t="shared" si="27"/>
        <v>0</v>
      </c>
      <c r="AQ250" s="8"/>
      <c r="AR250" s="8"/>
      <c r="AS250" s="8"/>
    </row>
    <row r="251" spans="1:45">
      <c r="A251" s="12">
        <v>44626</v>
      </c>
      <c r="B251" s="8">
        <v>437663</v>
      </c>
      <c r="C251" s="8">
        <v>437881</v>
      </c>
      <c r="D251" s="128">
        <f t="shared" si="28"/>
        <v>218</v>
      </c>
      <c r="E251" s="8">
        <v>176430</v>
      </c>
      <c r="F251" s="8">
        <v>176728</v>
      </c>
      <c r="G251" s="137">
        <f t="shared" si="23"/>
        <v>298</v>
      </c>
      <c r="H251" s="128">
        <f t="shared" si="24"/>
        <v>516</v>
      </c>
      <c r="I251" s="8">
        <v>644195</v>
      </c>
      <c r="J251" s="8">
        <v>644453</v>
      </c>
      <c r="K251" s="137">
        <f t="shared" si="29"/>
        <v>258</v>
      </c>
      <c r="L251" s="8">
        <v>236171</v>
      </c>
      <c r="M251" s="8">
        <v>236181</v>
      </c>
      <c r="N251" s="137">
        <f t="shared" si="25"/>
        <v>10</v>
      </c>
      <c r="O251" s="128">
        <f t="shared" si="26"/>
        <v>268</v>
      </c>
      <c r="P251" s="8">
        <v>238126</v>
      </c>
      <c r="Q251" s="8">
        <v>238405</v>
      </c>
      <c r="R251" s="128">
        <f t="shared" si="27"/>
        <v>279</v>
      </c>
      <c r="AQ251" s="8"/>
      <c r="AR251" s="8"/>
      <c r="AS251" s="8"/>
    </row>
    <row r="252" spans="1:45">
      <c r="A252" s="12">
        <v>44627</v>
      </c>
      <c r="B252" s="8">
        <v>437881</v>
      </c>
      <c r="C252" s="8">
        <v>438118</v>
      </c>
      <c r="D252" s="128">
        <f t="shared" si="28"/>
        <v>237</v>
      </c>
      <c r="E252" s="8">
        <v>176728</v>
      </c>
      <c r="F252" s="8">
        <v>177033</v>
      </c>
      <c r="G252" s="137">
        <f t="shared" si="23"/>
        <v>305</v>
      </c>
      <c r="H252" s="128">
        <f t="shared" si="24"/>
        <v>542</v>
      </c>
      <c r="I252" s="8">
        <v>644453</v>
      </c>
      <c r="J252" s="8">
        <v>644686</v>
      </c>
      <c r="K252" s="137">
        <f t="shared" si="29"/>
        <v>233</v>
      </c>
      <c r="L252" s="8">
        <v>236181</v>
      </c>
      <c r="M252" s="8">
        <v>236179</v>
      </c>
      <c r="N252" s="137">
        <f t="shared" si="25"/>
        <v>-2</v>
      </c>
      <c r="O252" s="128">
        <f t="shared" si="26"/>
        <v>231</v>
      </c>
      <c r="P252" s="8">
        <v>238405</v>
      </c>
      <c r="Q252" s="8">
        <v>238860</v>
      </c>
      <c r="R252" s="128">
        <f t="shared" si="27"/>
        <v>455</v>
      </c>
      <c r="AQ252" s="8"/>
      <c r="AR252" s="8"/>
      <c r="AS252" s="8"/>
    </row>
    <row r="253" spans="1:45">
      <c r="A253" s="12">
        <v>44628</v>
      </c>
      <c r="B253" s="8">
        <v>438118</v>
      </c>
      <c r="C253" s="8">
        <v>438325</v>
      </c>
      <c r="D253" s="128">
        <f t="shared" si="28"/>
        <v>207</v>
      </c>
      <c r="E253" s="8">
        <v>177033</v>
      </c>
      <c r="F253" s="8">
        <v>177274</v>
      </c>
      <c r="G253" s="137">
        <f t="shared" si="23"/>
        <v>241</v>
      </c>
      <c r="H253" s="128">
        <f t="shared" si="24"/>
        <v>448</v>
      </c>
      <c r="I253" s="8">
        <v>644686</v>
      </c>
      <c r="J253" s="8">
        <v>644911</v>
      </c>
      <c r="K253" s="137">
        <f t="shared" si="29"/>
        <v>225</v>
      </c>
      <c r="L253" s="8">
        <v>236179</v>
      </c>
      <c r="M253" s="8">
        <v>236184</v>
      </c>
      <c r="N253" s="137">
        <f t="shared" si="25"/>
        <v>5</v>
      </c>
      <c r="O253" s="128">
        <f t="shared" si="26"/>
        <v>230</v>
      </c>
      <c r="P253" s="8">
        <v>238860</v>
      </c>
      <c r="Q253" s="8">
        <v>238860</v>
      </c>
      <c r="R253" s="128">
        <f t="shared" si="27"/>
        <v>0</v>
      </c>
      <c r="AQ253" s="8"/>
      <c r="AR253" s="8"/>
      <c r="AS253" s="8"/>
    </row>
    <row r="254" spans="1:45">
      <c r="A254" s="12">
        <v>44629</v>
      </c>
      <c r="B254" s="8">
        <v>438325</v>
      </c>
      <c r="C254" s="8">
        <v>438524</v>
      </c>
      <c r="D254" s="128">
        <f t="shared" si="28"/>
        <v>199</v>
      </c>
      <c r="E254" s="8">
        <v>177274</v>
      </c>
      <c r="F254" s="8">
        <v>177458</v>
      </c>
      <c r="G254" s="137">
        <f t="shared" si="23"/>
        <v>184</v>
      </c>
      <c r="H254" s="128">
        <f t="shared" si="24"/>
        <v>383</v>
      </c>
      <c r="I254" s="8">
        <v>644911</v>
      </c>
      <c r="J254" s="8">
        <v>645122</v>
      </c>
      <c r="K254" s="137">
        <f t="shared" si="29"/>
        <v>211</v>
      </c>
      <c r="L254" s="8">
        <v>236184</v>
      </c>
      <c r="M254" s="8">
        <v>236184</v>
      </c>
      <c r="N254" s="137">
        <f t="shared" si="25"/>
        <v>0</v>
      </c>
      <c r="O254" s="128">
        <f t="shared" si="26"/>
        <v>211</v>
      </c>
      <c r="P254" s="8">
        <v>238860</v>
      </c>
      <c r="Q254" s="8">
        <v>238979</v>
      </c>
      <c r="R254" s="128">
        <f t="shared" si="27"/>
        <v>119</v>
      </c>
      <c r="AQ254" s="8"/>
      <c r="AR254" s="8"/>
      <c r="AS254" s="8"/>
    </row>
    <row r="255" spans="1:45">
      <c r="A255" s="12">
        <v>44630</v>
      </c>
      <c r="B255" s="8">
        <v>438524</v>
      </c>
      <c r="C255" s="8">
        <v>438678</v>
      </c>
      <c r="D255" s="128">
        <f t="shared" si="28"/>
        <v>154</v>
      </c>
      <c r="E255" s="8">
        <v>177458</v>
      </c>
      <c r="F255" s="8">
        <v>177530</v>
      </c>
      <c r="G255" s="137">
        <f t="shared" si="23"/>
        <v>72</v>
      </c>
      <c r="H255" s="128">
        <f t="shared" si="24"/>
        <v>226</v>
      </c>
      <c r="I255" s="8">
        <v>645122</v>
      </c>
      <c r="J255" s="8">
        <v>645327</v>
      </c>
      <c r="K255" s="137">
        <f t="shared" si="29"/>
        <v>205</v>
      </c>
      <c r="L255" s="8">
        <v>0</v>
      </c>
      <c r="M255" s="8">
        <v>102</v>
      </c>
      <c r="N255" s="137">
        <f t="shared" si="25"/>
        <v>102</v>
      </c>
      <c r="O255" s="128">
        <f t="shared" si="26"/>
        <v>307</v>
      </c>
      <c r="P255" s="8">
        <v>238979</v>
      </c>
      <c r="Q255" s="8">
        <v>239132</v>
      </c>
      <c r="R255" s="128">
        <f t="shared" si="27"/>
        <v>153</v>
      </c>
      <c r="AQ255" s="8"/>
      <c r="AR255" s="8"/>
      <c r="AS255" s="8"/>
    </row>
    <row r="256" spans="1:45">
      <c r="A256" s="12">
        <v>44631</v>
      </c>
      <c r="B256" s="8">
        <v>438678</v>
      </c>
      <c r="C256" s="8">
        <v>439174</v>
      </c>
      <c r="D256" s="128">
        <f t="shared" si="28"/>
        <v>496</v>
      </c>
      <c r="E256" s="8">
        <v>177530</v>
      </c>
      <c r="F256" s="8">
        <v>178020</v>
      </c>
      <c r="G256" s="137">
        <f t="shared" si="23"/>
        <v>490</v>
      </c>
      <c r="H256" s="128">
        <f t="shared" si="24"/>
        <v>986</v>
      </c>
      <c r="I256" s="8">
        <v>645327</v>
      </c>
      <c r="J256" s="8">
        <v>645521</v>
      </c>
      <c r="K256" s="137">
        <f t="shared" si="29"/>
        <v>194</v>
      </c>
      <c r="L256" s="8">
        <v>102</v>
      </c>
      <c r="M256" s="8">
        <v>274</v>
      </c>
      <c r="N256" s="137">
        <f t="shared" si="25"/>
        <v>172</v>
      </c>
      <c r="O256" s="128">
        <f t="shared" si="26"/>
        <v>366</v>
      </c>
      <c r="P256" s="8">
        <v>239132</v>
      </c>
      <c r="Q256" s="8">
        <v>239132</v>
      </c>
      <c r="R256" s="128">
        <f t="shared" si="27"/>
        <v>0</v>
      </c>
      <c r="AQ256" s="8"/>
      <c r="AR256" s="8"/>
      <c r="AS256" s="8"/>
    </row>
    <row r="257" spans="1:45">
      <c r="A257" s="12">
        <v>44632</v>
      </c>
      <c r="B257" s="8">
        <v>439174</v>
      </c>
      <c r="C257" s="8">
        <v>439450</v>
      </c>
      <c r="D257" s="128">
        <f t="shared" si="28"/>
        <v>276</v>
      </c>
      <c r="E257" s="8">
        <v>178020</v>
      </c>
      <c r="F257" s="8">
        <v>178166</v>
      </c>
      <c r="G257" s="137">
        <f t="shared" si="23"/>
        <v>146</v>
      </c>
      <c r="H257" s="128">
        <f t="shared" si="24"/>
        <v>422</v>
      </c>
      <c r="I257" s="8">
        <v>645521</v>
      </c>
      <c r="J257" s="8">
        <v>645788</v>
      </c>
      <c r="K257" s="137">
        <f t="shared" si="29"/>
        <v>267</v>
      </c>
      <c r="L257" s="8">
        <v>274</v>
      </c>
      <c r="M257" s="8">
        <v>460</v>
      </c>
      <c r="N257" s="137">
        <f t="shared" si="25"/>
        <v>186</v>
      </c>
      <c r="O257" s="128">
        <f t="shared" si="26"/>
        <v>453</v>
      </c>
      <c r="P257" s="8">
        <v>239132</v>
      </c>
      <c r="Q257" s="8">
        <v>239382</v>
      </c>
      <c r="R257" s="128">
        <f t="shared" si="27"/>
        <v>250</v>
      </c>
      <c r="AQ257" s="8"/>
      <c r="AR257" s="8"/>
      <c r="AS257" s="8"/>
    </row>
    <row r="258" spans="1:45">
      <c r="A258" s="12">
        <v>44633</v>
      </c>
      <c r="B258" s="8">
        <v>439450</v>
      </c>
      <c r="C258" s="8">
        <v>439481</v>
      </c>
      <c r="D258" s="128">
        <f t="shared" si="28"/>
        <v>31</v>
      </c>
      <c r="E258" s="8">
        <v>178166</v>
      </c>
      <c r="F258" s="8">
        <v>178261</v>
      </c>
      <c r="G258" s="137">
        <f t="shared" si="23"/>
        <v>95</v>
      </c>
      <c r="H258" s="128">
        <f t="shared" si="24"/>
        <v>126</v>
      </c>
      <c r="I258" s="8">
        <v>645788</v>
      </c>
      <c r="J258" s="8">
        <v>646002</v>
      </c>
      <c r="K258" s="137">
        <f t="shared" si="29"/>
        <v>214</v>
      </c>
      <c r="L258" s="8">
        <v>460</v>
      </c>
      <c r="M258" s="8">
        <v>697</v>
      </c>
      <c r="N258" s="137">
        <f t="shared" si="25"/>
        <v>237</v>
      </c>
      <c r="O258" s="128">
        <f t="shared" si="26"/>
        <v>451</v>
      </c>
      <c r="P258" s="8">
        <v>239382</v>
      </c>
      <c r="Q258" s="8">
        <v>239569</v>
      </c>
      <c r="R258" s="128">
        <f t="shared" si="27"/>
        <v>187</v>
      </c>
      <c r="AQ258" s="8"/>
      <c r="AR258" s="8"/>
      <c r="AS258" s="8"/>
    </row>
    <row r="259" spans="1:45">
      <c r="A259" s="12">
        <v>44634</v>
      </c>
      <c r="B259" s="8">
        <v>439481</v>
      </c>
      <c r="C259" s="8">
        <v>439491</v>
      </c>
      <c r="D259" s="128">
        <f t="shared" si="28"/>
        <v>10</v>
      </c>
      <c r="E259" s="8">
        <v>178261</v>
      </c>
      <c r="F259" s="8">
        <v>178274</v>
      </c>
      <c r="G259" s="137">
        <f t="shared" ref="G259:G322" si="30">F259-E259</f>
        <v>13</v>
      </c>
      <c r="H259" s="128">
        <f t="shared" si="24"/>
        <v>23</v>
      </c>
      <c r="I259" s="8">
        <v>646002</v>
      </c>
      <c r="J259" s="8">
        <v>646193</v>
      </c>
      <c r="K259" s="137">
        <f t="shared" si="29"/>
        <v>191</v>
      </c>
      <c r="L259" s="8">
        <v>697</v>
      </c>
      <c r="M259" s="8">
        <v>831</v>
      </c>
      <c r="N259" s="137">
        <f t="shared" si="25"/>
        <v>134</v>
      </c>
      <c r="O259" s="128">
        <f t="shared" si="26"/>
        <v>325</v>
      </c>
      <c r="P259" s="8">
        <v>239569</v>
      </c>
      <c r="Q259" s="8">
        <v>239742</v>
      </c>
      <c r="R259" s="128">
        <f t="shared" si="27"/>
        <v>173</v>
      </c>
      <c r="AQ259" s="8"/>
      <c r="AR259" s="8"/>
      <c r="AS259" s="8"/>
    </row>
    <row r="260" spans="1:45">
      <c r="A260" s="12">
        <v>44635</v>
      </c>
      <c r="B260" s="8">
        <v>439491</v>
      </c>
      <c r="C260" s="8">
        <v>439585</v>
      </c>
      <c r="D260" s="128">
        <f t="shared" si="28"/>
        <v>94</v>
      </c>
      <c r="E260" s="8">
        <v>178274</v>
      </c>
      <c r="F260" s="8">
        <v>178325</v>
      </c>
      <c r="G260" s="137">
        <f t="shared" si="30"/>
        <v>51</v>
      </c>
      <c r="H260" s="128">
        <f t="shared" ref="H260:H323" si="31">D260+G260</f>
        <v>145</v>
      </c>
      <c r="I260" s="8">
        <v>646193</v>
      </c>
      <c r="J260" s="8">
        <v>646431</v>
      </c>
      <c r="K260" s="137">
        <f t="shared" si="29"/>
        <v>238</v>
      </c>
      <c r="L260" s="8">
        <v>831</v>
      </c>
      <c r="M260" s="8">
        <v>954</v>
      </c>
      <c r="N260" s="137">
        <f>M260-L260</f>
        <v>123</v>
      </c>
      <c r="O260" s="128">
        <f t="shared" ref="O260:O323" si="32">N260+K260</f>
        <v>361</v>
      </c>
      <c r="P260" s="8">
        <v>239742</v>
      </c>
      <c r="Q260" s="8">
        <v>239742</v>
      </c>
      <c r="R260" s="128">
        <f t="shared" si="27"/>
        <v>0</v>
      </c>
      <c r="AQ260" s="8"/>
      <c r="AR260" s="8"/>
      <c r="AS260" s="8"/>
    </row>
    <row r="261" spans="1:45">
      <c r="A261" s="12">
        <v>44636</v>
      </c>
      <c r="B261" s="8">
        <v>439585</v>
      </c>
      <c r="C261" s="8">
        <v>439753</v>
      </c>
      <c r="D261" s="128">
        <f t="shared" si="28"/>
        <v>168</v>
      </c>
      <c r="E261" s="8">
        <v>178325</v>
      </c>
      <c r="F261" s="8">
        <v>178511</v>
      </c>
      <c r="G261" s="137">
        <f t="shared" si="30"/>
        <v>186</v>
      </c>
      <c r="H261" s="128">
        <f t="shared" si="31"/>
        <v>354</v>
      </c>
      <c r="I261" s="8">
        <v>646431</v>
      </c>
      <c r="J261" s="8">
        <v>646653</v>
      </c>
      <c r="K261" s="137">
        <f t="shared" si="29"/>
        <v>222</v>
      </c>
      <c r="L261" s="8">
        <v>954</v>
      </c>
      <c r="M261" s="8">
        <v>1187</v>
      </c>
      <c r="N261" s="137">
        <f>M261-L261</f>
        <v>233</v>
      </c>
      <c r="O261" s="128">
        <f t="shared" si="32"/>
        <v>455</v>
      </c>
      <c r="P261" s="8">
        <v>239742</v>
      </c>
      <c r="Q261" s="8">
        <v>240496</v>
      </c>
      <c r="R261" s="128">
        <f t="shared" si="27"/>
        <v>754</v>
      </c>
      <c r="AQ261" s="8"/>
      <c r="AR261" s="8"/>
      <c r="AS261" s="8"/>
    </row>
    <row r="262" spans="1:45">
      <c r="A262" s="12">
        <v>44637</v>
      </c>
      <c r="B262" s="8">
        <v>439753</v>
      </c>
      <c r="C262" s="8">
        <v>440196</v>
      </c>
      <c r="D262" s="128">
        <f t="shared" si="28"/>
        <v>443</v>
      </c>
      <c r="E262" s="8">
        <v>178511</v>
      </c>
      <c r="F262" s="8">
        <v>178954</v>
      </c>
      <c r="G262" s="137">
        <f t="shared" si="30"/>
        <v>443</v>
      </c>
      <c r="H262" s="128">
        <f t="shared" si="31"/>
        <v>886</v>
      </c>
      <c r="I262" s="8">
        <v>646653</v>
      </c>
      <c r="J262" s="8">
        <v>646889</v>
      </c>
      <c r="K262" s="137">
        <f t="shared" si="29"/>
        <v>236</v>
      </c>
      <c r="L262" s="8">
        <v>1187</v>
      </c>
      <c r="M262" s="8">
        <v>1353</v>
      </c>
      <c r="N262" s="137">
        <f>M262-L262</f>
        <v>166</v>
      </c>
      <c r="O262" s="128">
        <f t="shared" si="32"/>
        <v>402</v>
      </c>
      <c r="P262" s="8">
        <v>240496</v>
      </c>
      <c r="Q262" s="8">
        <v>240667</v>
      </c>
      <c r="R262" s="128">
        <f t="shared" si="27"/>
        <v>171</v>
      </c>
      <c r="AQ262" s="8"/>
      <c r="AR262" s="8"/>
      <c r="AS262" s="8"/>
    </row>
    <row r="263" spans="1:45">
      <c r="A263" s="12">
        <v>44638</v>
      </c>
      <c r="B263" s="8">
        <v>440196</v>
      </c>
      <c r="C263" s="8">
        <v>440595</v>
      </c>
      <c r="D263" s="128">
        <f t="shared" si="28"/>
        <v>399</v>
      </c>
      <c r="E263" s="8">
        <v>178954</v>
      </c>
      <c r="F263" s="8">
        <v>179549</v>
      </c>
      <c r="G263" s="137">
        <f t="shared" si="30"/>
        <v>595</v>
      </c>
      <c r="H263" s="128">
        <f t="shared" si="31"/>
        <v>994</v>
      </c>
      <c r="I263" s="8">
        <v>646889</v>
      </c>
      <c r="J263" s="8">
        <v>647133</v>
      </c>
      <c r="K263" s="137">
        <f t="shared" si="29"/>
        <v>244</v>
      </c>
      <c r="L263" s="8">
        <v>1353</v>
      </c>
      <c r="M263" s="8">
        <v>1606</v>
      </c>
      <c r="N263" s="137">
        <f>M263-L263</f>
        <v>253</v>
      </c>
      <c r="O263" s="128">
        <f t="shared" si="32"/>
        <v>497</v>
      </c>
      <c r="P263" s="8">
        <v>240667</v>
      </c>
      <c r="Q263" s="8">
        <v>240951</v>
      </c>
      <c r="R263" s="128">
        <f t="shared" si="27"/>
        <v>284</v>
      </c>
      <c r="AQ263" s="8"/>
      <c r="AR263" s="8"/>
      <c r="AS263" s="8"/>
    </row>
    <row r="264" spans="1:45">
      <c r="A264" s="12">
        <v>44639</v>
      </c>
      <c r="B264" s="8">
        <v>440595</v>
      </c>
      <c r="C264" s="8">
        <v>440884</v>
      </c>
      <c r="D264" s="128">
        <f t="shared" si="28"/>
        <v>289</v>
      </c>
      <c r="E264" s="8">
        <v>179549</v>
      </c>
      <c r="F264" s="8">
        <v>179904</v>
      </c>
      <c r="G264" s="137">
        <f t="shared" si="30"/>
        <v>355</v>
      </c>
      <c r="H264" s="128">
        <f t="shared" si="31"/>
        <v>644</v>
      </c>
      <c r="I264" s="8">
        <v>647133</v>
      </c>
      <c r="J264" s="8">
        <v>647313</v>
      </c>
      <c r="K264" s="137">
        <f t="shared" si="29"/>
        <v>180</v>
      </c>
      <c r="L264" s="8">
        <v>1606</v>
      </c>
      <c r="M264" s="8">
        <v>1862</v>
      </c>
      <c r="N264" s="137">
        <f t="shared" ref="N264:N327" si="33">M264-L264</f>
        <v>256</v>
      </c>
      <c r="O264" s="128">
        <f t="shared" si="32"/>
        <v>436</v>
      </c>
      <c r="P264" s="8">
        <v>240951</v>
      </c>
      <c r="Q264" s="8">
        <v>241001</v>
      </c>
      <c r="R264" s="128">
        <f t="shared" si="27"/>
        <v>50</v>
      </c>
      <c r="AQ264" s="8"/>
      <c r="AR264" s="8"/>
      <c r="AS264" s="8"/>
    </row>
    <row r="265" spans="1:45">
      <c r="A265" s="12">
        <v>44640</v>
      </c>
      <c r="B265" s="8">
        <v>440884</v>
      </c>
      <c r="C265" s="8">
        <v>441096</v>
      </c>
      <c r="D265" s="128">
        <f t="shared" si="28"/>
        <v>212</v>
      </c>
      <c r="E265" s="8">
        <v>179904</v>
      </c>
      <c r="F265" s="8">
        <v>180249</v>
      </c>
      <c r="G265" s="137">
        <f t="shared" si="30"/>
        <v>345</v>
      </c>
      <c r="H265" s="128">
        <f t="shared" si="31"/>
        <v>557</v>
      </c>
      <c r="I265" s="8">
        <v>647313</v>
      </c>
      <c r="J265" s="8">
        <v>647565</v>
      </c>
      <c r="K265" s="137">
        <f t="shared" si="29"/>
        <v>252</v>
      </c>
      <c r="L265" s="8">
        <v>1862</v>
      </c>
      <c r="M265" s="8">
        <v>2012</v>
      </c>
      <c r="N265" s="137">
        <f t="shared" si="33"/>
        <v>150</v>
      </c>
      <c r="O265" s="128">
        <f t="shared" si="32"/>
        <v>402</v>
      </c>
      <c r="P265" s="8">
        <v>241001</v>
      </c>
      <c r="Q265" s="8">
        <v>241001</v>
      </c>
      <c r="R265" s="128">
        <f t="shared" si="27"/>
        <v>0</v>
      </c>
      <c r="AQ265" s="8"/>
      <c r="AR265" s="8"/>
      <c r="AS265" s="8"/>
    </row>
    <row r="266" spans="1:45">
      <c r="A266" s="12">
        <v>44641</v>
      </c>
      <c r="B266" s="8">
        <v>441096</v>
      </c>
      <c r="C266" s="8">
        <v>441362</v>
      </c>
      <c r="D266" s="128">
        <f t="shared" si="28"/>
        <v>266</v>
      </c>
      <c r="E266" s="8">
        <v>180249</v>
      </c>
      <c r="F266" s="8">
        <v>180362</v>
      </c>
      <c r="G266" s="137">
        <f t="shared" si="30"/>
        <v>113</v>
      </c>
      <c r="H266" s="128">
        <f t="shared" si="31"/>
        <v>379</v>
      </c>
      <c r="I266" s="8">
        <v>647565</v>
      </c>
      <c r="J266" s="8">
        <v>647789</v>
      </c>
      <c r="K266" s="137">
        <f t="shared" si="29"/>
        <v>224</v>
      </c>
      <c r="L266" s="8">
        <v>2012</v>
      </c>
      <c r="M266" s="8">
        <v>2175</v>
      </c>
      <c r="N266" s="137">
        <f t="shared" si="33"/>
        <v>163</v>
      </c>
      <c r="O266" s="128">
        <f t="shared" si="32"/>
        <v>387</v>
      </c>
      <c r="P266" s="8">
        <v>241001</v>
      </c>
      <c r="Q266" s="8">
        <v>241001</v>
      </c>
      <c r="R266" s="128">
        <f t="shared" si="27"/>
        <v>0</v>
      </c>
      <c r="AQ266" s="8"/>
      <c r="AR266" s="8"/>
      <c r="AS266" s="8"/>
    </row>
    <row r="267" spans="1:45">
      <c r="A267" s="12">
        <v>44642</v>
      </c>
      <c r="B267" s="8">
        <v>441362</v>
      </c>
      <c r="C267" s="8">
        <v>441638</v>
      </c>
      <c r="D267" s="128">
        <f t="shared" si="28"/>
        <v>276</v>
      </c>
      <c r="E267" s="8">
        <v>180362</v>
      </c>
      <c r="F267" s="8">
        <v>180843</v>
      </c>
      <c r="G267" s="137">
        <f t="shared" si="30"/>
        <v>481</v>
      </c>
      <c r="H267" s="128">
        <f t="shared" si="31"/>
        <v>757</v>
      </c>
      <c r="I267" s="8">
        <v>647789</v>
      </c>
      <c r="J267" s="8">
        <v>647899</v>
      </c>
      <c r="K267" s="137">
        <f t="shared" si="29"/>
        <v>110</v>
      </c>
      <c r="L267" s="8">
        <v>2175</v>
      </c>
      <c r="M267" s="8">
        <v>2393</v>
      </c>
      <c r="N267" s="137">
        <f t="shared" si="33"/>
        <v>218</v>
      </c>
      <c r="O267" s="128">
        <f t="shared" si="32"/>
        <v>328</v>
      </c>
      <c r="P267" s="8">
        <v>241001</v>
      </c>
      <c r="Q267" s="8">
        <v>241230</v>
      </c>
      <c r="R267" s="128">
        <f t="shared" ref="R267:R330" si="34">Q267-P267</f>
        <v>229</v>
      </c>
      <c r="AQ267" s="8"/>
      <c r="AR267" s="8"/>
      <c r="AS267" s="8"/>
    </row>
    <row r="268" spans="1:45">
      <c r="A268" s="12">
        <v>44643</v>
      </c>
      <c r="B268" s="8">
        <v>441638</v>
      </c>
      <c r="C268" s="8">
        <v>441925</v>
      </c>
      <c r="D268" s="128">
        <f t="shared" si="28"/>
        <v>287</v>
      </c>
      <c r="E268" s="8">
        <v>180843</v>
      </c>
      <c r="F268" s="8">
        <v>181023</v>
      </c>
      <c r="G268" s="137">
        <f t="shared" si="30"/>
        <v>180</v>
      </c>
      <c r="H268" s="128">
        <f t="shared" si="31"/>
        <v>467</v>
      </c>
      <c r="I268" s="8">
        <v>647899</v>
      </c>
      <c r="J268" s="8">
        <v>648037</v>
      </c>
      <c r="K268" s="137">
        <f t="shared" si="29"/>
        <v>138</v>
      </c>
      <c r="L268" s="8">
        <v>2393</v>
      </c>
      <c r="M268" s="8">
        <v>2609</v>
      </c>
      <c r="N268" s="137">
        <f t="shared" si="33"/>
        <v>216</v>
      </c>
      <c r="O268" s="128">
        <f t="shared" si="32"/>
        <v>354</v>
      </c>
      <c r="P268" s="8">
        <v>241230</v>
      </c>
      <c r="Q268" s="8">
        <v>241414</v>
      </c>
      <c r="R268" s="128">
        <f t="shared" si="34"/>
        <v>184</v>
      </c>
      <c r="AQ268" s="8"/>
      <c r="AR268" s="8"/>
      <c r="AS268" s="8"/>
    </row>
    <row r="269" spans="1:45">
      <c r="A269" s="12">
        <v>44644</v>
      </c>
      <c r="B269" s="8">
        <v>441925</v>
      </c>
      <c r="C269" s="8">
        <v>442181</v>
      </c>
      <c r="D269" s="128">
        <f t="shared" si="28"/>
        <v>256</v>
      </c>
      <c r="E269" s="8">
        <v>181023</v>
      </c>
      <c r="F269" s="8">
        <v>181460</v>
      </c>
      <c r="G269" s="137">
        <f t="shared" si="30"/>
        <v>437</v>
      </c>
      <c r="H269" s="128">
        <f t="shared" si="31"/>
        <v>693</v>
      </c>
      <c r="I269" s="8">
        <v>648037</v>
      </c>
      <c r="J269" s="8">
        <v>648196</v>
      </c>
      <c r="K269" s="137">
        <f t="shared" si="29"/>
        <v>159</v>
      </c>
      <c r="L269" s="8">
        <v>2609</v>
      </c>
      <c r="M269" s="8">
        <v>2709</v>
      </c>
      <c r="N269" s="137">
        <f t="shared" si="33"/>
        <v>100</v>
      </c>
      <c r="O269" s="128">
        <f t="shared" si="32"/>
        <v>259</v>
      </c>
      <c r="P269" s="8">
        <v>241414</v>
      </c>
      <c r="Q269" s="8">
        <v>241597</v>
      </c>
      <c r="R269" s="128">
        <f t="shared" si="34"/>
        <v>183</v>
      </c>
      <c r="AQ269" s="8"/>
      <c r="AR269" s="8"/>
      <c r="AS269" s="8"/>
    </row>
    <row r="270" spans="1:45">
      <c r="A270" s="12">
        <v>44645</v>
      </c>
      <c r="B270" s="8">
        <v>442181</v>
      </c>
      <c r="C270" s="8">
        <v>442521</v>
      </c>
      <c r="D270" s="128">
        <f t="shared" si="28"/>
        <v>340</v>
      </c>
      <c r="E270" s="8">
        <v>181460</v>
      </c>
      <c r="F270" s="8">
        <v>181460</v>
      </c>
      <c r="G270" s="137">
        <f t="shared" si="30"/>
        <v>0</v>
      </c>
      <c r="H270" s="128">
        <f t="shared" si="31"/>
        <v>340</v>
      </c>
      <c r="I270" s="8">
        <v>648196</v>
      </c>
      <c r="J270" s="8">
        <v>648425</v>
      </c>
      <c r="K270" s="137">
        <f t="shared" si="29"/>
        <v>229</v>
      </c>
      <c r="L270" s="8">
        <v>2709</v>
      </c>
      <c r="M270" s="8">
        <v>2800</v>
      </c>
      <c r="N270" s="137">
        <f t="shared" si="33"/>
        <v>91</v>
      </c>
      <c r="O270" s="128">
        <f t="shared" si="32"/>
        <v>320</v>
      </c>
      <c r="P270" s="8">
        <v>241597</v>
      </c>
      <c r="Q270" s="8">
        <v>241669</v>
      </c>
      <c r="R270" s="128">
        <f t="shared" si="34"/>
        <v>72</v>
      </c>
      <c r="AQ270" s="8"/>
      <c r="AR270" s="8"/>
      <c r="AS270" s="8"/>
    </row>
    <row r="271" spans="1:45">
      <c r="A271" s="12">
        <v>44646</v>
      </c>
      <c r="B271" s="8">
        <v>442521</v>
      </c>
      <c r="C271" s="8">
        <v>442755</v>
      </c>
      <c r="D271" s="128">
        <f t="shared" si="28"/>
        <v>234</v>
      </c>
      <c r="E271" s="8">
        <v>181460</v>
      </c>
      <c r="F271" s="8">
        <v>181460</v>
      </c>
      <c r="G271" s="137">
        <f t="shared" si="30"/>
        <v>0</v>
      </c>
      <c r="H271" s="128">
        <f t="shared" si="31"/>
        <v>234</v>
      </c>
      <c r="I271" s="8">
        <v>648425</v>
      </c>
      <c r="J271" s="8">
        <v>648698</v>
      </c>
      <c r="K271" s="137">
        <f t="shared" si="29"/>
        <v>273</v>
      </c>
      <c r="L271" s="8">
        <v>2800</v>
      </c>
      <c r="M271" s="8">
        <v>2800</v>
      </c>
      <c r="N271" s="137">
        <f t="shared" si="33"/>
        <v>0</v>
      </c>
      <c r="O271" s="128">
        <f t="shared" si="32"/>
        <v>273</v>
      </c>
      <c r="P271" s="8">
        <v>241669</v>
      </c>
      <c r="Q271" s="8">
        <v>241918</v>
      </c>
      <c r="R271" s="128">
        <f t="shared" si="34"/>
        <v>249</v>
      </c>
      <c r="AQ271" s="8"/>
      <c r="AR271" s="8"/>
      <c r="AS271" s="8"/>
    </row>
    <row r="272" spans="1:45">
      <c r="A272" s="12">
        <v>44647</v>
      </c>
      <c r="B272" s="8">
        <v>442755</v>
      </c>
      <c r="C272" s="8">
        <v>443073</v>
      </c>
      <c r="D272" s="128">
        <f t="shared" si="28"/>
        <v>318</v>
      </c>
      <c r="E272" s="8">
        <v>181460</v>
      </c>
      <c r="F272" s="8">
        <v>181460</v>
      </c>
      <c r="G272" s="137">
        <f t="shared" si="30"/>
        <v>0</v>
      </c>
      <c r="H272" s="128">
        <f t="shared" si="31"/>
        <v>318</v>
      </c>
      <c r="I272" s="8">
        <v>648698</v>
      </c>
      <c r="J272" s="8">
        <v>648895</v>
      </c>
      <c r="K272" s="137">
        <f t="shared" si="29"/>
        <v>197</v>
      </c>
      <c r="L272" s="8">
        <v>2800</v>
      </c>
      <c r="M272" s="8">
        <v>2800</v>
      </c>
      <c r="N272" s="137">
        <f t="shared" si="33"/>
        <v>0</v>
      </c>
      <c r="O272" s="128">
        <f t="shared" si="32"/>
        <v>197</v>
      </c>
      <c r="P272" s="8">
        <v>241918</v>
      </c>
      <c r="Q272" s="8">
        <v>242191</v>
      </c>
      <c r="R272" s="128">
        <f t="shared" si="34"/>
        <v>273</v>
      </c>
      <c r="AQ272" s="8"/>
      <c r="AR272" s="8"/>
      <c r="AS272" s="8"/>
    </row>
    <row r="273" spans="1:45">
      <c r="A273" s="12">
        <v>44648</v>
      </c>
      <c r="B273" s="8">
        <v>443073</v>
      </c>
      <c r="C273" s="8">
        <v>443229</v>
      </c>
      <c r="D273" s="128">
        <f t="shared" si="28"/>
        <v>156</v>
      </c>
      <c r="E273" s="8">
        <v>181460</v>
      </c>
      <c r="F273" s="8">
        <v>181460</v>
      </c>
      <c r="G273" s="137">
        <f t="shared" si="30"/>
        <v>0</v>
      </c>
      <c r="H273" s="128">
        <f t="shared" si="31"/>
        <v>156</v>
      </c>
      <c r="I273" s="8">
        <v>648895</v>
      </c>
      <c r="J273" s="8">
        <v>649103</v>
      </c>
      <c r="K273" s="137">
        <f t="shared" si="29"/>
        <v>208</v>
      </c>
      <c r="L273" s="8">
        <v>2800</v>
      </c>
      <c r="M273" s="8">
        <v>2923</v>
      </c>
      <c r="N273" s="137">
        <f t="shared" si="33"/>
        <v>123</v>
      </c>
      <c r="O273" s="128">
        <f t="shared" si="32"/>
        <v>331</v>
      </c>
      <c r="P273" s="8">
        <v>242191</v>
      </c>
      <c r="Q273" s="8">
        <v>242315</v>
      </c>
      <c r="R273" s="128">
        <f t="shared" si="34"/>
        <v>124</v>
      </c>
      <c r="AQ273" s="8"/>
      <c r="AR273" s="8"/>
      <c r="AS273" s="8"/>
    </row>
    <row r="274" spans="1:45">
      <c r="A274" s="12">
        <v>44649</v>
      </c>
      <c r="B274" s="8">
        <v>443229</v>
      </c>
      <c r="C274" s="8">
        <v>443317</v>
      </c>
      <c r="D274" s="128">
        <f t="shared" si="28"/>
        <v>88</v>
      </c>
      <c r="E274" s="8">
        <v>181460</v>
      </c>
      <c r="F274" s="8">
        <v>181460</v>
      </c>
      <c r="G274" s="137">
        <f t="shared" si="30"/>
        <v>0</v>
      </c>
      <c r="H274" s="128">
        <f t="shared" si="31"/>
        <v>88</v>
      </c>
      <c r="I274" s="8">
        <v>649103</v>
      </c>
      <c r="J274" s="8">
        <v>649321</v>
      </c>
      <c r="K274" s="137">
        <f t="shared" si="29"/>
        <v>218</v>
      </c>
      <c r="L274" s="8">
        <v>2923</v>
      </c>
      <c r="M274" s="8">
        <v>3059</v>
      </c>
      <c r="N274" s="137">
        <f t="shared" si="33"/>
        <v>136</v>
      </c>
      <c r="O274" s="128">
        <f t="shared" si="32"/>
        <v>354</v>
      </c>
      <c r="P274" s="8">
        <v>242315</v>
      </c>
      <c r="Q274" s="8">
        <v>242412</v>
      </c>
      <c r="R274" s="128">
        <f t="shared" si="34"/>
        <v>97</v>
      </c>
      <c r="AQ274" s="8"/>
      <c r="AR274" s="8"/>
      <c r="AS274" s="8"/>
    </row>
    <row r="275" spans="1:45">
      <c r="A275" s="12">
        <v>44650</v>
      </c>
      <c r="B275" s="8">
        <v>443317</v>
      </c>
      <c r="C275" s="8">
        <v>443455</v>
      </c>
      <c r="D275" s="128">
        <f t="shared" si="28"/>
        <v>138</v>
      </c>
      <c r="E275" s="8">
        <v>181460</v>
      </c>
      <c r="F275" s="8">
        <v>181460</v>
      </c>
      <c r="G275" s="137">
        <f t="shared" si="30"/>
        <v>0</v>
      </c>
      <c r="H275" s="128">
        <f t="shared" si="31"/>
        <v>138</v>
      </c>
      <c r="I275" s="8">
        <v>649321</v>
      </c>
      <c r="J275" s="8">
        <v>649524</v>
      </c>
      <c r="K275" s="137">
        <f t="shared" si="29"/>
        <v>203</v>
      </c>
      <c r="L275" s="8">
        <v>3059</v>
      </c>
      <c r="M275" s="8">
        <v>3213</v>
      </c>
      <c r="N275" s="137">
        <f t="shared" si="33"/>
        <v>154</v>
      </c>
      <c r="O275" s="128">
        <f t="shared" si="32"/>
        <v>357</v>
      </c>
      <c r="P275" s="8">
        <v>242412</v>
      </c>
      <c r="Q275" s="8">
        <v>242412</v>
      </c>
      <c r="R275" s="128">
        <f t="shared" si="34"/>
        <v>0</v>
      </c>
      <c r="AQ275" s="8"/>
      <c r="AR275" s="8"/>
      <c r="AS275" s="8"/>
    </row>
    <row r="276" spans="1:45">
      <c r="A276" s="12">
        <v>44651</v>
      </c>
      <c r="B276" s="8">
        <v>443455</v>
      </c>
      <c r="C276" s="8">
        <v>443535</v>
      </c>
      <c r="D276" s="128">
        <f t="shared" si="28"/>
        <v>80</v>
      </c>
      <c r="E276" s="8">
        <v>181460</v>
      </c>
      <c r="F276" s="8">
        <v>181460</v>
      </c>
      <c r="G276" s="137">
        <f t="shared" si="30"/>
        <v>0</v>
      </c>
      <c r="H276" s="128">
        <f t="shared" si="31"/>
        <v>80</v>
      </c>
      <c r="I276" s="8">
        <v>649524</v>
      </c>
      <c r="J276" s="8">
        <v>649718</v>
      </c>
      <c r="K276" s="137">
        <f t="shared" si="29"/>
        <v>194</v>
      </c>
      <c r="L276" s="8">
        <v>3213</v>
      </c>
      <c r="M276" s="8">
        <v>3375</v>
      </c>
      <c r="N276" s="137">
        <f t="shared" si="33"/>
        <v>162</v>
      </c>
      <c r="O276" s="128">
        <f t="shared" si="32"/>
        <v>356</v>
      </c>
      <c r="P276" s="8">
        <v>242412</v>
      </c>
      <c r="Q276" s="8">
        <v>242778</v>
      </c>
      <c r="R276" s="128">
        <f t="shared" si="34"/>
        <v>366</v>
      </c>
      <c r="AQ276" s="8"/>
      <c r="AR276" s="8"/>
      <c r="AS276" s="8"/>
    </row>
    <row r="277" spans="1:45">
      <c r="A277" s="12">
        <v>44652</v>
      </c>
      <c r="B277" s="8">
        <v>443535</v>
      </c>
      <c r="C277" s="8">
        <v>443867</v>
      </c>
      <c r="D277" s="128">
        <f t="shared" si="28"/>
        <v>332</v>
      </c>
      <c r="E277" s="8">
        <v>181460</v>
      </c>
      <c r="F277" s="8">
        <v>181460</v>
      </c>
      <c r="G277" s="137">
        <f t="shared" si="30"/>
        <v>0</v>
      </c>
      <c r="H277" s="128">
        <f t="shared" si="31"/>
        <v>332</v>
      </c>
      <c r="I277" s="8">
        <v>649718</v>
      </c>
      <c r="J277" s="8">
        <v>649936</v>
      </c>
      <c r="K277" s="137">
        <f t="shared" si="29"/>
        <v>218</v>
      </c>
      <c r="L277" s="8">
        <v>3375</v>
      </c>
      <c r="M277" s="8">
        <v>3515</v>
      </c>
      <c r="N277" s="137">
        <f t="shared" si="33"/>
        <v>140</v>
      </c>
      <c r="O277" s="128">
        <f t="shared" si="32"/>
        <v>358</v>
      </c>
      <c r="P277" s="8">
        <v>242778</v>
      </c>
      <c r="Q277" s="8">
        <v>242778</v>
      </c>
      <c r="R277" s="128">
        <f t="shared" si="34"/>
        <v>0</v>
      </c>
      <c r="AQ277" s="8"/>
      <c r="AR277" s="8"/>
      <c r="AS277" s="8"/>
    </row>
    <row r="278" spans="1:45">
      <c r="A278" s="12">
        <v>44653</v>
      </c>
      <c r="B278" s="8">
        <v>443867</v>
      </c>
      <c r="C278" s="8">
        <v>444081</v>
      </c>
      <c r="D278" s="128">
        <f t="shared" si="28"/>
        <v>214</v>
      </c>
      <c r="E278" s="8">
        <v>181460</v>
      </c>
      <c r="F278" s="8">
        <v>181460</v>
      </c>
      <c r="G278" s="137">
        <f t="shared" si="30"/>
        <v>0</v>
      </c>
      <c r="H278" s="128">
        <f t="shared" si="31"/>
        <v>214</v>
      </c>
      <c r="I278" s="8">
        <v>649936</v>
      </c>
      <c r="J278" s="8">
        <v>650140</v>
      </c>
      <c r="K278" s="137">
        <f t="shared" si="29"/>
        <v>204</v>
      </c>
      <c r="L278" s="8">
        <v>3515</v>
      </c>
      <c r="M278" s="8">
        <v>3846</v>
      </c>
      <c r="N278" s="137">
        <f t="shared" si="33"/>
        <v>331</v>
      </c>
      <c r="O278" s="128">
        <f t="shared" si="32"/>
        <v>535</v>
      </c>
      <c r="P278" s="8">
        <v>242778</v>
      </c>
      <c r="Q278" s="8">
        <v>242778</v>
      </c>
      <c r="R278" s="128">
        <f t="shared" si="34"/>
        <v>0</v>
      </c>
      <c r="AQ278" s="8"/>
      <c r="AR278" s="8"/>
      <c r="AS278" s="8"/>
    </row>
    <row r="279" spans="1:45">
      <c r="A279" s="12">
        <v>44654</v>
      </c>
      <c r="B279" s="8">
        <v>444081</v>
      </c>
      <c r="C279" s="8">
        <v>444259</v>
      </c>
      <c r="D279" s="128">
        <f t="shared" si="28"/>
        <v>178</v>
      </c>
      <c r="E279" s="8">
        <v>181460</v>
      </c>
      <c r="F279" s="8">
        <v>181460</v>
      </c>
      <c r="G279" s="137">
        <f t="shared" si="30"/>
        <v>0</v>
      </c>
      <c r="H279" s="128">
        <f t="shared" si="31"/>
        <v>178</v>
      </c>
      <c r="I279" s="8">
        <v>650140</v>
      </c>
      <c r="J279" s="8">
        <v>650355</v>
      </c>
      <c r="K279" s="137">
        <f t="shared" si="29"/>
        <v>215</v>
      </c>
      <c r="L279" s="8">
        <v>3846</v>
      </c>
      <c r="M279" s="8">
        <v>3916</v>
      </c>
      <c r="N279" s="137">
        <f t="shared" si="33"/>
        <v>70</v>
      </c>
      <c r="O279" s="128">
        <f t="shared" si="32"/>
        <v>285</v>
      </c>
      <c r="P279" s="8">
        <v>242778</v>
      </c>
      <c r="Q279" s="8">
        <v>243139</v>
      </c>
      <c r="R279" s="128">
        <f t="shared" si="34"/>
        <v>361</v>
      </c>
      <c r="AQ279" s="8"/>
      <c r="AR279" s="8"/>
      <c r="AS279" s="8"/>
    </row>
    <row r="280" spans="1:45">
      <c r="A280" s="12">
        <v>44655</v>
      </c>
      <c r="B280" s="8">
        <v>444259</v>
      </c>
      <c r="C280" s="8">
        <v>444537</v>
      </c>
      <c r="D280" s="128">
        <f t="shared" si="28"/>
        <v>278</v>
      </c>
      <c r="E280" s="8">
        <v>181460</v>
      </c>
      <c r="F280" s="8">
        <v>181460</v>
      </c>
      <c r="G280" s="137">
        <f t="shared" si="30"/>
        <v>0</v>
      </c>
      <c r="H280" s="128">
        <f t="shared" si="31"/>
        <v>278</v>
      </c>
      <c r="I280" s="8">
        <v>650355</v>
      </c>
      <c r="J280" s="8">
        <v>650555</v>
      </c>
      <c r="K280" s="137">
        <f t="shared" si="29"/>
        <v>200</v>
      </c>
      <c r="L280" s="8">
        <v>3916</v>
      </c>
      <c r="M280" s="8">
        <v>4001</v>
      </c>
      <c r="N280" s="137">
        <f t="shared" si="33"/>
        <v>85</v>
      </c>
      <c r="O280" s="128">
        <f t="shared" si="32"/>
        <v>285</v>
      </c>
      <c r="P280" s="8">
        <v>243139</v>
      </c>
      <c r="Q280" s="8">
        <v>243164</v>
      </c>
      <c r="R280" s="128">
        <f t="shared" si="34"/>
        <v>25</v>
      </c>
      <c r="AQ280" s="8"/>
      <c r="AR280" s="8"/>
      <c r="AS280" s="8"/>
    </row>
    <row r="281" spans="1:45">
      <c r="A281" s="12">
        <v>44656</v>
      </c>
      <c r="B281" s="8">
        <v>444537</v>
      </c>
      <c r="C281" s="8">
        <v>444602</v>
      </c>
      <c r="D281" s="128">
        <f t="shared" si="28"/>
        <v>65</v>
      </c>
      <c r="E281" s="8">
        <v>181460</v>
      </c>
      <c r="F281" s="8">
        <v>181460</v>
      </c>
      <c r="G281" s="137">
        <f t="shared" si="30"/>
        <v>0</v>
      </c>
      <c r="H281" s="128">
        <f t="shared" si="31"/>
        <v>65</v>
      </c>
      <c r="I281" s="8">
        <v>650555</v>
      </c>
      <c r="J281" s="8">
        <v>650755</v>
      </c>
      <c r="K281" s="137">
        <f t="shared" si="29"/>
        <v>200</v>
      </c>
      <c r="L281" s="8">
        <v>4001</v>
      </c>
      <c r="M281" s="8">
        <v>4005</v>
      </c>
      <c r="N281" s="137">
        <f t="shared" si="33"/>
        <v>4</v>
      </c>
      <c r="O281" s="128">
        <f t="shared" si="32"/>
        <v>204</v>
      </c>
      <c r="P281" s="8">
        <v>243164</v>
      </c>
      <c r="Q281" s="8">
        <v>243247</v>
      </c>
      <c r="R281" s="128">
        <f t="shared" si="34"/>
        <v>83</v>
      </c>
      <c r="AQ281" s="8"/>
      <c r="AR281" s="8"/>
      <c r="AS281" s="8"/>
    </row>
    <row r="282" spans="1:45">
      <c r="A282" s="12">
        <v>44657</v>
      </c>
      <c r="B282" s="8">
        <v>444602</v>
      </c>
      <c r="C282" s="8">
        <v>444832</v>
      </c>
      <c r="D282" s="128">
        <f t="shared" si="28"/>
        <v>230</v>
      </c>
      <c r="E282" s="8">
        <v>181460</v>
      </c>
      <c r="F282" s="8">
        <v>181460</v>
      </c>
      <c r="G282" s="137">
        <f t="shared" si="30"/>
        <v>0</v>
      </c>
      <c r="H282" s="128">
        <f t="shared" si="31"/>
        <v>230</v>
      </c>
      <c r="I282" s="8">
        <v>650755</v>
      </c>
      <c r="J282" s="8">
        <v>650859</v>
      </c>
      <c r="K282" s="137">
        <f t="shared" si="29"/>
        <v>104</v>
      </c>
      <c r="L282" s="8">
        <v>4005</v>
      </c>
      <c r="M282" s="8">
        <v>4085</v>
      </c>
      <c r="N282" s="137">
        <f t="shared" si="33"/>
        <v>80</v>
      </c>
      <c r="O282" s="128">
        <f t="shared" si="32"/>
        <v>184</v>
      </c>
      <c r="P282" s="8">
        <v>243247</v>
      </c>
      <c r="Q282" s="8">
        <v>243322</v>
      </c>
      <c r="R282" s="128">
        <f t="shared" si="34"/>
        <v>75</v>
      </c>
      <c r="AQ282" s="8"/>
      <c r="AR282" s="8"/>
      <c r="AS282" s="8"/>
    </row>
    <row r="283" spans="1:45">
      <c r="A283" s="12">
        <v>44658</v>
      </c>
      <c r="B283" s="8">
        <v>444832</v>
      </c>
      <c r="C283" s="8">
        <v>444939</v>
      </c>
      <c r="D283" s="128">
        <f t="shared" si="28"/>
        <v>107</v>
      </c>
      <c r="E283" s="8">
        <v>181460</v>
      </c>
      <c r="F283" s="8">
        <v>181460</v>
      </c>
      <c r="G283" s="137">
        <f t="shared" si="30"/>
        <v>0</v>
      </c>
      <c r="H283" s="128">
        <f t="shared" si="31"/>
        <v>107</v>
      </c>
      <c r="I283" s="8">
        <v>650859</v>
      </c>
      <c r="J283" s="8">
        <v>651075</v>
      </c>
      <c r="K283" s="137">
        <f t="shared" si="29"/>
        <v>216</v>
      </c>
      <c r="L283" s="8">
        <v>4085</v>
      </c>
      <c r="M283" s="8">
        <v>4331</v>
      </c>
      <c r="N283" s="137">
        <f t="shared" si="33"/>
        <v>246</v>
      </c>
      <c r="O283" s="128">
        <f t="shared" si="32"/>
        <v>462</v>
      </c>
      <c r="P283" s="8">
        <v>243322</v>
      </c>
      <c r="Q283" s="8">
        <v>243413</v>
      </c>
      <c r="R283" s="128">
        <f t="shared" si="34"/>
        <v>91</v>
      </c>
      <c r="AQ283" s="8"/>
      <c r="AR283" s="8"/>
      <c r="AS283" s="8"/>
    </row>
    <row r="284" spans="1:45">
      <c r="A284" s="12">
        <v>44659</v>
      </c>
      <c r="B284" s="8">
        <v>444939</v>
      </c>
      <c r="C284" s="8">
        <v>445095</v>
      </c>
      <c r="D284" s="128">
        <f t="shared" si="28"/>
        <v>156</v>
      </c>
      <c r="E284" s="8">
        <v>181460</v>
      </c>
      <c r="F284" s="8">
        <v>181460</v>
      </c>
      <c r="G284" s="137">
        <f t="shared" si="30"/>
        <v>0</v>
      </c>
      <c r="H284" s="128">
        <f t="shared" si="31"/>
        <v>156</v>
      </c>
      <c r="I284" s="8">
        <v>651075</v>
      </c>
      <c r="J284" s="8">
        <v>651260</v>
      </c>
      <c r="K284" s="137">
        <f t="shared" si="29"/>
        <v>185</v>
      </c>
      <c r="L284" s="8">
        <v>4331</v>
      </c>
      <c r="M284" s="8">
        <v>4487</v>
      </c>
      <c r="N284" s="137">
        <f t="shared" si="33"/>
        <v>156</v>
      </c>
      <c r="O284" s="128">
        <f t="shared" si="32"/>
        <v>341</v>
      </c>
      <c r="P284" s="8">
        <v>243413</v>
      </c>
      <c r="Q284" s="8">
        <v>243504</v>
      </c>
      <c r="R284" s="128">
        <f t="shared" si="34"/>
        <v>91</v>
      </c>
      <c r="AQ284" s="8"/>
      <c r="AR284" s="8"/>
      <c r="AS284" s="8"/>
    </row>
    <row r="285" spans="1:45">
      <c r="A285" s="12">
        <v>44660</v>
      </c>
      <c r="B285" s="8">
        <v>445095</v>
      </c>
      <c r="C285" s="8">
        <v>445421</v>
      </c>
      <c r="D285" s="128">
        <f t="shared" si="28"/>
        <v>326</v>
      </c>
      <c r="E285" s="8">
        <v>181460</v>
      </c>
      <c r="F285" s="8">
        <v>181460</v>
      </c>
      <c r="G285" s="137">
        <f t="shared" si="30"/>
        <v>0</v>
      </c>
      <c r="H285" s="128">
        <f t="shared" si="31"/>
        <v>326</v>
      </c>
      <c r="I285" s="8">
        <v>651260</v>
      </c>
      <c r="J285" s="8">
        <v>651521</v>
      </c>
      <c r="K285" s="137">
        <f t="shared" si="29"/>
        <v>261</v>
      </c>
      <c r="L285" s="8">
        <v>4487</v>
      </c>
      <c r="M285" s="8">
        <v>4713</v>
      </c>
      <c r="N285" s="137">
        <f t="shared" si="33"/>
        <v>226</v>
      </c>
      <c r="O285" s="128">
        <f t="shared" si="32"/>
        <v>487</v>
      </c>
      <c r="P285" s="8">
        <v>243504</v>
      </c>
      <c r="Q285" s="8">
        <v>243729</v>
      </c>
      <c r="R285" s="128">
        <f t="shared" si="34"/>
        <v>225</v>
      </c>
      <c r="AQ285" s="8"/>
      <c r="AR285" s="8"/>
      <c r="AS285" s="8"/>
    </row>
    <row r="286" spans="1:45">
      <c r="A286" s="12">
        <v>44661</v>
      </c>
      <c r="B286" s="8">
        <v>445421</v>
      </c>
      <c r="C286" s="8">
        <v>445823</v>
      </c>
      <c r="D286" s="128">
        <f t="shared" si="28"/>
        <v>402</v>
      </c>
      <c r="E286" s="8">
        <v>181460</v>
      </c>
      <c r="F286" s="8">
        <v>181460</v>
      </c>
      <c r="G286" s="137">
        <f t="shared" si="30"/>
        <v>0</v>
      </c>
      <c r="H286" s="128">
        <f t="shared" si="31"/>
        <v>402</v>
      </c>
      <c r="I286" s="8">
        <v>651521</v>
      </c>
      <c r="J286" s="8">
        <v>651737</v>
      </c>
      <c r="K286" s="137">
        <f t="shared" si="29"/>
        <v>216</v>
      </c>
      <c r="L286" s="8">
        <v>4713</v>
      </c>
      <c r="M286" s="8">
        <v>4870</v>
      </c>
      <c r="N286" s="137">
        <f t="shared" si="33"/>
        <v>157</v>
      </c>
      <c r="O286" s="128">
        <f t="shared" si="32"/>
        <v>373</v>
      </c>
      <c r="P286" s="8">
        <v>243729</v>
      </c>
      <c r="Q286" s="8">
        <v>243901</v>
      </c>
      <c r="R286" s="128">
        <f t="shared" si="34"/>
        <v>172</v>
      </c>
      <c r="AQ286" s="8"/>
      <c r="AR286" s="8"/>
      <c r="AS286" s="8"/>
    </row>
    <row r="287" spans="1:45">
      <c r="A287" s="12">
        <v>44662</v>
      </c>
      <c r="B287" s="8">
        <v>445823</v>
      </c>
      <c r="C287" s="8">
        <v>446129</v>
      </c>
      <c r="D287" s="128">
        <f t="shared" si="28"/>
        <v>306</v>
      </c>
      <c r="E287" s="8">
        <v>181460</v>
      </c>
      <c r="F287" s="8">
        <v>181460</v>
      </c>
      <c r="G287" s="137">
        <f t="shared" si="30"/>
        <v>0</v>
      </c>
      <c r="H287" s="128">
        <f t="shared" si="31"/>
        <v>306</v>
      </c>
      <c r="I287" s="8">
        <v>651737</v>
      </c>
      <c r="J287" s="8">
        <v>651820</v>
      </c>
      <c r="K287" s="137">
        <f t="shared" si="29"/>
        <v>83</v>
      </c>
      <c r="L287" s="8">
        <v>4870</v>
      </c>
      <c r="M287" s="8">
        <v>5009</v>
      </c>
      <c r="N287" s="137">
        <f t="shared" si="33"/>
        <v>139</v>
      </c>
      <c r="O287" s="128">
        <f t="shared" si="32"/>
        <v>222</v>
      </c>
      <c r="P287" s="8">
        <v>243901</v>
      </c>
      <c r="Q287" s="8">
        <v>244216</v>
      </c>
      <c r="R287" s="128">
        <f t="shared" si="34"/>
        <v>315</v>
      </c>
      <c r="AQ287" s="8"/>
      <c r="AR287" s="8"/>
      <c r="AS287" s="8"/>
    </row>
    <row r="288" spans="1:45">
      <c r="A288" s="12">
        <v>44663</v>
      </c>
      <c r="B288" s="8">
        <v>446129</v>
      </c>
      <c r="C288" s="8">
        <v>446423</v>
      </c>
      <c r="D288" s="128">
        <f t="shared" si="28"/>
        <v>294</v>
      </c>
      <c r="E288" s="8">
        <v>181460</v>
      </c>
      <c r="F288" s="8">
        <v>181460</v>
      </c>
      <c r="G288" s="137">
        <f t="shared" si="30"/>
        <v>0</v>
      </c>
      <c r="H288" s="128">
        <f t="shared" si="31"/>
        <v>294</v>
      </c>
      <c r="I288" s="8">
        <v>651820</v>
      </c>
      <c r="J288" s="8">
        <v>651820</v>
      </c>
      <c r="K288" s="137">
        <f t="shared" si="29"/>
        <v>0</v>
      </c>
      <c r="L288" s="8">
        <v>5009</v>
      </c>
      <c r="M288" s="8">
        <v>5161</v>
      </c>
      <c r="N288" s="137">
        <f t="shared" si="33"/>
        <v>152</v>
      </c>
      <c r="O288" s="128">
        <f t="shared" si="32"/>
        <v>152</v>
      </c>
      <c r="P288" s="8">
        <v>244216</v>
      </c>
      <c r="Q288" s="8">
        <v>244946</v>
      </c>
      <c r="R288" s="128">
        <f t="shared" si="34"/>
        <v>730</v>
      </c>
      <c r="AQ288" s="8"/>
      <c r="AR288" s="8"/>
      <c r="AS288" s="8"/>
    </row>
    <row r="289" spans="1:45">
      <c r="A289" s="12">
        <v>44664</v>
      </c>
      <c r="B289" s="8">
        <v>446423</v>
      </c>
      <c r="C289" s="8">
        <v>446672</v>
      </c>
      <c r="D289" s="128">
        <f t="shared" si="28"/>
        <v>249</v>
      </c>
      <c r="E289" s="8">
        <v>181460</v>
      </c>
      <c r="F289" s="8">
        <v>181460</v>
      </c>
      <c r="G289" s="137">
        <f t="shared" si="30"/>
        <v>0</v>
      </c>
      <c r="H289" s="128">
        <f t="shared" si="31"/>
        <v>249</v>
      </c>
      <c r="I289" s="8">
        <v>651820</v>
      </c>
      <c r="J289" s="8">
        <v>651881</v>
      </c>
      <c r="K289" s="137">
        <f t="shared" si="29"/>
        <v>61</v>
      </c>
      <c r="L289" s="8">
        <v>5161</v>
      </c>
      <c r="M289" s="8">
        <v>5624</v>
      </c>
      <c r="N289" s="137">
        <f t="shared" si="33"/>
        <v>463</v>
      </c>
      <c r="O289" s="128">
        <f t="shared" si="32"/>
        <v>524</v>
      </c>
      <c r="P289" s="8">
        <v>244946</v>
      </c>
      <c r="Q289" s="8">
        <v>244946</v>
      </c>
      <c r="R289" s="128">
        <f t="shared" si="34"/>
        <v>0</v>
      </c>
      <c r="AQ289" s="8"/>
      <c r="AR289" s="8"/>
      <c r="AS289" s="8"/>
    </row>
    <row r="290" spans="1:45">
      <c r="A290" s="12">
        <v>44665</v>
      </c>
      <c r="B290" s="8">
        <v>446672</v>
      </c>
      <c r="C290" s="8">
        <v>446946</v>
      </c>
      <c r="D290" s="128">
        <f t="shared" si="28"/>
        <v>274</v>
      </c>
      <c r="E290" s="8">
        <v>181460</v>
      </c>
      <c r="F290" s="8">
        <v>181460</v>
      </c>
      <c r="G290" s="137">
        <f t="shared" si="30"/>
        <v>0</v>
      </c>
      <c r="H290" s="128">
        <f t="shared" si="31"/>
        <v>274</v>
      </c>
      <c r="I290" s="8">
        <v>651881</v>
      </c>
      <c r="J290" s="8">
        <v>652110</v>
      </c>
      <c r="K290" s="137">
        <f t="shared" si="29"/>
        <v>229</v>
      </c>
      <c r="L290" s="8">
        <v>5624</v>
      </c>
      <c r="M290" s="8">
        <v>5810</v>
      </c>
      <c r="N290" s="137">
        <f t="shared" si="33"/>
        <v>186</v>
      </c>
      <c r="O290" s="128">
        <f t="shared" si="32"/>
        <v>415</v>
      </c>
      <c r="P290" s="8">
        <v>244946</v>
      </c>
      <c r="Q290" s="8">
        <v>245241</v>
      </c>
      <c r="R290" s="128">
        <f t="shared" si="34"/>
        <v>295</v>
      </c>
      <c r="AQ290" s="8"/>
      <c r="AR290" s="8"/>
      <c r="AS290" s="8"/>
    </row>
    <row r="291" spans="1:45">
      <c r="A291" s="12">
        <v>44666</v>
      </c>
      <c r="B291" s="8">
        <v>446946</v>
      </c>
      <c r="C291" s="8">
        <v>447135</v>
      </c>
      <c r="D291" s="128">
        <f t="shared" si="28"/>
        <v>189</v>
      </c>
      <c r="E291" s="8">
        <v>181460</v>
      </c>
      <c r="F291" s="8">
        <v>181460</v>
      </c>
      <c r="G291" s="137">
        <f t="shared" si="30"/>
        <v>0</v>
      </c>
      <c r="H291" s="128">
        <f t="shared" si="31"/>
        <v>189</v>
      </c>
      <c r="I291" s="8">
        <v>652110</v>
      </c>
      <c r="J291" s="8">
        <v>652328</v>
      </c>
      <c r="K291" s="137">
        <f t="shared" si="29"/>
        <v>218</v>
      </c>
      <c r="L291" s="8">
        <v>5810</v>
      </c>
      <c r="M291" s="8">
        <v>5949</v>
      </c>
      <c r="N291" s="137">
        <f t="shared" si="33"/>
        <v>139</v>
      </c>
      <c r="O291" s="128">
        <f t="shared" si="32"/>
        <v>357</v>
      </c>
      <c r="P291" s="8">
        <v>245241</v>
      </c>
      <c r="Q291" s="8">
        <v>245241</v>
      </c>
      <c r="R291" s="128">
        <f t="shared" si="34"/>
        <v>0</v>
      </c>
      <c r="AQ291" s="8"/>
      <c r="AR291" s="8"/>
      <c r="AS291" s="8"/>
    </row>
    <row r="292" spans="1:45">
      <c r="A292" s="12">
        <v>44667</v>
      </c>
      <c r="B292" s="8">
        <v>447135</v>
      </c>
      <c r="C292" s="8">
        <v>447553</v>
      </c>
      <c r="D292" s="128">
        <f t="shared" si="28"/>
        <v>418</v>
      </c>
      <c r="E292" s="8">
        <v>181460</v>
      </c>
      <c r="F292" s="8">
        <v>181460</v>
      </c>
      <c r="G292" s="137">
        <f t="shared" si="30"/>
        <v>0</v>
      </c>
      <c r="H292" s="128">
        <f t="shared" si="31"/>
        <v>418</v>
      </c>
      <c r="I292" s="8">
        <v>652328</v>
      </c>
      <c r="J292" s="8">
        <v>652595</v>
      </c>
      <c r="K292" s="137">
        <f t="shared" si="29"/>
        <v>267</v>
      </c>
      <c r="L292" s="8">
        <v>5949</v>
      </c>
      <c r="M292" s="8">
        <v>6288</v>
      </c>
      <c r="N292" s="137">
        <f t="shared" si="33"/>
        <v>339</v>
      </c>
      <c r="O292" s="128">
        <f t="shared" si="32"/>
        <v>606</v>
      </c>
      <c r="P292" s="8">
        <v>245241</v>
      </c>
      <c r="Q292" s="8">
        <v>245320</v>
      </c>
      <c r="R292" s="128">
        <f t="shared" si="34"/>
        <v>79</v>
      </c>
      <c r="AQ292" s="8"/>
      <c r="AR292" s="8"/>
      <c r="AS292" s="8"/>
    </row>
    <row r="293" spans="1:45">
      <c r="A293" s="12">
        <v>44668</v>
      </c>
      <c r="B293" s="8">
        <v>447553</v>
      </c>
      <c r="C293" s="8">
        <v>447675</v>
      </c>
      <c r="D293" s="128">
        <f t="shared" si="28"/>
        <v>122</v>
      </c>
      <c r="E293" s="8">
        <v>181460</v>
      </c>
      <c r="F293" s="8">
        <v>181460</v>
      </c>
      <c r="G293" s="137">
        <f t="shared" si="30"/>
        <v>0</v>
      </c>
      <c r="H293" s="128">
        <f t="shared" si="31"/>
        <v>122</v>
      </c>
      <c r="I293" s="8">
        <v>652595</v>
      </c>
      <c r="J293" s="8">
        <v>652817</v>
      </c>
      <c r="K293" s="137">
        <f t="shared" si="29"/>
        <v>222</v>
      </c>
      <c r="L293" s="8">
        <v>6288</v>
      </c>
      <c r="M293" s="8">
        <v>6504</v>
      </c>
      <c r="N293" s="137">
        <f t="shared" si="33"/>
        <v>216</v>
      </c>
      <c r="O293" s="128">
        <f t="shared" si="32"/>
        <v>438</v>
      </c>
      <c r="P293" s="8">
        <v>245320</v>
      </c>
      <c r="Q293" s="8">
        <v>245320</v>
      </c>
      <c r="R293" s="128">
        <f t="shared" si="34"/>
        <v>0</v>
      </c>
      <c r="AQ293" s="8"/>
      <c r="AR293" s="8"/>
      <c r="AS293" s="8"/>
    </row>
    <row r="294" spans="1:45">
      <c r="A294" s="12">
        <v>44669</v>
      </c>
      <c r="B294" s="8">
        <v>447675</v>
      </c>
      <c r="C294" s="8">
        <v>447782</v>
      </c>
      <c r="D294" s="128">
        <f t="shared" ref="D294:D357" si="35">C294-B294</f>
        <v>107</v>
      </c>
      <c r="E294" s="8">
        <v>181460</v>
      </c>
      <c r="F294" s="8">
        <v>181460</v>
      </c>
      <c r="G294" s="137">
        <f t="shared" si="30"/>
        <v>0</v>
      </c>
      <c r="H294" s="128">
        <f t="shared" si="31"/>
        <v>107</v>
      </c>
      <c r="I294" s="8">
        <v>652817</v>
      </c>
      <c r="J294" s="8">
        <v>653020</v>
      </c>
      <c r="K294" s="137">
        <f t="shared" si="29"/>
        <v>203</v>
      </c>
      <c r="L294" s="8">
        <v>6504</v>
      </c>
      <c r="M294" s="8">
        <v>6693</v>
      </c>
      <c r="N294" s="137">
        <f t="shared" si="33"/>
        <v>189</v>
      </c>
      <c r="O294" s="128">
        <f t="shared" si="32"/>
        <v>392</v>
      </c>
      <c r="P294" s="8">
        <v>245320</v>
      </c>
      <c r="Q294" s="8">
        <v>245668</v>
      </c>
      <c r="R294" s="128">
        <f t="shared" si="34"/>
        <v>348</v>
      </c>
      <c r="AQ294" s="8"/>
      <c r="AR294" s="8"/>
      <c r="AS294" s="8"/>
    </row>
    <row r="295" spans="1:45">
      <c r="A295" s="12">
        <v>44670</v>
      </c>
      <c r="B295" s="8">
        <v>447782</v>
      </c>
      <c r="C295" s="8">
        <v>447955</v>
      </c>
      <c r="D295" s="128">
        <f t="shared" si="35"/>
        <v>173</v>
      </c>
      <c r="E295" s="8">
        <v>181460</v>
      </c>
      <c r="F295" s="8">
        <v>181460</v>
      </c>
      <c r="G295" s="137">
        <f t="shared" si="30"/>
        <v>0</v>
      </c>
      <c r="H295" s="128">
        <f t="shared" si="31"/>
        <v>173</v>
      </c>
      <c r="I295" s="8">
        <v>653020</v>
      </c>
      <c r="J295" s="8">
        <v>653219</v>
      </c>
      <c r="K295" s="137">
        <f t="shared" si="29"/>
        <v>199</v>
      </c>
      <c r="L295" s="8">
        <v>6693</v>
      </c>
      <c r="M295" s="8">
        <v>6848</v>
      </c>
      <c r="N295" s="137">
        <f t="shared" si="33"/>
        <v>155</v>
      </c>
      <c r="O295" s="128">
        <f t="shared" si="32"/>
        <v>354</v>
      </c>
      <c r="P295" s="8">
        <v>245668</v>
      </c>
      <c r="Q295" s="8">
        <v>245782</v>
      </c>
      <c r="R295" s="128">
        <f t="shared" si="34"/>
        <v>114</v>
      </c>
      <c r="AQ295" s="8"/>
      <c r="AR295" s="8"/>
      <c r="AS295" s="8"/>
    </row>
    <row r="296" spans="1:45">
      <c r="A296" s="12">
        <v>44671</v>
      </c>
      <c r="B296" s="8">
        <v>447955</v>
      </c>
      <c r="C296" s="8">
        <v>448251</v>
      </c>
      <c r="D296" s="128">
        <f t="shared" si="35"/>
        <v>296</v>
      </c>
      <c r="E296" s="8">
        <v>181460</v>
      </c>
      <c r="F296" s="8">
        <v>181460</v>
      </c>
      <c r="G296" s="137">
        <f t="shared" si="30"/>
        <v>0</v>
      </c>
      <c r="H296" s="128">
        <f t="shared" si="31"/>
        <v>296</v>
      </c>
      <c r="I296" s="8">
        <v>653219</v>
      </c>
      <c r="J296" s="8">
        <v>653406</v>
      </c>
      <c r="K296" s="137">
        <f t="shared" ref="K296:K362" si="36">J296-I296</f>
        <v>187</v>
      </c>
      <c r="L296" s="8">
        <v>6848</v>
      </c>
      <c r="M296" s="8">
        <v>7012</v>
      </c>
      <c r="N296" s="137">
        <f t="shared" si="33"/>
        <v>164</v>
      </c>
      <c r="O296" s="128">
        <f t="shared" si="32"/>
        <v>351</v>
      </c>
      <c r="P296" s="8">
        <v>245782</v>
      </c>
      <c r="Q296" s="8">
        <v>246133</v>
      </c>
      <c r="R296" s="128">
        <f t="shared" si="34"/>
        <v>351</v>
      </c>
      <c r="AQ296" s="8"/>
      <c r="AR296" s="8"/>
      <c r="AS296" s="8"/>
    </row>
    <row r="297" spans="1:45">
      <c r="A297" s="12">
        <v>44672</v>
      </c>
      <c r="B297" s="8">
        <v>448251</v>
      </c>
      <c r="C297" s="8">
        <v>448430</v>
      </c>
      <c r="D297" s="128">
        <f t="shared" si="35"/>
        <v>179</v>
      </c>
      <c r="E297" s="8">
        <v>11</v>
      </c>
      <c r="F297" s="8">
        <v>196</v>
      </c>
      <c r="G297" s="137">
        <f t="shared" si="30"/>
        <v>185</v>
      </c>
      <c r="H297" s="128">
        <f t="shared" si="31"/>
        <v>364</v>
      </c>
      <c r="I297" s="8">
        <v>653406</v>
      </c>
      <c r="J297" s="8">
        <v>653595</v>
      </c>
      <c r="K297" s="137">
        <f t="shared" si="36"/>
        <v>189</v>
      </c>
      <c r="L297" s="8">
        <v>7012</v>
      </c>
      <c r="M297" s="8">
        <v>7166</v>
      </c>
      <c r="N297" s="137">
        <f t="shared" si="33"/>
        <v>154</v>
      </c>
      <c r="O297" s="128">
        <f t="shared" si="32"/>
        <v>343</v>
      </c>
      <c r="P297" s="8">
        <v>246133</v>
      </c>
      <c r="Q297" s="8">
        <v>246767</v>
      </c>
      <c r="R297" s="128">
        <f t="shared" si="34"/>
        <v>634</v>
      </c>
      <c r="AQ297" s="8"/>
      <c r="AR297" s="8"/>
      <c r="AS297" s="8"/>
    </row>
    <row r="298" spans="1:45">
      <c r="A298" s="12">
        <v>44673</v>
      </c>
      <c r="B298" s="8">
        <v>448430</v>
      </c>
      <c r="C298" s="8">
        <v>448722</v>
      </c>
      <c r="D298" s="128">
        <f t="shared" si="35"/>
        <v>292</v>
      </c>
      <c r="E298" s="8">
        <v>196</v>
      </c>
      <c r="F298" s="8">
        <v>622</v>
      </c>
      <c r="G298" s="137">
        <f t="shared" si="30"/>
        <v>426</v>
      </c>
      <c r="H298" s="128">
        <f t="shared" si="31"/>
        <v>718</v>
      </c>
      <c r="I298" s="8">
        <v>653595</v>
      </c>
      <c r="J298" s="8">
        <v>653759</v>
      </c>
      <c r="K298" s="137">
        <f t="shared" si="36"/>
        <v>164</v>
      </c>
      <c r="L298" s="8">
        <v>7166</v>
      </c>
      <c r="M298" s="8">
        <v>7480</v>
      </c>
      <c r="N298" s="137">
        <f t="shared" si="33"/>
        <v>314</v>
      </c>
      <c r="O298" s="128">
        <f t="shared" si="32"/>
        <v>478</v>
      </c>
      <c r="P298" s="8">
        <v>246767</v>
      </c>
      <c r="Q298" s="8">
        <v>246767</v>
      </c>
      <c r="R298" s="128">
        <f t="shared" si="34"/>
        <v>0</v>
      </c>
      <c r="AQ298" s="8"/>
      <c r="AR298" s="8"/>
      <c r="AS298" s="8"/>
    </row>
    <row r="299" spans="1:45">
      <c r="A299" s="12">
        <v>44674</v>
      </c>
      <c r="B299" s="8">
        <v>448722</v>
      </c>
      <c r="C299" s="8">
        <v>449008</v>
      </c>
      <c r="D299" s="128">
        <f t="shared" si="35"/>
        <v>286</v>
      </c>
      <c r="E299" s="8">
        <v>622</v>
      </c>
      <c r="F299" s="8">
        <v>679</v>
      </c>
      <c r="G299" s="137">
        <f t="shared" si="30"/>
        <v>57</v>
      </c>
      <c r="H299" s="128">
        <f t="shared" si="31"/>
        <v>343</v>
      </c>
      <c r="I299" s="8">
        <v>653759</v>
      </c>
      <c r="J299" s="8">
        <v>653960</v>
      </c>
      <c r="K299" s="137">
        <f t="shared" si="36"/>
        <v>201</v>
      </c>
      <c r="L299" s="8">
        <v>7480</v>
      </c>
      <c r="M299" s="8">
        <v>7705</v>
      </c>
      <c r="N299" s="137">
        <f t="shared" si="33"/>
        <v>225</v>
      </c>
      <c r="O299" s="128">
        <f t="shared" si="32"/>
        <v>426</v>
      </c>
      <c r="P299" s="8">
        <v>246767</v>
      </c>
      <c r="Q299" s="8">
        <v>247542</v>
      </c>
      <c r="R299" s="128">
        <f t="shared" si="34"/>
        <v>775</v>
      </c>
      <c r="AQ299" s="8"/>
      <c r="AR299" s="8"/>
      <c r="AS299" s="8"/>
    </row>
    <row r="300" spans="1:45">
      <c r="A300" s="12">
        <v>44675</v>
      </c>
      <c r="B300" s="8">
        <v>449008</v>
      </c>
      <c r="C300" s="8">
        <v>449233</v>
      </c>
      <c r="D300" s="128">
        <f t="shared" si="35"/>
        <v>225</v>
      </c>
      <c r="E300" s="8">
        <v>679</v>
      </c>
      <c r="F300" s="8">
        <v>1224</v>
      </c>
      <c r="G300" s="137">
        <f t="shared" si="30"/>
        <v>545</v>
      </c>
      <c r="H300" s="128">
        <f t="shared" si="31"/>
        <v>770</v>
      </c>
      <c r="I300" s="8">
        <v>653960</v>
      </c>
      <c r="J300" s="8">
        <v>654192</v>
      </c>
      <c r="K300" s="137">
        <f t="shared" si="36"/>
        <v>232</v>
      </c>
      <c r="L300" s="8">
        <v>7705</v>
      </c>
      <c r="M300" s="8">
        <v>7892</v>
      </c>
      <c r="N300" s="137">
        <f t="shared" si="33"/>
        <v>187</v>
      </c>
      <c r="O300" s="128">
        <f t="shared" si="32"/>
        <v>419</v>
      </c>
      <c r="P300" s="8">
        <v>247542</v>
      </c>
      <c r="Q300" s="8">
        <v>247542</v>
      </c>
      <c r="R300" s="128">
        <f t="shared" si="34"/>
        <v>0</v>
      </c>
      <c r="AQ300" s="8"/>
      <c r="AR300" s="8"/>
      <c r="AS300" s="8"/>
    </row>
    <row r="301" spans="1:45">
      <c r="A301" s="12">
        <v>44676</v>
      </c>
      <c r="B301" s="8">
        <v>449233</v>
      </c>
      <c r="C301" s="8">
        <v>449521</v>
      </c>
      <c r="D301" s="128">
        <f t="shared" si="35"/>
        <v>288</v>
      </c>
      <c r="E301" s="8">
        <v>1224</v>
      </c>
      <c r="F301" s="8">
        <v>1610</v>
      </c>
      <c r="G301" s="137">
        <f t="shared" si="30"/>
        <v>386</v>
      </c>
      <c r="H301" s="128">
        <f t="shared" si="31"/>
        <v>674</v>
      </c>
      <c r="I301" s="8">
        <v>654192</v>
      </c>
      <c r="J301" s="8">
        <v>654402</v>
      </c>
      <c r="K301" s="137">
        <f t="shared" si="36"/>
        <v>210</v>
      </c>
      <c r="L301" s="8">
        <v>7892</v>
      </c>
      <c r="M301" s="8">
        <v>8120</v>
      </c>
      <c r="N301" s="137">
        <f t="shared" si="33"/>
        <v>228</v>
      </c>
      <c r="O301" s="128">
        <f t="shared" si="32"/>
        <v>438</v>
      </c>
      <c r="P301" s="8">
        <v>247542</v>
      </c>
      <c r="Q301" s="8">
        <v>247842</v>
      </c>
      <c r="R301" s="128">
        <f t="shared" si="34"/>
        <v>300</v>
      </c>
      <c r="AQ301" s="8"/>
      <c r="AR301" s="8"/>
      <c r="AS301" s="8"/>
    </row>
    <row r="302" spans="1:45">
      <c r="A302" s="12">
        <v>44677</v>
      </c>
      <c r="B302" s="8">
        <v>449521</v>
      </c>
      <c r="C302" s="8">
        <v>449795</v>
      </c>
      <c r="D302" s="128">
        <f t="shared" si="35"/>
        <v>274</v>
      </c>
      <c r="E302" s="8">
        <v>1610</v>
      </c>
      <c r="F302" s="8">
        <v>1856</v>
      </c>
      <c r="G302" s="137">
        <f t="shared" si="30"/>
        <v>246</v>
      </c>
      <c r="H302" s="128">
        <f t="shared" si="31"/>
        <v>520</v>
      </c>
      <c r="I302" s="8">
        <v>654402</v>
      </c>
      <c r="J302" s="8">
        <v>654620</v>
      </c>
      <c r="K302" s="137">
        <f t="shared" si="36"/>
        <v>218</v>
      </c>
      <c r="L302" s="8">
        <v>8120</v>
      </c>
      <c r="M302" s="8">
        <v>8350</v>
      </c>
      <c r="N302" s="137">
        <f t="shared" si="33"/>
        <v>230</v>
      </c>
      <c r="O302" s="128">
        <f t="shared" si="32"/>
        <v>448</v>
      </c>
      <c r="P302" s="8">
        <v>247842</v>
      </c>
      <c r="Q302" s="8">
        <v>248103</v>
      </c>
      <c r="R302" s="128">
        <f t="shared" si="34"/>
        <v>261</v>
      </c>
      <c r="AQ302" s="8"/>
      <c r="AR302" s="8"/>
      <c r="AS302" s="8"/>
    </row>
    <row r="303" spans="1:45">
      <c r="A303" s="12">
        <v>44678</v>
      </c>
      <c r="B303" s="8">
        <v>449795</v>
      </c>
      <c r="C303" s="8">
        <v>449973</v>
      </c>
      <c r="D303" s="128">
        <f t="shared" si="35"/>
        <v>178</v>
      </c>
      <c r="E303" s="8">
        <v>1856</v>
      </c>
      <c r="F303" s="8">
        <v>2215</v>
      </c>
      <c r="G303" s="137">
        <f t="shared" si="30"/>
        <v>359</v>
      </c>
      <c r="H303" s="128">
        <f t="shared" si="31"/>
        <v>537</v>
      </c>
      <c r="I303" s="8">
        <v>654620</v>
      </c>
      <c r="J303" s="8">
        <v>654855</v>
      </c>
      <c r="K303" s="137">
        <f t="shared" si="36"/>
        <v>235</v>
      </c>
      <c r="L303" s="8">
        <v>8350</v>
      </c>
      <c r="M303" s="8">
        <v>8518</v>
      </c>
      <c r="N303" s="137">
        <f t="shared" si="33"/>
        <v>168</v>
      </c>
      <c r="O303" s="128">
        <f t="shared" si="32"/>
        <v>403</v>
      </c>
      <c r="P303" s="8">
        <v>248103</v>
      </c>
      <c r="Q303" s="8">
        <v>248212</v>
      </c>
      <c r="R303" s="128">
        <f t="shared" si="34"/>
        <v>109</v>
      </c>
      <c r="AQ303" s="8"/>
      <c r="AR303" s="8"/>
      <c r="AS303" s="8"/>
    </row>
    <row r="304" spans="1:45">
      <c r="A304" s="12">
        <v>44679</v>
      </c>
      <c r="B304" s="8">
        <v>449973</v>
      </c>
      <c r="C304" s="8">
        <v>450255</v>
      </c>
      <c r="D304" s="128">
        <f t="shared" si="35"/>
        <v>282</v>
      </c>
      <c r="E304" s="8">
        <v>2215</v>
      </c>
      <c r="F304" s="8">
        <v>2376</v>
      </c>
      <c r="G304" s="137">
        <f t="shared" si="30"/>
        <v>161</v>
      </c>
      <c r="H304" s="128">
        <f t="shared" si="31"/>
        <v>443</v>
      </c>
      <c r="I304" s="8">
        <v>654855</v>
      </c>
      <c r="J304" s="8">
        <v>655034</v>
      </c>
      <c r="K304" s="137">
        <f t="shared" si="36"/>
        <v>179</v>
      </c>
      <c r="L304" s="8">
        <v>8518</v>
      </c>
      <c r="M304" s="8">
        <v>8846</v>
      </c>
      <c r="N304" s="137">
        <f t="shared" si="33"/>
        <v>328</v>
      </c>
      <c r="O304" s="128">
        <f t="shared" si="32"/>
        <v>507</v>
      </c>
      <c r="P304" s="8">
        <v>248212</v>
      </c>
      <c r="Q304" s="8">
        <v>248212</v>
      </c>
      <c r="R304" s="128">
        <f t="shared" si="34"/>
        <v>0</v>
      </c>
      <c r="AQ304" s="8"/>
      <c r="AR304" s="8"/>
      <c r="AS304" s="8"/>
    </row>
    <row r="305" spans="1:45">
      <c r="A305" s="12">
        <v>44680</v>
      </c>
      <c r="B305" s="8">
        <v>450255</v>
      </c>
      <c r="C305" s="8">
        <v>450480</v>
      </c>
      <c r="D305" s="128">
        <f t="shared" si="35"/>
        <v>225</v>
      </c>
      <c r="E305" s="8">
        <v>2376</v>
      </c>
      <c r="F305" s="8">
        <v>2813</v>
      </c>
      <c r="G305" s="137">
        <f t="shared" si="30"/>
        <v>437</v>
      </c>
      <c r="H305" s="128">
        <f t="shared" si="31"/>
        <v>662</v>
      </c>
      <c r="I305" s="8">
        <v>655034</v>
      </c>
      <c r="J305" s="8">
        <v>655239</v>
      </c>
      <c r="K305" s="137">
        <f t="shared" si="36"/>
        <v>205</v>
      </c>
      <c r="L305" s="8">
        <v>8846</v>
      </c>
      <c r="M305" s="8">
        <v>9062</v>
      </c>
      <c r="N305" s="137">
        <f t="shared" si="33"/>
        <v>216</v>
      </c>
      <c r="O305" s="128">
        <f t="shared" si="32"/>
        <v>421</v>
      </c>
      <c r="P305" s="8">
        <v>248212</v>
      </c>
      <c r="Q305" s="8">
        <v>248547</v>
      </c>
      <c r="R305" s="128">
        <f t="shared" si="34"/>
        <v>335</v>
      </c>
      <c r="AQ305" s="8"/>
      <c r="AR305" s="8"/>
      <c r="AS305" s="8"/>
    </row>
    <row r="306" spans="1:45">
      <c r="A306" s="12">
        <v>44681</v>
      </c>
      <c r="B306" s="8">
        <v>450480</v>
      </c>
      <c r="C306" s="8">
        <v>450691</v>
      </c>
      <c r="D306" s="128">
        <f t="shared" si="35"/>
        <v>211</v>
      </c>
      <c r="E306" s="8">
        <v>2813</v>
      </c>
      <c r="F306" s="8">
        <v>3260</v>
      </c>
      <c r="G306" s="137">
        <f t="shared" si="30"/>
        <v>447</v>
      </c>
      <c r="H306" s="128">
        <f t="shared" si="31"/>
        <v>658</v>
      </c>
      <c r="I306" s="8">
        <v>655239</v>
      </c>
      <c r="J306" s="8">
        <v>655387</v>
      </c>
      <c r="K306" s="137">
        <f t="shared" si="36"/>
        <v>148</v>
      </c>
      <c r="L306" s="8">
        <v>9062</v>
      </c>
      <c r="M306" s="8">
        <v>9292</v>
      </c>
      <c r="N306" s="137">
        <f t="shared" si="33"/>
        <v>230</v>
      </c>
      <c r="O306" s="128">
        <f t="shared" si="32"/>
        <v>378</v>
      </c>
      <c r="P306" s="8">
        <v>248547</v>
      </c>
      <c r="Q306" s="8">
        <v>248845</v>
      </c>
      <c r="R306" s="128">
        <f t="shared" si="34"/>
        <v>298</v>
      </c>
      <c r="AQ306" s="8"/>
      <c r="AR306" s="8"/>
      <c r="AS306" s="8"/>
    </row>
    <row r="307" spans="1:45">
      <c r="A307" s="12">
        <v>44682</v>
      </c>
      <c r="B307" s="8">
        <v>450691</v>
      </c>
      <c r="C307" s="8">
        <v>450947</v>
      </c>
      <c r="D307" s="128">
        <f t="shared" si="35"/>
        <v>256</v>
      </c>
      <c r="E307" s="8">
        <v>3260</v>
      </c>
      <c r="F307" s="8">
        <v>3375</v>
      </c>
      <c r="G307" s="137">
        <f t="shared" si="30"/>
        <v>115</v>
      </c>
      <c r="H307" s="128">
        <f t="shared" si="31"/>
        <v>371</v>
      </c>
      <c r="I307" s="8">
        <v>655387</v>
      </c>
      <c r="J307" s="8">
        <v>655627</v>
      </c>
      <c r="K307" s="137">
        <f t="shared" si="36"/>
        <v>240</v>
      </c>
      <c r="L307" s="8">
        <v>9292</v>
      </c>
      <c r="M307" s="8">
        <v>9499</v>
      </c>
      <c r="N307" s="137">
        <f t="shared" si="33"/>
        <v>207</v>
      </c>
      <c r="O307" s="128">
        <f t="shared" si="32"/>
        <v>447</v>
      </c>
      <c r="P307" s="8">
        <v>248845</v>
      </c>
      <c r="Q307" s="8">
        <v>248845</v>
      </c>
      <c r="R307" s="128">
        <f t="shared" si="34"/>
        <v>0</v>
      </c>
      <c r="AQ307" s="8"/>
      <c r="AR307" s="8"/>
      <c r="AS307" s="8"/>
    </row>
    <row r="308" spans="1:45">
      <c r="A308" s="12">
        <v>44683</v>
      </c>
      <c r="B308" s="8">
        <v>450947</v>
      </c>
      <c r="C308" s="8">
        <v>451082</v>
      </c>
      <c r="D308" s="128">
        <f t="shared" si="35"/>
        <v>135</v>
      </c>
      <c r="E308" s="8">
        <v>3375</v>
      </c>
      <c r="F308" s="8">
        <v>3797</v>
      </c>
      <c r="G308" s="137">
        <f t="shared" si="30"/>
        <v>422</v>
      </c>
      <c r="H308" s="128">
        <f t="shared" si="31"/>
        <v>557</v>
      </c>
      <c r="I308" s="8">
        <v>655627</v>
      </c>
      <c r="J308" s="8">
        <v>655834</v>
      </c>
      <c r="K308" s="137">
        <f t="shared" si="36"/>
        <v>207</v>
      </c>
      <c r="L308" s="8">
        <v>9499</v>
      </c>
      <c r="M308" s="8">
        <v>9747</v>
      </c>
      <c r="N308" s="137">
        <f t="shared" si="33"/>
        <v>248</v>
      </c>
      <c r="O308" s="128">
        <f t="shared" si="32"/>
        <v>455</v>
      </c>
      <c r="P308" s="8">
        <v>248845</v>
      </c>
      <c r="Q308" s="8">
        <v>248960</v>
      </c>
      <c r="R308" s="128">
        <f t="shared" si="34"/>
        <v>115</v>
      </c>
      <c r="AQ308" s="8"/>
      <c r="AR308" s="8"/>
      <c r="AS308" s="8"/>
    </row>
    <row r="309" spans="1:45">
      <c r="A309" s="12">
        <v>44684</v>
      </c>
      <c r="B309" s="8">
        <v>451082</v>
      </c>
      <c r="C309" s="8">
        <v>451194</v>
      </c>
      <c r="D309" s="128">
        <f t="shared" si="35"/>
        <v>112</v>
      </c>
      <c r="E309" s="8">
        <v>3797</v>
      </c>
      <c r="F309" s="8">
        <v>4134</v>
      </c>
      <c r="G309" s="137">
        <f t="shared" si="30"/>
        <v>337</v>
      </c>
      <c r="H309" s="128">
        <f t="shared" si="31"/>
        <v>449</v>
      </c>
      <c r="I309" s="8">
        <v>655834</v>
      </c>
      <c r="J309" s="8">
        <v>656045</v>
      </c>
      <c r="K309" s="137">
        <f t="shared" si="36"/>
        <v>211</v>
      </c>
      <c r="L309" s="8">
        <v>9747</v>
      </c>
      <c r="M309" s="8">
        <v>9981</v>
      </c>
      <c r="N309" s="137">
        <f t="shared" si="33"/>
        <v>234</v>
      </c>
      <c r="O309" s="128">
        <f t="shared" si="32"/>
        <v>445</v>
      </c>
      <c r="P309" s="8">
        <v>248960</v>
      </c>
      <c r="Q309" s="8">
        <v>248993</v>
      </c>
      <c r="R309" s="128">
        <f t="shared" si="34"/>
        <v>33</v>
      </c>
      <c r="AQ309" s="8"/>
      <c r="AR309" s="8"/>
      <c r="AS309" s="8"/>
    </row>
    <row r="310" spans="1:45">
      <c r="A310" s="12">
        <v>44685</v>
      </c>
      <c r="B310" s="8">
        <v>451194</v>
      </c>
      <c r="C310" s="8">
        <v>451433</v>
      </c>
      <c r="D310" s="128">
        <f t="shared" si="35"/>
        <v>239</v>
      </c>
      <c r="E310" s="8">
        <v>4134</v>
      </c>
      <c r="F310" s="8">
        <v>4469</v>
      </c>
      <c r="G310" s="137">
        <f t="shared" si="30"/>
        <v>335</v>
      </c>
      <c r="H310" s="128">
        <f t="shared" si="31"/>
        <v>574</v>
      </c>
      <c r="I310" s="8">
        <v>656045</v>
      </c>
      <c r="J310" s="8">
        <v>656241</v>
      </c>
      <c r="K310" s="137">
        <f t="shared" si="36"/>
        <v>196</v>
      </c>
      <c r="L310" s="8">
        <v>9981</v>
      </c>
      <c r="M310" s="8">
        <v>10206</v>
      </c>
      <c r="N310" s="137">
        <f t="shared" si="33"/>
        <v>225</v>
      </c>
      <c r="O310" s="128">
        <f t="shared" si="32"/>
        <v>421</v>
      </c>
      <c r="P310" s="8">
        <v>248993</v>
      </c>
      <c r="Q310" s="8">
        <v>249096</v>
      </c>
      <c r="R310" s="128">
        <f t="shared" si="34"/>
        <v>103</v>
      </c>
      <c r="AQ310" s="8"/>
      <c r="AR310" s="8"/>
      <c r="AS310" s="8"/>
    </row>
    <row r="311" spans="1:45">
      <c r="A311" s="12">
        <v>44686</v>
      </c>
      <c r="B311" s="8">
        <v>451433</v>
      </c>
      <c r="C311" s="8">
        <v>451713</v>
      </c>
      <c r="D311" s="128">
        <f t="shared" si="35"/>
        <v>280</v>
      </c>
      <c r="E311" s="8">
        <v>4469</v>
      </c>
      <c r="F311" s="8">
        <v>4928</v>
      </c>
      <c r="G311" s="137">
        <f t="shared" si="30"/>
        <v>459</v>
      </c>
      <c r="H311" s="128">
        <f t="shared" si="31"/>
        <v>739</v>
      </c>
      <c r="I311" s="8">
        <v>656241</v>
      </c>
      <c r="J311" s="8">
        <v>656427</v>
      </c>
      <c r="K311" s="137">
        <f t="shared" si="36"/>
        <v>186</v>
      </c>
      <c r="L311" s="8">
        <v>10206</v>
      </c>
      <c r="M311" s="8">
        <v>10505</v>
      </c>
      <c r="N311" s="137">
        <f t="shared" si="33"/>
        <v>299</v>
      </c>
      <c r="O311" s="128">
        <f t="shared" si="32"/>
        <v>485</v>
      </c>
      <c r="P311" s="8">
        <v>249096</v>
      </c>
      <c r="Q311" s="8">
        <v>249199</v>
      </c>
      <c r="R311" s="128">
        <f t="shared" si="34"/>
        <v>103</v>
      </c>
      <c r="AQ311" s="8"/>
      <c r="AR311" s="8"/>
      <c r="AS311" s="8"/>
    </row>
    <row r="312" spans="1:45">
      <c r="A312" s="12">
        <v>44687</v>
      </c>
      <c r="B312" s="8">
        <v>451713</v>
      </c>
      <c r="C312" s="8">
        <v>451970</v>
      </c>
      <c r="D312" s="128">
        <f t="shared" si="35"/>
        <v>257</v>
      </c>
      <c r="E312" s="8">
        <v>4928</v>
      </c>
      <c r="F312" s="8">
        <v>5574</v>
      </c>
      <c r="G312" s="137">
        <f t="shared" si="30"/>
        <v>646</v>
      </c>
      <c r="H312" s="128">
        <f t="shared" si="31"/>
        <v>903</v>
      </c>
      <c r="I312" s="8">
        <v>656427</v>
      </c>
      <c r="J312" s="8">
        <v>656642</v>
      </c>
      <c r="K312" s="137">
        <f t="shared" si="36"/>
        <v>215</v>
      </c>
      <c r="L312" s="8">
        <v>10505</v>
      </c>
      <c r="M312" s="8">
        <v>10740</v>
      </c>
      <c r="N312" s="137">
        <f t="shared" si="33"/>
        <v>235</v>
      </c>
      <c r="O312" s="128">
        <f t="shared" si="32"/>
        <v>450</v>
      </c>
      <c r="P312" s="8">
        <v>249199</v>
      </c>
      <c r="Q312" s="8">
        <v>249289</v>
      </c>
      <c r="R312" s="128">
        <f t="shared" si="34"/>
        <v>90</v>
      </c>
      <c r="AQ312" s="8"/>
      <c r="AR312" s="8"/>
      <c r="AS312" s="8"/>
    </row>
    <row r="313" spans="1:45">
      <c r="A313" s="12">
        <v>44688</v>
      </c>
      <c r="B313" s="8">
        <v>451970</v>
      </c>
      <c r="C313" s="8">
        <v>452298</v>
      </c>
      <c r="D313" s="128">
        <f t="shared" ref="D313:D318" si="37">C313-B313</f>
        <v>328</v>
      </c>
      <c r="E313" s="8">
        <v>5574</v>
      </c>
      <c r="F313" s="8">
        <v>5839</v>
      </c>
      <c r="G313" s="137">
        <f t="shared" si="30"/>
        <v>265</v>
      </c>
      <c r="H313" s="128">
        <f t="shared" si="31"/>
        <v>593</v>
      </c>
      <c r="I313" s="8">
        <v>656642</v>
      </c>
      <c r="J313" s="8">
        <v>656848</v>
      </c>
      <c r="K313" s="137">
        <f t="shared" si="36"/>
        <v>206</v>
      </c>
      <c r="L313" s="8">
        <v>10740</v>
      </c>
      <c r="M313" s="8">
        <v>10984</v>
      </c>
      <c r="N313" s="137">
        <f t="shared" si="33"/>
        <v>244</v>
      </c>
      <c r="O313" s="128">
        <f t="shared" si="32"/>
        <v>450</v>
      </c>
      <c r="P313" s="8">
        <v>249289</v>
      </c>
      <c r="Q313" s="8">
        <v>249289</v>
      </c>
      <c r="R313" s="128">
        <f t="shared" si="34"/>
        <v>0</v>
      </c>
      <c r="AQ313" s="8"/>
      <c r="AR313" s="8"/>
      <c r="AS313" s="8"/>
    </row>
    <row r="314" spans="1:45">
      <c r="A314" s="12">
        <v>44689</v>
      </c>
      <c r="B314" s="8">
        <v>452298</v>
      </c>
      <c r="C314" s="8">
        <v>452488</v>
      </c>
      <c r="D314" s="128">
        <f t="shared" si="37"/>
        <v>190</v>
      </c>
      <c r="E314" s="8">
        <v>5839</v>
      </c>
      <c r="F314" s="8">
        <v>6052</v>
      </c>
      <c r="G314" s="137">
        <f t="shared" si="30"/>
        <v>213</v>
      </c>
      <c r="H314" s="128">
        <f t="shared" si="31"/>
        <v>403</v>
      </c>
      <c r="I314" s="8">
        <v>656848</v>
      </c>
      <c r="J314" s="8">
        <v>657063</v>
      </c>
      <c r="K314" s="137">
        <f t="shared" si="36"/>
        <v>215</v>
      </c>
      <c r="L314" s="8">
        <v>10984</v>
      </c>
      <c r="M314" s="8">
        <v>11117</v>
      </c>
      <c r="N314" s="137">
        <f t="shared" si="33"/>
        <v>133</v>
      </c>
      <c r="O314" s="128">
        <f t="shared" si="32"/>
        <v>348</v>
      </c>
      <c r="P314" s="8">
        <v>249289</v>
      </c>
      <c r="Q314" s="8">
        <v>249289</v>
      </c>
      <c r="R314" s="128">
        <f t="shared" si="34"/>
        <v>0</v>
      </c>
      <c r="AQ314" s="8"/>
      <c r="AR314" s="8"/>
      <c r="AS314" s="8"/>
    </row>
    <row r="315" spans="1:45">
      <c r="A315" s="12">
        <v>44690</v>
      </c>
      <c r="B315" s="8">
        <v>452488</v>
      </c>
      <c r="C315" s="8">
        <v>452696</v>
      </c>
      <c r="D315" s="128">
        <f t="shared" si="37"/>
        <v>208</v>
      </c>
      <c r="E315" s="8">
        <v>6052</v>
      </c>
      <c r="F315" s="8">
        <v>6247</v>
      </c>
      <c r="G315" s="137">
        <f t="shared" si="30"/>
        <v>195</v>
      </c>
      <c r="H315" s="128">
        <f t="shared" si="31"/>
        <v>403</v>
      </c>
      <c r="I315" s="8">
        <v>657063</v>
      </c>
      <c r="J315" s="8">
        <v>657247</v>
      </c>
      <c r="K315" s="137">
        <f t="shared" si="36"/>
        <v>184</v>
      </c>
      <c r="L315" s="8">
        <v>11117</v>
      </c>
      <c r="M315" s="8">
        <v>11259</v>
      </c>
      <c r="N315" s="137">
        <f t="shared" si="33"/>
        <v>142</v>
      </c>
      <c r="O315" s="128">
        <f t="shared" si="32"/>
        <v>326</v>
      </c>
      <c r="P315" s="8">
        <v>249289</v>
      </c>
      <c r="Q315" s="8">
        <v>249626</v>
      </c>
      <c r="R315" s="128">
        <f t="shared" si="34"/>
        <v>337</v>
      </c>
      <c r="AQ315" s="8"/>
      <c r="AR315" s="8"/>
      <c r="AS315" s="8"/>
    </row>
    <row r="316" spans="1:45">
      <c r="A316" s="12">
        <v>44691</v>
      </c>
      <c r="B316" s="8">
        <v>452696</v>
      </c>
      <c r="C316" s="8">
        <v>452936</v>
      </c>
      <c r="D316" s="128">
        <f t="shared" si="37"/>
        <v>240</v>
      </c>
      <c r="E316" s="8">
        <v>6247</v>
      </c>
      <c r="F316" s="8">
        <v>6579</v>
      </c>
      <c r="G316" s="137">
        <f t="shared" si="30"/>
        <v>332</v>
      </c>
      <c r="H316" s="128">
        <f t="shared" si="31"/>
        <v>572</v>
      </c>
      <c r="I316" s="8">
        <v>657247</v>
      </c>
      <c r="J316" s="8">
        <v>657454</v>
      </c>
      <c r="K316" s="137">
        <f t="shared" si="36"/>
        <v>207</v>
      </c>
      <c r="L316" s="8">
        <v>11259</v>
      </c>
      <c r="M316" s="8">
        <v>11412</v>
      </c>
      <c r="N316" s="137">
        <f t="shared" si="33"/>
        <v>153</v>
      </c>
      <c r="O316" s="128">
        <f t="shared" si="32"/>
        <v>360</v>
      </c>
      <c r="P316" s="8">
        <v>249626</v>
      </c>
      <c r="Q316" s="8">
        <v>250345</v>
      </c>
      <c r="R316" s="128">
        <f t="shared" si="34"/>
        <v>719</v>
      </c>
      <c r="AQ316" s="8"/>
      <c r="AR316" s="8"/>
      <c r="AS316" s="8"/>
    </row>
    <row r="317" spans="1:45">
      <c r="A317" s="12">
        <v>44692</v>
      </c>
      <c r="B317" s="8">
        <v>452936</v>
      </c>
      <c r="C317" s="8">
        <v>453114</v>
      </c>
      <c r="D317" s="128">
        <f t="shared" si="37"/>
        <v>178</v>
      </c>
      <c r="E317" s="8">
        <v>6579</v>
      </c>
      <c r="F317" s="8">
        <v>6855</v>
      </c>
      <c r="G317" s="137">
        <f t="shared" si="30"/>
        <v>276</v>
      </c>
      <c r="H317" s="128">
        <f t="shared" si="31"/>
        <v>454</v>
      </c>
      <c r="I317" s="8">
        <v>657454</v>
      </c>
      <c r="J317" s="8">
        <v>657668</v>
      </c>
      <c r="K317" s="137">
        <f t="shared" si="36"/>
        <v>214</v>
      </c>
      <c r="L317" s="8">
        <v>11412</v>
      </c>
      <c r="M317" s="8">
        <v>11620</v>
      </c>
      <c r="N317" s="137">
        <f t="shared" si="33"/>
        <v>208</v>
      </c>
      <c r="O317" s="128">
        <f t="shared" si="32"/>
        <v>422</v>
      </c>
      <c r="P317" s="8">
        <v>250345</v>
      </c>
      <c r="Q317" s="8">
        <v>250345</v>
      </c>
      <c r="R317" s="128">
        <f t="shared" si="34"/>
        <v>0</v>
      </c>
      <c r="AQ317" s="8"/>
      <c r="AR317" s="8"/>
      <c r="AS317" s="8"/>
    </row>
    <row r="318" spans="1:45">
      <c r="A318" s="12">
        <v>44693</v>
      </c>
      <c r="B318" s="8">
        <v>453114</v>
      </c>
      <c r="C318" s="8">
        <v>453387</v>
      </c>
      <c r="D318" s="128">
        <f t="shared" si="37"/>
        <v>273</v>
      </c>
      <c r="E318" s="8">
        <v>6855</v>
      </c>
      <c r="F318" s="8">
        <v>7013</v>
      </c>
      <c r="G318" s="137">
        <f t="shared" si="30"/>
        <v>158</v>
      </c>
      <c r="H318" s="128">
        <f t="shared" si="31"/>
        <v>431</v>
      </c>
      <c r="I318" s="8">
        <v>657668</v>
      </c>
      <c r="J318" s="8">
        <v>657865</v>
      </c>
      <c r="K318" s="137">
        <f t="shared" si="36"/>
        <v>197</v>
      </c>
      <c r="L318" s="8">
        <v>11620</v>
      </c>
      <c r="M318" s="8">
        <v>11835</v>
      </c>
      <c r="N318" s="137">
        <f t="shared" si="33"/>
        <v>215</v>
      </c>
      <c r="O318" s="128">
        <f t="shared" si="32"/>
        <v>412</v>
      </c>
      <c r="P318" s="8">
        <v>250345</v>
      </c>
      <c r="Q318" s="8">
        <v>250744</v>
      </c>
      <c r="R318" s="128">
        <f t="shared" si="34"/>
        <v>399</v>
      </c>
      <c r="AQ318" s="8"/>
      <c r="AR318" s="8"/>
      <c r="AS318" s="8"/>
    </row>
    <row r="319" spans="1:45">
      <c r="A319" s="12">
        <v>44694</v>
      </c>
      <c r="B319" s="8">
        <v>453387</v>
      </c>
      <c r="C319" s="8">
        <v>453437</v>
      </c>
      <c r="D319" s="128">
        <f t="shared" si="35"/>
        <v>50</v>
      </c>
      <c r="E319" s="8">
        <v>7013</v>
      </c>
      <c r="F319" s="8">
        <v>7812</v>
      </c>
      <c r="G319" s="137">
        <f t="shared" si="30"/>
        <v>799</v>
      </c>
      <c r="H319" s="128">
        <f t="shared" si="31"/>
        <v>849</v>
      </c>
      <c r="I319" s="8">
        <v>657865</v>
      </c>
      <c r="J319" s="8">
        <v>658053</v>
      </c>
      <c r="K319" s="137">
        <f t="shared" si="36"/>
        <v>188</v>
      </c>
      <c r="L319" s="8">
        <v>11835</v>
      </c>
      <c r="M319" s="8">
        <v>11893</v>
      </c>
      <c r="N319" s="137">
        <f t="shared" si="33"/>
        <v>58</v>
      </c>
      <c r="O319" s="128">
        <f t="shared" si="32"/>
        <v>246</v>
      </c>
      <c r="P319" s="8">
        <v>250744</v>
      </c>
      <c r="Q319" s="8">
        <v>250813</v>
      </c>
      <c r="R319" s="128">
        <f t="shared" si="34"/>
        <v>69</v>
      </c>
      <c r="AQ319" s="8"/>
      <c r="AR319" s="8"/>
      <c r="AS319" s="8"/>
    </row>
    <row r="320" spans="1:45">
      <c r="A320" s="12">
        <v>44695</v>
      </c>
      <c r="B320" s="8">
        <v>453437</v>
      </c>
      <c r="C320" s="8">
        <v>453552</v>
      </c>
      <c r="D320" s="128">
        <f t="shared" si="35"/>
        <v>115</v>
      </c>
      <c r="E320" s="8">
        <v>7812</v>
      </c>
      <c r="F320" s="8">
        <v>8058</v>
      </c>
      <c r="G320" s="137">
        <f t="shared" si="30"/>
        <v>246</v>
      </c>
      <c r="H320" s="128">
        <f t="shared" si="31"/>
        <v>361</v>
      </c>
      <c r="I320" s="8">
        <v>658053</v>
      </c>
      <c r="J320" s="8">
        <v>658294</v>
      </c>
      <c r="K320" s="137">
        <f t="shared" si="36"/>
        <v>241</v>
      </c>
      <c r="L320" s="8">
        <v>11893</v>
      </c>
      <c r="M320" s="8">
        <v>12044</v>
      </c>
      <c r="N320" s="137">
        <f t="shared" si="33"/>
        <v>151</v>
      </c>
      <c r="O320" s="128">
        <f t="shared" si="32"/>
        <v>392</v>
      </c>
      <c r="P320" s="8">
        <v>250813</v>
      </c>
      <c r="Q320" s="8">
        <v>250909</v>
      </c>
      <c r="R320" s="128">
        <f t="shared" si="34"/>
        <v>96</v>
      </c>
      <c r="AQ320" s="8"/>
      <c r="AR320" s="8"/>
      <c r="AS320" s="8"/>
    </row>
    <row r="321" spans="1:45">
      <c r="A321" s="12">
        <v>44696</v>
      </c>
      <c r="B321" s="8">
        <v>453552</v>
      </c>
      <c r="C321" s="8">
        <v>453946</v>
      </c>
      <c r="D321" s="128">
        <f t="shared" si="35"/>
        <v>394</v>
      </c>
      <c r="E321" s="8">
        <v>8058</v>
      </c>
      <c r="F321" s="8">
        <v>8517</v>
      </c>
      <c r="G321" s="137">
        <f t="shared" si="30"/>
        <v>459</v>
      </c>
      <c r="H321" s="128">
        <f t="shared" si="31"/>
        <v>853</v>
      </c>
      <c r="I321" s="8">
        <v>658294</v>
      </c>
      <c r="J321" s="8">
        <v>658510</v>
      </c>
      <c r="K321" s="137">
        <f t="shared" si="36"/>
        <v>216</v>
      </c>
      <c r="L321" s="8">
        <v>12044</v>
      </c>
      <c r="M321" s="8">
        <v>12275</v>
      </c>
      <c r="N321" s="137">
        <f t="shared" si="33"/>
        <v>231</v>
      </c>
      <c r="O321" s="128">
        <f t="shared" si="32"/>
        <v>447</v>
      </c>
      <c r="P321" s="8">
        <v>250909</v>
      </c>
      <c r="Q321" s="8">
        <v>250948</v>
      </c>
      <c r="R321" s="128">
        <f t="shared" si="34"/>
        <v>39</v>
      </c>
      <c r="AQ321" s="8"/>
      <c r="AR321" s="8"/>
      <c r="AS321" s="8"/>
    </row>
    <row r="322" spans="1:45">
      <c r="A322" s="12">
        <v>44697</v>
      </c>
      <c r="B322" s="8">
        <v>453946</v>
      </c>
      <c r="C322" s="8">
        <v>454195</v>
      </c>
      <c r="D322" s="128">
        <f t="shared" si="35"/>
        <v>249</v>
      </c>
      <c r="E322" s="8">
        <v>8517</v>
      </c>
      <c r="F322" s="8">
        <v>8872</v>
      </c>
      <c r="G322" s="137">
        <f t="shared" si="30"/>
        <v>355</v>
      </c>
      <c r="H322" s="128">
        <f t="shared" si="31"/>
        <v>604</v>
      </c>
      <c r="I322" s="8">
        <v>658510</v>
      </c>
      <c r="J322" s="8">
        <v>658719</v>
      </c>
      <c r="K322" s="137">
        <f t="shared" si="36"/>
        <v>209</v>
      </c>
      <c r="L322" s="8">
        <v>12275</v>
      </c>
      <c r="M322" s="8">
        <v>12483</v>
      </c>
      <c r="N322" s="137">
        <f t="shared" si="33"/>
        <v>208</v>
      </c>
      <c r="O322" s="128">
        <f t="shared" si="32"/>
        <v>417</v>
      </c>
      <c r="P322" s="8">
        <v>250948</v>
      </c>
      <c r="Q322" s="8">
        <v>251041</v>
      </c>
      <c r="R322" s="128">
        <f t="shared" si="34"/>
        <v>93</v>
      </c>
      <c r="AQ322" s="8"/>
      <c r="AR322" s="8"/>
      <c r="AS322" s="8"/>
    </row>
    <row r="323" spans="1:45">
      <c r="A323" s="12">
        <v>44698</v>
      </c>
      <c r="B323" s="8">
        <v>454195</v>
      </c>
      <c r="C323" s="8">
        <v>454406</v>
      </c>
      <c r="D323" s="128">
        <f t="shared" si="35"/>
        <v>211</v>
      </c>
      <c r="E323" s="8">
        <v>8872</v>
      </c>
      <c r="F323" s="8">
        <v>9193</v>
      </c>
      <c r="G323" s="137">
        <f t="shared" ref="G323:G386" si="38">F323-E323</f>
        <v>321</v>
      </c>
      <c r="H323" s="128">
        <f t="shared" si="31"/>
        <v>532</v>
      </c>
      <c r="I323" s="8">
        <v>658719</v>
      </c>
      <c r="J323" s="8">
        <v>658932</v>
      </c>
      <c r="K323" s="137">
        <f t="shared" si="36"/>
        <v>213</v>
      </c>
      <c r="L323" s="8">
        <v>12483</v>
      </c>
      <c r="M323" s="8">
        <v>12707</v>
      </c>
      <c r="N323" s="137">
        <f t="shared" si="33"/>
        <v>224</v>
      </c>
      <c r="O323" s="128">
        <f t="shared" si="32"/>
        <v>437</v>
      </c>
      <c r="P323" s="8">
        <v>251041</v>
      </c>
      <c r="Q323" s="8">
        <v>251041</v>
      </c>
      <c r="R323" s="128">
        <f t="shared" si="34"/>
        <v>0</v>
      </c>
      <c r="AQ323" s="8"/>
      <c r="AR323" s="8"/>
      <c r="AS323" s="8"/>
    </row>
    <row r="324" spans="1:45">
      <c r="A324" s="12">
        <v>44699</v>
      </c>
      <c r="B324" s="8">
        <v>454406</v>
      </c>
      <c r="C324" s="8">
        <v>454687</v>
      </c>
      <c r="D324" s="128">
        <f t="shared" si="35"/>
        <v>281</v>
      </c>
      <c r="E324" s="8">
        <v>9193</v>
      </c>
      <c r="F324" s="8">
        <v>9476</v>
      </c>
      <c r="G324" s="137">
        <f t="shared" si="38"/>
        <v>283</v>
      </c>
      <c r="H324" s="128">
        <f t="shared" ref="H324:H362" si="39">D324+G324</f>
        <v>564</v>
      </c>
      <c r="I324" s="8">
        <v>658932</v>
      </c>
      <c r="J324" s="8">
        <v>659131</v>
      </c>
      <c r="K324" s="137">
        <f t="shared" si="36"/>
        <v>199</v>
      </c>
      <c r="L324" s="8">
        <v>12707</v>
      </c>
      <c r="M324" s="8">
        <v>12897</v>
      </c>
      <c r="N324" s="137">
        <f t="shared" si="33"/>
        <v>190</v>
      </c>
      <c r="O324" s="128">
        <f t="shared" ref="O324:O387" si="40">N324+K324</f>
        <v>389</v>
      </c>
      <c r="P324" s="8">
        <v>251041</v>
      </c>
      <c r="Q324" s="8">
        <v>251041</v>
      </c>
      <c r="R324" s="128">
        <f t="shared" si="34"/>
        <v>0</v>
      </c>
      <c r="AQ324" s="8"/>
      <c r="AR324" s="8"/>
      <c r="AS324" s="8"/>
    </row>
    <row r="325" spans="1:45">
      <c r="A325" s="12">
        <v>44700</v>
      </c>
      <c r="B325" s="8">
        <v>454687</v>
      </c>
      <c r="C325" s="8">
        <v>454863</v>
      </c>
      <c r="D325" s="128">
        <f t="shared" si="35"/>
        <v>176</v>
      </c>
      <c r="E325" s="8">
        <v>9476</v>
      </c>
      <c r="F325" s="8">
        <v>9780</v>
      </c>
      <c r="G325" s="137">
        <f t="shared" si="38"/>
        <v>304</v>
      </c>
      <c r="H325" s="128">
        <f t="shared" si="39"/>
        <v>480</v>
      </c>
      <c r="I325" s="8">
        <v>659131</v>
      </c>
      <c r="J325" s="8">
        <v>659328</v>
      </c>
      <c r="K325" s="137">
        <f t="shared" si="36"/>
        <v>197</v>
      </c>
      <c r="L325" s="8">
        <v>12897</v>
      </c>
      <c r="M325" s="8">
        <v>12951</v>
      </c>
      <c r="N325" s="137">
        <f t="shared" si="33"/>
        <v>54</v>
      </c>
      <c r="O325" s="128">
        <f t="shared" si="40"/>
        <v>251</v>
      </c>
      <c r="P325" s="8">
        <v>251041</v>
      </c>
      <c r="Q325" s="8">
        <v>251041</v>
      </c>
      <c r="R325" s="128">
        <f t="shared" si="34"/>
        <v>0</v>
      </c>
      <c r="AQ325" s="8"/>
      <c r="AR325" s="8"/>
      <c r="AS325" s="8"/>
    </row>
    <row r="326" spans="1:45">
      <c r="A326" s="12">
        <v>44701</v>
      </c>
      <c r="B326" s="8">
        <v>454863</v>
      </c>
      <c r="C326" s="8">
        <v>455026</v>
      </c>
      <c r="D326" s="128">
        <f t="shared" si="35"/>
        <v>163</v>
      </c>
      <c r="E326" s="8">
        <v>9780</v>
      </c>
      <c r="F326" s="8">
        <v>9988</v>
      </c>
      <c r="G326" s="137">
        <f t="shared" si="38"/>
        <v>208</v>
      </c>
      <c r="H326" s="128">
        <f t="shared" si="39"/>
        <v>371</v>
      </c>
      <c r="I326" s="8">
        <v>659328</v>
      </c>
      <c r="J326" s="8">
        <v>659488</v>
      </c>
      <c r="K326" s="137">
        <f t="shared" si="36"/>
        <v>160</v>
      </c>
      <c r="L326" s="8">
        <v>12951</v>
      </c>
      <c r="M326" s="8">
        <v>13011</v>
      </c>
      <c r="N326" s="137">
        <f t="shared" si="33"/>
        <v>60</v>
      </c>
      <c r="O326" s="128">
        <f t="shared" si="40"/>
        <v>220</v>
      </c>
      <c r="P326" s="8">
        <v>251041</v>
      </c>
      <c r="Q326" s="8">
        <v>251041</v>
      </c>
      <c r="R326" s="128">
        <f t="shared" si="34"/>
        <v>0</v>
      </c>
      <c r="AQ326" s="8"/>
      <c r="AR326" s="8"/>
      <c r="AS326" s="8"/>
    </row>
    <row r="327" spans="1:45">
      <c r="A327" s="12">
        <v>44702</v>
      </c>
      <c r="B327" s="8">
        <v>455026</v>
      </c>
      <c r="C327" s="8">
        <v>455222</v>
      </c>
      <c r="D327" s="128">
        <f t="shared" si="35"/>
        <v>196</v>
      </c>
      <c r="E327" s="8">
        <v>9988</v>
      </c>
      <c r="F327" s="8">
        <v>10216</v>
      </c>
      <c r="G327" s="137">
        <f t="shared" si="38"/>
        <v>228</v>
      </c>
      <c r="H327" s="128">
        <f t="shared" si="39"/>
        <v>424</v>
      </c>
      <c r="I327" s="8">
        <v>659488</v>
      </c>
      <c r="J327" s="8">
        <v>659738</v>
      </c>
      <c r="K327" s="137">
        <f t="shared" si="36"/>
        <v>250</v>
      </c>
      <c r="L327" s="8">
        <v>13011</v>
      </c>
      <c r="M327" s="8">
        <v>13197</v>
      </c>
      <c r="N327" s="137">
        <f t="shared" si="33"/>
        <v>186</v>
      </c>
      <c r="O327" s="128">
        <f t="shared" si="40"/>
        <v>436</v>
      </c>
      <c r="P327" s="8">
        <v>251041</v>
      </c>
      <c r="Q327" s="8">
        <v>251041</v>
      </c>
      <c r="R327" s="128">
        <f t="shared" si="34"/>
        <v>0</v>
      </c>
      <c r="AQ327" s="8"/>
      <c r="AR327" s="8"/>
      <c r="AS327" s="8"/>
    </row>
    <row r="328" spans="1:45">
      <c r="A328" s="12">
        <v>44703</v>
      </c>
      <c r="B328" s="8">
        <v>455222</v>
      </c>
      <c r="C328" s="8">
        <v>455534</v>
      </c>
      <c r="D328" s="128">
        <f t="shared" si="35"/>
        <v>312</v>
      </c>
      <c r="E328" s="8">
        <v>10216</v>
      </c>
      <c r="F328" s="8">
        <v>10685</v>
      </c>
      <c r="G328" s="137">
        <f t="shared" si="38"/>
        <v>469</v>
      </c>
      <c r="H328" s="128">
        <f t="shared" si="39"/>
        <v>781</v>
      </c>
      <c r="I328" s="8">
        <v>659738</v>
      </c>
      <c r="J328" s="8">
        <v>659938</v>
      </c>
      <c r="K328" s="137">
        <f t="shared" si="36"/>
        <v>200</v>
      </c>
      <c r="L328" s="8">
        <v>13197</v>
      </c>
      <c r="M328" s="8">
        <v>13340</v>
      </c>
      <c r="N328" s="137">
        <f t="shared" ref="N328:N362" si="41">M328-L328</f>
        <v>143</v>
      </c>
      <c r="O328" s="128">
        <f t="shared" si="40"/>
        <v>343</v>
      </c>
      <c r="P328" s="8">
        <v>251041</v>
      </c>
      <c r="Q328" s="8">
        <v>251041</v>
      </c>
      <c r="R328" s="128">
        <f t="shared" si="34"/>
        <v>0</v>
      </c>
      <c r="AQ328" s="8"/>
      <c r="AR328" s="8"/>
      <c r="AS328" s="8"/>
    </row>
    <row r="329" spans="1:45">
      <c r="A329" s="12">
        <v>44704</v>
      </c>
      <c r="B329" s="8">
        <v>455534</v>
      </c>
      <c r="C329" s="8">
        <v>455743</v>
      </c>
      <c r="D329" s="128">
        <f t="shared" si="35"/>
        <v>209</v>
      </c>
      <c r="E329" s="8">
        <v>10685</v>
      </c>
      <c r="F329" s="8">
        <v>10919</v>
      </c>
      <c r="G329" s="137">
        <f t="shared" si="38"/>
        <v>234</v>
      </c>
      <c r="H329" s="128">
        <f t="shared" si="39"/>
        <v>443</v>
      </c>
      <c r="I329" s="8">
        <v>659938</v>
      </c>
      <c r="J329" s="8">
        <v>660040</v>
      </c>
      <c r="K329" s="137">
        <f t="shared" si="36"/>
        <v>102</v>
      </c>
      <c r="L329" s="8">
        <v>13340</v>
      </c>
      <c r="M329" s="8">
        <v>13561</v>
      </c>
      <c r="N329" s="137">
        <f t="shared" si="41"/>
        <v>221</v>
      </c>
      <c r="O329" s="128">
        <f t="shared" si="40"/>
        <v>323</v>
      </c>
      <c r="P329" s="8">
        <v>251041</v>
      </c>
      <c r="Q329" s="8">
        <v>251041</v>
      </c>
      <c r="R329" s="128">
        <f t="shared" si="34"/>
        <v>0</v>
      </c>
      <c r="AQ329" s="8"/>
      <c r="AR329" s="8"/>
      <c r="AS329" s="8"/>
    </row>
    <row r="330" spans="1:45">
      <c r="A330" s="12">
        <v>44705</v>
      </c>
      <c r="B330" s="8">
        <v>455743</v>
      </c>
      <c r="C330" s="8">
        <v>455941</v>
      </c>
      <c r="D330" s="128">
        <f t="shared" si="35"/>
        <v>198</v>
      </c>
      <c r="E330" s="8">
        <v>10919</v>
      </c>
      <c r="F330" s="8">
        <v>11197</v>
      </c>
      <c r="G330" s="137">
        <f t="shared" si="38"/>
        <v>278</v>
      </c>
      <c r="H330" s="128">
        <f t="shared" si="39"/>
        <v>476</v>
      </c>
      <c r="I330" s="8">
        <v>660040</v>
      </c>
      <c r="J330" s="8">
        <v>660211</v>
      </c>
      <c r="K330" s="137">
        <f t="shared" si="36"/>
        <v>171</v>
      </c>
      <c r="L330" s="8">
        <v>13561</v>
      </c>
      <c r="M330" s="8">
        <v>13785</v>
      </c>
      <c r="N330" s="137">
        <f t="shared" si="41"/>
        <v>224</v>
      </c>
      <c r="O330" s="128">
        <f t="shared" si="40"/>
        <v>395</v>
      </c>
      <c r="P330" s="8">
        <v>251041</v>
      </c>
      <c r="Q330" s="8">
        <v>251041</v>
      </c>
      <c r="R330" s="128">
        <f t="shared" si="34"/>
        <v>0</v>
      </c>
      <c r="AQ330" s="8"/>
      <c r="AR330" s="8"/>
      <c r="AS330" s="8"/>
    </row>
    <row r="331" spans="1:45">
      <c r="A331" s="12">
        <v>44706</v>
      </c>
      <c r="B331" s="8">
        <v>455941</v>
      </c>
      <c r="C331" s="8">
        <v>456103</v>
      </c>
      <c r="D331" s="128">
        <f t="shared" si="35"/>
        <v>162</v>
      </c>
      <c r="E331" s="8">
        <v>11197</v>
      </c>
      <c r="F331" s="8">
        <v>11415</v>
      </c>
      <c r="G331" s="137">
        <f t="shared" si="38"/>
        <v>218</v>
      </c>
      <c r="H331" s="128">
        <f t="shared" si="39"/>
        <v>380</v>
      </c>
      <c r="I331" s="8">
        <v>660211</v>
      </c>
      <c r="J331" s="8">
        <v>660423</v>
      </c>
      <c r="K331" s="137">
        <f t="shared" si="36"/>
        <v>212</v>
      </c>
      <c r="L331" s="8">
        <v>13785</v>
      </c>
      <c r="M331" s="8">
        <v>14004</v>
      </c>
      <c r="N331" s="137">
        <f t="shared" si="41"/>
        <v>219</v>
      </c>
      <c r="O331" s="128">
        <f t="shared" si="40"/>
        <v>431</v>
      </c>
      <c r="P331" s="8">
        <v>251041</v>
      </c>
      <c r="Q331" s="8">
        <v>251041</v>
      </c>
      <c r="R331" s="128">
        <f t="shared" ref="R331:R362" si="42">Q331-P331</f>
        <v>0</v>
      </c>
      <c r="AQ331" s="8"/>
      <c r="AR331" s="8"/>
      <c r="AS331" s="8"/>
    </row>
    <row r="332" spans="1:45">
      <c r="A332" s="12">
        <v>44707</v>
      </c>
      <c r="B332" s="8">
        <v>456103</v>
      </c>
      <c r="C332" s="8">
        <v>456329</v>
      </c>
      <c r="D332" s="128">
        <f t="shared" si="35"/>
        <v>226</v>
      </c>
      <c r="E332" s="8">
        <v>11415</v>
      </c>
      <c r="F332" s="8">
        <v>11680</v>
      </c>
      <c r="G332" s="137">
        <f t="shared" si="38"/>
        <v>265</v>
      </c>
      <c r="H332" s="128">
        <f t="shared" si="39"/>
        <v>491</v>
      </c>
      <c r="I332" s="8">
        <v>660423</v>
      </c>
      <c r="J332" s="8">
        <v>660623</v>
      </c>
      <c r="K332" s="137">
        <f t="shared" si="36"/>
        <v>200</v>
      </c>
      <c r="L332" s="8">
        <v>14004</v>
      </c>
      <c r="M332" s="8">
        <v>14209</v>
      </c>
      <c r="N332" s="137">
        <f t="shared" si="41"/>
        <v>205</v>
      </c>
      <c r="O332" s="128">
        <f t="shared" si="40"/>
        <v>405</v>
      </c>
      <c r="P332" s="8">
        <v>251041</v>
      </c>
      <c r="Q332" s="8">
        <v>251041</v>
      </c>
      <c r="R332" s="128">
        <f t="shared" si="42"/>
        <v>0</v>
      </c>
      <c r="AQ332" s="8"/>
      <c r="AR332" s="8"/>
      <c r="AS332" s="8"/>
    </row>
    <row r="333" spans="1:45">
      <c r="A333" s="12">
        <v>44708</v>
      </c>
      <c r="B333" s="8">
        <v>456329</v>
      </c>
      <c r="C333" s="8">
        <v>456682</v>
      </c>
      <c r="D333" s="128">
        <f t="shared" si="35"/>
        <v>353</v>
      </c>
      <c r="E333" s="8">
        <v>11680</v>
      </c>
      <c r="F333" s="8">
        <v>12049</v>
      </c>
      <c r="G333" s="137">
        <f t="shared" si="38"/>
        <v>369</v>
      </c>
      <c r="H333" s="128">
        <f t="shared" si="39"/>
        <v>722</v>
      </c>
      <c r="I333" s="8">
        <v>660623</v>
      </c>
      <c r="J333" s="8">
        <v>660835</v>
      </c>
      <c r="K333" s="137">
        <f t="shared" si="36"/>
        <v>212</v>
      </c>
      <c r="L333" s="8">
        <v>14209</v>
      </c>
      <c r="M333" s="8">
        <v>14434</v>
      </c>
      <c r="N333" s="137">
        <f t="shared" si="41"/>
        <v>225</v>
      </c>
      <c r="O333" s="128">
        <f t="shared" si="40"/>
        <v>437</v>
      </c>
      <c r="P333" s="8">
        <v>251041</v>
      </c>
      <c r="Q333" s="8">
        <v>251041</v>
      </c>
      <c r="R333" s="128">
        <f t="shared" si="42"/>
        <v>0</v>
      </c>
      <c r="AQ333" s="8"/>
      <c r="AR333" s="8"/>
      <c r="AS333" s="8"/>
    </row>
    <row r="334" spans="1:45">
      <c r="A334" s="12">
        <v>44709</v>
      </c>
      <c r="B334" s="8">
        <v>456682</v>
      </c>
      <c r="C334" s="8">
        <v>456913</v>
      </c>
      <c r="D334" s="128">
        <f t="shared" si="35"/>
        <v>231</v>
      </c>
      <c r="E334" s="8">
        <v>12049</v>
      </c>
      <c r="F334" s="8">
        <v>12290</v>
      </c>
      <c r="G334" s="137">
        <f t="shared" si="38"/>
        <v>241</v>
      </c>
      <c r="H334" s="128">
        <f t="shared" si="39"/>
        <v>472</v>
      </c>
      <c r="I334" s="8">
        <v>660835</v>
      </c>
      <c r="J334" s="8">
        <v>661038</v>
      </c>
      <c r="K334" s="137">
        <f t="shared" si="36"/>
        <v>203</v>
      </c>
      <c r="L334" s="8">
        <v>14434</v>
      </c>
      <c r="M334" s="8">
        <v>14623</v>
      </c>
      <c r="N334" s="137">
        <f t="shared" si="41"/>
        <v>189</v>
      </c>
      <c r="O334" s="128">
        <f t="shared" si="40"/>
        <v>392</v>
      </c>
      <c r="P334" s="8">
        <v>251041</v>
      </c>
      <c r="Q334" s="8">
        <v>251041</v>
      </c>
      <c r="R334" s="128">
        <f t="shared" si="42"/>
        <v>0</v>
      </c>
      <c r="AQ334" s="8"/>
      <c r="AR334" s="8"/>
      <c r="AS334" s="8"/>
    </row>
    <row r="335" spans="1:45">
      <c r="A335" s="12">
        <v>44710</v>
      </c>
      <c r="B335" s="8">
        <v>456913</v>
      </c>
      <c r="C335" s="8">
        <v>457110</v>
      </c>
      <c r="D335" s="128">
        <f t="shared" si="35"/>
        <v>197</v>
      </c>
      <c r="E335" s="8">
        <v>12290</v>
      </c>
      <c r="F335" s="8">
        <v>12521</v>
      </c>
      <c r="G335" s="137">
        <f t="shared" si="38"/>
        <v>231</v>
      </c>
      <c r="H335" s="128">
        <f t="shared" si="39"/>
        <v>428</v>
      </c>
      <c r="I335" s="8">
        <v>661038</v>
      </c>
      <c r="J335" s="8">
        <v>661248</v>
      </c>
      <c r="K335" s="137">
        <f t="shared" si="36"/>
        <v>210</v>
      </c>
      <c r="L335" s="8">
        <v>14623</v>
      </c>
      <c r="M335" s="8">
        <v>14811</v>
      </c>
      <c r="N335" s="137">
        <f t="shared" si="41"/>
        <v>188</v>
      </c>
      <c r="O335" s="128">
        <f t="shared" si="40"/>
        <v>398</v>
      </c>
      <c r="P335" s="8">
        <v>251041</v>
      </c>
      <c r="Q335" s="8">
        <v>251041</v>
      </c>
      <c r="R335" s="128">
        <f t="shared" si="42"/>
        <v>0</v>
      </c>
      <c r="AQ335" s="8"/>
      <c r="AR335" s="8"/>
      <c r="AS335" s="8"/>
    </row>
    <row r="336" spans="1:45">
      <c r="A336" s="12">
        <v>44711</v>
      </c>
      <c r="B336" s="8">
        <v>457110</v>
      </c>
      <c r="C336" s="8">
        <v>457299</v>
      </c>
      <c r="D336" s="128">
        <f t="shared" si="35"/>
        <v>189</v>
      </c>
      <c r="E336" s="8">
        <v>12521</v>
      </c>
      <c r="F336" s="8">
        <v>12782</v>
      </c>
      <c r="G336" s="137">
        <f t="shared" si="38"/>
        <v>261</v>
      </c>
      <c r="H336" s="128">
        <f t="shared" si="39"/>
        <v>450</v>
      </c>
      <c r="I336" s="8">
        <v>661248</v>
      </c>
      <c r="J336" s="8">
        <v>661450</v>
      </c>
      <c r="K336" s="137">
        <f t="shared" si="36"/>
        <v>202</v>
      </c>
      <c r="L336" s="8">
        <v>14811</v>
      </c>
      <c r="M336" s="8">
        <v>14985</v>
      </c>
      <c r="N336" s="137">
        <f t="shared" si="41"/>
        <v>174</v>
      </c>
      <c r="O336" s="128">
        <f t="shared" si="40"/>
        <v>376</v>
      </c>
      <c r="P336" s="8">
        <v>251041</v>
      </c>
      <c r="Q336" s="8">
        <v>251041</v>
      </c>
      <c r="R336" s="128">
        <f t="shared" si="42"/>
        <v>0</v>
      </c>
      <c r="AQ336" s="8"/>
      <c r="AR336" s="8"/>
      <c r="AS336" s="8"/>
    </row>
    <row r="337" spans="1:45">
      <c r="A337" s="12">
        <v>44712</v>
      </c>
      <c r="B337" s="8">
        <v>457299</v>
      </c>
      <c r="C337" s="8">
        <v>457537</v>
      </c>
      <c r="D337" s="128">
        <f t="shared" si="35"/>
        <v>238</v>
      </c>
      <c r="E337" s="8">
        <v>12782</v>
      </c>
      <c r="F337" s="8">
        <v>13079</v>
      </c>
      <c r="G337" s="137">
        <f t="shared" si="38"/>
        <v>297</v>
      </c>
      <c r="H337" s="128">
        <f t="shared" si="39"/>
        <v>535</v>
      </c>
      <c r="I337" s="8">
        <v>661450</v>
      </c>
      <c r="J337" s="8">
        <v>661642</v>
      </c>
      <c r="K337" s="137">
        <f t="shared" si="36"/>
        <v>192</v>
      </c>
      <c r="L337" s="8">
        <v>14985</v>
      </c>
      <c r="M337" s="8">
        <v>15216</v>
      </c>
      <c r="N337" s="137">
        <f t="shared" si="41"/>
        <v>231</v>
      </c>
      <c r="O337" s="128">
        <f t="shared" si="40"/>
        <v>423</v>
      </c>
      <c r="P337" s="8">
        <v>251041</v>
      </c>
      <c r="Q337" s="8">
        <v>251041</v>
      </c>
      <c r="R337" s="128">
        <f t="shared" si="42"/>
        <v>0</v>
      </c>
      <c r="AQ337" s="8"/>
      <c r="AR337" s="8"/>
      <c r="AS337" s="8"/>
    </row>
    <row r="338" spans="1:45">
      <c r="A338" s="12">
        <v>44713</v>
      </c>
      <c r="B338" s="8">
        <v>457537</v>
      </c>
      <c r="C338" s="8">
        <v>457537</v>
      </c>
      <c r="D338" s="128">
        <f t="shared" si="35"/>
        <v>0</v>
      </c>
      <c r="E338" s="8">
        <v>13079</v>
      </c>
      <c r="F338" s="8">
        <v>13079</v>
      </c>
      <c r="G338" s="137">
        <f t="shared" si="38"/>
        <v>0</v>
      </c>
      <c r="H338" s="128">
        <f t="shared" si="39"/>
        <v>0</v>
      </c>
      <c r="I338" s="8">
        <v>661642</v>
      </c>
      <c r="J338" s="8">
        <v>661852</v>
      </c>
      <c r="K338" s="137">
        <f t="shared" si="36"/>
        <v>210</v>
      </c>
      <c r="L338" s="8">
        <v>15216</v>
      </c>
      <c r="M338" s="8">
        <v>15216</v>
      </c>
      <c r="N338" s="137">
        <f t="shared" si="41"/>
        <v>0</v>
      </c>
      <c r="O338" s="128">
        <f t="shared" si="40"/>
        <v>210</v>
      </c>
      <c r="P338" s="8">
        <v>251041</v>
      </c>
      <c r="Q338" s="8">
        <v>251041</v>
      </c>
      <c r="R338" s="128">
        <f t="shared" si="42"/>
        <v>0</v>
      </c>
      <c r="S338" s="8" t="s">
        <v>1179</v>
      </c>
      <c r="AQ338" s="8"/>
      <c r="AR338" s="8"/>
      <c r="AS338" s="8"/>
    </row>
    <row r="339" spans="1:45">
      <c r="A339" s="12">
        <v>44714</v>
      </c>
      <c r="B339" s="8">
        <v>457537</v>
      </c>
      <c r="C339" s="8">
        <v>457951</v>
      </c>
      <c r="D339" s="128">
        <f t="shared" si="35"/>
        <v>414</v>
      </c>
      <c r="E339" s="8">
        <v>13079</v>
      </c>
      <c r="F339" s="8">
        <v>13482</v>
      </c>
      <c r="G339" s="137">
        <f t="shared" si="38"/>
        <v>403</v>
      </c>
      <c r="H339" s="128">
        <f t="shared" si="39"/>
        <v>817</v>
      </c>
      <c r="I339" s="8">
        <v>661852</v>
      </c>
      <c r="J339" s="8">
        <v>661907</v>
      </c>
      <c r="K339" s="137">
        <f t="shared" si="36"/>
        <v>55</v>
      </c>
      <c r="L339" s="8">
        <v>15216</v>
      </c>
      <c r="M339" s="8">
        <v>15485</v>
      </c>
      <c r="N339" s="137">
        <f t="shared" si="41"/>
        <v>269</v>
      </c>
      <c r="O339" s="128">
        <f t="shared" si="40"/>
        <v>324</v>
      </c>
      <c r="P339" s="8">
        <v>251041</v>
      </c>
      <c r="Q339" s="8">
        <v>251041</v>
      </c>
      <c r="R339" s="128">
        <f t="shared" si="42"/>
        <v>0</v>
      </c>
      <c r="AQ339" s="8"/>
      <c r="AR339" s="8"/>
      <c r="AS339" s="8"/>
    </row>
    <row r="340" spans="1:45">
      <c r="A340" s="12">
        <v>44715</v>
      </c>
      <c r="B340" s="8">
        <v>457951</v>
      </c>
      <c r="C340" s="8">
        <v>458418</v>
      </c>
      <c r="D340" s="128">
        <f t="shared" si="35"/>
        <v>467</v>
      </c>
      <c r="E340" s="8">
        <v>13482</v>
      </c>
      <c r="F340" s="8">
        <v>14064</v>
      </c>
      <c r="G340" s="137">
        <f t="shared" si="38"/>
        <v>582</v>
      </c>
      <c r="H340" s="128">
        <f t="shared" si="39"/>
        <v>1049</v>
      </c>
      <c r="I340" s="8">
        <v>661907</v>
      </c>
      <c r="J340" s="8">
        <v>662131</v>
      </c>
      <c r="K340" s="137">
        <f t="shared" si="36"/>
        <v>224</v>
      </c>
      <c r="L340" s="8">
        <v>15485</v>
      </c>
      <c r="M340" s="8">
        <v>15551</v>
      </c>
      <c r="N340" s="137">
        <f t="shared" si="41"/>
        <v>66</v>
      </c>
      <c r="O340" s="128">
        <f t="shared" si="40"/>
        <v>290</v>
      </c>
      <c r="P340" s="8">
        <v>251041</v>
      </c>
      <c r="Q340" s="8">
        <v>251041</v>
      </c>
      <c r="R340" s="128">
        <f t="shared" si="42"/>
        <v>0</v>
      </c>
      <c r="AQ340" s="8"/>
      <c r="AR340" s="8"/>
      <c r="AS340" s="8"/>
    </row>
    <row r="341" spans="1:45">
      <c r="A341" s="12">
        <v>44716</v>
      </c>
      <c r="B341" s="8">
        <v>458418</v>
      </c>
      <c r="C341" s="8">
        <v>458550</v>
      </c>
      <c r="D341" s="128">
        <f t="shared" si="35"/>
        <v>132</v>
      </c>
      <c r="E341" s="8">
        <v>14064</v>
      </c>
      <c r="F341" s="8">
        <v>14285</v>
      </c>
      <c r="G341" s="137">
        <f t="shared" si="38"/>
        <v>221</v>
      </c>
      <c r="H341" s="128">
        <f t="shared" si="39"/>
        <v>353</v>
      </c>
      <c r="I341" s="8">
        <v>662131</v>
      </c>
      <c r="J341" s="8">
        <v>662404</v>
      </c>
      <c r="K341" s="137">
        <f t="shared" si="36"/>
        <v>273</v>
      </c>
      <c r="L341" s="8">
        <v>15551</v>
      </c>
      <c r="M341" s="8">
        <v>15551</v>
      </c>
      <c r="N341" s="137">
        <f t="shared" si="41"/>
        <v>0</v>
      </c>
      <c r="O341" s="128">
        <f t="shared" si="40"/>
        <v>273</v>
      </c>
      <c r="P341" s="8">
        <v>251041</v>
      </c>
      <c r="Q341" s="8">
        <v>251041</v>
      </c>
      <c r="R341" s="128">
        <f t="shared" si="42"/>
        <v>0</v>
      </c>
      <c r="AQ341" s="8"/>
      <c r="AR341" s="8"/>
      <c r="AS341" s="8"/>
    </row>
    <row r="342" spans="1:45">
      <c r="A342" s="12">
        <v>44717</v>
      </c>
      <c r="B342" s="8">
        <v>458550</v>
      </c>
      <c r="C342" s="8">
        <v>458835</v>
      </c>
      <c r="D342" s="128">
        <f t="shared" si="35"/>
        <v>285</v>
      </c>
      <c r="E342" s="8">
        <v>14285</v>
      </c>
      <c r="F342" s="8">
        <v>14584</v>
      </c>
      <c r="G342" s="137">
        <f t="shared" si="38"/>
        <v>299</v>
      </c>
      <c r="H342" s="128">
        <f t="shared" si="39"/>
        <v>584</v>
      </c>
      <c r="I342" s="8">
        <v>662404</v>
      </c>
      <c r="J342" s="8">
        <v>662647</v>
      </c>
      <c r="K342" s="137">
        <f t="shared" si="36"/>
        <v>243</v>
      </c>
      <c r="L342" s="8">
        <v>15551</v>
      </c>
      <c r="M342" s="8">
        <v>15551</v>
      </c>
      <c r="N342" s="137">
        <f t="shared" si="41"/>
        <v>0</v>
      </c>
      <c r="O342" s="128">
        <f t="shared" si="40"/>
        <v>243</v>
      </c>
      <c r="P342" s="8">
        <v>251041</v>
      </c>
      <c r="Q342" s="8">
        <v>251041</v>
      </c>
      <c r="R342" s="128">
        <f t="shared" si="42"/>
        <v>0</v>
      </c>
      <c r="S342" s="8" t="s">
        <v>1208</v>
      </c>
      <c r="AQ342" s="8"/>
      <c r="AR342" s="8"/>
      <c r="AS342" s="8"/>
    </row>
    <row r="343" spans="1:45">
      <c r="A343" s="12">
        <v>44718</v>
      </c>
      <c r="B343" s="8">
        <v>458835</v>
      </c>
      <c r="C343" s="8">
        <v>459068</v>
      </c>
      <c r="D343" s="128">
        <f t="shared" si="35"/>
        <v>233</v>
      </c>
      <c r="E343" s="8">
        <v>14584</v>
      </c>
      <c r="F343" s="8">
        <v>14584</v>
      </c>
      <c r="G343" s="137">
        <f t="shared" si="38"/>
        <v>0</v>
      </c>
      <c r="H343" s="128">
        <f t="shared" si="39"/>
        <v>233</v>
      </c>
      <c r="I343" s="8">
        <v>662647</v>
      </c>
      <c r="J343" s="8">
        <v>662804</v>
      </c>
      <c r="K343" s="137">
        <f t="shared" si="36"/>
        <v>157</v>
      </c>
      <c r="L343" s="8">
        <v>15551</v>
      </c>
      <c r="M343" s="8">
        <v>15699</v>
      </c>
      <c r="N343" s="137">
        <f t="shared" si="41"/>
        <v>148</v>
      </c>
      <c r="O343" s="128">
        <f t="shared" si="40"/>
        <v>305</v>
      </c>
      <c r="P343" s="8">
        <v>251041</v>
      </c>
      <c r="Q343" s="8">
        <v>251041</v>
      </c>
      <c r="R343" s="128">
        <f t="shared" si="42"/>
        <v>0</v>
      </c>
      <c r="AQ343" s="8"/>
      <c r="AR343" s="8"/>
      <c r="AS343" s="8"/>
    </row>
    <row r="344" spans="1:45">
      <c r="A344" s="12">
        <v>44719</v>
      </c>
      <c r="B344" s="8">
        <v>459068</v>
      </c>
      <c r="C344" s="8">
        <v>459227</v>
      </c>
      <c r="D344" s="128">
        <f t="shared" si="35"/>
        <v>159</v>
      </c>
      <c r="E344" s="8">
        <v>14584</v>
      </c>
      <c r="F344" s="8">
        <v>14947</v>
      </c>
      <c r="G344" s="137">
        <f t="shared" si="38"/>
        <v>363</v>
      </c>
      <c r="H344" s="128">
        <f t="shared" si="39"/>
        <v>522</v>
      </c>
      <c r="I344" s="8">
        <v>662804</v>
      </c>
      <c r="J344" s="8">
        <v>662985</v>
      </c>
      <c r="K344" s="137">
        <f t="shared" si="36"/>
        <v>181</v>
      </c>
      <c r="L344" s="8">
        <v>15699</v>
      </c>
      <c r="M344" s="8">
        <v>15741</v>
      </c>
      <c r="N344" s="137">
        <f t="shared" si="41"/>
        <v>42</v>
      </c>
      <c r="O344" s="128">
        <f t="shared" si="40"/>
        <v>223</v>
      </c>
      <c r="P344" s="8">
        <v>251041</v>
      </c>
      <c r="Q344" s="8">
        <v>251041</v>
      </c>
      <c r="R344" s="128">
        <f t="shared" si="42"/>
        <v>0</v>
      </c>
      <c r="AQ344" s="8"/>
      <c r="AR344" s="8"/>
      <c r="AS344" s="8"/>
    </row>
    <row r="345" spans="1:45">
      <c r="A345" s="12">
        <v>44720</v>
      </c>
      <c r="B345" s="8">
        <v>459227</v>
      </c>
      <c r="C345" s="8">
        <v>459360</v>
      </c>
      <c r="D345" s="128">
        <f t="shared" si="35"/>
        <v>133</v>
      </c>
      <c r="E345" s="8">
        <v>14947</v>
      </c>
      <c r="F345" s="8">
        <v>15337</v>
      </c>
      <c r="G345" s="137">
        <f t="shared" si="38"/>
        <v>390</v>
      </c>
      <c r="H345" s="128">
        <f t="shared" si="39"/>
        <v>523</v>
      </c>
      <c r="I345" s="8">
        <v>662985</v>
      </c>
      <c r="J345" s="8">
        <v>663208</v>
      </c>
      <c r="K345" s="137">
        <f t="shared" si="36"/>
        <v>223</v>
      </c>
      <c r="L345" s="8">
        <v>15741</v>
      </c>
      <c r="M345" s="8">
        <v>15784</v>
      </c>
      <c r="N345" s="137">
        <f t="shared" si="41"/>
        <v>43</v>
      </c>
      <c r="O345" s="128">
        <f t="shared" si="40"/>
        <v>266</v>
      </c>
      <c r="P345" s="8">
        <v>251041</v>
      </c>
      <c r="Q345" s="8">
        <v>251041</v>
      </c>
      <c r="R345" s="128">
        <f t="shared" si="42"/>
        <v>0</v>
      </c>
      <c r="AQ345" s="8"/>
      <c r="AR345" s="8"/>
      <c r="AS345" s="8"/>
    </row>
    <row r="346" spans="1:45">
      <c r="A346" s="12">
        <v>44721</v>
      </c>
      <c r="B346" s="8">
        <v>459360</v>
      </c>
      <c r="C346" s="8">
        <v>459637</v>
      </c>
      <c r="D346" s="128">
        <f t="shared" si="35"/>
        <v>277</v>
      </c>
      <c r="E346" s="8">
        <v>15337</v>
      </c>
      <c r="F346" s="8">
        <v>15604</v>
      </c>
      <c r="G346" s="137">
        <f t="shared" si="38"/>
        <v>267</v>
      </c>
      <c r="H346" s="128">
        <f t="shared" si="39"/>
        <v>544</v>
      </c>
      <c r="I346" s="8">
        <v>663208</v>
      </c>
      <c r="J346" s="8">
        <v>663397</v>
      </c>
      <c r="K346" s="137">
        <f t="shared" si="36"/>
        <v>189</v>
      </c>
      <c r="L346" s="8">
        <v>15784</v>
      </c>
      <c r="M346" s="8">
        <v>15884</v>
      </c>
      <c r="N346" s="137">
        <f t="shared" si="41"/>
        <v>100</v>
      </c>
      <c r="O346" s="128">
        <f t="shared" si="40"/>
        <v>289</v>
      </c>
      <c r="P346" s="8">
        <v>251041</v>
      </c>
      <c r="Q346" s="8">
        <v>251041</v>
      </c>
      <c r="R346" s="128">
        <f t="shared" si="42"/>
        <v>0</v>
      </c>
      <c r="AQ346" s="8"/>
      <c r="AR346" s="8"/>
      <c r="AS346" s="8"/>
    </row>
    <row r="347" spans="1:45">
      <c r="A347" s="12">
        <v>44722</v>
      </c>
      <c r="B347" s="8">
        <v>459637</v>
      </c>
      <c r="C347" s="8">
        <v>460030</v>
      </c>
      <c r="D347" s="128">
        <f t="shared" si="35"/>
        <v>393</v>
      </c>
      <c r="E347" s="8">
        <v>15604</v>
      </c>
      <c r="F347" s="8">
        <v>16132</v>
      </c>
      <c r="G347" s="137">
        <f t="shared" si="38"/>
        <v>528</v>
      </c>
      <c r="H347" s="128">
        <f t="shared" si="39"/>
        <v>921</v>
      </c>
      <c r="I347" s="8">
        <v>663397</v>
      </c>
      <c r="J347" s="8">
        <v>663575</v>
      </c>
      <c r="K347" s="137">
        <f t="shared" si="36"/>
        <v>178</v>
      </c>
      <c r="L347" s="8">
        <v>15884</v>
      </c>
      <c r="M347" s="8">
        <v>15891</v>
      </c>
      <c r="N347" s="137">
        <f t="shared" si="41"/>
        <v>7</v>
      </c>
      <c r="O347" s="128">
        <f t="shared" si="40"/>
        <v>185</v>
      </c>
      <c r="P347" s="8">
        <v>251041</v>
      </c>
      <c r="Q347" s="8">
        <v>251041</v>
      </c>
      <c r="R347" s="128">
        <f t="shared" si="42"/>
        <v>0</v>
      </c>
      <c r="AQ347" s="8"/>
      <c r="AR347" s="8"/>
      <c r="AS347" s="8"/>
    </row>
    <row r="348" spans="1:45">
      <c r="A348" s="12">
        <v>44723</v>
      </c>
      <c r="B348" s="8">
        <v>460030</v>
      </c>
      <c r="C348" s="8">
        <v>460172</v>
      </c>
      <c r="D348" s="128">
        <f t="shared" si="35"/>
        <v>142</v>
      </c>
      <c r="E348" s="8">
        <v>16132</v>
      </c>
      <c r="F348" s="8">
        <v>16278</v>
      </c>
      <c r="G348" s="137">
        <f t="shared" si="38"/>
        <v>146</v>
      </c>
      <c r="H348" s="128">
        <f t="shared" si="39"/>
        <v>288</v>
      </c>
      <c r="I348" s="8">
        <v>663575</v>
      </c>
      <c r="J348" s="8">
        <v>663833</v>
      </c>
      <c r="K348" s="137">
        <f t="shared" si="36"/>
        <v>258</v>
      </c>
      <c r="L348" s="8">
        <v>15891</v>
      </c>
      <c r="M348" s="8">
        <v>15956</v>
      </c>
      <c r="N348" s="137">
        <f t="shared" si="41"/>
        <v>65</v>
      </c>
      <c r="O348" s="128">
        <f t="shared" si="40"/>
        <v>323</v>
      </c>
      <c r="P348" s="8">
        <v>251041</v>
      </c>
      <c r="Q348" s="8">
        <v>251041</v>
      </c>
      <c r="R348" s="128">
        <f t="shared" si="42"/>
        <v>0</v>
      </c>
      <c r="AQ348" s="8"/>
      <c r="AR348" s="8"/>
      <c r="AS348" s="8"/>
    </row>
    <row r="349" spans="1:45">
      <c r="A349" s="12">
        <v>44724</v>
      </c>
      <c r="B349" s="8">
        <v>460172</v>
      </c>
      <c r="C349" s="8">
        <v>460453</v>
      </c>
      <c r="D349" s="128">
        <f t="shared" si="35"/>
        <v>281</v>
      </c>
      <c r="E349" s="8">
        <v>16278</v>
      </c>
      <c r="F349" s="8">
        <v>16748</v>
      </c>
      <c r="G349" s="137">
        <f t="shared" si="38"/>
        <v>470</v>
      </c>
      <c r="H349" s="128">
        <f t="shared" si="39"/>
        <v>751</v>
      </c>
      <c r="I349" s="8">
        <v>663833</v>
      </c>
      <c r="J349" s="8">
        <v>664047</v>
      </c>
      <c r="K349" s="137">
        <f t="shared" si="36"/>
        <v>214</v>
      </c>
      <c r="L349" s="8">
        <v>15956</v>
      </c>
      <c r="M349" s="8">
        <v>16058</v>
      </c>
      <c r="N349" s="137">
        <f t="shared" si="41"/>
        <v>102</v>
      </c>
      <c r="O349" s="128">
        <f t="shared" si="40"/>
        <v>316</v>
      </c>
      <c r="P349" s="8">
        <v>251041</v>
      </c>
      <c r="Q349" s="8">
        <v>251041</v>
      </c>
      <c r="R349" s="128">
        <f t="shared" si="42"/>
        <v>0</v>
      </c>
      <c r="AQ349" s="8"/>
      <c r="AR349" s="8"/>
      <c r="AS349" s="8"/>
    </row>
    <row r="350" spans="1:45">
      <c r="A350" s="12">
        <v>44725</v>
      </c>
      <c r="B350" s="8">
        <v>460453</v>
      </c>
      <c r="C350" s="8">
        <v>460723</v>
      </c>
      <c r="D350" s="128">
        <f t="shared" si="35"/>
        <v>270</v>
      </c>
      <c r="E350" s="8">
        <v>16748</v>
      </c>
      <c r="F350" s="8">
        <v>17094</v>
      </c>
      <c r="G350" s="137">
        <f t="shared" si="38"/>
        <v>346</v>
      </c>
      <c r="H350" s="128">
        <f t="shared" si="39"/>
        <v>616</v>
      </c>
      <c r="I350" s="8">
        <v>664047</v>
      </c>
      <c r="J350" s="8">
        <v>664288</v>
      </c>
      <c r="K350" s="137">
        <f t="shared" si="36"/>
        <v>241</v>
      </c>
      <c r="L350" s="8">
        <v>16058</v>
      </c>
      <c r="M350" s="8">
        <v>16086</v>
      </c>
      <c r="N350" s="137">
        <f t="shared" si="41"/>
        <v>28</v>
      </c>
      <c r="O350" s="128">
        <f t="shared" si="40"/>
        <v>269</v>
      </c>
      <c r="P350" s="8">
        <v>251041</v>
      </c>
      <c r="Q350" s="8">
        <v>251041</v>
      </c>
      <c r="R350" s="128">
        <f t="shared" si="42"/>
        <v>0</v>
      </c>
      <c r="AQ350" s="8"/>
      <c r="AR350" s="8"/>
      <c r="AS350" s="8"/>
    </row>
    <row r="351" spans="1:45">
      <c r="A351" s="12">
        <v>44726</v>
      </c>
      <c r="B351" s="8">
        <v>460723</v>
      </c>
      <c r="C351" s="8">
        <v>460954</v>
      </c>
      <c r="D351" s="128">
        <f t="shared" si="35"/>
        <v>231</v>
      </c>
      <c r="E351" s="8">
        <v>17094</v>
      </c>
      <c r="F351" s="8">
        <v>17384</v>
      </c>
      <c r="G351" s="137">
        <f t="shared" si="38"/>
        <v>290</v>
      </c>
      <c r="H351" s="128">
        <f t="shared" si="39"/>
        <v>521</v>
      </c>
      <c r="I351" s="8">
        <v>664288</v>
      </c>
      <c r="J351" s="8">
        <v>664482</v>
      </c>
      <c r="K351" s="137">
        <f t="shared" si="36"/>
        <v>194</v>
      </c>
      <c r="L351" s="8">
        <v>16086</v>
      </c>
      <c r="M351" s="8">
        <v>16193</v>
      </c>
      <c r="N351" s="137">
        <f t="shared" si="41"/>
        <v>107</v>
      </c>
      <c r="O351" s="128">
        <f t="shared" si="40"/>
        <v>301</v>
      </c>
      <c r="P351" s="8">
        <v>251041</v>
      </c>
      <c r="Q351" s="8">
        <v>251041</v>
      </c>
      <c r="R351" s="128">
        <f t="shared" si="42"/>
        <v>0</v>
      </c>
      <c r="AQ351" s="8"/>
      <c r="AR351" s="8"/>
      <c r="AS351" s="8"/>
    </row>
    <row r="352" spans="1:45">
      <c r="A352" s="12">
        <v>44727</v>
      </c>
      <c r="B352" s="8">
        <v>460954</v>
      </c>
      <c r="C352" s="8">
        <v>461193</v>
      </c>
      <c r="D352" s="128">
        <f t="shared" si="35"/>
        <v>239</v>
      </c>
      <c r="E352" s="8">
        <v>17384</v>
      </c>
      <c r="F352" s="8">
        <v>17802</v>
      </c>
      <c r="G352" s="137">
        <f t="shared" si="38"/>
        <v>418</v>
      </c>
      <c r="H352" s="128">
        <f t="shared" si="39"/>
        <v>657</v>
      </c>
      <c r="I352" s="8">
        <v>664482</v>
      </c>
      <c r="J352" s="8">
        <v>664688</v>
      </c>
      <c r="K352" s="137">
        <f t="shared" si="36"/>
        <v>206</v>
      </c>
      <c r="L352" s="8">
        <v>16193</v>
      </c>
      <c r="M352" s="8">
        <v>16281</v>
      </c>
      <c r="N352" s="137">
        <f t="shared" si="41"/>
        <v>88</v>
      </c>
      <c r="O352" s="128">
        <f t="shared" si="40"/>
        <v>294</v>
      </c>
      <c r="P352" s="8">
        <v>251041</v>
      </c>
      <c r="Q352" s="8">
        <v>251041</v>
      </c>
      <c r="R352" s="128">
        <f t="shared" si="42"/>
        <v>0</v>
      </c>
      <c r="AQ352" s="8"/>
      <c r="AR352" s="8"/>
      <c r="AS352" s="8"/>
    </row>
    <row r="353" spans="1:45">
      <c r="A353" s="12">
        <v>44728</v>
      </c>
      <c r="B353" s="8">
        <v>461193</v>
      </c>
      <c r="C353" s="8">
        <v>461462</v>
      </c>
      <c r="D353" s="128">
        <f t="shared" si="35"/>
        <v>269</v>
      </c>
      <c r="E353" s="8">
        <v>17802</v>
      </c>
      <c r="F353" s="8">
        <v>18198</v>
      </c>
      <c r="G353" s="137">
        <f t="shared" si="38"/>
        <v>396</v>
      </c>
      <c r="H353" s="128">
        <f t="shared" si="39"/>
        <v>665</v>
      </c>
      <c r="I353" s="8">
        <v>664688</v>
      </c>
      <c r="J353" s="8">
        <v>664876</v>
      </c>
      <c r="K353" s="137">
        <f t="shared" si="36"/>
        <v>188</v>
      </c>
      <c r="L353" s="8">
        <v>16281</v>
      </c>
      <c r="M353" s="8">
        <v>16351</v>
      </c>
      <c r="N353" s="137">
        <f t="shared" si="41"/>
        <v>70</v>
      </c>
      <c r="O353" s="128">
        <f t="shared" si="40"/>
        <v>258</v>
      </c>
      <c r="P353" s="8">
        <v>251041</v>
      </c>
      <c r="Q353" s="8">
        <v>251041</v>
      </c>
      <c r="R353" s="128">
        <f t="shared" si="42"/>
        <v>0</v>
      </c>
      <c r="AQ353" s="8"/>
      <c r="AR353" s="8"/>
      <c r="AS353" s="8"/>
    </row>
    <row r="354" spans="1:45">
      <c r="A354" s="12">
        <v>44729</v>
      </c>
      <c r="B354" s="8">
        <v>461462</v>
      </c>
      <c r="C354" s="8">
        <v>461705</v>
      </c>
      <c r="D354" s="128">
        <f t="shared" si="35"/>
        <v>243</v>
      </c>
      <c r="E354" s="8">
        <v>18198</v>
      </c>
      <c r="F354" s="8">
        <v>18570</v>
      </c>
      <c r="G354" s="137">
        <f t="shared" si="38"/>
        <v>372</v>
      </c>
      <c r="H354" s="128">
        <f t="shared" si="39"/>
        <v>615</v>
      </c>
      <c r="I354" s="8">
        <v>664876</v>
      </c>
      <c r="J354" s="8">
        <v>665063</v>
      </c>
      <c r="K354" s="137">
        <f t="shared" si="36"/>
        <v>187</v>
      </c>
      <c r="L354" s="8">
        <v>16351</v>
      </c>
      <c r="M354" s="8">
        <v>16548</v>
      </c>
      <c r="N354" s="137">
        <f t="shared" si="41"/>
        <v>197</v>
      </c>
      <c r="O354" s="128">
        <f t="shared" si="40"/>
        <v>384</v>
      </c>
      <c r="P354" s="8">
        <v>251041</v>
      </c>
      <c r="Q354" s="8">
        <v>251041</v>
      </c>
      <c r="R354" s="128">
        <f t="shared" si="42"/>
        <v>0</v>
      </c>
      <c r="AQ354" s="8"/>
      <c r="AR354" s="8"/>
      <c r="AS354" s="8"/>
    </row>
    <row r="355" spans="1:45">
      <c r="A355" s="12">
        <v>44730</v>
      </c>
      <c r="B355" s="8">
        <v>461705</v>
      </c>
      <c r="C355" s="8">
        <v>461984</v>
      </c>
      <c r="D355" s="128">
        <f t="shared" si="35"/>
        <v>279</v>
      </c>
      <c r="E355" s="8">
        <v>18570</v>
      </c>
      <c r="F355" s="8">
        <v>18938</v>
      </c>
      <c r="G355" s="137">
        <f t="shared" si="38"/>
        <v>368</v>
      </c>
      <c r="H355" s="128">
        <f t="shared" si="39"/>
        <v>647</v>
      </c>
      <c r="I355" s="8">
        <v>665063</v>
      </c>
      <c r="J355" s="8">
        <v>665323</v>
      </c>
      <c r="K355" s="137">
        <f t="shared" si="36"/>
        <v>260</v>
      </c>
      <c r="L355" s="8">
        <v>16548</v>
      </c>
      <c r="M355" s="8">
        <v>16804</v>
      </c>
      <c r="N355" s="137">
        <f t="shared" si="41"/>
        <v>256</v>
      </c>
      <c r="O355" s="128">
        <f t="shared" si="40"/>
        <v>516</v>
      </c>
      <c r="P355" s="8">
        <v>251041</v>
      </c>
      <c r="Q355" s="8">
        <v>251041</v>
      </c>
      <c r="R355" s="128">
        <f t="shared" si="42"/>
        <v>0</v>
      </c>
      <c r="AQ355" s="8"/>
      <c r="AR355" s="8"/>
      <c r="AS355" s="8"/>
    </row>
    <row r="356" spans="1:45">
      <c r="A356" s="12">
        <v>44731</v>
      </c>
      <c r="B356" s="8">
        <v>461984</v>
      </c>
      <c r="C356" s="8">
        <v>462304</v>
      </c>
      <c r="D356" s="128">
        <f t="shared" si="35"/>
        <v>320</v>
      </c>
      <c r="E356" s="8">
        <v>18938</v>
      </c>
      <c r="F356" s="8">
        <v>19311</v>
      </c>
      <c r="G356" s="137">
        <f t="shared" si="38"/>
        <v>373</v>
      </c>
      <c r="H356" s="128">
        <f t="shared" si="39"/>
        <v>693</v>
      </c>
      <c r="I356" s="8">
        <v>665323</v>
      </c>
      <c r="J356" s="8">
        <v>665532</v>
      </c>
      <c r="K356" s="137">
        <f t="shared" si="36"/>
        <v>209</v>
      </c>
      <c r="L356" s="8">
        <v>16804</v>
      </c>
      <c r="M356" s="8">
        <v>16950</v>
      </c>
      <c r="N356" s="137">
        <f t="shared" si="41"/>
        <v>146</v>
      </c>
      <c r="O356" s="128">
        <f t="shared" si="40"/>
        <v>355</v>
      </c>
      <c r="P356" s="8">
        <v>251041</v>
      </c>
      <c r="Q356" s="8">
        <v>251041</v>
      </c>
      <c r="R356" s="128">
        <f t="shared" si="42"/>
        <v>0</v>
      </c>
      <c r="AQ356" s="8"/>
      <c r="AR356" s="8"/>
      <c r="AS356" s="8"/>
    </row>
    <row r="357" spans="1:45">
      <c r="A357" s="12">
        <v>44732</v>
      </c>
      <c r="B357" s="8">
        <v>462304</v>
      </c>
      <c r="C357" s="8">
        <v>462541</v>
      </c>
      <c r="D357" s="128">
        <f t="shared" si="35"/>
        <v>237</v>
      </c>
      <c r="E357" s="8">
        <v>19311</v>
      </c>
      <c r="F357" s="8">
        <v>19663</v>
      </c>
      <c r="G357" s="137">
        <f t="shared" si="38"/>
        <v>352</v>
      </c>
      <c r="H357" s="128">
        <f t="shared" si="39"/>
        <v>589</v>
      </c>
      <c r="I357" s="8">
        <v>665532</v>
      </c>
      <c r="J357" s="8">
        <v>665732</v>
      </c>
      <c r="K357" s="137">
        <f t="shared" si="36"/>
        <v>200</v>
      </c>
      <c r="L357" s="8">
        <v>16950</v>
      </c>
      <c r="M357" s="8">
        <v>17209</v>
      </c>
      <c r="N357" s="137">
        <f t="shared" si="41"/>
        <v>259</v>
      </c>
      <c r="O357" s="128">
        <f t="shared" si="40"/>
        <v>459</v>
      </c>
      <c r="P357" s="8">
        <v>251041</v>
      </c>
      <c r="Q357" s="8">
        <v>251041</v>
      </c>
      <c r="R357" s="128">
        <f t="shared" si="42"/>
        <v>0</v>
      </c>
      <c r="AQ357" s="8"/>
      <c r="AR357" s="8"/>
      <c r="AS357" s="8"/>
    </row>
    <row r="358" spans="1:45">
      <c r="A358" s="12">
        <v>44733</v>
      </c>
      <c r="B358" s="8">
        <v>462541</v>
      </c>
      <c r="C358" s="8">
        <v>462823</v>
      </c>
      <c r="D358" s="128">
        <f>C358-B358</f>
        <v>282</v>
      </c>
      <c r="E358" s="8">
        <v>19663</v>
      </c>
      <c r="F358" s="8">
        <v>20086</v>
      </c>
      <c r="G358" s="137">
        <f t="shared" si="38"/>
        <v>423</v>
      </c>
      <c r="H358" s="128">
        <f t="shared" si="39"/>
        <v>705</v>
      </c>
      <c r="I358" s="8">
        <v>665732</v>
      </c>
      <c r="J358" s="8">
        <v>665935</v>
      </c>
      <c r="K358" s="137">
        <f t="shared" si="36"/>
        <v>203</v>
      </c>
      <c r="L358" s="8">
        <v>17209</v>
      </c>
      <c r="M358" s="8">
        <v>17412</v>
      </c>
      <c r="N358" s="137">
        <f t="shared" si="41"/>
        <v>203</v>
      </c>
      <c r="O358" s="128">
        <f t="shared" si="40"/>
        <v>406</v>
      </c>
      <c r="P358" s="8">
        <v>251041</v>
      </c>
      <c r="Q358" s="8">
        <v>251041</v>
      </c>
      <c r="R358" s="128">
        <f t="shared" si="42"/>
        <v>0</v>
      </c>
      <c r="AQ358" s="8"/>
      <c r="AR358" s="8"/>
      <c r="AS358" s="8"/>
    </row>
    <row r="359" spans="1:45">
      <c r="A359" s="12">
        <v>44734</v>
      </c>
      <c r="B359" s="8">
        <v>462823</v>
      </c>
      <c r="C359" s="8">
        <v>463065</v>
      </c>
      <c r="D359" s="128">
        <f>C359-B359</f>
        <v>242</v>
      </c>
      <c r="E359" s="8">
        <v>20086</v>
      </c>
      <c r="F359" s="8">
        <v>20453</v>
      </c>
      <c r="G359" s="137">
        <f t="shared" si="38"/>
        <v>367</v>
      </c>
      <c r="H359" s="128">
        <f t="shared" si="39"/>
        <v>609</v>
      </c>
      <c r="I359" s="8">
        <v>665935</v>
      </c>
      <c r="J359" s="8">
        <v>666116</v>
      </c>
      <c r="K359" s="137">
        <f t="shared" si="36"/>
        <v>181</v>
      </c>
      <c r="L359" s="8">
        <v>17412</v>
      </c>
      <c r="M359" s="8">
        <v>17634</v>
      </c>
      <c r="N359" s="137">
        <f t="shared" si="41"/>
        <v>222</v>
      </c>
      <c r="O359" s="128">
        <f t="shared" si="40"/>
        <v>403</v>
      </c>
      <c r="P359" s="8">
        <v>251041</v>
      </c>
      <c r="Q359" s="8">
        <v>251041</v>
      </c>
      <c r="R359" s="128">
        <f t="shared" si="42"/>
        <v>0</v>
      </c>
      <c r="AQ359" s="8"/>
      <c r="AR359" s="8"/>
      <c r="AS359" s="8"/>
    </row>
    <row r="360" spans="1:45">
      <c r="A360" s="12">
        <v>44735</v>
      </c>
      <c r="B360" s="8">
        <v>463065</v>
      </c>
      <c r="C360" s="8">
        <v>463417</v>
      </c>
      <c r="D360" s="128">
        <f t="shared" ref="D360:D423" si="43">C360-B360</f>
        <v>352</v>
      </c>
      <c r="E360" s="8">
        <v>20453</v>
      </c>
      <c r="F360" s="8">
        <v>20663</v>
      </c>
      <c r="G360" s="137">
        <f t="shared" si="38"/>
        <v>210</v>
      </c>
      <c r="H360" s="128">
        <f t="shared" si="39"/>
        <v>562</v>
      </c>
      <c r="I360" s="8">
        <v>666116</v>
      </c>
      <c r="J360" s="8">
        <v>666325</v>
      </c>
      <c r="K360" s="137">
        <f>J360-I360</f>
        <v>209</v>
      </c>
      <c r="L360" s="8">
        <v>17634</v>
      </c>
      <c r="M360" s="8">
        <v>17844</v>
      </c>
      <c r="N360" s="137">
        <f t="shared" si="41"/>
        <v>210</v>
      </c>
      <c r="O360" s="128">
        <f>N360+K360</f>
        <v>419</v>
      </c>
      <c r="P360" s="8">
        <v>251041</v>
      </c>
      <c r="Q360" s="8">
        <v>251041</v>
      </c>
      <c r="R360" s="128">
        <f t="shared" si="42"/>
        <v>0</v>
      </c>
      <c r="AQ360" s="8"/>
      <c r="AR360" s="8"/>
      <c r="AS360" s="8"/>
    </row>
    <row r="361" spans="1:45">
      <c r="A361" s="12">
        <v>44736</v>
      </c>
      <c r="B361" s="8">
        <v>463417</v>
      </c>
      <c r="C361" s="8">
        <v>463625</v>
      </c>
      <c r="D361" s="128">
        <f t="shared" si="43"/>
        <v>208</v>
      </c>
      <c r="E361" s="8">
        <v>20663</v>
      </c>
      <c r="F361" s="8">
        <v>20870</v>
      </c>
      <c r="G361" s="137">
        <f t="shared" si="38"/>
        <v>207</v>
      </c>
      <c r="H361" s="128">
        <f t="shared" si="39"/>
        <v>415</v>
      </c>
      <c r="I361" s="8">
        <v>666325</v>
      </c>
      <c r="J361" s="8">
        <v>666527</v>
      </c>
      <c r="K361" s="137">
        <f t="shared" si="36"/>
        <v>202</v>
      </c>
      <c r="L361" s="8">
        <v>17844</v>
      </c>
      <c r="M361" s="8">
        <v>18134</v>
      </c>
      <c r="N361" s="137">
        <f t="shared" si="41"/>
        <v>290</v>
      </c>
      <c r="O361" s="128">
        <f t="shared" si="40"/>
        <v>492</v>
      </c>
      <c r="P361" s="8">
        <v>251041</v>
      </c>
      <c r="Q361" s="8">
        <v>251041</v>
      </c>
      <c r="R361" s="128">
        <f t="shared" si="42"/>
        <v>0</v>
      </c>
      <c r="AQ361" s="8"/>
      <c r="AR361" s="8"/>
      <c r="AS361" s="8"/>
    </row>
    <row r="362" spans="1:45">
      <c r="A362" s="12">
        <v>44737</v>
      </c>
      <c r="B362" s="8">
        <v>463625</v>
      </c>
      <c r="C362" s="8">
        <v>463889</v>
      </c>
      <c r="D362" s="128">
        <f t="shared" si="43"/>
        <v>264</v>
      </c>
      <c r="E362" s="8">
        <v>20870</v>
      </c>
      <c r="F362" s="8">
        <v>21204</v>
      </c>
      <c r="G362" s="137">
        <f t="shared" si="38"/>
        <v>334</v>
      </c>
      <c r="H362" s="128">
        <f t="shared" si="39"/>
        <v>598</v>
      </c>
      <c r="I362" s="8">
        <v>666527</v>
      </c>
      <c r="J362" s="8">
        <v>666752</v>
      </c>
      <c r="K362" s="137">
        <f t="shared" si="36"/>
        <v>225</v>
      </c>
      <c r="L362" s="8">
        <v>18134</v>
      </c>
      <c r="M362" s="8">
        <v>18356</v>
      </c>
      <c r="N362" s="137">
        <f t="shared" si="41"/>
        <v>222</v>
      </c>
      <c r="O362" s="128">
        <f>N362+K362</f>
        <v>447</v>
      </c>
      <c r="P362" s="8">
        <v>251041</v>
      </c>
      <c r="Q362" s="8">
        <v>251041</v>
      </c>
      <c r="R362" s="128">
        <f t="shared" si="42"/>
        <v>0</v>
      </c>
      <c r="AQ362" s="8"/>
      <c r="AR362" s="8"/>
      <c r="AS362" s="8"/>
    </row>
    <row r="363" spans="1:45">
      <c r="A363" s="12">
        <v>44738</v>
      </c>
      <c r="B363" s="8">
        <v>463889</v>
      </c>
      <c r="C363" s="8">
        <v>463991</v>
      </c>
      <c r="D363" s="128">
        <f t="shared" si="43"/>
        <v>102</v>
      </c>
      <c r="E363" s="8">
        <v>21204</v>
      </c>
      <c r="F363" s="8">
        <v>21508</v>
      </c>
      <c r="G363" s="137">
        <f t="shared" si="38"/>
        <v>304</v>
      </c>
      <c r="H363" s="128">
        <f t="shared" ref="H363:H382" si="44">D363+G363</f>
        <v>406</v>
      </c>
      <c r="I363" s="8">
        <v>666752</v>
      </c>
      <c r="J363" s="8">
        <v>666960</v>
      </c>
      <c r="K363" s="137">
        <f t="shared" ref="K363:K426" si="45">J363-I363</f>
        <v>208</v>
      </c>
      <c r="L363" s="8">
        <v>18356</v>
      </c>
      <c r="M363" s="8">
        <v>18529</v>
      </c>
      <c r="N363" s="137">
        <f t="shared" ref="N363:N389" si="46">M363-L363</f>
        <v>173</v>
      </c>
      <c r="O363" s="128">
        <f>N363+K363</f>
        <v>381</v>
      </c>
      <c r="P363" s="8">
        <v>251041</v>
      </c>
      <c r="Q363" s="8">
        <v>251041</v>
      </c>
      <c r="R363" s="128">
        <f t="shared" ref="R363:R382" si="47">Q363-P363</f>
        <v>0</v>
      </c>
      <c r="AQ363" s="8"/>
      <c r="AR363" s="8"/>
      <c r="AS363" s="8"/>
    </row>
    <row r="364" spans="1:45">
      <c r="A364" s="12">
        <v>44739</v>
      </c>
      <c r="B364" s="8">
        <v>463991</v>
      </c>
      <c r="C364" s="8">
        <v>464354</v>
      </c>
      <c r="D364" s="128">
        <f t="shared" si="43"/>
        <v>363</v>
      </c>
      <c r="E364" s="8">
        <v>21508</v>
      </c>
      <c r="F364" s="8">
        <v>21880</v>
      </c>
      <c r="G364" s="137">
        <f t="shared" si="38"/>
        <v>372</v>
      </c>
      <c r="H364" s="128">
        <f t="shared" si="44"/>
        <v>735</v>
      </c>
      <c r="I364" s="8">
        <v>666960</v>
      </c>
      <c r="J364" s="8">
        <v>667162</v>
      </c>
      <c r="K364" s="137">
        <f t="shared" si="45"/>
        <v>202</v>
      </c>
      <c r="L364" s="8">
        <v>18529</v>
      </c>
      <c r="M364" s="8">
        <v>18708</v>
      </c>
      <c r="N364" s="137">
        <f t="shared" si="46"/>
        <v>179</v>
      </c>
      <c r="O364" s="128">
        <f t="shared" si="40"/>
        <v>381</v>
      </c>
      <c r="P364" s="8">
        <v>251041</v>
      </c>
      <c r="Q364" s="8">
        <v>251041</v>
      </c>
      <c r="R364" s="128">
        <f t="shared" si="47"/>
        <v>0</v>
      </c>
      <c r="AQ364" s="8"/>
      <c r="AR364" s="8"/>
      <c r="AS364" s="8"/>
    </row>
    <row r="365" spans="1:45">
      <c r="A365" s="12">
        <v>44740</v>
      </c>
      <c r="B365" s="8">
        <v>464354</v>
      </c>
      <c r="C365" s="8">
        <v>464636</v>
      </c>
      <c r="D365" s="128">
        <f t="shared" si="43"/>
        <v>282</v>
      </c>
      <c r="E365" s="8">
        <v>21880</v>
      </c>
      <c r="F365" s="8">
        <v>22211</v>
      </c>
      <c r="G365" s="137">
        <f t="shared" si="38"/>
        <v>331</v>
      </c>
      <c r="H365" s="128">
        <f t="shared" si="44"/>
        <v>613</v>
      </c>
      <c r="I365" s="8">
        <v>667162</v>
      </c>
      <c r="J365" s="8">
        <v>667365</v>
      </c>
      <c r="K365" s="137">
        <f t="shared" si="45"/>
        <v>203</v>
      </c>
      <c r="L365" s="8">
        <v>18708</v>
      </c>
      <c r="M365" s="8">
        <v>18876</v>
      </c>
      <c r="N365" s="137">
        <f t="shared" si="46"/>
        <v>168</v>
      </c>
      <c r="O365" s="128">
        <f t="shared" si="40"/>
        <v>371</v>
      </c>
      <c r="P365" s="8">
        <v>251041</v>
      </c>
      <c r="Q365" s="8">
        <v>251041</v>
      </c>
      <c r="R365" s="128">
        <f t="shared" si="47"/>
        <v>0</v>
      </c>
      <c r="AQ365" s="8"/>
      <c r="AR365" s="8"/>
      <c r="AS365" s="8"/>
    </row>
    <row r="366" spans="1:45">
      <c r="A366" s="12">
        <v>44741</v>
      </c>
      <c r="B366" s="8">
        <v>464636</v>
      </c>
      <c r="C366" s="8">
        <v>464889</v>
      </c>
      <c r="D366" s="128">
        <f t="shared" si="43"/>
        <v>253</v>
      </c>
      <c r="E366" s="8">
        <v>22211</v>
      </c>
      <c r="F366" s="8">
        <v>22509</v>
      </c>
      <c r="G366" s="137">
        <f t="shared" si="38"/>
        <v>298</v>
      </c>
      <c r="H366" s="128">
        <f t="shared" si="44"/>
        <v>551</v>
      </c>
      <c r="I366" s="8">
        <v>667365</v>
      </c>
      <c r="J366" s="8">
        <v>667565</v>
      </c>
      <c r="K366" s="137">
        <f t="shared" si="45"/>
        <v>200</v>
      </c>
      <c r="L366" s="8">
        <v>18876</v>
      </c>
      <c r="M366" s="8">
        <v>19060</v>
      </c>
      <c r="N366" s="137">
        <f t="shared" si="46"/>
        <v>184</v>
      </c>
      <c r="O366" s="128">
        <f t="shared" si="40"/>
        <v>384</v>
      </c>
      <c r="P366" s="8">
        <v>251041</v>
      </c>
      <c r="Q366" s="8">
        <v>251041</v>
      </c>
      <c r="R366" s="128">
        <f t="shared" si="47"/>
        <v>0</v>
      </c>
      <c r="AQ366" s="8"/>
      <c r="AR366" s="8"/>
      <c r="AS366" s="8"/>
    </row>
    <row r="367" spans="1:45">
      <c r="A367" s="12">
        <v>44742</v>
      </c>
      <c r="B367" s="8">
        <v>464889</v>
      </c>
      <c r="C367" s="8">
        <v>465094</v>
      </c>
      <c r="D367" s="128">
        <f t="shared" si="43"/>
        <v>205</v>
      </c>
      <c r="E367" s="8">
        <v>22509</v>
      </c>
      <c r="F367" s="8">
        <v>22748</v>
      </c>
      <c r="G367" s="137">
        <f t="shared" si="38"/>
        <v>239</v>
      </c>
      <c r="H367" s="128">
        <f t="shared" si="44"/>
        <v>444</v>
      </c>
      <c r="I367" s="8">
        <v>667565</v>
      </c>
      <c r="J367" s="8">
        <v>667765</v>
      </c>
      <c r="K367" s="137">
        <f t="shared" si="45"/>
        <v>200</v>
      </c>
      <c r="L367" s="8">
        <v>19060</v>
      </c>
      <c r="M367" s="8">
        <v>19271</v>
      </c>
      <c r="N367" s="137">
        <f t="shared" si="46"/>
        <v>211</v>
      </c>
      <c r="O367" s="128">
        <f t="shared" si="40"/>
        <v>411</v>
      </c>
      <c r="P367" s="8">
        <v>251041</v>
      </c>
      <c r="Q367" s="8">
        <v>251041</v>
      </c>
      <c r="R367" s="128">
        <f t="shared" si="47"/>
        <v>0</v>
      </c>
      <c r="AQ367" s="8"/>
      <c r="AR367" s="8"/>
      <c r="AS367" s="8"/>
    </row>
    <row r="368" spans="1:45">
      <c r="A368" s="12">
        <v>44743</v>
      </c>
      <c r="B368" s="8">
        <v>465094</v>
      </c>
      <c r="C368" s="8">
        <v>465307</v>
      </c>
      <c r="D368" s="128">
        <f t="shared" si="43"/>
        <v>213</v>
      </c>
      <c r="E368" s="8">
        <v>22748</v>
      </c>
      <c r="F368" s="8">
        <v>23030</v>
      </c>
      <c r="G368" s="137">
        <f>F368-E368</f>
        <v>282</v>
      </c>
      <c r="H368" s="128">
        <f t="shared" si="44"/>
        <v>495</v>
      </c>
      <c r="I368" s="8">
        <v>667765</v>
      </c>
      <c r="J368" s="53">
        <v>667911</v>
      </c>
      <c r="K368" s="137">
        <f t="shared" si="45"/>
        <v>146</v>
      </c>
      <c r="L368" s="8">
        <v>19271</v>
      </c>
      <c r="M368" s="8">
        <v>19464</v>
      </c>
      <c r="N368" s="137">
        <f t="shared" si="46"/>
        <v>193</v>
      </c>
      <c r="O368" s="128">
        <f t="shared" si="40"/>
        <v>339</v>
      </c>
      <c r="P368" s="8">
        <v>251041</v>
      </c>
      <c r="Q368" s="8">
        <v>251041</v>
      </c>
      <c r="R368" s="128">
        <f t="shared" si="47"/>
        <v>0</v>
      </c>
      <c r="AQ368" s="8"/>
      <c r="AR368" s="8"/>
      <c r="AS368" s="8"/>
    </row>
    <row r="369" spans="1:45">
      <c r="A369" s="12">
        <v>44744</v>
      </c>
      <c r="B369" s="8">
        <v>465307</v>
      </c>
      <c r="C369" s="8">
        <v>465663</v>
      </c>
      <c r="D369" s="128">
        <f t="shared" si="43"/>
        <v>356</v>
      </c>
      <c r="E369" s="8">
        <v>23030</v>
      </c>
      <c r="F369" s="8">
        <v>23420</v>
      </c>
      <c r="G369" s="137">
        <f t="shared" si="38"/>
        <v>390</v>
      </c>
      <c r="H369" s="128">
        <f t="shared" si="44"/>
        <v>746</v>
      </c>
      <c r="I369" s="53">
        <v>667911</v>
      </c>
      <c r="J369" s="8">
        <v>668174</v>
      </c>
      <c r="K369" s="137">
        <f t="shared" si="45"/>
        <v>263</v>
      </c>
      <c r="L369" s="8">
        <v>19464</v>
      </c>
      <c r="M369" s="8">
        <v>19622</v>
      </c>
      <c r="N369" s="137">
        <f t="shared" si="46"/>
        <v>158</v>
      </c>
      <c r="O369" s="128">
        <f t="shared" si="40"/>
        <v>421</v>
      </c>
      <c r="P369" s="8">
        <v>251041</v>
      </c>
      <c r="Q369" s="8">
        <v>251041</v>
      </c>
      <c r="R369" s="128">
        <f t="shared" si="47"/>
        <v>0</v>
      </c>
      <c r="AQ369" s="8"/>
      <c r="AR369" s="8"/>
      <c r="AS369" s="8"/>
    </row>
    <row r="370" spans="1:45">
      <c r="A370" s="12">
        <v>44745</v>
      </c>
      <c r="B370" s="8">
        <v>465663</v>
      </c>
      <c r="C370" s="8">
        <v>465947</v>
      </c>
      <c r="D370" s="128">
        <f t="shared" si="43"/>
        <v>284</v>
      </c>
      <c r="E370" s="8">
        <v>23420</v>
      </c>
      <c r="F370" s="8">
        <v>23784</v>
      </c>
      <c r="G370" s="137">
        <f t="shared" si="38"/>
        <v>364</v>
      </c>
      <c r="H370" s="128">
        <f t="shared" si="44"/>
        <v>648</v>
      </c>
      <c r="I370" s="8">
        <v>668174</v>
      </c>
      <c r="J370" s="8">
        <v>668394</v>
      </c>
      <c r="K370" s="137">
        <f t="shared" si="45"/>
        <v>220</v>
      </c>
      <c r="L370" s="8">
        <v>19622</v>
      </c>
      <c r="M370" s="8">
        <v>19796</v>
      </c>
      <c r="N370" s="137">
        <f t="shared" si="46"/>
        <v>174</v>
      </c>
      <c r="O370" s="128">
        <f t="shared" si="40"/>
        <v>394</v>
      </c>
      <c r="P370" s="8">
        <v>251041</v>
      </c>
      <c r="Q370" s="8">
        <v>251041</v>
      </c>
      <c r="R370" s="128">
        <f t="shared" si="47"/>
        <v>0</v>
      </c>
      <c r="AQ370" s="8"/>
      <c r="AR370" s="8"/>
      <c r="AS370" s="8"/>
    </row>
    <row r="371" spans="1:45">
      <c r="A371" s="12">
        <v>44746</v>
      </c>
      <c r="B371" s="8">
        <v>465947</v>
      </c>
      <c r="C371" s="8">
        <v>466214</v>
      </c>
      <c r="D371" s="128">
        <f t="shared" si="43"/>
        <v>267</v>
      </c>
      <c r="E371" s="8">
        <v>23784</v>
      </c>
      <c r="F371" s="8">
        <v>24105</v>
      </c>
      <c r="G371" s="137">
        <f t="shared" si="38"/>
        <v>321</v>
      </c>
      <c r="H371" s="128">
        <f t="shared" si="44"/>
        <v>588</v>
      </c>
      <c r="I371" s="8">
        <v>668394</v>
      </c>
      <c r="J371" s="8">
        <v>668615</v>
      </c>
      <c r="K371" s="137">
        <f t="shared" si="45"/>
        <v>221</v>
      </c>
      <c r="L371" s="8">
        <v>19796</v>
      </c>
      <c r="M371" s="8">
        <v>20006</v>
      </c>
      <c r="N371" s="137">
        <f t="shared" si="46"/>
        <v>210</v>
      </c>
      <c r="O371" s="128">
        <f t="shared" si="40"/>
        <v>431</v>
      </c>
      <c r="P371" s="8">
        <v>251041</v>
      </c>
      <c r="Q371" s="8">
        <v>251041</v>
      </c>
      <c r="R371" s="128">
        <f t="shared" si="47"/>
        <v>0</v>
      </c>
      <c r="AQ371" s="8"/>
      <c r="AR371" s="8"/>
      <c r="AS371" s="8"/>
    </row>
    <row r="372" spans="1:45">
      <c r="A372" s="12">
        <v>44747</v>
      </c>
      <c r="B372" s="8">
        <v>466214</v>
      </c>
      <c r="C372" s="8">
        <v>466508</v>
      </c>
      <c r="D372" s="128">
        <f t="shared" si="43"/>
        <v>294</v>
      </c>
      <c r="E372" s="8">
        <v>24105</v>
      </c>
      <c r="F372" s="8">
        <v>24441</v>
      </c>
      <c r="G372" s="137">
        <f t="shared" si="38"/>
        <v>336</v>
      </c>
      <c r="H372" s="128">
        <f t="shared" si="44"/>
        <v>630</v>
      </c>
      <c r="I372" s="8">
        <v>668615</v>
      </c>
      <c r="J372" s="8">
        <v>668818</v>
      </c>
      <c r="K372" s="137">
        <f t="shared" si="45"/>
        <v>203</v>
      </c>
      <c r="L372" s="8">
        <v>20006</v>
      </c>
      <c r="M372" s="8">
        <v>20170</v>
      </c>
      <c r="N372" s="137">
        <f t="shared" si="46"/>
        <v>164</v>
      </c>
      <c r="O372" s="128">
        <f t="shared" si="40"/>
        <v>367</v>
      </c>
      <c r="P372" s="8">
        <v>251041</v>
      </c>
      <c r="Q372" s="8">
        <v>251041</v>
      </c>
      <c r="R372" s="128">
        <f t="shared" si="47"/>
        <v>0</v>
      </c>
      <c r="AQ372" s="8"/>
      <c r="AR372" s="8"/>
      <c r="AS372" s="8"/>
    </row>
    <row r="373" spans="1:45">
      <c r="A373" s="12">
        <v>44748</v>
      </c>
      <c r="B373" s="8">
        <v>466508</v>
      </c>
      <c r="C373" s="8">
        <v>466752</v>
      </c>
      <c r="D373" s="128">
        <f t="shared" si="43"/>
        <v>244</v>
      </c>
      <c r="E373" s="8">
        <v>24441</v>
      </c>
      <c r="F373" s="8">
        <v>24781</v>
      </c>
      <c r="G373" s="137">
        <f t="shared" si="38"/>
        <v>340</v>
      </c>
      <c r="H373" s="128">
        <f t="shared" si="44"/>
        <v>584</v>
      </c>
      <c r="I373" s="8">
        <v>668818</v>
      </c>
      <c r="J373" s="8">
        <v>669037</v>
      </c>
      <c r="K373" s="137">
        <f t="shared" si="45"/>
        <v>219</v>
      </c>
      <c r="L373" s="8">
        <v>20170</v>
      </c>
      <c r="M373" s="8">
        <v>20399</v>
      </c>
      <c r="N373" s="137">
        <f t="shared" si="46"/>
        <v>229</v>
      </c>
      <c r="O373" s="128">
        <f t="shared" si="40"/>
        <v>448</v>
      </c>
      <c r="P373" s="8">
        <v>251041</v>
      </c>
      <c r="Q373" s="8">
        <v>251041</v>
      </c>
      <c r="R373" s="128">
        <f t="shared" si="47"/>
        <v>0</v>
      </c>
      <c r="AQ373" s="8"/>
      <c r="AR373" s="8"/>
      <c r="AS373" s="8"/>
    </row>
    <row r="374" spans="1:45">
      <c r="A374" s="12">
        <v>44749</v>
      </c>
      <c r="B374" s="8">
        <v>466752</v>
      </c>
      <c r="C374" s="8">
        <v>467013</v>
      </c>
      <c r="D374" s="128">
        <f t="shared" si="43"/>
        <v>261</v>
      </c>
      <c r="E374" s="8">
        <v>24781</v>
      </c>
      <c r="F374" s="8">
        <v>25102</v>
      </c>
      <c r="G374" s="137">
        <f t="shared" si="38"/>
        <v>321</v>
      </c>
      <c r="H374" s="128">
        <f t="shared" si="44"/>
        <v>582</v>
      </c>
      <c r="I374" s="8">
        <v>669037</v>
      </c>
      <c r="J374" s="8">
        <v>669238</v>
      </c>
      <c r="K374" s="137">
        <f t="shared" si="45"/>
        <v>201</v>
      </c>
      <c r="L374" s="8">
        <v>20399</v>
      </c>
      <c r="M374" s="8">
        <v>20597</v>
      </c>
      <c r="N374" s="137">
        <f t="shared" si="46"/>
        <v>198</v>
      </c>
      <c r="O374" s="128">
        <f t="shared" si="40"/>
        <v>399</v>
      </c>
      <c r="P374" s="8">
        <v>251041</v>
      </c>
      <c r="Q374" s="8">
        <v>251041</v>
      </c>
      <c r="R374" s="128">
        <f t="shared" si="47"/>
        <v>0</v>
      </c>
      <c r="AQ374" s="8"/>
      <c r="AR374" s="8"/>
      <c r="AS374" s="8"/>
    </row>
    <row r="375" spans="1:45">
      <c r="A375" s="12">
        <v>44750</v>
      </c>
      <c r="B375" s="8">
        <v>467013</v>
      </c>
      <c r="C375" s="8">
        <v>467309</v>
      </c>
      <c r="D375" s="128">
        <f t="shared" si="43"/>
        <v>296</v>
      </c>
      <c r="E375" s="8">
        <v>25102</v>
      </c>
      <c r="F375" s="8">
        <v>25490</v>
      </c>
      <c r="G375" s="137">
        <f t="shared" si="38"/>
        <v>388</v>
      </c>
      <c r="H375" s="128">
        <f t="shared" si="44"/>
        <v>684</v>
      </c>
      <c r="I375" s="8">
        <v>669238</v>
      </c>
      <c r="J375" s="8">
        <v>669440</v>
      </c>
      <c r="K375" s="137">
        <f t="shared" si="45"/>
        <v>202</v>
      </c>
      <c r="L375" s="8">
        <v>20597</v>
      </c>
      <c r="M375" s="8">
        <v>20812</v>
      </c>
      <c r="N375" s="137">
        <f t="shared" si="46"/>
        <v>215</v>
      </c>
      <c r="O375" s="128">
        <f t="shared" si="40"/>
        <v>417</v>
      </c>
      <c r="P375" s="8">
        <v>251041</v>
      </c>
      <c r="Q375" s="8">
        <v>251041</v>
      </c>
      <c r="R375" s="128">
        <f t="shared" si="47"/>
        <v>0</v>
      </c>
      <c r="AQ375" s="8"/>
      <c r="AR375" s="8"/>
      <c r="AS375" s="8"/>
    </row>
    <row r="376" spans="1:45">
      <c r="A376" s="12">
        <v>44751</v>
      </c>
      <c r="B376" s="8">
        <v>467309</v>
      </c>
      <c r="C376" s="8">
        <v>467571</v>
      </c>
      <c r="D376" s="128">
        <f t="shared" si="43"/>
        <v>262</v>
      </c>
      <c r="E376" s="8">
        <v>25490</v>
      </c>
      <c r="F376" s="8">
        <v>25778</v>
      </c>
      <c r="G376" s="137">
        <f t="shared" si="38"/>
        <v>288</v>
      </c>
      <c r="H376" s="128">
        <f t="shared" si="44"/>
        <v>550</v>
      </c>
      <c r="I376" s="8">
        <v>669440</v>
      </c>
      <c r="J376" s="8">
        <v>669686</v>
      </c>
      <c r="K376" s="137">
        <f t="shared" si="45"/>
        <v>246</v>
      </c>
      <c r="L376" s="8">
        <v>20812</v>
      </c>
      <c r="M376" s="8">
        <v>21020</v>
      </c>
      <c r="N376" s="137">
        <f t="shared" si="46"/>
        <v>208</v>
      </c>
      <c r="O376" s="128">
        <f t="shared" si="40"/>
        <v>454</v>
      </c>
      <c r="P376" s="8">
        <v>251041</v>
      </c>
      <c r="Q376" s="8">
        <v>251041</v>
      </c>
      <c r="R376" s="128">
        <f t="shared" si="47"/>
        <v>0</v>
      </c>
      <c r="AQ376" s="8"/>
      <c r="AR376" s="8"/>
      <c r="AS376" s="8"/>
    </row>
    <row r="377" spans="1:45">
      <c r="A377" s="12">
        <v>44752</v>
      </c>
      <c r="B377" s="8">
        <v>467571</v>
      </c>
      <c r="C377" s="8">
        <v>467796</v>
      </c>
      <c r="D377" s="128">
        <f t="shared" si="43"/>
        <v>225</v>
      </c>
      <c r="E377" s="8">
        <v>25778</v>
      </c>
      <c r="F377" s="8">
        <v>26022</v>
      </c>
      <c r="G377" s="137">
        <f t="shared" si="38"/>
        <v>244</v>
      </c>
      <c r="H377" s="128">
        <f t="shared" si="44"/>
        <v>469</v>
      </c>
      <c r="I377" s="8">
        <v>669686</v>
      </c>
      <c r="J377" s="8">
        <v>669916</v>
      </c>
      <c r="K377" s="137">
        <f t="shared" si="45"/>
        <v>230</v>
      </c>
      <c r="L377" s="8">
        <v>21020</v>
      </c>
      <c r="M377" s="8">
        <v>21218</v>
      </c>
      <c r="N377" s="137">
        <f t="shared" si="46"/>
        <v>198</v>
      </c>
      <c r="O377" s="128">
        <f t="shared" si="40"/>
        <v>428</v>
      </c>
      <c r="P377" s="8">
        <v>251041</v>
      </c>
      <c r="Q377" s="8">
        <v>251041</v>
      </c>
      <c r="R377" s="128">
        <f t="shared" si="47"/>
        <v>0</v>
      </c>
      <c r="AQ377" s="8"/>
      <c r="AR377" s="8"/>
      <c r="AS377" s="8"/>
    </row>
    <row r="378" spans="1:45">
      <c r="A378" s="12">
        <v>44753</v>
      </c>
      <c r="B378" s="8">
        <v>467796</v>
      </c>
      <c r="C378" s="8">
        <v>468096</v>
      </c>
      <c r="D378" s="128">
        <f t="shared" si="43"/>
        <v>300</v>
      </c>
      <c r="E378" s="8">
        <v>26022</v>
      </c>
      <c r="F378" s="8">
        <v>26487</v>
      </c>
      <c r="G378" s="137">
        <f t="shared" si="38"/>
        <v>465</v>
      </c>
      <c r="H378" s="128">
        <f t="shared" si="44"/>
        <v>765</v>
      </c>
      <c r="I378" s="8">
        <v>669916</v>
      </c>
      <c r="J378" s="8">
        <v>670136</v>
      </c>
      <c r="K378" s="137">
        <f t="shared" si="45"/>
        <v>220</v>
      </c>
      <c r="L378" s="8">
        <v>21218</v>
      </c>
      <c r="M378" s="8">
        <v>21417</v>
      </c>
      <c r="N378" s="137">
        <f t="shared" si="46"/>
        <v>199</v>
      </c>
      <c r="O378" s="128">
        <f t="shared" si="40"/>
        <v>419</v>
      </c>
      <c r="P378" s="8">
        <v>251041</v>
      </c>
      <c r="Q378" s="8">
        <v>251041</v>
      </c>
      <c r="R378" s="128">
        <f t="shared" si="47"/>
        <v>0</v>
      </c>
      <c r="AQ378" s="8"/>
      <c r="AR378" s="8"/>
      <c r="AS378" s="8"/>
    </row>
    <row r="379" spans="1:45">
      <c r="A379" s="12">
        <v>44754</v>
      </c>
      <c r="B379" s="8">
        <v>468096</v>
      </c>
      <c r="C379" s="8">
        <v>468329</v>
      </c>
      <c r="D379" s="128">
        <f t="shared" si="43"/>
        <v>233</v>
      </c>
      <c r="E379" s="8">
        <v>26487</v>
      </c>
      <c r="F379" s="8">
        <v>26797</v>
      </c>
      <c r="G379" s="137">
        <f t="shared" si="38"/>
        <v>310</v>
      </c>
      <c r="H379" s="128">
        <f t="shared" si="44"/>
        <v>543</v>
      </c>
      <c r="I379" s="8">
        <v>670136</v>
      </c>
      <c r="J379" s="8">
        <v>670319</v>
      </c>
      <c r="K379" s="137">
        <f t="shared" si="45"/>
        <v>183</v>
      </c>
      <c r="L379" s="8">
        <v>21417</v>
      </c>
      <c r="M379" s="8">
        <v>21583</v>
      </c>
      <c r="N379" s="137">
        <f t="shared" si="46"/>
        <v>166</v>
      </c>
      <c r="O379" s="128">
        <f t="shared" si="40"/>
        <v>349</v>
      </c>
      <c r="P379" s="8">
        <v>251041</v>
      </c>
      <c r="Q379" s="8">
        <v>251041</v>
      </c>
      <c r="R379" s="128">
        <f t="shared" si="47"/>
        <v>0</v>
      </c>
      <c r="AQ379" s="8"/>
      <c r="AR379" s="8"/>
      <c r="AS379" s="8"/>
    </row>
    <row r="380" spans="1:45">
      <c r="A380" s="12">
        <v>44755</v>
      </c>
      <c r="B380" s="8">
        <v>468329</v>
      </c>
      <c r="C380" s="8">
        <v>468614</v>
      </c>
      <c r="D380" s="128">
        <f t="shared" si="43"/>
        <v>285</v>
      </c>
      <c r="E380" s="8">
        <v>26797</v>
      </c>
      <c r="F380" s="8">
        <v>27139</v>
      </c>
      <c r="G380" s="137">
        <f t="shared" si="38"/>
        <v>342</v>
      </c>
      <c r="H380" s="128">
        <f t="shared" si="44"/>
        <v>627</v>
      </c>
      <c r="I380" s="8">
        <v>670319</v>
      </c>
      <c r="J380" s="8">
        <v>670552</v>
      </c>
      <c r="K380" s="137">
        <f t="shared" si="45"/>
        <v>233</v>
      </c>
      <c r="L380" s="8">
        <v>21583</v>
      </c>
      <c r="M380" s="8">
        <v>21795</v>
      </c>
      <c r="N380" s="137">
        <f t="shared" si="46"/>
        <v>212</v>
      </c>
      <c r="O380" s="128">
        <f t="shared" si="40"/>
        <v>445</v>
      </c>
      <c r="P380" s="8">
        <v>251041</v>
      </c>
      <c r="Q380" s="8">
        <v>251041</v>
      </c>
      <c r="R380" s="128">
        <f t="shared" si="47"/>
        <v>0</v>
      </c>
      <c r="AQ380" s="8"/>
      <c r="AR380" s="8"/>
      <c r="AS380" s="8"/>
    </row>
    <row r="381" spans="1:45">
      <c r="A381" s="12">
        <v>44756</v>
      </c>
      <c r="B381" s="8">
        <v>468614</v>
      </c>
      <c r="C381" s="8">
        <v>468878</v>
      </c>
      <c r="D381" s="128">
        <f t="shared" si="43"/>
        <v>264</v>
      </c>
      <c r="E381" s="8">
        <v>27139</v>
      </c>
      <c r="F381" s="8">
        <v>27479</v>
      </c>
      <c r="G381" s="137">
        <f t="shared" si="38"/>
        <v>340</v>
      </c>
      <c r="H381" s="128">
        <f t="shared" si="44"/>
        <v>604</v>
      </c>
      <c r="I381" s="8">
        <v>670552</v>
      </c>
      <c r="J381" s="8">
        <v>670758</v>
      </c>
      <c r="K381" s="137">
        <f t="shared" si="45"/>
        <v>206</v>
      </c>
      <c r="L381" s="8">
        <v>21795</v>
      </c>
      <c r="M381" s="8">
        <v>21982</v>
      </c>
      <c r="N381" s="137">
        <f t="shared" si="46"/>
        <v>187</v>
      </c>
      <c r="O381" s="128">
        <f t="shared" si="40"/>
        <v>393</v>
      </c>
      <c r="P381" s="8">
        <v>251041</v>
      </c>
      <c r="Q381" s="8">
        <v>251041</v>
      </c>
      <c r="R381" s="128">
        <f t="shared" si="47"/>
        <v>0</v>
      </c>
      <c r="AQ381" s="8"/>
      <c r="AR381" s="8"/>
      <c r="AS381" s="8"/>
    </row>
    <row r="382" spans="1:45">
      <c r="A382" s="12">
        <v>44757</v>
      </c>
      <c r="B382" s="8">
        <v>468878</v>
      </c>
      <c r="C382" s="8">
        <v>469150</v>
      </c>
      <c r="D382" s="128">
        <f t="shared" si="43"/>
        <v>272</v>
      </c>
      <c r="E382" s="8">
        <v>27479</v>
      </c>
      <c r="F382" s="8">
        <v>27878</v>
      </c>
      <c r="G382" s="137">
        <f t="shared" si="38"/>
        <v>399</v>
      </c>
      <c r="H382" s="128">
        <f t="shared" si="44"/>
        <v>671</v>
      </c>
      <c r="I382" s="8">
        <v>670758</v>
      </c>
      <c r="J382" s="8">
        <v>670979</v>
      </c>
      <c r="K382" s="137">
        <f t="shared" si="45"/>
        <v>221</v>
      </c>
      <c r="L382" s="8">
        <v>21982</v>
      </c>
      <c r="M382" s="8">
        <v>22192</v>
      </c>
      <c r="N382" s="137">
        <f t="shared" si="46"/>
        <v>210</v>
      </c>
      <c r="O382" s="128">
        <f t="shared" si="40"/>
        <v>431</v>
      </c>
      <c r="P382" s="8">
        <v>251041</v>
      </c>
      <c r="Q382" s="8">
        <v>251041</v>
      </c>
      <c r="R382" s="128">
        <f t="shared" si="47"/>
        <v>0</v>
      </c>
      <c r="AQ382" s="8"/>
      <c r="AR382" s="8"/>
      <c r="AS382" s="8"/>
    </row>
    <row r="383" spans="1:45">
      <c r="A383" s="12">
        <v>44758</v>
      </c>
      <c r="B383" s="8">
        <v>469150</v>
      </c>
      <c r="C383" s="8">
        <v>469404</v>
      </c>
      <c r="D383" s="128">
        <f t="shared" si="43"/>
        <v>254</v>
      </c>
      <c r="E383" s="8">
        <v>27878</v>
      </c>
      <c r="F383" s="8">
        <v>28228</v>
      </c>
      <c r="G383" s="137">
        <f t="shared" si="38"/>
        <v>350</v>
      </c>
      <c r="H383" s="128">
        <f t="shared" ref="H383:H447" si="48">D383+G383</f>
        <v>604</v>
      </c>
      <c r="I383" s="8">
        <v>670979</v>
      </c>
      <c r="J383" s="8">
        <v>671201</v>
      </c>
      <c r="K383" s="137">
        <f t="shared" si="45"/>
        <v>222</v>
      </c>
      <c r="L383" s="8">
        <v>22192</v>
      </c>
      <c r="M383" s="8">
        <v>22429</v>
      </c>
      <c r="N383" s="137">
        <f t="shared" si="46"/>
        <v>237</v>
      </c>
      <c r="O383" s="128">
        <f t="shared" si="40"/>
        <v>459</v>
      </c>
      <c r="P383" s="8">
        <v>251041</v>
      </c>
      <c r="Q383" s="8">
        <v>251041</v>
      </c>
      <c r="R383" s="128">
        <f t="shared" ref="R383:R446" si="49">Q383-P383</f>
        <v>0</v>
      </c>
      <c r="AQ383" s="8"/>
      <c r="AR383" s="8"/>
      <c r="AS383" s="8"/>
    </row>
    <row r="384" spans="1:45">
      <c r="A384" s="12">
        <v>44759</v>
      </c>
      <c r="B384" s="8">
        <v>469404</v>
      </c>
      <c r="C384" s="8">
        <v>469753</v>
      </c>
      <c r="D384" s="128">
        <f t="shared" si="43"/>
        <v>349</v>
      </c>
      <c r="E384" s="8">
        <v>28228</v>
      </c>
      <c r="F384" s="8">
        <v>28600</v>
      </c>
      <c r="G384" s="137">
        <f t="shared" si="38"/>
        <v>372</v>
      </c>
      <c r="H384" s="128">
        <f t="shared" si="48"/>
        <v>721</v>
      </c>
      <c r="I384" s="8">
        <v>671201</v>
      </c>
      <c r="J384" s="8">
        <v>671399</v>
      </c>
      <c r="K384" s="137">
        <f t="shared" si="45"/>
        <v>198</v>
      </c>
      <c r="L384" s="8">
        <v>22429</v>
      </c>
      <c r="M384" s="8">
        <v>22614</v>
      </c>
      <c r="N384" s="137">
        <f t="shared" si="46"/>
        <v>185</v>
      </c>
      <c r="O384" s="128">
        <f t="shared" si="40"/>
        <v>383</v>
      </c>
      <c r="P384" s="8">
        <v>251041</v>
      </c>
      <c r="Q384" s="8">
        <v>251041</v>
      </c>
      <c r="R384" s="128">
        <f t="shared" si="49"/>
        <v>0</v>
      </c>
      <c r="AQ384" s="8"/>
      <c r="AR384" s="8"/>
      <c r="AS384" s="8"/>
    </row>
    <row r="385" spans="1:45">
      <c r="A385" s="12">
        <v>44760</v>
      </c>
      <c r="B385" s="8">
        <v>469753</v>
      </c>
      <c r="C385" s="8">
        <v>470013</v>
      </c>
      <c r="D385" s="128">
        <f t="shared" si="43"/>
        <v>260</v>
      </c>
      <c r="E385" s="8">
        <v>28600</v>
      </c>
      <c r="F385" s="8">
        <v>28942</v>
      </c>
      <c r="G385" s="137">
        <f t="shared" si="38"/>
        <v>342</v>
      </c>
      <c r="H385" s="128">
        <f t="shared" si="48"/>
        <v>602</v>
      </c>
      <c r="I385" s="8">
        <v>671399</v>
      </c>
      <c r="J385" s="8">
        <v>671602</v>
      </c>
      <c r="K385" s="137">
        <f t="shared" si="45"/>
        <v>203</v>
      </c>
      <c r="L385" s="8">
        <v>22614</v>
      </c>
      <c r="M385" s="8">
        <v>22797</v>
      </c>
      <c r="N385" s="137">
        <f t="shared" si="46"/>
        <v>183</v>
      </c>
      <c r="O385" s="128">
        <f t="shared" si="40"/>
        <v>386</v>
      </c>
      <c r="P385" s="8">
        <v>251041</v>
      </c>
      <c r="Q385" s="8">
        <v>251041</v>
      </c>
      <c r="R385" s="128">
        <f t="shared" si="49"/>
        <v>0</v>
      </c>
      <c r="AQ385" s="8"/>
      <c r="AR385" s="8"/>
      <c r="AS385" s="8"/>
    </row>
    <row r="386" spans="1:45">
      <c r="A386" s="12">
        <v>44761</v>
      </c>
      <c r="B386" s="8">
        <v>470013</v>
      </c>
      <c r="C386" s="8">
        <v>470233</v>
      </c>
      <c r="D386" s="128">
        <f t="shared" si="43"/>
        <v>220</v>
      </c>
      <c r="E386" s="8">
        <v>28942</v>
      </c>
      <c r="F386" s="8">
        <v>29232</v>
      </c>
      <c r="G386" s="137">
        <f t="shared" si="38"/>
        <v>290</v>
      </c>
      <c r="H386" s="128">
        <f t="shared" si="48"/>
        <v>510</v>
      </c>
      <c r="I386" s="8">
        <v>671602</v>
      </c>
      <c r="J386" s="8">
        <v>671802</v>
      </c>
      <c r="K386" s="137">
        <f t="shared" si="45"/>
        <v>200</v>
      </c>
      <c r="L386" s="8">
        <v>22797</v>
      </c>
      <c r="M386" s="8">
        <v>22979</v>
      </c>
      <c r="N386" s="137">
        <f t="shared" si="46"/>
        <v>182</v>
      </c>
      <c r="O386" s="128">
        <f t="shared" si="40"/>
        <v>382</v>
      </c>
      <c r="P386" s="8">
        <v>251041</v>
      </c>
      <c r="Q386" s="8">
        <v>251041</v>
      </c>
      <c r="R386" s="128">
        <f t="shared" si="49"/>
        <v>0</v>
      </c>
      <c r="AQ386" s="8"/>
      <c r="AR386" s="8"/>
      <c r="AS386" s="8"/>
    </row>
    <row r="387" spans="1:45">
      <c r="A387" s="12">
        <v>44762</v>
      </c>
      <c r="B387" s="8">
        <v>470233</v>
      </c>
      <c r="C387" s="8">
        <v>470481</v>
      </c>
      <c r="D387" s="128">
        <f t="shared" si="43"/>
        <v>248</v>
      </c>
      <c r="E387" s="8">
        <v>29232</v>
      </c>
      <c r="F387" s="8">
        <v>29583</v>
      </c>
      <c r="G387" s="137">
        <f t="shared" ref="G387:G454" si="50">F387-E387</f>
        <v>351</v>
      </c>
      <c r="H387" s="128">
        <f t="shared" si="48"/>
        <v>599</v>
      </c>
      <c r="I387" s="8">
        <v>671802</v>
      </c>
      <c r="J387" s="8">
        <v>672005</v>
      </c>
      <c r="K387" s="137">
        <f t="shared" si="45"/>
        <v>203</v>
      </c>
      <c r="L387" s="8">
        <v>22979</v>
      </c>
      <c r="M387" s="8">
        <v>23185</v>
      </c>
      <c r="N387" s="137">
        <f t="shared" si="46"/>
        <v>206</v>
      </c>
      <c r="O387" s="128">
        <f t="shared" si="40"/>
        <v>409</v>
      </c>
      <c r="P387" s="8">
        <v>251041</v>
      </c>
      <c r="Q387" s="8">
        <v>251041</v>
      </c>
      <c r="R387" s="128">
        <f t="shared" si="49"/>
        <v>0</v>
      </c>
      <c r="AQ387" s="8"/>
      <c r="AR387" s="8"/>
      <c r="AS387" s="8"/>
    </row>
    <row r="388" spans="1:45">
      <c r="A388" s="12">
        <v>44763</v>
      </c>
      <c r="B388" s="8">
        <v>470481</v>
      </c>
      <c r="C388" s="8">
        <v>470720</v>
      </c>
      <c r="D388" s="128">
        <f t="shared" si="43"/>
        <v>239</v>
      </c>
      <c r="E388" s="8">
        <v>29583</v>
      </c>
      <c r="F388" s="8">
        <v>29849</v>
      </c>
      <c r="G388" s="137">
        <f t="shared" si="50"/>
        <v>266</v>
      </c>
      <c r="H388" s="128">
        <f t="shared" si="48"/>
        <v>505</v>
      </c>
      <c r="I388" s="8">
        <v>672005</v>
      </c>
      <c r="J388" s="8">
        <v>672185</v>
      </c>
      <c r="K388" s="137">
        <f t="shared" si="45"/>
        <v>180</v>
      </c>
      <c r="L388" s="8">
        <v>23185</v>
      </c>
      <c r="M388" s="8">
        <v>23309</v>
      </c>
      <c r="N388" s="137">
        <f t="shared" si="46"/>
        <v>124</v>
      </c>
      <c r="O388" s="128">
        <f t="shared" ref="O388:O451" si="51">N388+K388</f>
        <v>304</v>
      </c>
      <c r="P388" s="8">
        <v>251041</v>
      </c>
      <c r="Q388" s="8">
        <v>251041</v>
      </c>
      <c r="R388" s="128">
        <f t="shared" si="49"/>
        <v>0</v>
      </c>
      <c r="AQ388" s="8"/>
      <c r="AR388" s="8"/>
      <c r="AS388" s="8"/>
    </row>
    <row r="389" spans="1:45">
      <c r="A389" s="12">
        <v>44764</v>
      </c>
      <c r="B389" s="8">
        <v>470720</v>
      </c>
      <c r="C389" s="8">
        <v>471023</v>
      </c>
      <c r="D389" s="128">
        <f t="shared" si="43"/>
        <v>303</v>
      </c>
      <c r="E389" s="8">
        <v>29849</v>
      </c>
      <c r="F389" s="8">
        <v>30162</v>
      </c>
      <c r="G389" s="137">
        <f t="shared" si="50"/>
        <v>313</v>
      </c>
      <c r="H389" s="128">
        <f t="shared" si="48"/>
        <v>616</v>
      </c>
      <c r="I389" s="8">
        <v>672185</v>
      </c>
      <c r="J389" s="8">
        <v>672402</v>
      </c>
      <c r="K389" s="137">
        <f t="shared" si="45"/>
        <v>217</v>
      </c>
      <c r="L389" s="8">
        <v>23309</v>
      </c>
      <c r="M389" s="8">
        <v>23435</v>
      </c>
      <c r="N389" s="137">
        <f t="shared" si="46"/>
        <v>126</v>
      </c>
      <c r="O389" s="128">
        <f t="shared" si="51"/>
        <v>343</v>
      </c>
      <c r="P389" s="8">
        <v>251041</v>
      </c>
      <c r="Q389" s="8">
        <v>251041</v>
      </c>
      <c r="R389" s="128">
        <f t="shared" si="49"/>
        <v>0</v>
      </c>
      <c r="AQ389" s="8"/>
      <c r="AR389" s="8"/>
      <c r="AS389" s="8"/>
    </row>
    <row r="390" spans="1:45">
      <c r="A390" s="12">
        <v>44765</v>
      </c>
      <c r="B390" s="8">
        <v>471023</v>
      </c>
      <c r="C390" s="8">
        <v>471236</v>
      </c>
      <c r="D390" s="128">
        <f t="shared" si="43"/>
        <v>213</v>
      </c>
      <c r="E390" s="8">
        <v>30162</v>
      </c>
      <c r="F390" s="8">
        <v>30435</v>
      </c>
      <c r="G390" s="137">
        <f t="shared" si="50"/>
        <v>273</v>
      </c>
      <c r="H390" s="128">
        <f t="shared" si="48"/>
        <v>486</v>
      </c>
      <c r="I390" s="8">
        <v>672402</v>
      </c>
      <c r="J390" s="8">
        <v>672597</v>
      </c>
      <c r="K390" s="137">
        <f t="shared" si="45"/>
        <v>195</v>
      </c>
      <c r="L390" s="8">
        <v>23435</v>
      </c>
      <c r="M390" s="8">
        <v>23499</v>
      </c>
      <c r="N390" s="137">
        <f t="shared" ref="N390:N453" si="52">M390-L390</f>
        <v>64</v>
      </c>
      <c r="O390" s="128">
        <f t="shared" si="51"/>
        <v>259</v>
      </c>
      <c r="P390" s="8">
        <v>251041</v>
      </c>
      <c r="Q390" s="8">
        <v>251041</v>
      </c>
      <c r="R390" s="128">
        <f t="shared" si="49"/>
        <v>0</v>
      </c>
      <c r="AQ390" s="8"/>
      <c r="AR390" s="8"/>
      <c r="AS390" s="8"/>
    </row>
    <row r="391" spans="1:45">
      <c r="A391" s="12">
        <v>44766</v>
      </c>
      <c r="B391" s="8">
        <v>471236</v>
      </c>
      <c r="C391" s="8">
        <v>471585</v>
      </c>
      <c r="D391" s="128">
        <f t="shared" si="43"/>
        <v>349</v>
      </c>
      <c r="E391" s="8">
        <v>30435</v>
      </c>
      <c r="F391" s="8">
        <v>30891</v>
      </c>
      <c r="G391" s="137">
        <f t="shared" si="50"/>
        <v>456</v>
      </c>
      <c r="H391" s="128">
        <f t="shared" si="48"/>
        <v>805</v>
      </c>
      <c r="I391" s="8">
        <v>672597</v>
      </c>
      <c r="J391" s="8">
        <v>672797</v>
      </c>
      <c r="K391" s="137">
        <f t="shared" si="45"/>
        <v>200</v>
      </c>
      <c r="L391" s="8">
        <v>23499</v>
      </c>
      <c r="M391" s="8">
        <v>23499</v>
      </c>
      <c r="N391" s="137">
        <f t="shared" si="52"/>
        <v>0</v>
      </c>
      <c r="O391" s="128">
        <f t="shared" si="51"/>
        <v>200</v>
      </c>
      <c r="P391" s="8">
        <v>251041</v>
      </c>
      <c r="Q391" s="8">
        <v>251041</v>
      </c>
      <c r="R391" s="128">
        <f t="shared" si="49"/>
        <v>0</v>
      </c>
      <c r="S391" s="8" t="s">
        <v>1208</v>
      </c>
      <c r="AQ391" s="8"/>
      <c r="AR391" s="8"/>
      <c r="AS391" s="8"/>
    </row>
    <row r="392" spans="1:45">
      <c r="A392" s="12">
        <v>44767</v>
      </c>
      <c r="B392" s="8">
        <v>471585</v>
      </c>
      <c r="C392" s="8">
        <v>471827</v>
      </c>
      <c r="D392" s="128">
        <f t="shared" si="43"/>
        <v>242</v>
      </c>
      <c r="E392" s="8">
        <v>30891</v>
      </c>
      <c r="F392" s="8">
        <v>31208</v>
      </c>
      <c r="G392" s="137">
        <f t="shared" si="50"/>
        <v>317</v>
      </c>
      <c r="H392" s="128">
        <f t="shared" si="48"/>
        <v>559</v>
      </c>
      <c r="I392" s="8">
        <v>672797</v>
      </c>
      <c r="J392" s="8">
        <v>673007</v>
      </c>
      <c r="K392" s="137">
        <f t="shared" si="45"/>
        <v>210</v>
      </c>
      <c r="L392" s="8">
        <v>23499</v>
      </c>
      <c r="M392" s="8">
        <v>23697</v>
      </c>
      <c r="N392" s="137">
        <f t="shared" si="52"/>
        <v>198</v>
      </c>
      <c r="O392" s="128">
        <f t="shared" si="51"/>
        <v>408</v>
      </c>
      <c r="P392" s="8">
        <v>251041</v>
      </c>
      <c r="Q392" s="8">
        <v>251041</v>
      </c>
      <c r="R392" s="128">
        <f t="shared" si="49"/>
        <v>0</v>
      </c>
      <c r="AQ392" s="8"/>
      <c r="AR392" s="8"/>
      <c r="AS392" s="8"/>
    </row>
    <row r="393" spans="1:45">
      <c r="A393" s="12">
        <v>44768</v>
      </c>
      <c r="B393" s="8">
        <v>471827</v>
      </c>
      <c r="C393" s="8">
        <v>472080</v>
      </c>
      <c r="D393" s="128">
        <f t="shared" si="43"/>
        <v>253</v>
      </c>
      <c r="E393" s="8">
        <v>31208</v>
      </c>
      <c r="F393" s="8">
        <v>31560</v>
      </c>
      <c r="G393" s="137">
        <f t="shared" si="50"/>
        <v>352</v>
      </c>
      <c r="H393" s="128">
        <f t="shared" si="48"/>
        <v>605</v>
      </c>
      <c r="I393" s="8">
        <v>673007</v>
      </c>
      <c r="J393" s="8">
        <v>673207</v>
      </c>
      <c r="K393" s="137">
        <f t="shared" si="45"/>
        <v>200</v>
      </c>
      <c r="L393" s="8">
        <v>23697</v>
      </c>
      <c r="M393" s="8">
        <v>23887</v>
      </c>
      <c r="N393" s="137">
        <f t="shared" si="52"/>
        <v>190</v>
      </c>
      <c r="O393" s="128">
        <f t="shared" si="51"/>
        <v>390</v>
      </c>
      <c r="P393" s="8">
        <v>251041</v>
      </c>
      <c r="Q393" s="8">
        <v>251041</v>
      </c>
      <c r="R393" s="128">
        <f t="shared" si="49"/>
        <v>0</v>
      </c>
      <c r="AQ393" s="8"/>
      <c r="AR393" s="8"/>
      <c r="AS393" s="8"/>
    </row>
    <row r="394" spans="1:45">
      <c r="A394" s="12">
        <v>44769</v>
      </c>
      <c r="B394" s="8">
        <v>472080</v>
      </c>
      <c r="C394" s="8">
        <v>472390</v>
      </c>
      <c r="D394" s="128">
        <f t="shared" si="43"/>
        <v>310</v>
      </c>
      <c r="E394" s="8">
        <v>31560</v>
      </c>
      <c r="F394" s="8">
        <v>31879</v>
      </c>
      <c r="G394" s="137">
        <f t="shared" si="50"/>
        <v>319</v>
      </c>
      <c r="H394" s="128">
        <f t="shared" si="48"/>
        <v>629</v>
      </c>
      <c r="I394" s="8">
        <v>673207</v>
      </c>
      <c r="J394" s="8">
        <v>673421</v>
      </c>
      <c r="K394" s="137">
        <f t="shared" si="45"/>
        <v>214</v>
      </c>
      <c r="L394" s="8">
        <v>23887</v>
      </c>
      <c r="M394" s="8">
        <v>24081</v>
      </c>
      <c r="N394" s="137">
        <f t="shared" si="52"/>
        <v>194</v>
      </c>
      <c r="O394" s="128">
        <f t="shared" si="51"/>
        <v>408</v>
      </c>
      <c r="P394" s="8">
        <v>251041</v>
      </c>
      <c r="Q394" s="8">
        <v>251041</v>
      </c>
      <c r="R394" s="128">
        <f t="shared" si="49"/>
        <v>0</v>
      </c>
      <c r="AQ394" s="8"/>
      <c r="AR394" s="8"/>
      <c r="AS394" s="8"/>
    </row>
    <row r="395" spans="1:45">
      <c r="A395" s="12">
        <v>44770</v>
      </c>
      <c r="B395" s="8">
        <v>472390</v>
      </c>
      <c r="C395" s="8">
        <v>472643</v>
      </c>
      <c r="D395" s="128">
        <f t="shared" si="43"/>
        <v>253</v>
      </c>
      <c r="E395" s="8">
        <v>31879</v>
      </c>
      <c r="F395" s="8">
        <v>32132</v>
      </c>
      <c r="G395" s="137">
        <f t="shared" si="50"/>
        <v>253</v>
      </c>
      <c r="H395" s="128">
        <f t="shared" si="48"/>
        <v>506</v>
      </c>
      <c r="I395" s="8">
        <v>673421</v>
      </c>
      <c r="J395" s="8">
        <v>673595</v>
      </c>
      <c r="K395" s="137">
        <f t="shared" si="45"/>
        <v>174</v>
      </c>
      <c r="L395" s="8">
        <v>24081</v>
      </c>
      <c r="M395" s="8">
        <v>24287</v>
      </c>
      <c r="N395" s="137">
        <f t="shared" si="52"/>
        <v>206</v>
      </c>
      <c r="O395" s="128">
        <f t="shared" si="51"/>
        <v>380</v>
      </c>
      <c r="P395" s="8">
        <v>251041</v>
      </c>
      <c r="Q395" s="8">
        <v>251041</v>
      </c>
      <c r="R395" s="128">
        <f t="shared" si="49"/>
        <v>0</v>
      </c>
      <c r="AQ395" s="8"/>
      <c r="AR395" s="8"/>
      <c r="AS395" s="8"/>
    </row>
    <row r="396" spans="1:45">
      <c r="A396" s="12">
        <v>44771</v>
      </c>
      <c r="B396" s="8">
        <v>472643</v>
      </c>
      <c r="C396" s="8">
        <v>472910</v>
      </c>
      <c r="D396" s="128">
        <f t="shared" si="43"/>
        <v>267</v>
      </c>
      <c r="E396" s="8">
        <v>32132</v>
      </c>
      <c r="F396" s="8">
        <v>32545</v>
      </c>
      <c r="G396" s="137">
        <f t="shared" si="50"/>
        <v>413</v>
      </c>
      <c r="H396" s="128">
        <f t="shared" si="48"/>
        <v>680</v>
      </c>
      <c r="I396" s="8">
        <v>673595</v>
      </c>
      <c r="J396" s="8">
        <v>673798</v>
      </c>
      <c r="K396" s="137">
        <f t="shared" si="45"/>
        <v>203</v>
      </c>
      <c r="L396" s="8">
        <v>24287</v>
      </c>
      <c r="M396" s="8">
        <v>24471</v>
      </c>
      <c r="N396" s="137">
        <f t="shared" si="52"/>
        <v>184</v>
      </c>
      <c r="O396" s="128">
        <f t="shared" si="51"/>
        <v>387</v>
      </c>
      <c r="P396" s="8">
        <v>251041</v>
      </c>
      <c r="Q396" s="8">
        <v>251041</v>
      </c>
      <c r="R396" s="128">
        <f t="shared" si="49"/>
        <v>0</v>
      </c>
      <c r="AQ396" s="8"/>
      <c r="AR396" s="8"/>
      <c r="AS396" s="8"/>
    </row>
    <row r="397" spans="1:45">
      <c r="A397" s="12">
        <v>44772</v>
      </c>
      <c r="B397" s="8">
        <v>472910</v>
      </c>
      <c r="C397" s="8">
        <v>473179</v>
      </c>
      <c r="D397" s="128">
        <f t="shared" si="43"/>
        <v>269</v>
      </c>
      <c r="E397" s="8">
        <v>32545</v>
      </c>
      <c r="F397" s="8">
        <v>32915</v>
      </c>
      <c r="G397" s="137">
        <f t="shared" si="50"/>
        <v>370</v>
      </c>
      <c r="H397" s="128">
        <f t="shared" si="48"/>
        <v>639</v>
      </c>
      <c r="I397" s="8">
        <v>673798</v>
      </c>
      <c r="J397" s="8">
        <v>674016</v>
      </c>
      <c r="K397" s="137">
        <f t="shared" si="45"/>
        <v>218</v>
      </c>
      <c r="L397" s="8">
        <v>24471</v>
      </c>
      <c r="M397" s="8">
        <v>24609</v>
      </c>
      <c r="N397" s="137">
        <f t="shared" si="52"/>
        <v>138</v>
      </c>
      <c r="O397" s="128">
        <f t="shared" si="51"/>
        <v>356</v>
      </c>
      <c r="P397" s="8">
        <v>251041</v>
      </c>
      <c r="Q397" s="8">
        <v>251041</v>
      </c>
      <c r="R397" s="128">
        <f t="shared" si="49"/>
        <v>0</v>
      </c>
      <c r="AQ397" s="8"/>
      <c r="AR397" s="8"/>
      <c r="AS397" s="8"/>
    </row>
    <row r="398" spans="1:45">
      <c r="A398" s="12">
        <v>44773</v>
      </c>
      <c r="B398" s="8">
        <v>473179</v>
      </c>
      <c r="C398" s="8">
        <v>473390</v>
      </c>
      <c r="D398" s="128">
        <f t="shared" si="43"/>
        <v>211</v>
      </c>
      <c r="E398" s="8">
        <v>32915</v>
      </c>
      <c r="F398" s="8">
        <v>33239</v>
      </c>
      <c r="G398" s="137">
        <f t="shared" si="50"/>
        <v>324</v>
      </c>
      <c r="H398" s="128">
        <f t="shared" si="48"/>
        <v>535</v>
      </c>
      <c r="I398" s="8">
        <v>674016</v>
      </c>
      <c r="J398" s="8">
        <v>674230</v>
      </c>
      <c r="K398" s="137">
        <f t="shared" si="45"/>
        <v>214</v>
      </c>
      <c r="L398" s="8">
        <v>24609</v>
      </c>
      <c r="M398" s="8">
        <v>24710</v>
      </c>
      <c r="N398" s="137">
        <f t="shared" si="52"/>
        <v>101</v>
      </c>
      <c r="O398" s="128">
        <f t="shared" si="51"/>
        <v>315</v>
      </c>
      <c r="P398" s="8">
        <v>251041</v>
      </c>
      <c r="Q398" s="8">
        <v>251041</v>
      </c>
      <c r="R398" s="128">
        <f t="shared" si="49"/>
        <v>0</v>
      </c>
      <c r="AQ398" s="8"/>
      <c r="AR398" s="8"/>
      <c r="AS398" s="8"/>
    </row>
    <row r="399" spans="1:45">
      <c r="A399" s="12">
        <v>44774</v>
      </c>
      <c r="B399" s="8">
        <v>473390</v>
      </c>
      <c r="C399" s="8">
        <v>473598</v>
      </c>
      <c r="D399" s="128">
        <f t="shared" si="43"/>
        <v>208</v>
      </c>
      <c r="E399" s="8">
        <v>33239</v>
      </c>
      <c r="F399" s="8">
        <v>33584</v>
      </c>
      <c r="G399" s="137">
        <f t="shared" si="50"/>
        <v>345</v>
      </c>
      <c r="H399" s="128">
        <f t="shared" si="48"/>
        <v>553</v>
      </c>
      <c r="I399" s="8">
        <v>674230</v>
      </c>
      <c r="J399" s="8">
        <v>674396</v>
      </c>
      <c r="K399" s="137">
        <f t="shared" si="45"/>
        <v>166</v>
      </c>
      <c r="L399" s="8">
        <v>24710</v>
      </c>
      <c r="M399" s="8">
        <v>24800</v>
      </c>
      <c r="N399" s="137">
        <f t="shared" si="52"/>
        <v>90</v>
      </c>
      <c r="O399" s="128">
        <f t="shared" si="51"/>
        <v>256</v>
      </c>
      <c r="P399" s="8">
        <v>251041</v>
      </c>
      <c r="Q399" s="8">
        <v>251041</v>
      </c>
      <c r="R399" s="128">
        <f t="shared" si="49"/>
        <v>0</v>
      </c>
      <c r="AQ399" s="8"/>
      <c r="AR399" s="8"/>
      <c r="AS399" s="8"/>
    </row>
    <row r="400" spans="1:45">
      <c r="A400" s="12">
        <v>44775</v>
      </c>
      <c r="B400" s="8">
        <v>473598</v>
      </c>
      <c r="C400" s="8">
        <v>473847</v>
      </c>
      <c r="D400" s="128">
        <f t="shared" si="43"/>
        <v>249</v>
      </c>
      <c r="E400" s="8">
        <v>33584</v>
      </c>
      <c r="F400" s="8">
        <v>33967</v>
      </c>
      <c r="G400" s="137">
        <f t="shared" si="50"/>
        <v>383</v>
      </c>
      <c r="H400" s="128">
        <f t="shared" si="48"/>
        <v>632</v>
      </c>
      <c r="I400" s="8">
        <v>674396</v>
      </c>
      <c r="J400" s="8">
        <v>674552</v>
      </c>
      <c r="K400" s="137">
        <f t="shared" si="45"/>
        <v>156</v>
      </c>
      <c r="L400" s="8">
        <v>24800</v>
      </c>
      <c r="M400" s="8">
        <v>24910</v>
      </c>
      <c r="N400" s="137">
        <f t="shared" si="52"/>
        <v>110</v>
      </c>
      <c r="O400" s="128">
        <f t="shared" si="51"/>
        <v>266</v>
      </c>
      <c r="P400" s="8">
        <v>251041</v>
      </c>
      <c r="Q400" s="8">
        <v>251041</v>
      </c>
      <c r="R400" s="128">
        <f t="shared" si="49"/>
        <v>0</v>
      </c>
      <c r="AQ400" s="8"/>
      <c r="AR400" s="8"/>
      <c r="AS400" s="8"/>
    </row>
    <row r="401" spans="1:45">
      <c r="A401" s="12">
        <v>44776</v>
      </c>
      <c r="B401" s="8">
        <v>473847</v>
      </c>
      <c r="C401" s="8">
        <v>474050</v>
      </c>
      <c r="D401" s="128">
        <f t="shared" si="43"/>
        <v>203</v>
      </c>
      <c r="E401" s="8">
        <v>33967</v>
      </c>
      <c r="F401" s="8">
        <v>34283</v>
      </c>
      <c r="G401" s="137">
        <f t="shared" si="50"/>
        <v>316</v>
      </c>
      <c r="H401" s="128">
        <f t="shared" si="48"/>
        <v>519</v>
      </c>
      <c r="I401" s="8">
        <v>674552</v>
      </c>
      <c r="J401" s="8">
        <v>674761</v>
      </c>
      <c r="K401" s="137">
        <f t="shared" si="45"/>
        <v>209</v>
      </c>
      <c r="L401" s="8">
        <v>24910</v>
      </c>
      <c r="M401" s="8">
        <v>25110</v>
      </c>
      <c r="N401" s="137">
        <f t="shared" si="52"/>
        <v>200</v>
      </c>
      <c r="O401" s="128">
        <f t="shared" si="51"/>
        <v>409</v>
      </c>
      <c r="P401" s="8">
        <v>251041</v>
      </c>
      <c r="Q401" s="8">
        <v>251041</v>
      </c>
      <c r="R401" s="128">
        <f t="shared" si="49"/>
        <v>0</v>
      </c>
      <c r="AQ401" s="8"/>
      <c r="AR401" s="8"/>
      <c r="AS401" s="8"/>
    </row>
    <row r="402" spans="1:45">
      <c r="A402" s="12">
        <v>44777</v>
      </c>
      <c r="B402" s="8">
        <v>474050</v>
      </c>
      <c r="C402" s="8">
        <v>474320</v>
      </c>
      <c r="D402" s="128">
        <f t="shared" si="43"/>
        <v>270</v>
      </c>
      <c r="E402" s="8">
        <v>34283</v>
      </c>
      <c r="F402" s="8">
        <v>34621</v>
      </c>
      <c r="G402" s="137">
        <f t="shared" si="50"/>
        <v>338</v>
      </c>
      <c r="H402" s="128">
        <f t="shared" si="48"/>
        <v>608</v>
      </c>
      <c r="I402" s="8">
        <v>674761</v>
      </c>
      <c r="J402" s="8">
        <v>674981</v>
      </c>
      <c r="K402" s="137">
        <f t="shared" si="45"/>
        <v>220</v>
      </c>
      <c r="L402" s="8">
        <v>25110</v>
      </c>
      <c r="M402" s="8">
        <v>25310</v>
      </c>
      <c r="N402" s="137">
        <f t="shared" si="52"/>
        <v>200</v>
      </c>
      <c r="O402" s="128">
        <f t="shared" si="51"/>
        <v>420</v>
      </c>
      <c r="P402" s="8">
        <v>251041</v>
      </c>
      <c r="Q402" s="8">
        <v>251041</v>
      </c>
      <c r="R402" s="128">
        <f t="shared" si="49"/>
        <v>0</v>
      </c>
      <c r="AQ402" s="8"/>
      <c r="AR402" s="8"/>
      <c r="AS402" s="8"/>
    </row>
    <row r="403" spans="1:45">
      <c r="A403" s="12">
        <v>44778</v>
      </c>
      <c r="B403" s="8">
        <v>474320</v>
      </c>
      <c r="C403" s="8">
        <v>474577</v>
      </c>
      <c r="D403" s="128">
        <f t="shared" si="43"/>
        <v>257</v>
      </c>
      <c r="E403" s="8">
        <v>34621</v>
      </c>
      <c r="F403" s="8">
        <v>34971</v>
      </c>
      <c r="G403" s="137">
        <f t="shared" si="50"/>
        <v>350</v>
      </c>
      <c r="H403" s="128">
        <f t="shared" si="48"/>
        <v>607</v>
      </c>
      <c r="I403" s="8">
        <v>674981</v>
      </c>
      <c r="J403" s="8">
        <v>675202</v>
      </c>
      <c r="K403" s="137">
        <f t="shared" si="45"/>
        <v>221</v>
      </c>
      <c r="L403" s="8">
        <v>25310</v>
      </c>
      <c r="M403" s="8">
        <v>25410</v>
      </c>
      <c r="N403" s="137">
        <f t="shared" si="52"/>
        <v>100</v>
      </c>
      <c r="O403" s="128">
        <f t="shared" si="51"/>
        <v>321</v>
      </c>
      <c r="P403" s="8">
        <v>251041</v>
      </c>
      <c r="Q403" s="8">
        <v>251041</v>
      </c>
      <c r="R403" s="128">
        <f t="shared" si="49"/>
        <v>0</v>
      </c>
      <c r="AQ403" s="8"/>
      <c r="AR403" s="8"/>
      <c r="AS403" s="8"/>
    </row>
    <row r="404" spans="1:45">
      <c r="A404" s="12">
        <v>44779</v>
      </c>
      <c r="B404" s="8">
        <v>474577</v>
      </c>
      <c r="C404" s="53">
        <v>474898</v>
      </c>
      <c r="D404" s="128">
        <f t="shared" si="43"/>
        <v>321</v>
      </c>
      <c r="E404" s="8">
        <v>34971</v>
      </c>
      <c r="F404" s="53">
        <v>35322</v>
      </c>
      <c r="G404" s="137">
        <f t="shared" si="50"/>
        <v>351</v>
      </c>
      <c r="H404" s="128">
        <f t="shared" si="48"/>
        <v>672</v>
      </c>
      <c r="I404" s="8">
        <v>675202</v>
      </c>
      <c r="J404" s="53">
        <v>675402</v>
      </c>
      <c r="K404" s="137">
        <f t="shared" si="45"/>
        <v>200</v>
      </c>
      <c r="L404" s="8">
        <v>25410</v>
      </c>
      <c r="M404" s="53">
        <v>25509</v>
      </c>
      <c r="N404" s="137">
        <f t="shared" si="52"/>
        <v>99</v>
      </c>
      <c r="O404" s="128">
        <f t="shared" si="51"/>
        <v>299</v>
      </c>
      <c r="P404" s="8">
        <v>251041</v>
      </c>
      <c r="Q404" s="8">
        <v>251041</v>
      </c>
      <c r="R404" s="128">
        <f t="shared" si="49"/>
        <v>0</v>
      </c>
      <c r="AQ404" s="8"/>
      <c r="AR404" s="8"/>
      <c r="AS404" s="8"/>
    </row>
    <row r="405" spans="1:45">
      <c r="A405" s="12">
        <v>44780</v>
      </c>
      <c r="B405" s="53">
        <v>474898</v>
      </c>
      <c r="C405" s="8">
        <v>475109</v>
      </c>
      <c r="D405" s="128">
        <f t="shared" si="43"/>
        <v>211</v>
      </c>
      <c r="E405" s="53">
        <v>35322</v>
      </c>
      <c r="F405" s="8">
        <v>35604</v>
      </c>
      <c r="G405" s="137">
        <f t="shared" si="50"/>
        <v>282</v>
      </c>
      <c r="H405" s="128">
        <f t="shared" si="48"/>
        <v>493</v>
      </c>
      <c r="I405" s="53">
        <v>675402</v>
      </c>
      <c r="J405" s="8">
        <v>675616</v>
      </c>
      <c r="K405" s="137">
        <f t="shared" si="45"/>
        <v>214</v>
      </c>
      <c r="L405" s="53">
        <v>25509</v>
      </c>
      <c r="M405" s="8">
        <v>25610</v>
      </c>
      <c r="N405" s="137">
        <f t="shared" si="52"/>
        <v>101</v>
      </c>
      <c r="O405" s="128">
        <f t="shared" si="51"/>
        <v>315</v>
      </c>
      <c r="P405" s="8">
        <v>251041</v>
      </c>
      <c r="Q405" s="8">
        <v>251041</v>
      </c>
      <c r="R405" s="128">
        <f t="shared" si="49"/>
        <v>0</v>
      </c>
      <c r="AQ405" s="8"/>
      <c r="AR405" s="8"/>
      <c r="AS405" s="8"/>
    </row>
    <row r="406" spans="1:45">
      <c r="A406" s="12">
        <v>44781</v>
      </c>
      <c r="B406" s="8">
        <v>475109</v>
      </c>
      <c r="C406" s="8">
        <v>475399</v>
      </c>
      <c r="D406" s="128">
        <f t="shared" si="43"/>
        <v>290</v>
      </c>
      <c r="E406" s="8">
        <v>35604</v>
      </c>
      <c r="F406" s="8">
        <v>36013</v>
      </c>
      <c r="G406" s="137">
        <f t="shared" si="50"/>
        <v>409</v>
      </c>
      <c r="H406" s="128">
        <f t="shared" si="48"/>
        <v>699</v>
      </c>
      <c r="I406" s="8">
        <v>675616</v>
      </c>
      <c r="J406" s="8">
        <v>675817</v>
      </c>
      <c r="K406" s="137">
        <f t="shared" si="45"/>
        <v>201</v>
      </c>
      <c r="L406" s="8">
        <v>25610</v>
      </c>
      <c r="M406" s="8">
        <v>25709</v>
      </c>
      <c r="N406" s="137">
        <f t="shared" si="52"/>
        <v>99</v>
      </c>
      <c r="O406" s="128">
        <f t="shared" si="51"/>
        <v>300</v>
      </c>
      <c r="P406" s="8">
        <v>251041</v>
      </c>
      <c r="Q406" s="8">
        <v>251041</v>
      </c>
      <c r="R406" s="128">
        <f t="shared" si="49"/>
        <v>0</v>
      </c>
      <c r="AQ406" s="8"/>
      <c r="AR406" s="8"/>
      <c r="AS406" s="8"/>
    </row>
    <row r="407" spans="1:45">
      <c r="A407" s="12">
        <v>44782</v>
      </c>
      <c r="B407" s="8">
        <v>475399</v>
      </c>
      <c r="C407" s="8">
        <v>475657</v>
      </c>
      <c r="D407" s="128">
        <f t="shared" si="43"/>
        <v>258</v>
      </c>
      <c r="E407" s="8">
        <v>36013</v>
      </c>
      <c r="F407" s="8">
        <v>36398</v>
      </c>
      <c r="G407" s="137">
        <f t="shared" si="50"/>
        <v>385</v>
      </c>
      <c r="H407" s="128">
        <f t="shared" si="48"/>
        <v>643</v>
      </c>
      <c r="I407" s="8">
        <v>675817</v>
      </c>
      <c r="J407" s="8">
        <v>676021</v>
      </c>
      <c r="K407" s="137">
        <f t="shared" si="45"/>
        <v>204</v>
      </c>
      <c r="L407" s="8">
        <v>25709</v>
      </c>
      <c r="M407" s="8">
        <v>25910</v>
      </c>
      <c r="N407" s="137">
        <f t="shared" si="52"/>
        <v>201</v>
      </c>
      <c r="O407" s="128">
        <f t="shared" si="51"/>
        <v>405</v>
      </c>
      <c r="P407" s="8">
        <v>251041</v>
      </c>
      <c r="Q407" s="8">
        <v>251041</v>
      </c>
      <c r="R407" s="128">
        <f t="shared" si="49"/>
        <v>0</v>
      </c>
      <c r="AQ407" s="8"/>
      <c r="AR407" s="8"/>
      <c r="AS407" s="8"/>
    </row>
    <row r="408" spans="1:45">
      <c r="A408" s="12">
        <v>44783</v>
      </c>
      <c r="B408" s="8">
        <v>475657</v>
      </c>
      <c r="C408" s="53">
        <v>475889</v>
      </c>
      <c r="D408" s="128">
        <f t="shared" si="43"/>
        <v>232</v>
      </c>
      <c r="E408" s="8">
        <v>36398</v>
      </c>
      <c r="F408" s="8">
        <v>36732</v>
      </c>
      <c r="G408" s="137">
        <f t="shared" si="50"/>
        <v>334</v>
      </c>
      <c r="H408" s="128">
        <f t="shared" si="48"/>
        <v>566</v>
      </c>
      <c r="I408" s="8">
        <v>676021</v>
      </c>
      <c r="J408" s="8">
        <v>676254</v>
      </c>
      <c r="K408" s="137">
        <f t="shared" si="45"/>
        <v>233</v>
      </c>
      <c r="L408" s="8">
        <v>25910</v>
      </c>
      <c r="M408" s="8">
        <v>26110</v>
      </c>
      <c r="N408" s="137">
        <f t="shared" si="52"/>
        <v>200</v>
      </c>
      <c r="O408" s="128">
        <f t="shared" si="51"/>
        <v>433</v>
      </c>
      <c r="P408" s="8">
        <v>251041</v>
      </c>
      <c r="Q408" s="8">
        <v>251041</v>
      </c>
      <c r="R408" s="128">
        <f t="shared" si="49"/>
        <v>0</v>
      </c>
      <c r="AQ408" s="8"/>
      <c r="AR408" s="8"/>
      <c r="AS408" s="8"/>
    </row>
    <row r="409" spans="1:45">
      <c r="A409" s="12">
        <v>44784</v>
      </c>
      <c r="B409" s="53">
        <v>475889</v>
      </c>
      <c r="C409" s="53">
        <v>476179</v>
      </c>
      <c r="D409" s="128">
        <f t="shared" si="43"/>
        <v>290</v>
      </c>
      <c r="E409" s="8">
        <v>36732</v>
      </c>
      <c r="F409" s="8">
        <v>37072</v>
      </c>
      <c r="G409" s="137">
        <f t="shared" si="50"/>
        <v>340</v>
      </c>
      <c r="H409" s="128">
        <f t="shared" si="48"/>
        <v>630</v>
      </c>
      <c r="I409" s="8">
        <v>676254</v>
      </c>
      <c r="J409" s="8">
        <v>676467</v>
      </c>
      <c r="K409" s="137">
        <f t="shared" si="45"/>
        <v>213</v>
      </c>
      <c r="L409" s="8">
        <v>26110</v>
      </c>
      <c r="M409" s="8">
        <v>26295</v>
      </c>
      <c r="N409" s="137">
        <f t="shared" si="52"/>
        <v>185</v>
      </c>
      <c r="O409" s="128">
        <f t="shared" si="51"/>
        <v>398</v>
      </c>
      <c r="P409" s="8">
        <v>251041</v>
      </c>
      <c r="Q409" s="8">
        <v>251041</v>
      </c>
      <c r="R409" s="128">
        <f t="shared" si="49"/>
        <v>0</v>
      </c>
      <c r="AQ409" s="8"/>
      <c r="AR409" s="8"/>
      <c r="AS409" s="8"/>
    </row>
    <row r="410" spans="1:45">
      <c r="A410" s="12">
        <v>44785</v>
      </c>
      <c r="B410" s="53">
        <v>476179</v>
      </c>
      <c r="C410" s="8">
        <v>476434</v>
      </c>
      <c r="D410" s="128">
        <f t="shared" si="43"/>
        <v>255</v>
      </c>
      <c r="E410" s="8">
        <v>37072</v>
      </c>
      <c r="F410" s="8">
        <v>37404</v>
      </c>
      <c r="G410" s="137">
        <f t="shared" si="50"/>
        <v>332</v>
      </c>
      <c r="H410" s="128">
        <f t="shared" si="48"/>
        <v>587</v>
      </c>
      <c r="I410" s="8">
        <v>676467</v>
      </c>
      <c r="J410" s="8">
        <v>676663</v>
      </c>
      <c r="K410" s="137">
        <f t="shared" si="45"/>
        <v>196</v>
      </c>
      <c r="L410" s="8">
        <v>26295</v>
      </c>
      <c r="M410" s="8">
        <v>26310</v>
      </c>
      <c r="N410" s="137">
        <f t="shared" si="52"/>
        <v>15</v>
      </c>
      <c r="O410" s="128">
        <f t="shared" si="51"/>
        <v>211</v>
      </c>
      <c r="P410" s="8">
        <v>251041</v>
      </c>
      <c r="Q410" s="8">
        <v>251041</v>
      </c>
      <c r="R410" s="128">
        <f t="shared" si="49"/>
        <v>0</v>
      </c>
      <c r="AQ410" s="8"/>
      <c r="AR410" s="8"/>
      <c r="AS410" s="8"/>
    </row>
    <row r="411" spans="1:45">
      <c r="A411" s="12">
        <v>44786</v>
      </c>
      <c r="B411" s="8">
        <v>476434</v>
      </c>
      <c r="C411" s="8">
        <v>476727</v>
      </c>
      <c r="D411" s="128">
        <f t="shared" si="43"/>
        <v>293</v>
      </c>
      <c r="E411" s="8">
        <v>37404</v>
      </c>
      <c r="F411" s="8">
        <v>37817</v>
      </c>
      <c r="G411" s="137">
        <f t="shared" si="50"/>
        <v>413</v>
      </c>
      <c r="H411" s="128">
        <f t="shared" si="48"/>
        <v>706</v>
      </c>
      <c r="I411" s="8">
        <v>676663</v>
      </c>
      <c r="J411" s="8">
        <v>676884</v>
      </c>
      <c r="K411" s="137">
        <f t="shared" si="45"/>
        <v>221</v>
      </c>
      <c r="L411" s="8">
        <v>26310</v>
      </c>
      <c r="M411" s="8">
        <v>26510</v>
      </c>
      <c r="N411" s="137">
        <f t="shared" si="52"/>
        <v>200</v>
      </c>
      <c r="O411" s="128">
        <f t="shared" si="51"/>
        <v>421</v>
      </c>
      <c r="P411" s="8">
        <v>251041</v>
      </c>
      <c r="Q411" s="8">
        <v>251041</v>
      </c>
      <c r="R411" s="128">
        <f t="shared" si="49"/>
        <v>0</v>
      </c>
      <c r="AQ411" s="8"/>
      <c r="AR411" s="8"/>
      <c r="AS411" s="8"/>
    </row>
    <row r="412" spans="1:45">
      <c r="A412" s="12">
        <v>44787</v>
      </c>
      <c r="B412" s="8">
        <v>476727</v>
      </c>
      <c r="C412" s="8">
        <v>476953</v>
      </c>
      <c r="D412" s="128">
        <f t="shared" si="43"/>
        <v>226</v>
      </c>
      <c r="E412" s="8">
        <v>37817</v>
      </c>
      <c r="F412" s="8">
        <v>38149</v>
      </c>
      <c r="G412" s="137">
        <f t="shared" si="50"/>
        <v>332</v>
      </c>
      <c r="H412" s="128">
        <f t="shared" si="48"/>
        <v>558</v>
      </c>
      <c r="I412" s="8">
        <v>676884</v>
      </c>
      <c r="J412" s="8">
        <v>677073</v>
      </c>
      <c r="K412" s="137">
        <f t="shared" si="45"/>
        <v>189</v>
      </c>
      <c r="L412" s="8">
        <v>26510</v>
      </c>
      <c r="M412" s="8">
        <v>26604</v>
      </c>
      <c r="N412" s="137">
        <f t="shared" si="52"/>
        <v>94</v>
      </c>
      <c r="O412" s="128">
        <f t="shared" si="51"/>
        <v>283</v>
      </c>
      <c r="P412" s="8">
        <v>251041</v>
      </c>
      <c r="Q412" s="8">
        <v>251041</v>
      </c>
      <c r="R412" s="128">
        <f t="shared" si="49"/>
        <v>0</v>
      </c>
      <c r="AQ412" s="8"/>
      <c r="AR412" s="8"/>
      <c r="AS412" s="8"/>
    </row>
    <row r="413" spans="1:45">
      <c r="A413" s="12">
        <v>44788</v>
      </c>
      <c r="B413" s="8">
        <v>476953</v>
      </c>
      <c r="C413" s="8">
        <v>476953</v>
      </c>
      <c r="D413" s="128">
        <f t="shared" si="43"/>
        <v>0</v>
      </c>
      <c r="E413" s="8">
        <v>38149</v>
      </c>
      <c r="F413" s="8">
        <v>38149</v>
      </c>
      <c r="G413" s="137">
        <f t="shared" si="50"/>
        <v>0</v>
      </c>
      <c r="H413" s="128">
        <f t="shared" si="48"/>
        <v>0</v>
      </c>
      <c r="I413" s="8">
        <v>677073</v>
      </c>
      <c r="J413" s="8">
        <v>677262</v>
      </c>
      <c r="K413" s="137">
        <f t="shared" si="45"/>
        <v>189</v>
      </c>
      <c r="L413" s="8">
        <v>26604</v>
      </c>
      <c r="M413" s="8">
        <v>26604</v>
      </c>
      <c r="N413" s="137">
        <f t="shared" si="52"/>
        <v>0</v>
      </c>
      <c r="O413" s="128">
        <f t="shared" si="51"/>
        <v>189</v>
      </c>
      <c r="P413" s="8">
        <v>251041</v>
      </c>
      <c r="Q413" s="8">
        <v>251041</v>
      </c>
      <c r="R413" s="128">
        <f t="shared" si="49"/>
        <v>0</v>
      </c>
      <c r="AQ413" s="8"/>
      <c r="AR413" s="8"/>
      <c r="AS413" s="8"/>
    </row>
    <row r="414" spans="1:45">
      <c r="A414" s="12">
        <v>44789</v>
      </c>
      <c r="B414" s="8">
        <v>476953</v>
      </c>
      <c r="C414" s="8">
        <v>477218</v>
      </c>
      <c r="D414" s="128">
        <f t="shared" si="43"/>
        <v>265</v>
      </c>
      <c r="E414" s="8">
        <v>38149</v>
      </c>
      <c r="F414" s="8">
        <v>38378</v>
      </c>
      <c r="G414" s="137">
        <f t="shared" si="50"/>
        <v>229</v>
      </c>
      <c r="H414" s="128">
        <f t="shared" si="48"/>
        <v>494</v>
      </c>
      <c r="I414" s="8">
        <v>677262</v>
      </c>
      <c r="J414" s="8">
        <v>677432</v>
      </c>
      <c r="K414" s="137">
        <f t="shared" si="45"/>
        <v>170</v>
      </c>
      <c r="L414" s="8">
        <v>26604</v>
      </c>
      <c r="M414" s="8">
        <v>26710</v>
      </c>
      <c r="N414" s="137">
        <f t="shared" si="52"/>
        <v>106</v>
      </c>
      <c r="O414" s="128">
        <f t="shared" si="51"/>
        <v>276</v>
      </c>
      <c r="P414" s="8">
        <v>251041</v>
      </c>
      <c r="Q414" s="8">
        <v>251041</v>
      </c>
      <c r="R414" s="128">
        <f t="shared" si="49"/>
        <v>0</v>
      </c>
      <c r="AQ414" s="8"/>
      <c r="AR414" s="8"/>
      <c r="AS414" s="8"/>
    </row>
    <row r="415" spans="1:45">
      <c r="A415" s="12">
        <v>44790</v>
      </c>
      <c r="B415" s="8">
        <v>477218</v>
      </c>
      <c r="C415" s="8">
        <v>477598</v>
      </c>
      <c r="D415" s="128">
        <f t="shared" si="43"/>
        <v>380</v>
      </c>
      <c r="E415" s="8">
        <v>38378</v>
      </c>
      <c r="F415" s="8">
        <v>38834</v>
      </c>
      <c r="G415" s="137">
        <f t="shared" si="50"/>
        <v>456</v>
      </c>
      <c r="H415" s="128">
        <f t="shared" si="48"/>
        <v>836</v>
      </c>
      <c r="I415" s="8">
        <v>677432</v>
      </c>
      <c r="J415" s="8">
        <v>677632</v>
      </c>
      <c r="K415" s="137">
        <f t="shared" si="45"/>
        <v>200</v>
      </c>
      <c r="L415" s="8">
        <v>26710</v>
      </c>
      <c r="M415" s="8">
        <v>26810</v>
      </c>
      <c r="N415" s="137">
        <f t="shared" si="52"/>
        <v>100</v>
      </c>
      <c r="O415" s="128">
        <f t="shared" si="51"/>
        <v>300</v>
      </c>
      <c r="P415" s="8">
        <v>251041</v>
      </c>
      <c r="Q415" s="8">
        <v>251041</v>
      </c>
      <c r="R415" s="128">
        <f t="shared" si="49"/>
        <v>0</v>
      </c>
      <c r="AQ415" s="8"/>
      <c r="AR415" s="8"/>
      <c r="AS415" s="8"/>
    </row>
    <row r="416" spans="1:45">
      <c r="A416" s="12">
        <v>44791</v>
      </c>
      <c r="B416" s="8">
        <v>477598</v>
      </c>
      <c r="C416" s="8">
        <v>477794</v>
      </c>
      <c r="D416" s="128">
        <f t="shared" si="43"/>
        <v>196</v>
      </c>
      <c r="E416" s="8">
        <v>38834</v>
      </c>
      <c r="F416" s="8">
        <v>39091</v>
      </c>
      <c r="G416" s="137">
        <f t="shared" si="50"/>
        <v>257</v>
      </c>
      <c r="H416" s="128">
        <f t="shared" si="48"/>
        <v>453</v>
      </c>
      <c r="I416" s="8">
        <v>677632</v>
      </c>
      <c r="J416" s="8">
        <v>677832</v>
      </c>
      <c r="K416" s="137">
        <f t="shared" si="45"/>
        <v>200</v>
      </c>
      <c r="L416" s="8">
        <v>26810</v>
      </c>
      <c r="M416" s="8">
        <v>26910</v>
      </c>
      <c r="N416" s="137">
        <f t="shared" si="52"/>
        <v>100</v>
      </c>
      <c r="O416" s="128">
        <f t="shared" si="51"/>
        <v>300</v>
      </c>
      <c r="P416" s="8">
        <v>251041</v>
      </c>
      <c r="Q416" s="8">
        <v>251041</v>
      </c>
      <c r="R416" s="128">
        <f t="shared" si="49"/>
        <v>0</v>
      </c>
      <c r="AQ416" s="8"/>
      <c r="AR416" s="8"/>
      <c r="AS416" s="8"/>
    </row>
    <row r="417" spans="1:45">
      <c r="A417" s="12">
        <v>44792</v>
      </c>
      <c r="B417" s="8">
        <v>477794</v>
      </c>
      <c r="C417" s="8">
        <v>478024</v>
      </c>
      <c r="D417" s="128">
        <f t="shared" si="43"/>
        <v>230</v>
      </c>
      <c r="E417" s="8">
        <v>39091</v>
      </c>
      <c r="F417" s="8">
        <v>39461</v>
      </c>
      <c r="G417" s="137">
        <f t="shared" si="50"/>
        <v>370</v>
      </c>
      <c r="H417" s="128">
        <f t="shared" si="48"/>
        <v>600</v>
      </c>
      <c r="I417" s="8">
        <v>677832</v>
      </c>
      <c r="J417" s="8">
        <v>677995</v>
      </c>
      <c r="K417" s="137">
        <f t="shared" si="45"/>
        <v>163</v>
      </c>
      <c r="L417" s="8">
        <v>26910</v>
      </c>
      <c r="M417" s="8">
        <v>27020</v>
      </c>
      <c r="N417" s="137">
        <f t="shared" si="52"/>
        <v>110</v>
      </c>
      <c r="O417" s="128">
        <f t="shared" si="51"/>
        <v>273</v>
      </c>
      <c r="P417" s="8">
        <v>251041</v>
      </c>
      <c r="Q417" s="8">
        <v>251041</v>
      </c>
      <c r="R417" s="128">
        <f t="shared" si="49"/>
        <v>0</v>
      </c>
      <c r="AQ417" s="8"/>
      <c r="AR417" s="8"/>
      <c r="AS417" s="8"/>
    </row>
    <row r="418" spans="1:45">
      <c r="A418" s="12">
        <v>44793</v>
      </c>
      <c r="B418" s="8">
        <v>478024</v>
      </c>
      <c r="C418" s="8">
        <v>478349</v>
      </c>
      <c r="D418" s="128">
        <f t="shared" si="43"/>
        <v>325</v>
      </c>
      <c r="E418" s="8">
        <v>39461</v>
      </c>
      <c r="F418" s="8">
        <v>39812</v>
      </c>
      <c r="G418" s="137">
        <f t="shared" si="50"/>
        <v>351</v>
      </c>
      <c r="H418" s="128">
        <f t="shared" si="48"/>
        <v>676</v>
      </c>
      <c r="I418" s="8">
        <v>677995</v>
      </c>
      <c r="J418" s="8">
        <v>678230</v>
      </c>
      <c r="K418" s="137">
        <f t="shared" si="45"/>
        <v>235</v>
      </c>
      <c r="L418" s="8">
        <v>27020</v>
      </c>
      <c r="M418" s="8">
        <v>27109</v>
      </c>
      <c r="N418" s="137">
        <f t="shared" si="52"/>
        <v>89</v>
      </c>
      <c r="O418" s="128">
        <f t="shared" si="51"/>
        <v>324</v>
      </c>
      <c r="P418" s="8">
        <v>251041</v>
      </c>
      <c r="Q418" s="8">
        <v>251041</v>
      </c>
      <c r="R418" s="128">
        <f t="shared" si="49"/>
        <v>0</v>
      </c>
      <c r="AQ418" s="8"/>
      <c r="AR418" s="8"/>
      <c r="AS418" s="8"/>
    </row>
    <row r="419" spans="1:45">
      <c r="A419" s="12">
        <v>44794</v>
      </c>
      <c r="B419" s="8">
        <v>478349</v>
      </c>
      <c r="C419" s="8">
        <v>478655</v>
      </c>
      <c r="D419" s="128">
        <f t="shared" si="43"/>
        <v>306</v>
      </c>
      <c r="E419" s="8">
        <v>39812</v>
      </c>
      <c r="F419" s="8">
        <v>40188</v>
      </c>
      <c r="G419" s="137">
        <f t="shared" si="50"/>
        <v>376</v>
      </c>
      <c r="H419" s="128">
        <f t="shared" si="48"/>
        <v>682</v>
      </c>
      <c r="I419" s="8">
        <v>678230</v>
      </c>
      <c r="J419" s="8">
        <v>678428</v>
      </c>
      <c r="K419" s="137">
        <f t="shared" si="45"/>
        <v>198</v>
      </c>
      <c r="L419" s="8">
        <v>27109</v>
      </c>
      <c r="M419" s="8">
        <v>27219</v>
      </c>
      <c r="N419" s="137">
        <f t="shared" si="52"/>
        <v>110</v>
      </c>
      <c r="O419" s="128">
        <f t="shared" si="51"/>
        <v>308</v>
      </c>
      <c r="P419" s="8">
        <v>251041</v>
      </c>
      <c r="Q419" s="8">
        <v>251041</v>
      </c>
      <c r="R419" s="128">
        <f t="shared" si="49"/>
        <v>0</v>
      </c>
      <c r="AQ419" s="8"/>
      <c r="AR419" s="8"/>
      <c r="AS419" s="8"/>
    </row>
    <row r="420" spans="1:45">
      <c r="A420" s="12">
        <v>44795</v>
      </c>
      <c r="B420" s="8">
        <v>478655</v>
      </c>
      <c r="C420" s="8">
        <v>478887</v>
      </c>
      <c r="D420" s="128">
        <f t="shared" si="43"/>
        <v>232</v>
      </c>
      <c r="E420" s="8">
        <v>40188</v>
      </c>
      <c r="F420" s="8">
        <v>40529</v>
      </c>
      <c r="G420" s="137">
        <f t="shared" si="50"/>
        <v>341</v>
      </c>
      <c r="H420" s="128">
        <f t="shared" si="48"/>
        <v>573</v>
      </c>
      <c r="I420" s="8">
        <v>678428</v>
      </c>
      <c r="J420" s="8">
        <v>678638</v>
      </c>
      <c r="K420" s="137">
        <f t="shared" si="45"/>
        <v>210</v>
      </c>
      <c r="L420" s="8">
        <v>27219</v>
      </c>
      <c r="M420" s="8">
        <v>27410</v>
      </c>
      <c r="N420" s="137">
        <f t="shared" si="52"/>
        <v>191</v>
      </c>
      <c r="O420" s="128">
        <f t="shared" si="51"/>
        <v>401</v>
      </c>
      <c r="P420" s="8">
        <v>251041</v>
      </c>
      <c r="Q420" s="8">
        <v>251041</v>
      </c>
      <c r="R420" s="128">
        <f t="shared" si="49"/>
        <v>0</v>
      </c>
      <c r="AQ420" s="8"/>
      <c r="AR420" s="8"/>
      <c r="AS420" s="8"/>
    </row>
    <row r="421" spans="1:45">
      <c r="A421" s="12">
        <v>44796</v>
      </c>
      <c r="B421" s="8">
        <v>478887</v>
      </c>
      <c r="C421" s="8">
        <v>479102</v>
      </c>
      <c r="D421" s="128">
        <f t="shared" si="43"/>
        <v>215</v>
      </c>
      <c r="E421" s="8">
        <v>40529</v>
      </c>
      <c r="F421" s="8">
        <v>40846</v>
      </c>
      <c r="G421" s="137">
        <f t="shared" si="50"/>
        <v>317</v>
      </c>
      <c r="H421" s="128">
        <f t="shared" si="48"/>
        <v>532</v>
      </c>
      <c r="I421" s="8">
        <v>678638</v>
      </c>
      <c r="J421" s="8">
        <v>678838</v>
      </c>
      <c r="K421" s="137">
        <f t="shared" si="45"/>
        <v>200</v>
      </c>
      <c r="L421" s="8">
        <v>27410</v>
      </c>
      <c r="M421" s="8">
        <v>27509</v>
      </c>
      <c r="N421" s="137">
        <f t="shared" si="52"/>
        <v>99</v>
      </c>
      <c r="O421" s="128">
        <f t="shared" si="51"/>
        <v>299</v>
      </c>
      <c r="P421" s="8">
        <v>251041</v>
      </c>
      <c r="Q421" s="8">
        <v>251041</v>
      </c>
      <c r="R421" s="128">
        <f t="shared" si="49"/>
        <v>0</v>
      </c>
      <c r="AQ421" s="8"/>
      <c r="AR421" s="8"/>
      <c r="AS421" s="8"/>
    </row>
    <row r="422" spans="1:45">
      <c r="A422" s="12">
        <v>44797</v>
      </c>
      <c r="B422" s="8">
        <v>479102</v>
      </c>
      <c r="C422" s="8">
        <v>479288</v>
      </c>
      <c r="D422" s="128">
        <f t="shared" si="43"/>
        <v>186</v>
      </c>
      <c r="E422" s="8">
        <v>40846</v>
      </c>
      <c r="F422" s="8">
        <v>41120</v>
      </c>
      <c r="G422" s="137">
        <f t="shared" si="50"/>
        <v>274</v>
      </c>
      <c r="H422" s="128">
        <f t="shared" si="48"/>
        <v>460</v>
      </c>
      <c r="I422" s="8">
        <v>678838</v>
      </c>
      <c r="J422" s="8">
        <v>679040</v>
      </c>
      <c r="K422" s="137">
        <f t="shared" si="45"/>
        <v>202</v>
      </c>
      <c r="L422" s="8">
        <v>27509</v>
      </c>
      <c r="M422" s="8">
        <v>27697</v>
      </c>
      <c r="N422" s="137">
        <f t="shared" si="52"/>
        <v>188</v>
      </c>
      <c r="O422" s="128">
        <f t="shared" si="51"/>
        <v>390</v>
      </c>
      <c r="P422" s="8">
        <v>251041</v>
      </c>
      <c r="Q422" s="8">
        <v>251983</v>
      </c>
      <c r="R422" s="128">
        <f t="shared" si="49"/>
        <v>942</v>
      </c>
      <c r="AQ422" s="8"/>
      <c r="AR422" s="8"/>
      <c r="AS422" s="8"/>
    </row>
    <row r="423" spans="1:45">
      <c r="A423" s="12">
        <v>44798</v>
      </c>
      <c r="B423" s="8">
        <v>479288</v>
      </c>
      <c r="C423" s="8">
        <v>479515</v>
      </c>
      <c r="D423" s="128">
        <f t="shared" si="43"/>
        <v>227</v>
      </c>
      <c r="E423" s="8">
        <v>41120</v>
      </c>
      <c r="F423" s="8">
        <v>41396</v>
      </c>
      <c r="G423" s="137">
        <f t="shared" si="50"/>
        <v>276</v>
      </c>
      <c r="H423" s="128">
        <f t="shared" si="48"/>
        <v>503</v>
      </c>
      <c r="I423" s="8">
        <v>679040</v>
      </c>
      <c r="J423" s="8">
        <v>679240</v>
      </c>
      <c r="K423" s="137">
        <f t="shared" si="45"/>
        <v>200</v>
      </c>
      <c r="L423" s="8">
        <v>27697</v>
      </c>
      <c r="M423" s="8">
        <v>27709</v>
      </c>
      <c r="N423" s="137">
        <f t="shared" si="52"/>
        <v>12</v>
      </c>
      <c r="O423" s="128">
        <f t="shared" si="51"/>
        <v>212</v>
      </c>
      <c r="P423" s="8">
        <v>251983</v>
      </c>
      <c r="Q423" s="8">
        <v>252702</v>
      </c>
      <c r="R423" s="128">
        <f t="shared" si="49"/>
        <v>719</v>
      </c>
      <c r="AQ423" s="8"/>
      <c r="AR423" s="8"/>
      <c r="AS423" s="8"/>
    </row>
    <row r="424" spans="1:45">
      <c r="A424" s="12">
        <v>44799</v>
      </c>
      <c r="B424" s="8">
        <v>479515</v>
      </c>
      <c r="C424" s="8">
        <v>479738</v>
      </c>
      <c r="D424" s="128">
        <f t="shared" ref="D424:D465" si="53">C424-B424</f>
        <v>223</v>
      </c>
      <c r="E424" s="8">
        <v>41396</v>
      </c>
      <c r="F424" s="8">
        <v>41763</v>
      </c>
      <c r="G424" s="137">
        <f t="shared" si="50"/>
        <v>367</v>
      </c>
      <c r="H424" s="128">
        <f t="shared" si="48"/>
        <v>590</v>
      </c>
      <c r="I424" s="8">
        <v>679240</v>
      </c>
      <c r="J424" s="8">
        <v>679440</v>
      </c>
      <c r="K424" s="137">
        <f t="shared" si="45"/>
        <v>200</v>
      </c>
      <c r="L424" s="8">
        <v>27709</v>
      </c>
      <c r="M424" s="8">
        <v>27720</v>
      </c>
      <c r="N424" s="137">
        <f t="shared" si="52"/>
        <v>11</v>
      </c>
      <c r="O424" s="128">
        <f t="shared" si="51"/>
        <v>211</v>
      </c>
      <c r="P424" s="8">
        <v>252702</v>
      </c>
      <c r="Q424" s="8">
        <v>253036</v>
      </c>
      <c r="R424" s="128">
        <f t="shared" si="49"/>
        <v>334</v>
      </c>
      <c r="AQ424" s="8"/>
      <c r="AR424" s="8"/>
      <c r="AS424" s="8"/>
    </row>
    <row r="425" spans="1:45">
      <c r="A425" s="12">
        <v>44800</v>
      </c>
      <c r="B425" s="8">
        <v>479738</v>
      </c>
      <c r="C425" s="8">
        <v>479895</v>
      </c>
      <c r="D425" s="128">
        <f t="shared" si="53"/>
        <v>157</v>
      </c>
      <c r="E425" s="8">
        <v>41763</v>
      </c>
      <c r="F425" s="8">
        <v>42062</v>
      </c>
      <c r="G425" s="137">
        <f t="shared" si="50"/>
        <v>299</v>
      </c>
      <c r="H425" s="128">
        <f t="shared" si="48"/>
        <v>456</v>
      </c>
      <c r="I425" s="8">
        <v>679440</v>
      </c>
      <c r="J425" s="8">
        <v>679650</v>
      </c>
      <c r="K425" s="137">
        <f t="shared" si="45"/>
        <v>210</v>
      </c>
      <c r="L425" s="8">
        <v>27720</v>
      </c>
      <c r="M425" s="8">
        <v>27899</v>
      </c>
      <c r="N425" s="137">
        <f t="shared" si="52"/>
        <v>179</v>
      </c>
      <c r="O425" s="128">
        <f t="shared" si="51"/>
        <v>389</v>
      </c>
      <c r="P425" s="8">
        <v>253036</v>
      </c>
      <c r="Q425" s="8">
        <v>253319</v>
      </c>
      <c r="R425" s="128">
        <f t="shared" si="49"/>
        <v>283</v>
      </c>
      <c r="AQ425" s="8"/>
      <c r="AR425" s="8"/>
      <c r="AS425" s="8"/>
    </row>
    <row r="426" spans="1:45">
      <c r="A426" s="12">
        <v>44801</v>
      </c>
      <c r="B426" s="8">
        <v>479895</v>
      </c>
      <c r="C426" s="8">
        <v>480039</v>
      </c>
      <c r="D426" s="128">
        <f t="shared" si="53"/>
        <v>144</v>
      </c>
      <c r="E426" s="8">
        <v>42062</v>
      </c>
      <c r="F426" s="8">
        <v>42320</v>
      </c>
      <c r="G426" s="137">
        <f t="shared" si="50"/>
        <v>258</v>
      </c>
      <c r="H426" s="128">
        <f t="shared" si="48"/>
        <v>402</v>
      </c>
      <c r="I426" s="8">
        <v>679650</v>
      </c>
      <c r="J426" s="8">
        <v>679849</v>
      </c>
      <c r="K426" s="137">
        <f t="shared" si="45"/>
        <v>199</v>
      </c>
      <c r="L426" s="8">
        <v>27899</v>
      </c>
      <c r="M426" s="8">
        <v>27909</v>
      </c>
      <c r="N426" s="137">
        <f t="shared" si="52"/>
        <v>10</v>
      </c>
      <c r="O426" s="128">
        <f t="shared" si="51"/>
        <v>209</v>
      </c>
      <c r="P426" s="8">
        <v>253319</v>
      </c>
      <c r="Q426" s="8">
        <v>253319</v>
      </c>
      <c r="R426" s="128">
        <f t="shared" si="49"/>
        <v>0</v>
      </c>
      <c r="AQ426" s="8"/>
      <c r="AR426" s="8"/>
      <c r="AS426" s="8"/>
    </row>
    <row r="427" spans="1:45">
      <c r="A427" s="12">
        <v>44802</v>
      </c>
      <c r="B427" s="8">
        <v>480039</v>
      </c>
      <c r="C427" s="8">
        <v>480223</v>
      </c>
      <c r="D427" s="128">
        <f t="shared" si="53"/>
        <v>184</v>
      </c>
      <c r="E427" s="8">
        <v>42320</v>
      </c>
      <c r="F427" s="8">
        <v>42655</v>
      </c>
      <c r="G427" s="137">
        <f t="shared" si="50"/>
        <v>335</v>
      </c>
      <c r="H427" s="128">
        <f t="shared" si="48"/>
        <v>519</v>
      </c>
      <c r="I427" s="8">
        <v>679849</v>
      </c>
      <c r="J427" s="8">
        <v>680018</v>
      </c>
      <c r="K427" s="137">
        <f t="shared" ref="K427:K491" si="54">J427-I427</f>
        <v>169</v>
      </c>
      <c r="L427" s="8">
        <v>27909</v>
      </c>
      <c r="M427" s="8">
        <v>27949</v>
      </c>
      <c r="N427" s="137">
        <f t="shared" si="52"/>
        <v>40</v>
      </c>
      <c r="O427" s="128">
        <f t="shared" si="51"/>
        <v>209</v>
      </c>
      <c r="P427" s="8">
        <v>253319</v>
      </c>
      <c r="Q427" s="8">
        <v>253634</v>
      </c>
      <c r="R427" s="128">
        <f t="shared" si="49"/>
        <v>315</v>
      </c>
      <c r="AQ427" s="8"/>
      <c r="AR427" s="8"/>
      <c r="AS427" s="8"/>
    </row>
    <row r="428" spans="1:45">
      <c r="A428" s="12">
        <v>44803</v>
      </c>
      <c r="B428" s="8">
        <v>480223</v>
      </c>
      <c r="C428" s="8">
        <v>480395</v>
      </c>
      <c r="D428" s="128">
        <f t="shared" si="53"/>
        <v>172</v>
      </c>
      <c r="E428" s="8">
        <v>42655</v>
      </c>
      <c r="F428" s="8">
        <v>42983</v>
      </c>
      <c r="G428" s="137">
        <f t="shared" si="50"/>
        <v>328</v>
      </c>
      <c r="H428" s="128">
        <f t="shared" si="48"/>
        <v>500</v>
      </c>
      <c r="I428" s="8">
        <v>680018</v>
      </c>
      <c r="J428" s="8">
        <v>680205</v>
      </c>
      <c r="K428" s="137">
        <f t="shared" si="54"/>
        <v>187</v>
      </c>
      <c r="L428" s="8">
        <v>27949</v>
      </c>
      <c r="M428" s="8">
        <v>28110</v>
      </c>
      <c r="N428" s="137">
        <f t="shared" si="52"/>
        <v>161</v>
      </c>
      <c r="O428" s="128">
        <f t="shared" si="51"/>
        <v>348</v>
      </c>
      <c r="P428" s="8">
        <v>253634</v>
      </c>
      <c r="Q428" s="8">
        <v>253644</v>
      </c>
      <c r="R428" s="128">
        <f t="shared" si="49"/>
        <v>10</v>
      </c>
      <c r="AQ428" s="8"/>
      <c r="AR428" s="8"/>
      <c r="AS428" s="8"/>
    </row>
    <row r="429" spans="1:45">
      <c r="A429" s="12">
        <v>44804</v>
      </c>
      <c r="B429" s="8">
        <v>480395</v>
      </c>
      <c r="C429" s="8">
        <v>480580</v>
      </c>
      <c r="D429" s="128">
        <f t="shared" si="53"/>
        <v>185</v>
      </c>
      <c r="E429" s="8">
        <v>42983</v>
      </c>
      <c r="F429" s="8">
        <v>43267</v>
      </c>
      <c r="G429" s="137">
        <f t="shared" si="50"/>
        <v>284</v>
      </c>
      <c r="H429" s="128">
        <f t="shared" si="48"/>
        <v>469</v>
      </c>
      <c r="I429" s="8">
        <v>680205</v>
      </c>
      <c r="J429" s="8">
        <v>680429</v>
      </c>
      <c r="K429" s="137">
        <f t="shared" si="54"/>
        <v>224</v>
      </c>
      <c r="L429" s="8">
        <v>28110</v>
      </c>
      <c r="M429" s="8">
        <v>28149</v>
      </c>
      <c r="N429" s="137">
        <f t="shared" si="52"/>
        <v>39</v>
      </c>
      <c r="O429" s="128">
        <f t="shared" si="51"/>
        <v>263</v>
      </c>
      <c r="P429" s="8">
        <v>253644</v>
      </c>
      <c r="Q429" s="8">
        <v>253813</v>
      </c>
      <c r="R429" s="128">
        <f t="shared" si="49"/>
        <v>169</v>
      </c>
      <c r="AQ429" s="8"/>
      <c r="AR429" s="8"/>
      <c r="AS429" s="8"/>
    </row>
    <row r="430" spans="1:45">
      <c r="A430" s="12">
        <v>44805</v>
      </c>
      <c r="B430" s="8">
        <v>480580</v>
      </c>
      <c r="C430" s="8">
        <v>480811</v>
      </c>
      <c r="D430" s="128">
        <f t="shared" si="53"/>
        <v>231</v>
      </c>
      <c r="E430" s="8">
        <v>43267</v>
      </c>
      <c r="F430" s="8">
        <v>43746</v>
      </c>
      <c r="G430" s="137">
        <f t="shared" si="50"/>
        <v>479</v>
      </c>
      <c r="H430" s="128">
        <f t="shared" si="48"/>
        <v>710</v>
      </c>
      <c r="I430" s="8">
        <v>680429</v>
      </c>
      <c r="J430" s="8">
        <v>680637</v>
      </c>
      <c r="K430" s="137">
        <f t="shared" si="54"/>
        <v>208</v>
      </c>
      <c r="L430" s="8">
        <v>28149</v>
      </c>
      <c r="M430" s="8">
        <v>28199</v>
      </c>
      <c r="N430" s="137">
        <f t="shared" si="52"/>
        <v>50</v>
      </c>
      <c r="O430" s="128">
        <f t="shared" si="51"/>
        <v>258</v>
      </c>
      <c r="P430" s="8">
        <v>253813</v>
      </c>
      <c r="Q430" s="8">
        <v>253882</v>
      </c>
      <c r="R430" s="128">
        <f t="shared" si="49"/>
        <v>69</v>
      </c>
      <c r="AQ430" s="8"/>
      <c r="AR430" s="8"/>
      <c r="AS430" s="8"/>
    </row>
    <row r="431" spans="1:45">
      <c r="A431" s="12">
        <v>44806</v>
      </c>
      <c r="B431" s="8">
        <v>480811</v>
      </c>
      <c r="C431" s="8">
        <v>481002</v>
      </c>
      <c r="D431" s="128">
        <f t="shared" si="53"/>
        <v>191</v>
      </c>
      <c r="E431" s="8">
        <v>43746</v>
      </c>
      <c r="F431" s="8">
        <v>44120</v>
      </c>
      <c r="G431" s="137">
        <f t="shared" si="50"/>
        <v>374</v>
      </c>
      <c r="H431" s="128">
        <f t="shared" si="48"/>
        <v>565</v>
      </c>
      <c r="I431" s="8">
        <v>680637</v>
      </c>
      <c r="J431" s="8">
        <v>680825</v>
      </c>
      <c r="K431" s="137">
        <f t="shared" si="54"/>
        <v>188</v>
      </c>
      <c r="L431" s="8">
        <v>28199</v>
      </c>
      <c r="M431" s="8">
        <v>28228</v>
      </c>
      <c r="N431" s="137">
        <f t="shared" si="52"/>
        <v>29</v>
      </c>
      <c r="O431" s="128">
        <f t="shared" si="51"/>
        <v>217</v>
      </c>
      <c r="P431" s="8">
        <v>253882</v>
      </c>
      <c r="Q431" s="8">
        <v>253882</v>
      </c>
      <c r="R431" s="128">
        <f t="shared" si="49"/>
        <v>0</v>
      </c>
      <c r="AQ431" s="8"/>
      <c r="AR431" s="8"/>
      <c r="AS431" s="8"/>
    </row>
    <row r="432" spans="1:45">
      <c r="A432" s="12">
        <v>44807</v>
      </c>
      <c r="B432" s="8">
        <v>481002</v>
      </c>
      <c r="C432" s="8">
        <v>481209</v>
      </c>
      <c r="D432" s="128">
        <f t="shared" si="53"/>
        <v>207</v>
      </c>
      <c r="E432" s="8">
        <v>44120</v>
      </c>
      <c r="F432" s="8">
        <v>44510</v>
      </c>
      <c r="G432" s="137">
        <f t="shared" si="50"/>
        <v>390</v>
      </c>
      <c r="H432" s="128">
        <f t="shared" si="48"/>
        <v>597</v>
      </c>
      <c r="I432" s="8">
        <v>680825</v>
      </c>
      <c r="J432" s="8">
        <v>681045</v>
      </c>
      <c r="K432" s="137">
        <f t="shared" si="54"/>
        <v>220</v>
      </c>
      <c r="L432" s="8">
        <v>28228</v>
      </c>
      <c r="M432" s="8">
        <v>28260</v>
      </c>
      <c r="N432" s="137">
        <f t="shared" si="52"/>
        <v>32</v>
      </c>
      <c r="O432" s="128">
        <f t="shared" si="51"/>
        <v>252</v>
      </c>
      <c r="P432" s="8">
        <v>253882</v>
      </c>
      <c r="Q432" s="8">
        <v>253882</v>
      </c>
      <c r="R432" s="128">
        <f t="shared" si="49"/>
        <v>0</v>
      </c>
      <c r="AQ432" s="8"/>
      <c r="AR432" s="8"/>
      <c r="AS432" s="8"/>
    </row>
    <row r="433" spans="1:45">
      <c r="A433" s="12">
        <v>44808</v>
      </c>
      <c r="B433" s="8">
        <v>481209</v>
      </c>
      <c r="C433" s="8">
        <v>481420</v>
      </c>
      <c r="D433" s="128">
        <f t="shared" si="53"/>
        <v>211</v>
      </c>
      <c r="E433" s="8">
        <v>44510</v>
      </c>
      <c r="F433" s="8">
        <v>44792</v>
      </c>
      <c r="G433" s="137">
        <f t="shared" si="50"/>
        <v>282</v>
      </c>
      <c r="H433" s="128">
        <f t="shared" si="48"/>
        <v>493</v>
      </c>
      <c r="I433" s="8">
        <v>681045</v>
      </c>
      <c r="J433" s="8">
        <v>681245</v>
      </c>
      <c r="K433" s="137">
        <f t="shared" si="54"/>
        <v>200</v>
      </c>
      <c r="L433" s="8">
        <v>28260</v>
      </c>
      <c r="M433" s="8">
        <v>28310</v>
      </c>
      <c r="N433" s="137">
        <f t="shared" si="52"/>
        <v>50</v>
      </c>
      <c r="O433" s="128">
        <f t="shared" si="51"/>
        <v>250</v>
      </c>
      <c r="P433" s="8">
        <v>253882</v>
      </c>
      <c r="Q433" s="8">
        <v>254168</v>
      </c>
      <c r="R433" s="128">
        <f t="shared" si="49"/>
        <v>286</v>
      </c>
      <c r="AQ433" s="8"/>
      <c r="AR433" s="8"/>
      <c r="AS433" s="8"/>
    </row>
    <row r="434" spans="1:45">
      <c r="A434" s="12">
        <v>44809</v>
      </c>
      <c r="B434" s="8">
        <v>481420</v>
      </c>
      <c r="C434" s="8">
        <v>481652</v>
      </c>
      <c r="D434" s="128">
        <f t="shared" si="53"/>
        <v>232</v>
      </c>
      <c r="E434" s="8">
        <v>44792</v>
      </c>
      <c r="F434" s="8">
        <v>45226</v>
      </c>
      <c r="G434" s="137">
        <f t="shared" si="50"/>
        <v>434</v>
      </c>
      <c r="H434" s="128">
        <f t="shared" si="48"/>
        <v>666</v>
      </c>
      <c r="I434" s="8">
        <v>681245</v>
      </c>
      <c r="J434" s="8">
        <v>681589</v>
      </c>
      <c r="K434" s="137">
        <f t="shared" si="54"/>
        <v>344</v>
      </c>
      <c r="L434" s="8">
        <v>28310</v>
      </c>
      <c r="M434" s="8">
        <v>28410</v>
      </c>
      <c r="N434" s="137">
        <f t="shared" si="52"/>
        <v>100</v>
      </c>
      <c r="O434" s="128">
        <f t="shared" si="51"/>
        <v>444</v>
      </c>
      <c r="P434" s="8">
        <v>254168</v>
      </c>
      <c r="Q434" s="8">
        <v>254281</v>
      </c>
      <c r="R434" s="128">
        <f t="shared" si="49"/>
        <v>113</v>
      </c>
      <c r="AQ434" s="8"/>
      <c r="AR434" s="8"/>
      <c r="AS434" s="8"/>
    </row>
    <row r="435" spans="1:45">
      <c r="A435" s="12">
        <v>44810</v>
      </c>
      <c r="B435" s="8">
        <v>481652</v>
      </c>
      <c r="C435" s="8">
        <v>481846</v>
      </c>
      <c r="D435" s="128">
        <f t="shared" si="53"/>
        <v>194</v>
      </c>
      <c r="E435" s="8">
        <v>45226</v>
      </c>
      <c r="F435" s="8">
        <v>45634</v>
      </c>
      <c r="G435" s="137">
        <f t="shared" si="50"/>
        <v>408</v>
      </c>
      <c r="H435" s="128">
        <f t="shared" si="48"/>
        <v>602</v>
      </c>
      <c r="I435" s="8">
        <v>681589</v>
      </c>
      <c r="J435" s="8">
        <v>681774</v>
      </c>
      <c r="K435" s="137">
        <f t="shared" si="54"/>
        <v>185</v>
      </c>
      <c r="L435" s="8">
        <v>28410</v>
      </c>
      <c r="M435" s="8">
        <v>28505</v>
      </c>
      <c r="N435" s="137">
        <f t="shared" si="52"/>
        <v>95</v>
      </c>
      <c r="O435" s="128">
        <f t="shared" si="51"/>
        <v>280</v>
      </c>
      <c r="P435" s="8">
        <v>254281</v>
      </c>
      <c r="Q435" s="8">
        <v>254627</v>
      </c>
      <c r="R435" s="128">
        <f t="shared" si="49"/>
        <v>346</v>
      </c>
      <c r="AQ435" s="8"/>
      <c r="AR435" s="8"/>
      <c r="AS435" s="8"/>
    </row>
    <row r="436" spans="1:45">
      <c r="A436" s="12">
        <v>44811</v>
      </c>
      <c r="B436" s="8">
        <v>481846</v>
      </c>
      <c r="C436" s="8">
        <v>482096</v>
      </c>
      <c r="D436" s="128">
        <f t="shared" si="53"/>
        <v>250</v>
      </c>
      <c r="E436" s="8">
        <v>45634</v>
      </c>
      <c r="F436" s="8">
        <v>46050</v>
      </c>
      <c r="G436" s="137">
        <f t="shared" si="50"/>
        <v>416</v>
      </c>
      <c r="H436" s="128">
        <f t="shared" si="48"/>
        <v>666</v>
      </c>
      <c r="I436" s="8">
        <v>681774</v>
      </c>
      <c r="J436" s="8">
        <v>681962</v>
      </c>
      <c r="K436" s="137">
        <f t="shared" si="54"/>
        <v>188</v>
      </c>
      <c r="L436" s="8">
        <v>28505</v>
      </c>
      <c r="M436" s="8">
        <v>28709</v>
      </c>
      <c r="N436" s="137">
        <f t="shared" si="52"/>
        <v>204</v>
      </c>
      <c r="O436" s="128">
        <f t="shared" si="51"/>
        <v>392</v>
      </c>
      <c r="P436" s="8">
        <v>254627</v>
      </c>
      <c r="Q436" s="8">
        <v>254654</v>
      </c>
      <c r="R436" s="128">
        <f t="shared" si="49"/>
        <v>27</v>
      </c>
      <c r="AQ436" s="8"/>
      <c r="AR436" s="8"/>
      <c r="AS436" s="8"/>
    </row>
    <row r="437" spans="1:45">
      <c r="A437" s="12">
        <v>44812</v>
      </c>
      <c r="B437" s="8">
        <v>482096</v>
      </c>
      <c r="C437" s="8">
        <v>482096</v>
      </c>
      <c r="D437" s="128">
        <f t="shared" si="53"/>
        <v>0</v>
      </c>
      <c r="E437" s="8">
        <v>46050</v>
      </c>
      <c r="F437" s="8">
        <v>46167</v>
      </c>
      <c r="G437" s="137">
        <f t="shared" si="50"/>
        <v>117</v>
      </c>
      <c r="H437" s="128">
        <f t="shared" si="48"/>
        <v>117</v>
      </c>
      <c r="I437" s="8">
        <v>681962</v>
      </c>
      <c r="J437" s="8">
        <v>682200</v>
      </c>
      <c r="K437" s="137">
        <f t="shared" si="54"/>
        <v>238</v>
      </c>
      <c r="L437" s="8">
        <v>28709</v>
      </c>
      <c r="M437" s="8">
        <v>28776</v>
      </c>
      <c r="N437" s="137">
        <f t="shared" si="52"/>
        <v>67</v>
      </c>
      <c r="O437" s="128">
        <f t="shared" si="51"/>
        <v>305</v>
      </c>
      <c r="P437" s="8">
        <v>254654</v>
      </c>
      <c r="Q437" s="8">
        <v>254654</v>
      </c>
      <c r="R437" s="128">
        <f t="shared" si="49"/>
        <v>0</v>
      </c>
      <c r="AQ437" s="8"/>
      <c r="AR437" s="8"/>
      <c r="AS437" s="8"/>
    </row>
    <row r="438" spans="1:45">
      <c r="A438" s="12">
        <v>44813</v>
      </c>
      <c r="B438" s="8">
        <v>482096</v>
      </c>
      <c r="C438" s="8">
        <v>482429</v>
      </c>
      <c r="D438" s="128">
        <f t="shared" si="53"/>
        <v>333</v>
      </c>
      <c r="E438" s="8">
        <v>46167</v>
      </c>
      <c r="F438" s="8">
        <v>46613</v>
      </c>
      <c r="G438" s="137">
        <f t="shared" si="50"/>
        <v>446</v>
      </c>
      <c r="H438" s="128">
        <f t="shared" si="48"/>
        <v>779</v>
      </c>
      <c r="I438" s="8">
        <v>682200</v>
      </c>
      <c r="J438" s="8">
        <v>682418</v>
      </c>
      <c r="K438" s="137">
        <f t="shared" si="54"/>
        <v>218</v>
      </c>
      <c r="L438" s="8">
        <v>28776</v>
      </c>
      <c r="M438" s="8">
        <v>28841</v>
      </c>
      <c r="N438" s="137">
        <f t="shared" si="52"/>
        <v>65</v>
      </c>
      <c r="O438" s="128">
        <f t="shared" si="51"/>
        <v>283</v>
      </c>
      <c r="P438" s="8">
        <v>254654</v>
      </c>
      <c r="Q438" s="8">
        <v>254654</v>
      </c>
      <c r="R438" s="128">
        <f t="shared" si="49"/>
        <v>0</v>
      </c>
      <c r="AQ438" s="8"/>
      <c r="AR438" s="8"/>
      <c r="AS438" s="8"/>
    </row>
    <row r="439" spans="1:45">
      <c r="A439" s="12">
        <v>44814</v>
      </c>
      <c r="B439" s="8">
        <v>482429</v>
      </c>
      <c r="C439" s="8">
        <v>482723</v>
      </c>
      <c r="D439" s="128">
        <f t="shared" si="53"/>
        <v>294</v>
      </c>
      <c r="E439" s="8">
        <v>46613</v>
      </c>
      <c r="F439" s="8">
        <v>47188</v>
      </c>
      <c r="G439" s="137">
        <f t="shared" si="50"/>
        <v>575</v>
      </c>
      <c r="H439" s="128">
        <f t="shared" si="48"/>
        <v>869</v>
      </c>
      <c r="I439" s="8">
        <v>682418</v>
      </c>
      <c r="J439" s="8">
        <v>682608</v>
      </c>
      <c r="K439" s="137">
        <f t="shared" si="54"/>
        <v>190</v>
      </c>
      <c r="L439" s="8">
        <v>28841</v>
      </c>
      <c r="M439" s="8">
        <v>28859</v>
      </c>
      <c r="N439" s="137">
        <f t="shared" si="52"/>
        <v>18</v>
      </c>
      <c r="O439" s="128">
        <f t="shared" si="51"/>
        <v>208</v>
      </c>
      <c r="P439" s="8">
        <v>254654</v>
      </c>
      <c r="Q439" s="8">
        <v>254654</v>
      </c>
      <c r="R439" s="128">
        <f t="shared" si="49"/>
        <v>0</v>
      </c>
      <c r="AQ439" s="8"/>
      <c r="AR439" s="8"/>
      <c r="AS439" s="8"/>
    </row>
    <row r="440" spans="1:45">
      <c r="A440" s="12">
        <v>44815</v>
      </c>
      <c r="B440" s="8">
        <v>482723</v>
      </c>
      <c r="C440" s="8">
        <v>482967</v>
      </c>
      <c r="D440" s="128">
        <f t="shared" si="53"/>
        <v>244</v>
      </c>
      <c r="E440" s="8">
        <v>47188</v>
      </c>
      <c r="F440" s="8">
        <v>47615</v>
      </c>
      <c r="G440" s="137">
        <f t="shared" si="50"/>
        <v>427</v>
      </c>
      <c r="H440" s="128">
        <f t="shared" si="48"/>
        <v>671</v>
      </c>
      <c r="I440" s="8">
        <v>682608</v>
      </c>
      <c r="J440" s="8">
        <v>682810</v>
      </c>
      <c r="K440" s="137">
        <f t="shared" si="54"/>
        <v>202</v>
      </c>
      <c r="L440" s="8">
        <v>28859</v>
      </c>
      <c r="M440" s="8">
        <v>28875</v>
      </c>
      <c r="N440" s="137">
        <f t="shared" si="52"/>
        <v>16</v>
      </c>
      <c r="O440" s="128">
        <f t="shared" si="51"/>
        <v>218</v>
      </c>
      <c r="P440" s="8">
        <v>254654</v>
      </c>
      <c r="Q440" s="8">
        <v>254654</v>
      </c>
      <c r="R440" s="128">
        <f t="shared" si="49"/>
        <v>0</v>
      </c>
      <c r="AQ440" s="8"/>
      <c r="AR440" s="8"/>
      <c r="AS440" s="8"/>
    </row>
    <row r="441" spans="1:45">
      <c r="A441" s="12">
        <v>44816</v>
      </c>
      <c r="B441" s="8">
        <v>482967</v>
      </c>
      <c r="C441" s="8">
        <v>483117</v>
      </c>
      <c r="D441" s="128">
        <f t="shared" si="53"/>
        <v>150</v>
      </c>
      <c r="E441" s="8">
        <v>47615</v>
      </c>
      <c r="F441" s="8">
        <v>47866</v>
      </c>
      <c r="G441" s="137">
        <f t="shared" si="50"/>
        <v>251</v>
      </c>
      <c r="H441" s="128">
        <f t="shared" si="48"/>
        <v>401</v>
      </c>
      <c r="I441" s="8">
        <v>682810</v>
      </c>
      <c r="J441" s="8">
        <v>682926</v>
      </c>
      <c r="K441" s="137">
        <f t="shared" si="54"/>
        <v>116</v>
      </c>
      <c r="L441" s="8">
        <v>28875</v>
      </c>
      <c r="M441" s="8">
        <v>28909</v>
      </c>
      <c r="N441" s="137">
        <f t="shared" si="52"/>
        <v>34</v>
      </c>
      <c r="O441" s="128">
        <f t="shared" si="51"/>
        <v>150</v>
      </c>
      <c r="P441" s="8">
        <v>254654</v>
      </c>
      <c r="Q441" s="8">
        <v>254654</v>
      </c>
      <c r="R441" s="128">
        <f t="shared" si="49"/>
        <v>0</v>
      </c>
      <c r="AQ441" s="8"/>
      <c r="AR441" s="8"/>
      <c r="AS441" s="8"/>
    </row>
    <row r="442" spans="1:45">
      <c r="A442" s="12">
        <v>44817</v>
      </c>
      <c r="B442" s="8">
        <v>483117</v>
      </c>
      <c r="C442" s="8">
        <v>483295</v>
      </c>
      <c r="D442" s="128">
        <f t="shared" si="53"/>
        <v>178</v>
      </c>
      <c r="E442" s="8">
        <v>47866</v>
      </c>
      <c r="F442" s="8">
        <v>48135</v>
      </c>
      <c r="G442" s="137">
        <f t="shared" si="50"/>
        <v>269</v>
      </c>
      <c r="H442" s="128">
        <f t="shared" si="48"/>
        <v>447</v>
      </c>
      <c r="I442" s="8">
        <v>682926</v>
      </c>
      <c r="J442" s="8">
        <v>683056</v>
      </c>
      <c r="K442" s="137">
        <f t="shared" si="54"/>
        <v>130</v>
      </c>
      <c r="L442" s="8">
        <v>28909</v>
      </c>
      <c r="M442" s="8">
        <v>29038</v>
      </c>
      <c r="N442" s="137">
        <f t="shared" si="52"/>
        <v>129</v>
      </c>
      <c r="O442" s="128">
        <f t="shared" si="51"/>
        <v>259</v>
      </c>
      <c r="P442" s="8">
        <v>254654</v>
      </c>
      <c r="Q442" s="8">
        <v>254654</v>
      </c>
      <c r="R442" s="128">
        <f t="shared" si="49"/>
        <v>0</v>
      </c>
      <c r="AQ442" s="8"/>
      <c r="AR442" s="8"/>
      <c r="AS442" s="8"/>
    </row>
    <row r="443" spans="1:45">
      <c r="A443" s="12">
        <v>44818</v>
      </c>
      <c r="B443" s="8">
        <v>483295</v>
      </c>
      <c r="C443" s="8">
        <v>483462</v>
      </c>
      <c r="D443" s="128">
        <f t="shared" si="53"/>
        <v>167</v>
      </c>
      <c r="E443" s="8">
        <v>48135</v>
      </c>
      <c r="F443" s="8">
        <v>48466</v>
      </c>
      <c r="G443" s="137">
        <f t="shared" si="50"/>
        <v>331</v>
      </c>
      <c r="H443" s="128">
        <f t="shared" si="48"/>
        <v>498</v>
      </c>
      <c r="I443" s="8">
        <v>683056</v>
      </c>
      <c r="J443" s="8">
        <v>683168</v>
      </c>
      <c r="K443" s="137">
        <f t="shared" si="54"/>
        <v>112</v>
      </c>
      <c r="L443" s="8">
        <v>29038</v>
      </c>
      <c r="M443" s="8">
        <v>29039</v>
      </c>
      <c r="N443" s="137">
        <f t="shared" si="52"/>
        <v>1</v>
      </c>
      <c r="O443" s="128">
        <f t="shared" si="51"/>
        <v>113</v>
      </c>
      <c r="P443" s="8">
        <v>254654</v>
      </c>
      <c r="Q443" s="8">
        <v>254654</v>
      </c>
      <c r="R443" s="128">
        <f t="shared" si="49"/>
        <v>0</v>
      </c>
      <c r="S443" s="10"/>
      <c r="AQ443" s="8"/>
      <c r="AR443" s="8"/>
      <c r="AS443" s="8"/>
    </row>
    <row r="444" spans="1:45">
      <c r="A444" s="12">
        <v>44819</v>
      </c>
      <c r="B444" s="8">
        <v>483462</v>
      </c>
      <c r="C444" s="8">
        <v>483596</v>
      </c>
      <c r="D444" s="128">
        <f t="shared" si="53"/>
        <v>134</v>
      </c>
      <c r="E444" s="8">
        <v>48466</v>
      </c>
      <c r="F444" s="8">
        <v>48656</v>
      </c>
      <c r="G444" s="137">
        <f t="shared" si="50"/>
        <v>190</v>
      </c>
      <c r="H444" s="128">
        <f t="shared" si="48"/>
        <v>324</v>
      </c>
      <c r="I444" s="8">
        <v>683168</v>
      </c>
      <c r="J444" s="8">
        <v>683366</v>
      </c>
      <c r="K444" s="137">
        <f t="shared" si="54"/>
        <v>198</v>
      </c>
      <c r="L444" s="8">
        <v>29039</v>
      </c>
      <c r="M444" s="8">
        <v>29039</v>
      </c>
      <c r="N444" s="137">
        <f t="shared" si="52"/>
        <v>0</v>
      </c>
      <c r="O444" s="128">
        <f t="shared" si="51"/>
        <v>198</v>
      </c>
      <c r="P444" s="8">
        <v>254654</v>
      </c>
      <c r="Q444" s="8">
        <v>254654</v>
      </c>
      <c r="R444" s="128">
        <f t="shared" si="49"/>
        <v>0</v>
      </c>
      <c r="AQ444" s="8"/>
      <c r="AR444" s="8"/>
      <c r="AS444" s="8"/>
    </row>
    <row r="445" spans="1:45">
      <c r="A445" s="12">
        <v>44820</v>
      </c>
      <c r="B445" s="8">
        <v>483596</v>
      </c>
      <c r="C445" s="8">
        <v>483749</v>
      </c>
      <c r="D445" s="128">
        <f t="shared" si="53"/>
        <v>153</v>
      </c>
      <c r="E445" s="8">
        <v>48656</v>
      </c>
      <c r="F445" s="8">
        <v>48871</v>
      </c>
      <c r="G445" s="137">
        <f t="shared" si="50"/>
        <v>215</v>
      </c>
      <c r="H445" s="128">
        <f t="shared" si="48"/>
        <v>368</v>
      </c>
      <c r="I445" s="8">
        <v>683366</v>
      </c>
      <c r="J445" s="8">
        <v>683447</v>
      </c>
      <c r="K445" s="137">
        <f t="shared" si="54"/>
        <v>81</v>
      </c>
      <c r="L445" s="8">
        <v>29039</v>
      </c>
      <c r="M445" s="8">
        <v>29039</v>
      </c>
      <c r="N445" s="137">
        <f t="shared" si="52"/>
        <v>0</v>
      </c>
      <c r="O445" s="128">
        <f t="shared" si="51"/>
        <v>81</v>
      </c>
      <c r="P445" s="8">
        <v>254654</v>
      </c>
      <c r="Q445" s="8">
        <v>254654</v>
      </c>
      <c r="R445" s="128">
        <f t="shared" si="49"/>
        <v>0</v>
      </c>
      <c r="AQ445" s="8"/>
      <c r="AR445" s="8"/>
      <c r="AS445" s="8"/>
    </row>
    <row r="446" spans="1:45">
      <c r="A446" s="12">
        <v>44821</v>
      </c>
      <c r="B446" s="8">
        <v>483749</v>
      </c>
      <c r="C446" s="8">
        <v>483926</v>
      </c>
      <c r="D446" s="128">
        <f t="shared" si="53"/>
        <v>177</v>
      </c>
      <c r="E446" s="8">
        <v>48871</v>
      </c>
      <c r="F446" s="8">
        <v>49181</v>
      </c>
      <c r="G446" s="137">
        <f t="shared" si="50"/>
        <v>310</v>
      </c>
      <c r="H446" s="128">
        <f t="shared" si="48"/>
        <v>487</v>
      </c>
      <c r="I446" s="8">
        <v>683447</v>
      </c>
      <c r="J446" s="8">
        <v>683666</v>
      </c>
      <c r="K446" s="137">
        <f t="shared" si="54"/>
        <v>219</v>
      </c>
      <c r="L446" s="8">
        <v>29039</v>
      </c>
      <c r="M446" s="8">
        <v>29039</v>
      </c>
      <c r="N446" s="137">
        <f t="shared" si="52"/>
        <v>0</v>
      </c>
      <c r="O446" s="128">
        <f t="shared" si="51"/>
        <v>219</v>
      </c>
      <c r="P446" s="8">
        <v>254654</v>
      </c>
      <c r="Q446" s="8">
        <v>254654</v>
      </c>
      <c r="R446" s="128">
        <f t="shared" si="49"/>
        <v>0</v>
      </c>
      <c r="AQ446" s="8"/>
      <c r="AR446" s="8"/>
      <c r="AS446" s="8"/>
    </row>
    <row r="447" spans="1:45">
      <c r="A447" s="12">
        <v>44822</v>
      </c>
      <c r="B447" s="8">
        <v>483926</v>
      </c>
      <c r="C447" s="8">
        <v>484187</v>
      </c>
      <c r="D447" s="128">
        <f t="shared" si="53"/>
        <v>261</v>
      </c>
      <c r="E447" s="8">
        <v>49181</v>
      </c>
      <c r="F447" s="8">
        <v>49620</v>
      </c>
      <c r="G447" s="137">
        <f t="shared" si="50"/>
        <v>439</v>
      </c>
      <c r="H447" s="128">
        <f t="shared" si="48"/>
        <v>700</v>
      </c>
      <c r="I447" s="8">
        <v>683666</v>
      </c>
      <c r="J447" s="8">
        <v>683842</v>
      </c>
      <c r="K447" s="137">
        <f t="shared" si="54"/>
        <v>176</v>
      </c>
      <c r="L447" s="8">
        <v>29039</v>
      </c>
      <c r="M447" s="8">
        <v>29074</v>
      </c>
      <c r="N447" s="137">
        <f t="shared" si="52"/>
        <v>35</v>
      </c>
      <c r="O447" s="128">
        <f t="shared" si="51"/>
        <v>211</v>
      </c>
      <c r="P447" s="8">
        <v>254654</v>
      </c>
      <c r="Q447" s="8">
        <v>254654</v>
      </c>
      <c r="R447" s="128">
        <f t="shared" ref="R447:R510" si="55">Q447-P447</f>
        <v>0</v>
      </c>
      <c r="AQ447" s="8"/>
      <c r="AR447" s="8"/>
      <c r="AS447" s="8"/>
    </row>
    <row r="448" spans="1:45">
      <c r="A448" s="12">
        <v>44823</v>
      </c>
      <c r="B448" s="8">
        <v>484187</v>
      </c>
      <c r="C448" s="8">
        <v>484364</v>
      </c>
      <c r="D448" s="128">
        <f t="shared" si="53"/>
        <v>177</v>
      </c>
      <c r="E448" s="8">
        <v>49620</v>
      </c>
      <c r="F448" s="8">
        <v>49910</v>
      </c>
      <c r="G448" s="137">
        <f t="shared" si="50"/>
        <v>290</v>
      </c>
      <c r="H448" s="128">
        <f t="shared" ref="H448:H512" si="56">D448+G448</f>
        <v>467</v>
      </c>
      <c r="I448" s="8">
        <v>683842</v>
      </c>
      <c r="J448" s="8">
        <v>684065</v>
      </c>
      <c r="K448" s="137">
        <f t="shared" si="54"/>
        <v>223</v>
      </c>
      <c r="L448" s="8">
        <v>29074</v>
      </c>
      <c r="M448" s="8">
        <v>29109</v>
      </c>
      <c r="N448" s="137">
        <f t="shared" si="52"/>
        <v>35</v>
      </c>
      <c r="O448" s="128">
        <f t="shared" si="51"/>
        <v>258</v>
      </c>
      <c r="P448" s="8">
        <v>254654</v>
      </c>
      <c r="Q448" s="8">
        <v>254654</v>
      </c>
      <c r="R448" s="128">
        <f t="shared" si="55"/>
        <v>0</v>
      </c>
      <c r="AQ448" s="8"/>
      <c r="AR448" s="8"/>
      <c r="AS448" s="8"/>
    </row>
    <row r="449" spans="1:45">
      <c r="A449" s="12">
        <v>44824</v>
      </c>
      <c r="B449" s="8">
        <v>484364</v>
      </c>
      <c r="C449" s="8">
        <v>484571</v>
      </c>
      <c r="D449" s="128">
        <f t="shared" si="53"/>
        <v>207</v>
      </c>
      <c r="E449" s="8">
        <v>49910</v>
      </c>
      <c r="F449" s="8">
        <v>50172</v>
      </c>
      <c r="G449" s="137">
        <f t="shared" si="50"/>
        <v>262</v>
      </c>
      <c r="H449" s="128">
        <f t="shared" si="56"/>
        <v>469</v>
      </c>
      <c r="I449" s="8">
        <v>684065</v>
      </c>
      <c r="J449" s="8">
        <v>684281</v>
      </c>
      <c r="K449" s="137">
        <f t="shared" si="54"/>
        <v>216</v>
      </c>
      <c r="L449" s="8">
        <v>29109</v>
      </c>
      <c r="M449" s="8">
        <v>29285</v>
      </c>
      <c r="N449" s="137">
        <f t="shared" si="52"/>
        <v>176</v>
      </c>
      <c r="O449" s="128">
        <f t="shared" si="51"/>
        <v>392</v>
      </c>
      <c r="P449" s="8">
        <v>254654</v>
      </c>
      <c r="Q449" s="8">
        <v>255451</v>
      </c>
      <c r="R449" s="128">
        <f t="shared" si="55"/>
        <v>797</v>
      </c>
      <c r="AQ449" s="8"/>
      <c r="AR449" s="8"/>
      <c r="AS449" s="8"/>
    </row>
    <row r="450" spans="1:45">
      <c r="A450" s="12">
        <v>44825</v>
      </c>
      <c r="B450" s="8">
        <v>484571</v>
      </c>
      <c r="C450" s="8">
        <v>484618</v>
      </c>
      <c r="D450" s="128">
        <f t="shared" si="53"/>
        <v>47</v>
      </c>
      <c r="E450" s="8">
        <v>50172</v>
      </c>
      <c r="F450" s="8">
        <v>50223</v>
      </c>
      <c r="G450" s="137">
        <f t="shared" si="50"/>
        <v>51</v>
      </c>
      <c r="H450" s="128">
        <f t="shared" si="56"/>
        <v>98</v>
      </c>
      <c r="I450" s="8">
        <v>684281</v>
      </c>
      <c r="J450" s="8">
        <v>684487</v>
      </c>
      <c r="K450" s="137">
        <f t="shared" si="54"/>
        <v>206</v>
      </c>
      <c r="L450" s="8">
        <v>29285</v>
      </c>
      <c r="M450" s="8">
        <v>29309</v>
      </c>
      <c r="N450" s="137">
        <f t="shared" si="52"/>
        <v>24</v>
      </c>
      <c r="O450" s="128">
        <f t="shared" si="51"/>
        <v>230</v>
      </c>
      <c r="P450" s="8">
        <v>255451</v>
      </c>
      <c r="Q450" s="8">
        <v>255598</v>
      </c>
      <c r="R450" s="128">
        <f t="shared" si="55"/>
        <v>147</v>
      </c>
      <c r="S450" s="8" t="s">
        <v>1468</v>
      </c>
      <c r="AQ450" s="8"/>
      <c r="AR450" s="8"/>
      <c r="AS450" s="8"/>
    </row>
    <row r="451" spans="1:45">
      <c r="A451" s="12">
        <v>44826</v>
      </c>
      <c r="B451" s="8">
        <v>484618</v>
      </c>
      <c r="C451" s="8">
        <v>484618</v>
      </c>
      <c r="D451" s="128">
        <f t="shared" si="53"/>
        <v>0</v>
      </c>
      <c r="E451" s="8">
        <v>50223</v>
      </c>
      <c r="F451" s="8">
        <v>50223</v>
      </c>
      <c r="G451" s="137">
        <f t="shared" si="50"/>
        <v>0</v>
      </c>
      <c r="H451" s="128">
        <f t="shared" si="56"/>
        <v>0</v>
      </c>
      <c r="I451" s="8">
        <v>684487</v>
      </c>
      <c r="J451" s="8">
        <v>684675</v>
      </c>
      <c r="K451" s="137">
        <f t="shared" si="54"/>
        <v>188</v>
      </c>
      <c r="L451" s="8">
        <v>29309</v>
      </c>
      <c r="M451" s="8">
        <v>29309</v>
      </c>
      <c r="N451" s="137">
        <f t="shared" si="52"/>
        <v>0</v>
      </c>
      <c r="O451" s="128">
        <f t="shared" si="51"/>
        <v>188</v>
      </c>
      <c r="P451" s="8">
        <v>255598</v>
      </c>
      <c r="Q451" s="8">
        <v>255598</v>
      </c>
      <c r="R451" s="128">
        <f t="shared" si="55"/>
        <v>0</v>
      </c>
      <c r="AQ451" s="8"/>
      <c r="AR451" s="8"/>
      <c r="AS451" s="8"/>
    </row>
    <row r="452" spans="1:45">
      <c r="A452" s="12">
        <v>44827</v>
      </c>
      <c r="B452" s="8">
        <v>484618</v>
      </c>
      <c r="C452" s="8">
        <v>484895</v>
      </c>
      <c r="D452" s="128">
        <f t="shared" si="53"/>
        <v>277</v>
      </c>
      <c r="E452" s="8">
        <v>50223</v>
      </c>
      <c r="F452" s="8">
        <v>50496</v>
      </c>
      <c r="G452" s="137">
        <f t="shared" si="50"/>
        <v>273</v>
      </c>
      <c r="H452" s="128">
        <f t="shared" si="56"/>
        <v>550</v>
      </c>
      <c r="I452" s="8">
        <v>684675</v>
      </c>
      <c r="J452" s="8">
        <v>684884</v>
      </c>
      <c r="K452" s="137">
        <f t="shared" si="54"/>
        <v>209</v>
      </c>
      <c r="L452" s="8">
        <v>29309</v>
      </c>
      <c r="M452" s="8">
        <v>29309</v>
      </c>
      <c r="N452" s="137">
        <f t="shared" si="52"/>
        <v>0</v>
      </c>
      <c r="O452" s="128">
        <f t="shared" ref="O452:O515" si="57">N452+K452</f>
        <v>209</v>
      </c>
      <c r="P452" s="8">
        <v>255598</v>
      </c>
      <c r="Q452" s="8">
        <v>255598</v>
      </c>
      <c r="R452" s="128">
        <f t="shared" si="55"/>
        <v>0</v>
      </c>
      <c r="AQ452" s="8"/>
      <c r="AR452" s="8"/>
      <c r="AS452" s="8"/>
    </row>
    <row r="453" spans="1:45">
      <c r="A453" s="12">
        <v>44828</v>
      </c>
      <c r="B453" s="8">
        <v>484895</v>
      </c>
      <c r="C453" s="8">
        <v>485291</v>
      </c>
      <c r="D453" s="128">
        <f t="shared" si="53"/>
        <v>396</v>
      </c>
      <c r="E453" s="8">
        <v>50496</v>
      </c>
      <c r="F453" s="8">
        <v>50940</v>
      </c>
      <c r="G453" s="137">
        <f t="shared" si="50"/>
        <v>444</v>
      </c>
      <c r="H453" s="128">
        <f t="shared" si="56"/>
        <v>840</v>
      </c>
      <c r="I453" s="8">
        <v>684884</v>
      </c>
      <c r="J453" s="8">
        <v>685110</v>
      </c>
      <c r="K453" s="137">
        <f t="shared" si="54"/>
        <v>226</v>
      </c>
      <c r="L453" s="8">
        <v>29309</v>
      </c>
      <c r="M453" s="8">
        <v>29309</v>
      </c>
      <c r="N453" s="137">
        <f t="shared" si="52"/>
        <v>0</v>
      </c>
      <c r="O453" s="128">
        <f t="shared" si="57"/>
        <v>226</v>
      </c>
      <c r="P453" s="8">
        <v>255598</v>
      </c>
      <c r="Q453" s="8">
        <v>255598</v>
      </c>
      <c r="R453" s="128">
        <f t="shared" si="55"/>
        <v>0</v>
      </c>
      <c r="AQ453" s="8"/>
      <c r="AR453" s="8"/>
      <c r="AS453" s="8"/>
    </row>
    <row r="454" spans="1:45">
      <c r="A454" s="12">
        <v>44829</v>
      </c>
      <c r="B454" s="8">
        <v>485291</v>
      </c>
      <c r="C454" s="8">
        <v>485568</v>
      </c>
      <c r="D454" s="128">
        <f t="shared" si="53"/>
        <v>277</v>
      </c>
      <c r="E454" s="8">
        <v>50940</v>
      </c>
      <c r="F454" s="8">
        <v>51276</v>
      </c>
      <c r="G454" s="137">
        <f t="shared" si="50"/>
        <v>336</v>
      </c>
      <c r="H454" s="128">
        <f t="shared" si="56"/>
        <v>613</v>
      </c>
      <c r="I454" s="8">
        <v>685110</v>
      </c>
      <c r="J454" s="8">
        <v>685321</v>
      </c>
      <c r="K454" s="137">
        <f t="shared" si="54"/>
        <v>211</v>
      </c>
      <c r="L454" s="8">
        <v>29309</v>
      </c>
      <c r="M454" s="8">
        <v>29513</v>
      </c>
      <c r="N454" s="137">
        <f t="shared" ref="N454:N519" si="58">M454-L454</f>
        <v>204</v>
      </c>
      <c r="O454" s="128">
        <f t="shared" si="57"/>
        <v>415</v>
      </c>
      <c r="P454" s="8">
        <v>255598</v>
      </c>
      <c r="Q454" s="8">
        <v>255600</v>
      </c>
      <c r="R454" s="128">
        <f t="shared" si="55"/>
        <v>2</v>
      </c>
      <c r="AQ454" s="8"/>
      <c r="AR454" s="8"/>
      <c r="AS454" s="8"/>
    </row>
    <row r="455" spans="1:45">
      <c r="A455" s="12">
        <v>44830</v>
      </c>
      <c r="B455" s="8">
        <v>485568</v>
      </c>
      <c r="C455" s="8">
        <v>485800</v>
      </c>
      <c r="D455" s="128">
        <f t="shared" si="53"/>
        <v>232</v>
      </c>
      <c r="E455" s="8">
        <v>51276</v>
      </c>
      <c r="F455" s="8">
        <v>51607</v>
      </c>
      <c r="G455" s="137">
        <f t="shared" ref="G455:G518" si="59">F455-E455</f>
        <v>331</v>
      </c>
      <c r="H455" s="128">
        <f t="shared" si="56"/>
        <v>563</v>
      </c>
      <c r="I455" s="8">
        <v>685321</v>
      </c>
      <c r="J455" s="8">
        <v>685528</v>
      </c>
      <c r="K455" s="137">
        <f t="shared" si="54"/>
        <v>207</v>
      </c>
      <c r="L455" s="8">
        <v>29513</v>
      </c>
      <c r="M455" s="8">
        <v>29609</v>
      </c>
      <c r="N455" s="137">
        <f t="shared" si="58"/>
        <v>96</v>
      </c>
      <c r="O455" s="128">
        <f t="shared" si="57"/>
        <v>303</v>
      </c>
      <c r="P455" s="8">
        <v>255600</v>
      </c>
      <c r="Q455" s="8">
        <v>255600</v>
      </c>
      <c r="R455" s="128">
        <f t="shared" si="55"/>
        <v>0</v>
      </c>
      <c r="AQ455" s="8"/>
      <c r="AR455" s="8"/>
      <c r="AS455" s="8"/>
    </row>
    <row r="456" spans="1:45">
      <c r="A456" s="12">
        <v>44831</v>
      </c>
      <c r="B456" s="8">
        <v>485800</v>
      </c>
      <c r="C456" s="8">
        <v>486055</v>
      </c>
      <c r="D456" s="128">
        <f t="shared" si="53"/>
        <v>255</v>
      </c>
      <c r="E456" s="8">
        <v>51607</v>
      </c>
      <c r="F456" s="8">
        <v>51927</v>
      </c>
      <c r="G456" s="137">
        <f t="shared" si="59"/>
        <v>320</v>
      </c>
      <c r="H456" s="128">
        <f t="shared" si="56"/>
        <v>575</v>
      </c>
      <c r="I456" s="8">
        <v>685528</v>
      </c>
      <c r="J456" s="8">
        <v>685758</v>
      </c>
      <c r="K456" s="137">
        <f t="shared" si="54"/>
        <v>230</v>
      </c>
      <c r="L456" s="8">
        <v>29609</v>
      </c>
      <c r="M456" s="8">
        <v>29692</v>
      </c>
      <c r="N456" s="137">
        <f t="shared" si="58"/>
        <v>83</v>
      </c>
      <c r="O456" s="128">
        <f t="shared" si="57"/>
        <v>313</v>
      </c>
      <c r="P456" s="8">
        <v>255600</v>
      </c>
      <c r="Q456" s="8">
        <v>255606</v>
      </c>
      <c r="R456" s="128">
        <f t="shared" si="55"/>
        <v>6</v>
      </c>
      <c r="AQ456" s="8"/>
      <c r="AR456" s="8"/>
      <c r="AS456" s="8"/>
    </row>
    <row r="457" spans="1:45">
      <c r="A457" s="12">
        <v>44832</v>
      </c>
      <c r="B457" s="8">
        <v>486055</v>
      </c>
      <c r="C457" s="8">
        <v>486360</v>
      </c>
      <c r="D457" s="128">
        <f t="shared" si="53"/>
        <v>305</v>
      </c>
      <c r="E457" s="8">
        <v>51927</v>
      </c>
      <c r="F457" s="8">
        <v>52404</v>
      </c>
      <c r="G457" s="137">
        <f t="shared" si="59"/>
        <v>477</v>
      </c>
      <c r="H457" s="128">
        <f t="shared" si="56"/>
        <v>782</v>
      </c>
      <c r="I457" s="8">
        <v>685758</v>
      </c>
      <c r="J457" s="8">
        <v>685945</v>
      </c>
      <c r="K457" s="137">
        <f t="shared" si="54"/>
        <v>187</v>
      </c>
      <c r="L457" s="8">
        <v>29692</v>
      </c>
      <c r="M457" s="8">
        <v>29709</v>
      </c>
      <c r="N457" s="137">
        <f t="shared" si="58"/>
        <v>17</v>
      </c>
      <c r="O457" s="128">
        <f t="shared" si="57"/>
        <v>204</v>
      </c>
      <c r="P457" s="8">
        <v>255606</v>
      </c>
      <c r="Q457" s="8">
        <v>255621</v>
      </c>
      <c r="R457" s="128">
        <f t="shared" si="55"/>
        <v>15</v>
      </c>
      <c r="AQ457" s="8"/>
      <c r="AR457" s="8"/>
      <c r="AS457" s="8"/>
    </row>
    <row r="458" spans="1:45">
      <c r="A458" s="12">
        <v>44833</v>
      </c>
      <c r="B458" s="8">
        <v>486360</v>
      </c>
      <c r="C458" s="8">
        <v>486470</v>
      </c>
      <c r="D458" s="128">
        <f t="shared" si="53"/>
        <v>110</v>
      </c>
      <c r="E458" s="8">
        <v>52404</v>
      </c>
      <c r="F458" s="8">
        <v>52704</v>
      </c>
      <c r="G458" s="137">
        <f t="shared" si="59"/>
        <v>300</v>
      </c>
      <c r="H458" s="128">
        <f t="shared" si="56"/>
        <v>410</v>
      </c>
      <c r="I458" s="8">
        <v>685945</v>
      </c>
      <c r="J458" s="8">
        <v>686151</v>
      </c>
      <c r="K458" s="137">
        <f t="shared" si="54"/>
        <v>206</v>
      </c>
      <c r="L458" s="8">
        <v>29709</v>
      </c>
      <c r="M458" s="8">
        <v>29709</v>
      </c>
      <c r="N458" s="137">
        <f t="shared" si="58"/>
        <v>0</v>
      </c>
      <c r="O458" s="128">
        <f t="shared" si="57"/>
        <v>206</v>
      </c>
      <c r="P458" s="8">
        <v>255621</v>
      </c>
      <c r="Q458" s="8">
        <v>255621</v>
      </c>
      <c r="R458" s="128">
        <f t="shared" si="55"/>
        <v>0</v>
      </c>
      <c r="AQ458" s="8"/>
      <c r="AR458" s="8"/>
      <c r="AS458" s="8"/>
    </row>
    <row r="459" spans="1:45">
      <c r="A459" s="12">
        <v>44834</v>
      </c>
      <c r="B459" s="8">
        <v>486470</v>
      </c>
      <c r="C459" s="8">
        <v>486536</v>
      </c>
      <c r="D459" s="128">
        <f t="shared" si="53"/>
        <v>66</v>
      </c>
      <c r="E459" s="8">
        <v>52704</v>
      </c>
      <c r="F459" s="8">
        <v>52756</v>
      </c>
      <c r="G459" s="137">
        <f t="shared" si="59"/>
        <v>52</v>
      </c>
      <c r="H459" s="128">
        <f t="shared" si="56"/>
        <v>118</v>
      </c>
      <c r="I459" s="8">
        <v>686151</v>
      </c>
      <c r="J459" s="8">
        <v>686303</v>
      </c>
      <c r="K459" s="137">
        <f t="shared" si="54"/>
        <v>152</v>
      </c>
      <c r="L459" s="8">
        <v>29709</v>
      </c>
      <c r="M459" s="8">
        <v>29709</v>
      </c>
      <c r="N459" s="137">
        <f t="shared" si="58"/>
        <v>0</v>
      </c>
      <c r="O459" s="128">
        <f t="shared" si="57"/>
        <v>152</v>
      </c>
      <c r="P459" s="8">
        <v>255621</v>
      </c>
      <c r="Q459" s="8">
        <v>255621</v>
      </c>
      <c r="R459" s="128">
        <f t="shared" si="55"/>
        <v>0</v>
      </c>
      <c r="AQ459" s="8"/>
      <c r="AR459" s="8"/>
      <c r="AS459" s="8"/>
    </row>
    <row r="460" spans="1:45">
      <c r="A460" s="12">
        <v>44835</v>
      </c>
      <c r="B460" s="8">
        <v>486536</v>
      </c>
      <c r="C460" s="8">
        <v>486536</v>
      </c>
      <c r="D460" s="128">
        <f t="shared" si="53"/>
        <v>0</v>
      </c>
      <c r="E460" s="8">
        <v>52756</v>
      </c>
      <c r="F460" s="8">
        <v>52756</v>
      </c>
      <c r="G460" s="137">
        <f t="shared" si="59"/>
        <v>0</v>
      </c>
      <c r="H460" s="128">
        <f t="shared" si="56"/>
        <v>0</v>
      </c>
      <c r="I460" s="8">
        <v>686303</v>
      </c>
      <c r="J460" s="8">
        <v>686605</v>
      </c>
      <c r="K460" s="137">
        <f t="shared" si="54"/>
        <v>302</v>
      </c>
      <c r="L460" s="8">
        <v>29709</v>
      </c>
      <c r="M460" s="8">
        <v>29709</v>
      </c>
      <c r="N460" s="137">
        <f t="shared" si="58"/>
        <v>0</v>
      </c>
      <c r="O460" s="128">
        <f t="shared" si="57"/>
        <v>302</v>
      </c>
      <c r="P460" s="8">
        <v>255621</v>
      </c>
      <c r="Q460" s="8">
        <v>255621</v>
      </c>
      <c r="R460" s="128">
        <f t="shared" si="55"/>
        <v>0</v>
      </c>
      <c r="AQ460" s="8"/>
      <c r="AR460" s="8"/>
      <c r="AS460" s="8"/>
    </row>
    <row r="461" spans="1:45">
      <c r="A461" s="12">
        <v>44836</v>
      </c>
      <c r="B461" s="8">
        <v>486536</v>
      </c>
      <c r="C461" s="8">
        <v>486536</v>
      </c>
      <c r="D461" s="128">
        <f t="shared" si="53"/>
        <v>0</v>
      </c>
      <c r="E461" s="8">
        <v>52756</v>
      </c>
      <c r="F461" s="8">
        <v>52756</v>
      </c>
      <c r="G461" s="137">
        <f t="shared" si="59"/>
        <v>0</v>
      </c>
      <c r="H461" s="128">
        <f t="shared" si="56"/>
        <v>0</v>
      </c>
      <c r="I461" s="8">
        <v>686605</v>
      </c>
      <c r="J461" s="8">
        <v>686839</v>
      </c>
      <c r="K461" s="137">
        <f t="shared" si="54"/>
        <v>234</v>
      </c>
      <c r="L461" s="8">
        <v>29709</v>
      </c>
      <c r="M461" s="8">
        <v>29709</v>
      </c>
      <c r="N461" s="137">
        <f t="shared" si="58"/>
        <v>0</v>
      </c>
      <c r="O461" s="128">
        <f t="shared" si="57"/>
        <v>234</v>
      </c>
      <c r="P461" s="8">
        <v>255621</v>
      </c>
      <c r="Q461" s="8">
        <v>255621</v>
      </c>
      <c r="R461" s="128">
        <f t="shared" si="55"/>
        <v>0</v>
      </c>
      <c r="AQ461" s="8"/>
      <c r="AR461" s="8"/>
      <c r="AS461" s="8"/>
    </row>
    <row r="462" spans="1:45">
      <c r="A462" s="12">
        <v>44837</v>
      </c>
      <c r="B462" s="8">
        <v>486536</v>
      </c>
      <c r="C462" s="8">
        <v>486975</v>
      </c>
      <c r="D462" s="128">
        <f t="shared" si="53"/>
        <v>439</v>
      </c>
      <c r="E462" s="8">
        <v>52756</v>
      </c>
      <c r="F462" s="8">
        <v>53111</v>
      </c>
      <c r="G462" s="137">
        <f t="shared" si="59"/>
        <v>355</v>
      </c>
      <c r="H462" s="128">
        <f t="shared" si="56"/>
        <v>794</v>
      </c>
      <c r="I462" s="8">
        <v>686839</v>
      </c>
      <c r="J462" s="8">
        <v>687062</v>
      </c>
      <c r="K462" s="137">
        <f t="shared" si="54"/>
        <v>223</v>
      </c>
      <c r="L462" s="8">
        <v>29709</v>
      </c>
      <c r="M462" s="8">
        <v>29709</v>
      </c>
      <c r="N462" s="137">
        <f t="shared" si="58"/>
        <v>0</v>
      </c>
      <c r="O462" s="128">
        <f t="shared" si="57"/>
        <v>223</v>
      </c>
      <c r="P462" s="8">
        <v>255621</v>
      </c>
      <c r="Q462" s="8">
        <v>255621</v>
      </c>
      <c r="R462" s="128">
        <f t="shared" si="55"/>
        <v>0</v>
      </c>
      <c r="AQ462" s="8"/>
      <c r="AR462" s="8"/>
      <c r="AS462" s="8"/>
    </row>
    <row r="463" spans="1:45">
      <c r="A463" s="12">
        <v>44838</v>
      </c>
      <c r="B463" s="8">
        <v>486975</v>
      </c>
      <c r="C463" s="8">
        <v>487350</v>
      </c>
      <c r="D463" s="128">
        <f t="shared" si="53"/>
        <v>375</v>
      </c>
      <c r="E463" s="8">
        <v>53111</v>
      </c>
      <c r="F463" s="8">
        <v>53513</v>
      </c>
      <c r="G463" s="137">
        <f t="shared" si="59"/>
        <v>402</v>
      </c>
      <c r="H463" s="128">
        <f t="shared" si="56"/>
        <v>777</v>
      </c>
      <c r="I463" s="8">
        <v>687062</v>
      </c>
      <c r="J463" s="8">
        <v>687269</v>
      </c>
      <c r="K463" s="137">
        <f t="shared" si="54"/>
        <v>207</v>
      </c>
      <c r="L463" s="8">
        <v>29709</v>
      </c>
      <c r="M463" s="8">
        <v>29799</v>
      </c>
      <c r="N463" s="137">
        <f t="shared" si="58"/>
        <v>90</v>
      </c>
      <c r="O463" s="128">
        <f t="shared" si="57"/>
        <v>297</v>
      </c>
      <c r="P463" s="8">
        <v>255621</v>
      </c>
      <c r="Q463" s="8">
        <v>255621</v>
      </c>
      <c r="R463" s="128">
        <f t="shared" si="55"/>
        <v>0</v>
      </c>
      <c r="AQ463" s="8"/>
      <c r="AR463" s="8"/>
      <c r="AS463" s="8"/>
    </row>
    <row r="464" spans="1:45">
      <c r="A464" s="12">
        <v>44839</v>
      </c>
      <c r="B464" s="8">
        <v>487350</v>
      </c>
      <c r="C464" s="8">
        <v>487673</v>
      </c>
      <c r="D464" s="128">
        <f t="shared" si="53"/>
        <v>323</v>
      </c>
      <c r="E464" s="8">
        <v>53513</v>
      </c>
      <c r="F464" s="8">
        <v>53926</v>
      </c>
      <c r="G464" s="137">
        <f t="shared" si="59"/>
        <v>413</v>
      </c>
      <c r="H464" s="128">
        <f t="shared" si="56"/>
        <v>736</v>
      </c>
      <c r="I464" s="8">
        <v>687269</v>
      </c>
      <c r="J464" s="8">
        <v>687452</v>
      </c>
      <c r="K464" s="137">
        <f t="shared" si="54"/>
        <v>183</v>
      </c>
      <c r="L464" s="8">
        <v>29799</v>
      </c>
      <c r="M464" s="8">
        <v>29909</v>
      </c>
      <c r="N464" s="137">
        <f t="shared" si="58"/>
        <v>110</v>
      </c>
      <c r="O464" s="128">
        <f t="shared" si="57"/>
        <v>293</v>
      </c>
      <c r="P464" s="8">
        <v>255621</v>
      </c>
      <c r="Q464" s="8">
        <v>255621</v>
      </c>
      <c r="R464" s="128">
        <f t="shared" si="55"/>
        <v>0</v>
      </c>
      <c r="AQ464" s="8"/>
      <c r="AR464" s="8"/>
      <c r="AS464" s="8"/>
    </row>
    <row r="465" spans="1:45">
      <c r="A465" s="12">
        <v>44840</v>
      </c>
      <c r="B465" s="8">
        <v>487673</v>
      </c>
      <c r="C465" s="8">
        <v>487872</v>
      </c>
      <c r="D465" s="128">
        <f t="shared" si="53"/>
        <v>199</v>
      </c>
      <c r="E465" s="8">
        <v>53926</v>
      </c>
      <c r="F465" s="8">
        <v>54309</v>
      </c>
      <c r="G465" s="137">
        <f t="shared" si="59"/>
        <v>383</v>
      </c>
      <c r="H465" s="128">
        <f t="shared" si="56"/>
        <v>582</v>
      </c>
      <c r="I465" s="8">
        <v>687452</v>
      </c>
      <c r="J465" s="8">
        <v>687634</v>
      </c>
      <c r="K465" s="137">
        <f t="shared" si="54"/>
        <v>182</v>
      </c>
      <c r="L465" s="8">
        <v>29909</v>
      </c>
      <c r="M465" s="8">
        <v>29909</v>
      </c>
      <c r="N465" s="137">
        <f t="shared" si="58"/>
        <v>0</v>
      </c>
      <c r="O465" s="128">
        <f t="shared" si="57"/>
        <v>182</v>
      </c>
      <c r="P465" s="8">
        <v>255621</v>
      </c>
      <c r="Q465" s="8">
        <v>255621</v>
      </c>
      <c r="R465" s="128">
        <f t="shared" si="55"/>
        <v>0</v>
      </c>
      <c r="AQ465" s="8"/>
      <c r="AR465" s="8"/>
      <c r="AS465" s="8"/>
    </row>
    <row r="466" spans="1:45">
      <c r="A466" s="12">
        <v>44841</v>
      </c>
      <c r="B466" s="8">
        <v>487872</v>
      </c>
      <c r="C466" s="8">
        <v>488100</v>
      </c>
      <c r="D466" s="128">
        <f>C466-B466</f>
        <v>228</v>
      </c>
      <c r="E466" s="8">
        <v>54309</v>
      </c>
      <c r="F466" s="8">
        <v>54620</v>
      </c>
      <c r="G466" s="137">
        <f t="shared" si="59"/>
        <v>311</v>
      </c>
      <c r="H466" s="128">
        <f t="shared" si="56"/>
        <v>539</v>
      </c>
      <c r="I466" s="8">
        <v>687634</v>
      </c>
      <c r="J466" s="8">
        <v>687843</v>
      </c>
      <c r="K466" s="137">
        <f t="shared" si="54"/>
        <v>209</v>
      </c>
      <c r="L466" s="8">
        <v>29909</v>
      </c>
      <c r="M466" s="8">
        <v>29909</v>
      </c>
      <c r="N466" s="137">
        <f t="shared" si="58"/>
        <v>0</v>
      </c>
      <c r="O466" s="128">
        <f t="shared" si="57"/>
        <v>209</v>
      </c>
      <c r="P466" s="8">
        <v>255621</v>
      </c>
      <c r="Q466" s="8">
        <v>255621</v>
      </c>
      <c r="R466" s="128">
        <f t="shared" si="55"/>
        <v>0</v>
      </c>
      <c r="AQ466" s="8"/>
      <c r="AR466" s="8"/>
      <c r="AS466" s="8"/>
    </row>
    <row r="467" spans="1:45">
      <c r="A467" s="12">
        <v>44842</v>
      </c>
      <c r="B467" s="8">
        <v>488100</v>
      </c>
      <c r="C467" s="8">
        <v>488349</v>
      </c>
      <c r="D467" s="128">
        <f t="shared" ref="D467:D530" si="60">C467-B467</f>
        <v>249</v>
      </c>
      <c r="E467" s="8">
        <v>54620</v>
      </c>
      <c r="F467" s="8">
        <v>54923</v>
      </c>
      <c r="G467" s="137">
        <f t="shared" si="59"/>
        <v>303</v>
      </c>
      <c r="H467" s="128">
        <f t="shared" si="56"/>
        <v>552</v>
      </c>
      <c r="I467" s="8">
        <v>687843</v>
      </c>
      <c r="J467" s="8">
        <v>688074</v>
      </c>
      <c r="K467" s="137">
        <f t="shared" si="54"/>
        <v>231</v>
      </c>
      <c r="L467" s="8">
        <v>29909</v>
      </c>
      <c r="M467" s="8">
        <v>29909</v>
      </c>
      <c r="N467" s="137">
        <f t="shared" si="58"/>
        <v>0</v>
      </c>
      <c r="O467" s="128">
        <f t="shared" si="57"/>
        <v>231</v>
      </c>
      <c r="P467" s="8">
        <v>255621</v>
      </c>
      <c r="Q467" s="8">
        <v>255621</v>
      </c>
      <c r="R467" s="128">
        <f t="shared" si="55"/>
        <v>0</v>
      </c>
      <c r="AQ467" s="8"/>
      <c r="AR467" s="8"/>
      <c r="AS467" s="8"/>
    </row>
    <row r="468" spans="1:45">
      <c r="A468" s="12">
        <v>44843</v>
      </c>
      <c r="B468" s="8">
        <v>488349</v>
      </c>
      <c r="C468" s="8">
        <v>488582</v>
      </c>
      <c r="D468" s="128">
        <f t="shared" si="60"/>
        <v>233</v>
      </c>
      <c r="E468" s="8">
        <v>54923</v>
      </c>
      <c r="F468" s="8">
        <v>55294</v>
      </c>
      <c r="G468" s="137">
        <f t="shared" si="59"/>
        <v>371</v>
      </c>
      <c r="H468" s="128">
        <f t="shared" si="56"/>
        <v>604</v>
      </c>
      <c r="I468" s="8">
        <v>688074</v>
      </c>
      <c r="J468" s="8">
        <v>688277</v>
      </c>
      <c r="K468" s="137">
        <f t="shared" si="54"/>
        <v>203</v>
      </c>
      <c r="L468" s="8">
        <v>29909</v>
      </c>
      <c r="M468" s="8">
        <v>29909</v>
      </c>
      <c r="N468" s="137">
        <f t="shared" si="58"/>
        <v>0</v>
      </c>
      <c r="O468" s="128">
        <f t="shared" si="57"/>
        <v>203</v>
      </c>
      <c r="P468" s="8">
        <v>255621</v>
      </c>
      <c r="Q468" s="8">
        <v>255621</v>
      </c>
      <c r="R468" s="128">
        <f t="shared" si="55"/>
        <v>0</v>
      </c>
      <c r="AQ468" s="8"/>
      <c r="AR468" s="8"/>
      <c r="AS468" s="8"/>
    </row>
    <row r="469" spans="1:45">
      <c r="A469" s="12">
        <v>44844</v>
      </c>
      <c r="B469" s="8">
        <v>488582</v>
      </c>
      <c r="C469" s="8">
        <v>488905</v>
      </c>
      <c r="D469" s="128">
        <f t="shared" si="60"/>
        <v>323</v>
      </c>
      <c r="E469" s="8">
        <v>55294</v>
      </c>
      <c r="F469" s="8">
        <v>55595</v>
      </c>
      <c r="G469" s="137">
        <f t="shared" si="59"/>
        <v>301</v>
      </c>
      <c r="H469" s="128">
        <f t="shared" si="56"/>
        <v>624</v>
      </c>
      <c r="I469" s="8">
        <v>688277</v>
      </c>
      <c r="J469" s="8">
        <v>688488</v>
      </c>
      <c r="K469" s="137">
        <f t="shared" si="54"/>
        <v>211</v>
      </c>
      <c r="L469" s="8">
        <v>29909</v>
      </c>
      <c r="M469" s="8">
        <v>29909</v>
      </c>
      <c r="N469" s="137">
        <f t="shared" si="58"/>
        <v>0</v>
      </c>
      <c r="O469" s="128">
        <f t="shared" si="57"/>
        <v>211</v>
      </c>
      <c r="P469" s="8">
        <v>255621</v>
      </c>
      <c r="Q469" s="8">
        <v>255621</v>
      </c>
      <c r="R469" s="128">
        <f t="shared" si="55"/>
        <v>0</v>
      </c>
      <c r="AQ469" s="8"/>
      <c r="AR469" s="8"/>
      <c r="AS469" s="8"/>
    </row>
    <row r="470" spans="1:45">
      <c r="A470" s="12">
        <v>44845</v>
      </c>
      <c r="B470" s="8">
        <v>488905</v>
      </c>
      <c r="C470" s="8">
        <v>489137</v>
      </c>
      <c r="D470" s="128">
        <f t="shared" si="60"/>
        <v>232</v>
      </c>
      <c r="E470" s="8">
        <v>55595</v>
      </c>
      <c r="F470" s="8">
        <v>55912</v>
      </c>
      <c r="G470" s="137">
        <f t="shared" si="59"/>
        <v>317</v>
      </c>
      <c r="H470" s="128">
        <f t="shared" si="56"/>
        <v>549</v>
      </c>
      <c r="I470" s="8">
        <v>688488</v>
      </c>
      <c r="J470" s="8">
        <v>688680</v>
      </c>
      <c r="K470" s="137">
        <f t="shared" si="54"/>
        <v>192</v>
      </c>
      <c r="L470" s="8">
        <v>29909</v>
      </c>
      <c r="M470" s="8">
        <v>30073</v>
      </c>
      <c r="N470" s="137">
        <f t="shared" si="58"/>
        <v>164</v>
      </c>
      <c r="O470" s="128">
        <f t="shared" si="57"/>
        <v>356</v>
      </c>
      <c r="P470" s="8">
        <v>255621</v>
      </c>
      <c r="Q470" s="8">
        <v>255621</v>
      </c>
      <c r="R470" s="128">
        <f t="shared" si="55"/>
        <v>0</v>
      </c>
      <c r="AQ470" s="8"/>
      <c r="AR470" s="8"/>
      <c r="AS470" s="8"/>
    </row>
    <row r="471" spans="1:45">
      <c r="A471" s="12">
        <v>44846</v>
      </c>
      <c r="B471" s="8">
        <v>489137</v>
      </c>
      <c r="C471" s="8">
        <v>489307</v>
      </c>
      <c r="D471" s="128">
        <f t="shared" si="60"/>
        <v>170</v>
      </c>
      <c r="E471" s="8">
        <v>55912</v>
      </c>
      <c r="F471" s="8">
        <v>56145</v>
      </c>
      <c r="G471" s="137">
        <f t="shared" si="59"/>
        <v>233</v>
      </c>
      <c r="H471" s="128">
        <f t="shared" si="56"/>
        <v>403</v>
      </c>
      <c r="I471" s="8">
        <v>688680</v>
      </c>
      <c r="J471" s="8">
        <v>688881</v>
      </c>
      <c r="K471" s="137">
        <f t="shared" si="54"/>
        <v>201</v>
      </c>
      <c r="L471" s="8">
        <v>30073</v>
      </c>
      <c r="M471" s="8">
        <v>30109</v>
      </c>
      <c r="N471" s="137">
        <f t="shared" si="58"/>
        <v>36</v>
      </c>
      <c r="O471" s="128">
        <f t="shared" si="57"/>
        <v>237</v>
      </c>
      <c r="P471" s="8">
        <v>255621</v>
      </c>
      <c r="Q471" s="8">
        <v>255646</v>
      </c>
      <c r="R471" s="128">
        <f t="shared" si="55"/>
        <v>25</v>
      </c>
      <c r="AQ471" s="8"/>
      <c r="AR471" s="8"/>
      <c r="AS471" s="8"/>
    </row>
    <row r="472" spans="1:45">
      <c r="A472" s="12">
        <v>44847</v>
      </c>
      <c r="B472" s="8">
        <v>489307</v>
      </c>
      <c r="C472" s="8">
        <v>489520</v>
      </c>
      <c r="D472" s="128">
        <f t="shared" si="60"/>
        <v>213</v>
      </c>
      <c r="E472" s="8">
        <v>56145</v>
      </c>
      <c r="F472" s="8">
        <v>56387</v>
      </c>
      <c r="G472" s="137">
        <f t="shared" si="59"/>
        <v>242</v>
      </c>
      <c r="H472" s="128">
        <f t="shared" si="56"/>
        <v>455</v>
      </c>
      <c r="I472" s="8">
        <v>688881</v>
      </c>
      <c r="J472" s="8">
        <v>689063</v>
      </c>
      <c r="K472" s="137">
        <f t="shared" si="54"/>
        <v>182</v>
      </c>
      <c r="L472" s="8">
        <v>30109</v>
      </c>
      <c r="M472" s="8">
        <v>30148</v>
      </c>
      <c r="N472" s="137">
        <f t="shared" si="58"/>
        <v>39</v>
      </c>
      <c r="O472" s="128">
        <f t="shared" si="57"/>
        <v>221</v>
      </c>
      <c r="P472" s="8">
        <v>255646</v>
      </c>
      <c r="Q472" s="8">
        <v>255646</v>
      </c>
      <c r="R472" s="128">
        <f t="shared" si="55"/>
        <v>0</v>
      </c>
      <c r="AQ472" s="8"/>
      <c r="AR472" s="8"/>
      <c r="AS472" s="8"/>
    </row>
    <row r="473" spans="1:45">
      <c r="A473" s="12">
        <v>44848</v>
      </c>
      <c r="B473" s="8">
        <v>489520</v>
      </c>
      <c r="C473" s="8">
        <v>489870</v>
      </c>
      <c r="D473" s="128">
        <f t="shared" si="60"/>
        <v>350</v>
      </c>
      <c r="E473" s="8">
        <v>56387</v>
      </c>
      <c r="F473" s="8">
        <v>56790</v>
      </c>
      <c r="G473" s="137">
        <f t="shared" si="59"/>
        <v>403</v>
      </c>
      <c r="H473" s="128">
        <f t="shared" si="56"/>
        <v>753</v>
      </c>
      <c r="I473" s="8">
        <v>689063</v>
      </c>
      <c r="J473" s="8">
        <v>689238</v>
      </c>
      <c r="K473" s="137">
        <f t="shared" si="54"/>
        <v>175</v>
      </c>
      <c r="L473" s="8">
        <v>30148</v>
      </c>
      <c r="M473" s="8">
        <v>30199</v>
      </c>
      <c r="N473" s="137">
        <f t="shared" si="58"/>
        <v>51</v>
      </c>
      <c r="O473" s="128">
        <f t="shared" si="57"/>
        <v>226</v>
      </c>
      <c r="P473" s="8">
        <v>255646</v>
      </c>
      <c r="Q473" s="8">
        <v>255646</v>
      </c>
      <c r="R473" s="128">
        <f t="shared" si="55"/>
        <v>0</v>
      </c>
      <c r="AQ473" s="8"/>
      <c r="AR473" s="8"/>
      <c r="AS473" s="8"/>
    </row>
    <row r="474" spans="1:45">
      <c r="A474" s="12">
        <v>44849</v>
      </c>
      <c r="B474" s="8">
        <v>489587</v>
      </c>
      <c r="C474" s="8">
        <v>489870</v>
      </c>
      <c r="D474" s="128">
        <f t="shared" si="60"/>
        <v>283</v>
      </c>
      <c r="E474" s="8">
        <v>56790</v>
      </c>
      <c r="F474" s="8">
        <v>57011</v>
      </c>
      <c r="G474" s="137">
        <f t="shared" si="59"/>
        <v>221</v>
      </c>
      <c r="H474" s="128">
        <f t="shared" si="56"/>
        <v>504</v>
      </c>
      <c r="I474" s="8">
        <v>689238</v>
      </c>
      <c r="J474" s="8">
        <v>689447</v>
      </c>
      <c r="K474" s="137">
        <f t="shared" si="54"/>
        <v>209</v>
      </c>
      <c r="L474" s="8">
        <v>30199</v>
      </c>
      <c r="M474" s="8">
        <v>30245</v>
      </c>
      <c r="N474" s="137">
        <f t="shared" si="58"/>
        <v>46</v>
      </c>
      <c r="O474" s="128">
        <f t="shared" si="57"/>
        <v>255</v>
      </c>
      <c r="P474" s="8">
        <v>255646</v>
      </c>
      <c r="Q474" s="8">
        <v>255646</v>
      </c>
      <c r="R474" s="128">
        <f t="shared" si="55"/>
        <v>0</v>
      </c>
      <c r="AQ474" s="8"/>
      <c r="AR474" s="8"/>
      <c r="AS474" s="8"/>
    </row>
    <row r="475" spans="1:45">
      <c r="A475" s="12">
        <v>44850</v>
      </c>
      <c r="B475" s="8">
        <v>489870</v>
      </c>
      <c r="C475" s="8">
        <v>490087</v>
      </c>
      <c r="D475" s="128">
        <f t="shared" si="60"/>
        <v>217</v>
      </c>
      <c r="E475" s="8">
        <v>57011</v>
      </c>
      <c r="F475" s="8">
        <v>57395</v>
      </c>
      <c r="G475" s="137">
        <f t="shared" si="59"/>
        <v>384</v>
      </c>
      <c r="H475" s="128">
        <f t="shared" si="56"/>
        <v>601</v>
      </c>
      <c r="I475" s="8">
        <v>689447</v>
      </c>
      <c r="J475" s="8">
        <v>689649</v>
      </c>
      <c r="K475" s="137">
        <f t="shared" si="54"/>
        <v>202</v>
      </c>
      <c r="L475" s="8">
        <v>30245</v>
      </c>
      <c r="M475" s="8">
        <v>30349</v>
      </c>
      <c r="N475" s="137">
        <f t="shared" si="58"/>
        <v>104</v>
      </c>
      <c r="O475" s="128">
        <f t="shared" si="57"/>
        <v>306</v>
      </c>
      <c r="P475" s="8">
        <v>255646</v>
      </c>
      <c r="Q475" s="8">
        <v>255646</v>
      </c>
      <c r="R475" s="128">
        <f t="shared" si="55"/>
        <v>0</v>
      </c>
      <c r="AQ475" s="8"/>
      <c r="AR475" s="8"/>
      <c r="AS475" s="8"/>
    </row>
    <row r="476" spans="1:45">
      <c r="A476" s="12">
        <v>44851</v>
      </c>
      <c r="B476" s="8">
        <v>490087</v>
      </c>
      <c r="C476" s="8">
        <v>490420</v>
      </c>
      <c r="D476" s="128">
        <f t="shared" si="60"/>
        <v>333</v>
      </c>
      <c r="E476" s="8">
        <v>57395</v>
      </c>
      <c r="F476" s="8">
        <v>57715</v>
      </c>
      <c r="G476" s="137">
        <f t="shared" si="59"/>
        <v>320</v>
      </c>
      <c r="H476" s="128">
        <f t="shared" si="56"/>
        <v>653</v>
      </c>
      <c r="I476" s="8">
        <v>689649</v>
      </c>
      <c r="J476" s="8">
        <v>689849</v>
      </c>
      <c r="K476" s="137">
        <f t="shared" si="54"/>
        <v>200</v>
      </c>
      <c r="L476" s="8">
        <v>30349</v>
      </c>
      <c r="M476" s="8">
        <v>30509</v>
      </c>
      <c r="N476" s="137">
        <f t="shared" si="58"/>
        <v>160</v>
      </c>
      <c r="O476" s="128">
        <f t="shared" si="57"/>
        <v>360</v>
      </c>
      <c r="P476" s="8">
        <v>255646</v>
      </c>
      <c r="Q476" s="8">
        <v>255651</v>
      </c>
      <c r="R476" s="128">
        <f t="shared" si="55"/>
        <v>5</v>
      </c>
      <c r="AQ476" s="8"/>
      <c r="AR476" s="8"/>
      <c r="AS476" s="8"/>
    </row>
    <row r="477" spans="1:45">
      <c r="A477" s="12">
        <v>44852</v>
      </c>
      <c r="B477" s="8">
        <v>490420</v>
      </c>
      <c r="C477" s="8">
        <v>490651</v>
      </c>
      <c r="D477" s="128">
        <f t="shared" si="60"/>
        <v>231</v>
      </c>
      <c r="E477" s="8">
        <v>57715</v>
      </c>
      <c r="F477" s="8">
        <v>57952</v>
      </c>
      <c r="G477" s="137">
        <f t="shared" si="59"/>
        <v>237</v>
      </c>
      <c r="H477" s="128">
        <f t="shared" si="56"/>
        <v>468</v>
      </c>
      <c r="I477" s="8">
        <v>689849</v>
      </c>
      <c r="J477" s="8">
        <v>690030</v>
      </c>
      <c r="K477" s="137">
        <f t="shared" si="54"/>
        <v>181</v>
      </c>
      <c r="L477" s="8">
        <v>30509</v>
      </c>
      <c r="M477" s="8">
        <v>30549</v>
      </c>
      <c r="N477" s="137">
        <f t="shared" si="58"/>
        <v>40</v>
      </c>
      <c r="O477" s="128">
        <f t="shared" si="57"/>
        <v>221</v>
      </c>
      <c r="P477" s="8">
        <v>255651</v>
      </c>
      <c r="Q477" s="8">
        <v>255651</v>
      </c>
      <c r="R477" s="128">
        <f t="shared" si="55"/>
        <v>0</v>
      </c>
      <c r="AQ477" s="8"/>
      <c r="AR477" s="8"/>
      <c r="AS477" s="8"/>
    </row>
    <row r="478" spans="1:45">
      <c r="A478" s="12">
        <v>44853</v>
      </c>
      <c r="B478" s="8">
        <v>490651</v>
      </c>
      <c r="C478" s="8">
        <v>490817</v>
      </c>
      <c r="D478" s="128">
        <f t="shared" si="60"/>
        <v>166</v>
      </c>
      <c r="E478" s="8">
        <v>57952</v>
      </c>
      <c r="F478" s="8">
        <v>58150</v>
      </c>
      <c r="G478" s="137">
        <f t="shared" si="59"/>
        <v>198</v>
      </c>
      <c r="H478" s="128">
        <f t="shared" si="56"/>
        <v>364</v>
      </c>
      <c r="I478" s="8">
        <v>690030</v>
      </c>
      <c r="J478" s="8">
        <v>690223</v>
      </c>
      <c r="K478" s="137">
        <f t="shared" si="54"/>
        <v>193</v>
      </c>
      <c r="L478" s="8">
        <v>30549</v>
      </c>
      <c r="M478" s="8">
        <v>30698</v>
      </c>
      <c r="N478" s="137">
        <f t="shared" si="58"/>
        <v>149</v>
      </c>
      <c r="O478" s="128">
        <f t="shared" si="57"/>
        <v>342</v>
      </c>
      <c r="P478" s="8">
        <v>255651</v>
      </c>
      <c r="Q478" s="8">
        <v>255651</v>
      </c>
      <c r="R478" s="128">
        <f t="shared" si="55"/>
        <v>0</v>
      </c>
      <c r="AQ478" s="8"/>
      <c r="AR478" s="8"/>
      <c r="AS478" s="8"/>
    </row>
    <row r="479" spans="1:45">
      <c r="A479" s="12">
        <v>44854</v>
      </c>
      <c r="B479" s="8">
        <v>490817</v>
      </c>
      <c r="C479" s="8">
        <v>491159</v>
      </c>
      <c r="D479" s="128">
        <f t="shared" si="60"/>
        <v>342</v>
      </c>
      <c r="E479" s="8">
        <v>58150</v>
      </c>
      <c r="F479" s="8">
        <v>58492</v>
      </c>
      <c r="G479" s="137">
        <f t="shared" si="59"/>
        <v>342</v>
      </c>
      <c r="H479" s="128">
        <f t="shared" si="56"/>
        <v>684</v>
      </c>
      <c r="I479" s="8">
        <v>690223</v>
      </c>
      <c r="J479" s="8">
        <v>690428</v>
      </c>
      <c r="K479" s="137">
        <f t="shared" si="54"/>
        <v>205</v>
      </c>
      <c r="L479" s="8">
        <v>30698</v>
      </c>
      <c r="M479" s="8">
        <v>30750</v>
      </c>
      <c r="N479" s="137">
        <f t="shared" si="58"/>
        <v>52</v>
      </c>
      <c r="O479" s="128">
        <f t="shared" si="57"/>
        <v>257</v>
      </c>
      <c r="P479" s="8">
        <v>255651</v>
      </c>
      <c r="Q479" s="8">
        <v>255651</v>
      </c>
      <c r="R479" s="128">
        <f t="shared" si="55"/>
        <v>0</v>
      </c>
      <c r="AQ479" s="8"/>
      <c r="AR479" s="8"/>
      <c r="AS479" s="8"/>
    </row>
    <row r="480" spans="1:45">
      <c r="A480" s="12">
        <v>44855</v>
      </c>
      <c r="B480" s="8">
        <v>491159</v>
      </c>
      <c r="C480" s="8">
        <v>491455</v>
      </c>
      <c r="D480" s="128">
        <f t="shared" si="60"/>
        <v>296</v>
      </c>
      <c r="E480" s="8">
        <v>58492</v>
      </c>
      <c r="F480" s="8">
        <v>58846</v>
      </c>
      <c r="G480" s="137">
        <f t="shared" si="59"/>
        <v>354</v>
      </c>
      <c r="H480" s="128">
        <f t="shared" si="56"/>
        <v>650</v>
      </c>
      <c r="I480" s="8">
        <v>690428</v>
      </c>
      <c r="J480" s="8">
        <v>690620</v>
      </c>
      <c r="K480" s="137">
        <f t="shared" si="54"/>
        <v>192</v>
      </c>
      <c r="L480" s="8">
        <v>30750</v>
      </c>
      <c r="M480" s="8">
        <v>30850</v>
      </c>
      <c r="N480" s="137">
        <f t="shared" si="58"/>
        <v>100</v>
      </c>
      <c r="O480" s="128">
        <f t="shared" si="57"/>
        <v>292</v>
      </c>
      <c r="P480" s="8">
        <v>255651</v>
      </c>
      <c r="Q480" s="8">
        <v>255651</v>
      </c>
      <c r="R480" s="128">
        <f t="shared" si="55"/>
        <v>0</v>
      </c>
      <c r="AQ480" s="8"/>
      <c r="AR480" s="8"/>
      <c r="AS480" s="8"/>
    </row>
    <row r="481" spans="1:45">
      <c r="A481" s="12">
        <v>44856</v>
      </c>
      <c r="B481" s="8">
        <v>491455</v>
      </c>
      <c r="C481" s="8">
        <v>491701</v>
      </c>
      <c r="D481" s="128">
        <f t="shared" si="60"/>
        <v>246</v>
      </c>
      <c r="E481" s="8">
        <v>58846</v>
      </c>
      <c r="F481" s="8">
        <v>59199</v>
      </c>
      <c r="G481" s="137">
        <f t="shared" si="59"/>
        <v>353</v>
      </c>
      <c r="H481" s="128">
        <f t="shared" si="56"/>
        <v>599</v>
      </c>
      <c r="I481" s="8">
        <v>690620</v>
      </c>
      <c r="J481" s="8">
        <v>690875</v>
      </c>
      <c r="K481" s="137">
        <f t="shared" si="54"/>
        <v>255</v>
      </c>
      <c r="L481" s="8">
        <v>30850</v>
      </c>
      <c r="M481" s="8">
        <v>31009</v>
      </c>
      <c r="N481" s="137">
        <f t="shared" si="58"/>
        <v>159</v>
      </c>
      <c r="O481" s="128">
        <f t="shared" si="57"/>
        <v>414</v>
      </c>
      <c r="P481" s="8">
        <v>255651</v>
      </c>
      <c r="Q481" s="8">
        <v>255651</v>
      </c>
      <c r="R481" s="128">
        <f t="shared" si="55"/>
        <v>0</v>
      </c>
      <c r="AQ481" s="8"/>
      <c r="AR481" s="8"/>
      <c r="AS481" s="8"/>
    </row>
    <row r="482" spans="1:45">
      <c r="A482" s="12">
        <v>44857</v>
      </c>
      <c r="B482" s="8">
        <v>491701</v>
      </c>
      <c r="C482" s="8">
        <v>492014</v>
      </c>
      <c r="D482" s="128">
        <f t="shared" si="60"/>
        <v>313</v>
      </c>
      <c r="E482" s="8">
        <v>59135</v>
      </c>
      <c r="F482" s="8">
        <v>59588</v>
      </c>
      <c r="G482" s="137">
        <f t="shared" si="59"/>
        <v>453</v>
      </c>
      <c r="H482" s="128">
        <f t="shared" si="56"/>
        <v>766</v>
      </c>
      <c r="I482" s="8">
        <v>690875</v>
      </c>
      <c r="J482" s="8">
        <v>691100</v>
      </c>
      <c r="K482" s="137">
        <f t="shared" si="54"/>
        <v>225</v>
      </c>
      <c r="L482" s="8">
        <v>31009</v>
      </c>
      <c r="M482" s="8">
        <v>31110</v>
      </c>
      <c r="N482" s="137">
        <f t="shared" si="58"/>
        <v>101</v>
      </c>
      <c r="O482" s="128">
        <f t="shared" si="57"/>
        <v>326</v>
      </c>
      <c r="P482" s="8">
        <v>255651</v>
      </c>
      <c r="Q482" s="8">
        <v>255651</v>
      </c>
      <c r="R482" s="128">
        <f t="shared" si="55"/>
        <v>0</v>
      </c>
      <c r="AQ482" s="8"/>
      <c r="AR482" s="8"/>
      <c r="AS482" s="8"/>
    </row>
    <row r="483" spans="1:45">
      <c r="A483" s="12">
        <v>44858</v>
      </c>
      <c r="B483" s="8">
        <v>492014</v>
      </c>
      <c r="C483" s="8">
        <v>492241</v>
      </c>
      <c r="D483" s="128">
        <f t="shared" si="60"/>
        <v>227</v>
      </c>
      <c r="E483" s="8">
        <v>59588</v>
      </c>
      <c r="F483" s="8">
        <v>59849</v>
      </c>
      <c r="G483" s="137">
        <f t="shared" si="59"/>
        <v>261</v>
      </c>
      <c r="H483" s="128">
        <f t="shared" si="56"/>
        <v>488</v>
      </c>
      <c r="I483" s="8">
        <v>691100</v>
      </c>
      <c r="J483" s="8">
        <v>691295</v>
      </c>
      <c r="K483" s="137">
        <f t="shared" si="54"/>
        <v>195</v>
      </c>
      <c r="L483" s="8">
        <v>31110</v>
      </c>
      <c r="M483" s="8">
        <v>31276</v>
      </c>
      <c r="N483" s="137">
        <f t="shared" si="58"/>
        <v>166</v>
      </c>
      <c r="O483" s="128">
        <f t="shared" si="57"/>
        <v>361</v>
      </c>
      <c r="P483" s="8">
        <v>255651</v>
      </c>
      <c r="Q483" s="8">
        <v>255651</v>
      </c>
      <c r="R483" s="128">
        <f t="shared" si="55"/>
        <v>0</v>
      </c>
      <c r="AQ483" s="8"/>
      <c r="AR483" s="8"/>
      <c r="AS483" s="8"/>
    </row>
    <row r="484" spans="1:45">
      <c r="A484" s="12">
        <v>44859</v>
      </c>
      <c r="B484" s="8">
        <v>492241</v>
      </c>
      <c r="C484" s="8">
        <v>492501</v>
      </c>
      <c r="D484" s="128">
        <f t="shared" si="60"/>
        <v>260</v>
      </c>
      <c r="E484" s="8">
        <v>59849</v>
      </c>
      <c r="F484" s="8">
        <v>60161</v>
      </c>
      <c r="G484" s="137">
        <f t="shared" si="59"/>
        <v>312</v>
      </c>
      <c r="H484" s="128">
        <f t="shared" si="56"/>
        <v>572</v>
      </c>
      <c r="I484" s="8">
        <v>691295</v>
      </c>
      <c r="J484" s="8">
        <v>691496</v>
      </c>
      <c r="K484" s="137">
        <f t="shared" si="54"/>
        <v>201</v>
      </c>
      <c r="L484" s="8">
        <v>31276</v>
      </c>
      <c r="M484" s="8">
        <v>31480</v>
      </c>
      <c r="N484" s="137">
        <f t="shared" si="58"/>
        <v>204</v>
      </c>
      <c r="O484" s="128">
        <f t="shared" si="57"/>
        <v>405</v>
      </c>
      <c r="P484" s="8">
        <v>255651</v>
      </c>
      <c r="Q484" s="8">
        <v>255651</v>
      </c>
      <c r="R484" s="128">
        <f t="shared" si="55"/>
        <v>0</v>
      </c>
      <c r="AQ484" s="8"/>
      <c r="AR484" s="8"/>
      <c r="AS484" s="8"/>
    </row>
    <row r="485" spans="1:45">
      <c r="A485" s="12">
        <v>44860</v>
      </c>
      <c r="B485" s="8">
        <v>492501</v>
      </c>
      <c r="C485" s="8">
        <v>492713</v>
      </c>
      <c r="D485" s="128">
        <f t="shared" si="60"/>
        <v>212</v>
      </c>
      <c r="E485" s="8">
        <v>60161</v>
      </c>
      <c r="F485" s="8">
        <v>60442</v>
      </c>
      <c r="G485" s="137">
        <f t="shared" si="59"/>
        <v>281</v>
      </c>
      <c r="H485" s="128">
        <f t="shared" si="56"/>
        <v>493</v>
      </c>
      <c r="I485" s="8">
        <v>691496</v>
      </c>
      <c r="J485" s="8">
        <v>691706</v>
      </c>
      <c r="K485" s="137">
        <f t="shared" si="54"/>
        <v>210</v>
      </c>
      <c r="L485" s="8">
        <v>31480</v>
      </c>
      <c r="M485" s="8">
        <v>31510</v>
      </c>
      <c r="N485" s="137">
        <f t="shared" si="58"/>
        <v>30</v>
      </c>
      <c r="O485" s="128">
        <f t="shared" si="57"/>
        <v>240</v>
      </c>
      <c r="P485" s="8">
        <v>255651</v>
      </c>
      <c r="Q485" s="8">
        <v>255651</v>
      </c>
      <c r="R485" s="128">
        <f t="shared" si="55"/>
        <v>0</v>
      </c>
      <c r="AQ485" s="8"/>
      <c r="AR485" s="8"/>
      <c r="AS485" s="8"/>
    </row>
    <row r="486" spans="1:45">
      <c r="A486" s="12">
        <v>44861</v>
      </c>
      <c r="B486" s="8">
        <v>492713</v>
      </c>
      <c r="C486" s="8">
        <v>492952</v>
      </c>
      <c r="D486" s="128">
        <f t="shared" si="60"/>
        <v>239</v>
      </c>
      <c r="E486" s="8">
        <v>60442</v>
      </c>
      <c r="F486" s="8">
        <v>60755</v>
      </c>
      <c r="G486" s="137">
        <f t="shared" si="59"/>
        <v>313</v>
      </c>
      <c r="H486" s="128">
        <f t="shared" si="56"/>
        <v>552</v>
      </c>
      <c r="I486" s="8">
        <v>691706</v>
      </c>
      <c r="J486" s="8">
        <v>691896</v>
      </c>
      <c r="K486" s="137">
        <f t="shared" si="54"/>
        <v>190</v>
      </c>
      <c r="L486" s="8">
        <v>31510</v>
      </c>
      <c r="M486" s="8">
        <v>31560</v>
      </c>
      <c r="N486" s="137">
        <f t="shared" si="58"/>
        <v>50</v>
      </c>
      <c r="O486" s="128">
        <f t="shared" si="57"/>
        <v>240</v>
      </c>
      <c r="P486" s="8">
        <v>255651</v>
      </c>
      <c r="Q486" s="8">
        <v>255651</v>
      </c>
      <c r="R486" s="128">
        <f t="shared" si="55"/>
        <v>0</v>
      </c>
      <c r="AQ486" s="8"/>
      <c r="AR486" s="8"/>
      <c r="AS486" s="8"/>
    </row>
    <row r="487" spans="1:45">
      <c r="A487" s="12">
        <v>44862</v>
      </c>
      <c r="B487" s="8">
        <v>492952</v>
      </c>
      <c r="C487" s="8">
        <v>493287</v>
      </c>
      <c r="D487" s="128">
        <f t="shared" si="60"/>
        <v>335</v>
      </c>
      <c r="E487" s="8">
        <v>60755</v>
      </c>
      <c r="F487" s="8">
        <v>61098</v>
      </c>
      <c r="G487" s="137">
        <f t="shared" si="59"/>
        <v>343</v>
      </c>
      <c r="H487" s="128">
        <f t="shared" si="56"/>
        <v>678</v>
      </c>
      <c r="I487" s="8">
        <v>691896</v>
      </c>
      <c r="J487" s="8">
        <v>692092</v>
      </c>
      <c r="K487" s="137">
        <f t="shared" si="54"/>
        <v>196</v>
      </c>
      <c r="L487" s="8">
        <v>31560</v>
      </c>
      <c r="M487" s="8">
        <v>31594</v>
      </c>
      <c r="N487" s="137">
        <f t="shared" si="58"/>
        <v>34</v>
      </c>
      <c r="O487" s="128">
        <f t="shared" si="57"/>
        <v>230</v>
      </c>
      <c r="P487" s="8">
        <v>255651</v>
      </c>
      <c r="Q487" s="8">
        <v>255651</v>
      </c>
      <c r="R487" s="128">
        <f t="shared" si="55"/>
        <v>0</v>
      </c>
      <c r="AQ487" s="8"/>
      <c r="AR487" s="8"/>
      <c r="AS487" s="8"/>
    </row>
    <row r="488" spans="1:45">
      <c r="A488" s="12">
        <v>44863</v>
      </c>
      <c r="B488" s="8">
        <v>493287</v>
      </c>
      <c r="C488" s="8">
        <v>493487</v>
      </c>
      <c r="D488" s="128">
        <f t="shared" si="60"/>
        <v>200</v>
      </c>
      <c r="E488" s="8">
        <v>61098</v>
      </c>
      <c r="F488" s="8">
        <v>61395</v>
      </c>
      <c r="G488" s="137">
        <f t="shared" si="59"/>
        <v>297</v>
      </c>
      <c r="H488" s="128">
        <f t="shared" si="56"/>
        <v>497</v>
      </c>
      <c r="I488" s="8">
        <v>692092</v>
      </c>
      <c r="J488" s="8">
        <v>692316</v>
      </c>
      <c r="K488" s="137">
        <f t="shared" si="54"/>
        <v>224</v>
      </c>
      <c r="L488" s="8">
        <v>31594</v>
      </c>
      <c r="M488" s="8">
        <v>31630</v>
      </c>
      <c r="N488" s="137">
        <f t="shared" si="58"/>
        <v>36</v>
      </c>
      <c r="O488" s="128">
        <f t="shared" si="57"/>
        <v>260</v>
      </c>
      <c r="P488" s="8">
        <v>255651</v>
      </c>
      <c r="Q488" s="8">
        <v>255651</v>
      </c>
      <c r="R488" s="128">
        <f t="shared" si="55"/>
        <v>0</v>
      </c>
      <c r="AQ488" s="8"/>
      <c r="AR488" s="8"/>
      <c r="AS488" s="8"/>
    </row>
    <row r="489" spans="1:45">
      <c r="A489" s="12">
        <v>44864</v>
      </c>
      <c r="B489" s="8">
        <v>493487</v>
      </c>
      <c r="C489" s="8">
        <v>493797</v>
      </c>
      <c r="D489" s="128">
        <f t="shared" si="60"/>
        <v>310</v>
      </c>
      <c r="E489" s="8">
        <v>61395</v>
      </c>
      <c r="F489" s="8">
        <v>61714</v>
      </c>
      <c r="G489" s="137">
        <f t="shared" si="59"/>
        <v>319</v>
      </c>
      <c r="H489" s="128">
        <f t="shared" si="56"/>
        <v>629</v>
      </c>
      <c r="I489" s="8">
        <v>692316</v>
      </c>
      <c r="J489" s="8">
        <v>692558</v>
      </c>
      <c r="K489" s="137">
        <f t="shared" si="54"/>
        <v>242</v>
      </c>
      <c r="L489" s="8">
        <v>31630</v>
      </c>
      <c r="M489" s="8">
        <v>31709</v>
      </c>
      <c r="N489" s="137">
        <f t="shared" si="58"/>
        <v>79</v>
      </c>
      <c r="O489" s="128">
        <f t="shared" si="57"/>
        <v>321</v>
      </c>
      <c r="P489" s="8">
        <v>255651</v>
      </c>
      <c r="Q489" s="8">
        <v>255651</v>
      </c>
      <c r="R489" s="128">
        <f t="shared" si="55"/>
        <v>0</v>
      </c>
      <c r="AQ489" s="8"/>
      <c r="AR489" s="8"/>
      <c r="AS489" s="8"/>
    </row>
    <row r="490" spans="1:45">
      <c r="A490" s="12">
        <v>44865</v>
      </c>
      <c r="B490" s="8">
        <v>493797</v>
      </c>
      <c r="C490" s="8">
        <v>494022</v>
      </c>
      <c r="D490" s="128">
        <f t="shared" si="60"/>
        <v>225</v>
      </c>
      <c r="E490" s="8">
        <v>61714</v>
      </c>
      <c r="F490" s="8">
        <v>61976</v>
      </c>
      <c r="G490" s="137">
        <f t="shared" si="59"/>
        <v>262</v>
      </c>
      <c r="H490" s="128">
        <f t="shared" si="56"/>
        <v>487</v>
      </c>
      <c r="I490" s="8">
        <v>692558</v>
      </c>
      <c r="J490" s="8">
        <v>692771</v>
      </c>
      <c r="K490" s="137">
        <f t="shared" si="54"/>
        <v>213</v>
      </c>
      <c r="L490" s="8">
        <v>31709</v>
      </c>
      <c r="M490" s="8">
        <v>31749</v>
      </c>
      <c r="N490" s="137">
        <f t="shared" si="58"/>
        <v>40</v>
      </c>
      <c r="O490" s="128">
        <f t="shared" si="57"/>
        <v>253</v>
      </c>
      <c r="P490" s="8">
        <v>255651</v>
      </c>
      <c r="Q490" s="8">
        <v>255651</v>
      </c>
      <c r="R490" s="128">
        <f t="shared" si="55"/>
        <v>0</v>
      </c>
      <c r="AQ490" s="8"/>
      <c r="AR490" s="8"/>
      <c r="AS490" s="8"/>
    </row>
    <row r="491" spans="1:45">
      <c r="A491" s="12">
        <v>44866</v>
      </c>
      <c r="B491" s="8">
        <v>494022</v>
      </c>
      <c r="C491" s="8">
        <v>494242</v>
      </c>
      <c r="D491" s="128">
        <f t="shared" si="60"/>
        <v>220</v>
      </c>
      <c r="E491" s="8">
        <v>61976</v>
      </c>
      <c r="F491" s="8">
        <v>62262</v>
      </c>
      <c r="G491" s="137">
        <f t="shared" si="59"/>
        <v>286</v>
      </c>
      <c r="H491" s="128">
        <f t="shared" si="56"/>
        <v>506</v>
      </c>
      <c r="I491" s="8">
        <v>692771</v>
      </c>
      <c r="J491" s="8">
        <v>692925</v>
      </c>
      <c r="K491" s="137">
        <f t="shared" si="54"/>
        <v>154</v>
      </c>
      <c r="L491" s="8">
        <v>31749</v>
      </c>
      <c r="M491" s="8">
        <v>31909</v>
      </c>
      <c r="N491" s="137">
        <f t="shared" si="58"/>
        <v>160</v>
      </c>
      <c r="O491" s="128">
        <f t="shared" si="57"/>
        <v>314</v>
      </c>
      <c r="P491" s="8">
        <v>255651</v>
      </c>
      <c r="Q491" s="8">
        <v>255651</v>
      </c>
      <c r="R491" s="128">
        <f t="shared" si="55"/>
        <v>0</v>
      </c>
      <c r="AQ491" s="8"/>
      <c r="AR491" s="8"/>
      <c r="AS491" s="8"/>
    </row>
    <row r="492" spans="1:45">
      <c r="A492" s="12">
        <v>44867</v>
      </c>
      <c r="B492" s="8">
        <v>494242</v>
      </c>
      <c r="C492" s="8">
        <v>494436</v>
      </c>
      <c r="D492" s="128">
        <f t="shared" si="60"/>
        <v>194</v>
      </c>
      <c r="E492" s="8">
        <v>62262</v>
      </c>
      <c r="F492" s="8">
        <v>62541</v>
      </c>
      <c r="G492" s="137">
        <f t="shared" si="59"/>
        <v>279</v>
      </c>
      <c r="H492" s="128">
        <f t="shared" si="56"/>
        <v>473</v>
      </c>
      <c r="I492" s="8">
        <v>692925</v>
      </c>
      <c r="J492" s="8">
        <v>693119</v>
      </c>
      <c r="K492" s="137">
        <f t="shared" ref="K492:K558" si="61">J492-I492</f>
        <v>194</v>
      </c>
      <c r="L492" s="8">
        <v>31909</v>
      </c>
      <c r="M492" s="8">
        <v>31949</v>
      </c>
      <c r="N492" s="137">
        <f t="shared" si="58"/>
        <v>40</v>
      </c>
      <c r="O492" s="128">
        <f t="shared" si="57"/>
        <v>234</v>
      </c>
      <c r="P492" s="8">
        <v>255651</v>
      </c>
      <c r="Q492" s="8">
        <v>255651</v>
      </c>
      <c r="R492" s="128">
        <f t="shared" si="55"/>
        <v>0</v>
      </c>
      <c r="AQ492" s="8"/>
      <c r="AR492" s="8"/>
      <c r="AS492" s="8"/>
    </row>
    <row r="493" spans="1:45">
      <c r="A493" s="12">
        <v>44868</v>
      </c>
      <c r="B493" s="8">
        <v>494436</v>
      </c>
      <c r="C493" s="8">
        <v>494652</v>
      </c>
      <c r="D493" s="128">
        <f t="shared" si="60"/>
        <v>216</v>
      </c>
      <c r="E493" s="8">
        <v>62541</v>
      </c>
      <c r="F493" s="8">
        <v>62972</v>
      </c>
      <c r="G493" s="137">
        <f t="shared" si="59"/>
        <v>431</v>
      </c>
      <c r="H493" s="128">
        <f t="shared" si="56"/>
        <v>647</v>
      </c>
      <c r="I493" s="8">
        <v>693119</v>
      </c>
      <c r="J493" s="8">
        <v>693241</v>
      </c>
      <c r="K493" s="137">
        <f t="shared" si="61"/>
        <v>122</v>
      </c>
      <c r="L493" s="8">
        <v>31949</v>
      </c>
      <c r="M493" s="8">
        <v>32109</v>
      </c>
      <c r="N493" s="137">
        <f t="shared" si="58"/>
        <v>160</v>
      </c>
      <c r="O493" s="128">
        <f t="shared" si="57"/>
        <v>282</v>
      </c>
      <c r="P493" s="8">
        <v>255651</v>
      </c>
      <c r="Q493" s="8">
        <v>255651</v>
      </c>
      <c r="R493" s="128">
        <f t="shared" si="55"/>
        <v>0</v>
      </c>
      <c r="AQ493" s="8"/>
      <c r="AR493" s="8"/>
      <c r="AS493" s="8"/>
    </row>
    <row r="494" spans="1:45">
      <c r="A494" s="12">
        <v>44869</v>
      </c>
      <c r="B494" s="8">
        <v>494652</v>
      </c>
      <c r="C494" s="8">
        <v>494862</v>
      </c>
      <c r="D494" s="128">
        <f t="shared" si="60"/>
        <v>210</v>
      </c>
      <c r="E494" s="8">
        <v>62972</v>
      </c>
      <c r="F494" s="8">
        <v>63184</v>
      </c>
      <c r="G494" s="137">
        <f t="shared" si="59"/>
        <v>212</v>
      </c>
      <c r="H494" s="128">
        <f t="shared" si="56"/>
        <v>422</v>
      </c>
      <c r="I494" s="8">
        <v>693241</v>
      </c>
      <c r="J494" s="8">
        <v>693361</v>
      </c>
      <c r="K494" s="137">
        <f t="shared" si="61"/>
        <v>120</v>
      </c>
      <c r="L494" s="8">
        <v>32109</v>
      </c>
      <c r="M494" s="8">
        <v>32189</v>
      </c>
      <c r="N494" s="137">
        <f t="shared" si="58"/>
        <v>80</v>
      </c>
      <c r="O494" s="128">
        <f t="shared" si="57"/>
        <v>200</v>
      </c>
      <c r="P494" s="8">
        <v>255651</v>
      </c>
      <c r="Q494" s="8">
        <v>255651</v>
      </c>
      <c r="R494" s="128">
        <f t="shared" si="55"/>
        <v>0</v>
      </c>
      <c r="AQ494" s="8"/>
      <c r="AR494" s="8"/>
      <c r="AS494" s="8"/>
    </row>
    <row r="495" spans="1:45">
      <c r="A495" s="12">
        <v>44870</v>
      </c>
      <c r="B495" s="8">
        <v>494862</v>
      </c>
      <c r="C495" s="8">
        <v>495090</v>
      </c>
      <c r="D495" s="128">
        <f t="shared" si="60"/>
        <v>228</v>
      </c>
      <c r="E495" s="8">
        <v>63184</v>
      </c>
      <c r="F495" s="8">
        <v>63495</v>
      </c>
      <c r="G495" s="137">
        <f t="shared" si="59"/>
        <v>311</v>
      </c>
      <c r="H495" s="128">
        <f t="shared" si="56"/>
        <v>539</v>
      </c>
      <c r="I495" s="8">
        <v>693361</v>
      </c>
      <c r="J495" s="8">
        <v>693531</v>
      </c>
      <c r="K495" s="137">
        <f t="shared" si="61"/>
        <v>170</v>
      </c>
      <c r="L495" s="8">
        <v>32189</v>
      </c>
      <c r="M495" s="8">
        <v>32238</v>
      </c>
      <c r="N495" s="137">
        <f t="shared" si="58"/>
        <v>49</v>
      </c>
      <c r="O495" s="128">
        <f t="shared" si="57"/>
        <v>219</v>
      </c>
      <c r="P495" s="8">
        <v>255651</v>
      </c>
      <c r="Q495" s="8">
        <v>255651</v>
      </c>
      <c r="R495" s="128">
        <f t="shared" si="55"/>
        <v>0</v>
      </c>
      <c r="AQ495" s="8"/>
      <c r="AR495" s="8"/>
      <c r="AS495" s="8"/>
    </row>
    <row r="496" spans="1:45">
      <c r="A496" s="12">
        <v>44871</v>
      </c>
      <c r="B496" s="8">
        <v>495090</v>
      </c>
      <c r="C496" s="8">
        <v>495261</v>
      </c>
      <c r="D496" s="128">
        <f t="shared" si="60"/>
        <v>171</v>
      </c>
      <c r="E496" s="8">
        <v>63495</v>
      </c>
      <c r="F496" s="8">
        <v>63804</v>
      </c>
      <c r="G496" s="137">
        <f t="shared" si="59"/>
        <v>309</v>
      </c>
      <c r="H496" s="128">
        <f t="shared" si="56"/>
        <v>480</v>
      </c>
      <c r="I496" s="8">
        <v>693531</v>
      </c>
      <c r="J496" s="8">
        <v>693679</v>
      </c>
      <c r="K496" s="137">
        <f t="shared" si="61"/>
        <v>148</v>
      </c>
      <c r="L496" s="8">
        <v>32238</v>
      </c>
      <c r="M496" s="8">
        <v>32309</v>
      </c>
      <c r="N496" s="137">
        <f t="shared" si="58"/>
        <v>71</v>
      </c>
      <c r="O496" s="128">
        <f t="shared" si="57"/>
        <v>219</v>
      </c>
      <c r="P496" s="8">
        <v>255651</v>
      </c>
      <c r="Q496" s="8">
        <v>255651</v>
      </c>
      <c r="R496" s="128">
        <f t="shared" si="55"/>
        <v>0</v>
      </c>
      <c r="AQ496" s="8"/>
      <c r="AR496" s="8"/>
      <c r="AS496" s="8"/>
    </row>
    <row r="497" spans="1:45">
      <c r="A497" s="12">
        <v>44872</v>
      </c>
      <c r="B497" s="8">
        <v>495261</v>
      </c>
      <c r="C497" s="8">
        <v>495471</v>
      </c>
      <c r="D497" s="128">
        <f t="shared" si="60"/>
        <v>210</v>
      </c>
      <c r="E497" s="8">
        <v>63804</v>
      </c>
      <c r="F497" s="8">
        <v>64074</v>
      </c>
      <c r="G497" s="137">
        <f t="shared" si="59"/>
        <v>270</v>
      </c>
      <c r="H497" s="128">
        <f t="shared" si="56"/>
        <v>480</v>
      </c>
      <c r="I497" s="8">
        <v>693679</v>
      </c>
      <c r="J497" s="8">
        <v>693879</v>
      </c>
      <c r="K497" s="137">
        <f t="shared" si="61"/>
        <v>200</v>
      </c>
      <c r="L497" s="8">
        <v>32309</v>
      </c>
      <c r="M497" s="8">
        <v>32409</v>
      </c>
      <c r="N497" s="137">
        <f t="shared" si="58"/>
        <v>100</v>
      </c>
      <c r="O497" s="128">
        <f t="shared" si="57"/>
        <v>300</v>
      </c>
      <c r="P497" s="8">
        <v>255651</v>
      </c>
      <c r="Q497" s="8">
        <v>255651</v>
      </c>
      <c r="R497" s="128">
        <f t="shared" si="55"/>
        <v>0</v>
      </c>
      <c r="AQ497" s="8"/>
      <c r="AR497" s="8"/>
      <c r="AS497" s="8"/>
    </row>
    <row r="498" spans="1:45">
      <c r="A498" s="12">
        <v>44873</v>
      </c>
      <c r="B498" s="8">
        <v>495471</v>
      </c>
      <c r="C498" s="8">
        <v>495669</v>
      </c>
      <c r="D498" s="128">
        <f t="shared" si="60"/>
        <v>198</v>
      </c>
      <c r="E498" s="8">
        <v>64074</v>
      </c>
      <c r="F498" s="8">
        <v>64360</v>
      </c>
      <c r="G498" s="137">
        <f t="shared" si="59"/>
        <v>286</v>
      </c>
      <c r="H498" s="128">
        <f t="shared" si="56"/>
        <v>484</v>
      </c>
      <c r="I498" s="8">
        <v>693879</v>
      </c>
      <c r="J498" s="8">
        <v>694065</v>
      </c>
      <c r="K498" s="137">
        <f t="shared" si="61"/>
        <v>186</v>
      </c>
      <c r="L498" s="8">
        <v>32409</v>
      </c>
      <c r="M498" s="8">
        <v>32509</v>
      </c>
      <c r="N498" s="137">
        <f t="shared" si="58"/>
        <v>100</v>
      </c>
      <c r="O498" s="128">
        <f t="shared" si="57"/>
        <v>286</v>
      </c>
      <c r="P498" s="8">
        <v>255651</v>
      </c>
      <c r="Q498" s="8">
        <v>255651</v>
      </c>
      <c r="R498" s="128">
        <f t="shared" si="55"/>
        <v>0</v>
      </c>
      <c r="AQ498" s="8"/>
      <c r="AR498" s="8"/>
      <c r="AS498" s="8"/>
    </row>
    <row r="499" spans="1:45">
      <c r="A499" s="12">
        <v>44874</v>
      </c>
      <c r="B499" s="8">
        <v>495669</v>
      </c>
      <c r="C499" s="8">
        <v>495876</v>
      </c>
      <c r="D499" s="128">
        <f t="shared" si="60"/>
        <v>207</v>
      </c>
      <c r="E499" s="8">
        <v>64360</v>
      </c>
      <c r="F499" s="8">
        <v>64652</v>
      </c>
      <c r="G499" s="137">
        <f t="shared" si="59"/>
        <v>292</v>
      </c>
      <c r="H499" s="128">
        <f t="shared" si="56"/>
        <v>499</v>
      </c>
      <c r="I499" s="8">
        <v>694065</v>
      </c>
      <c r="J499" s="8">
        <v>694265</v>
      </c>
      <c r="K499" s="137">
        <f t="shared" si="61"/>
        <v>200</v>
      </c>
      <c r="L499" s="8">
        <v>32509</v>
      </c>
      <c r="M499" s="8">
        <v>32549</v>
      </c>
      <c r="N499" s="137">
        <f t="shared" si="58"/>
        <v>40</v>
      </c>
      <c r="O499" s="128">
        <f t="shared" si="57"/>
        <v>240</v>
      </c>
      <c r="P499" s="8">
        <v>255651</v>
      </c>
      <c r="Q499" s="8">
        <v>255651</v>
      </c>
      <c r="R499" s="128">
        <f t="shared" si="55"/>
        <v>0</v>
      </c>
      <c r="AQ499" s="8"/>
      <c r="AR499" s="8"/>
      <c r="AS499" s="8"/>
    </row>
    <row r="500" spans="1:45">
      <c r="A500" s="12">
        <v>44875</v>
      </c>
      <c r="B500" s="8">
        <v>495876</v>
      </c>
      <c r="C500" s="8">
        <v>496088</v>
      </c>
      <c r="D500" s="128">
        <f t="shared" si="60"/>
        <v>212</v>
      </c>
      <c r="E500" s="8">
        <v>64652</v>
      </c>
      <c r="F500" s="8">
        <v>64895</v>
      </c>
      <c r="G500" s="137">
        <f t="shared" si="59"/>
        <v>243</v>
      </c>
      <c r="H500" s="128">
        <f t="shared" si="56"/>
        <v>455</v>
      </c>
      <c r="I500" s="8">
        <v>694265</v>
      </c>
      <c r="J500" s="8">
        <v>694458</v>
      </c>
      <c r="K500" s="137">
        <f t="shared" si="61"/>
        <v>193</v>
      </c>
      <c r="L500" s="8">
        <v>32549</v>
      </c>
      <c r="M500" s="8">
        <v>32549</v>
      </c>
      <c r="N500" s="137">
        <f t="shared" si="58"/>
        <v>0</v>
      </c>
      <c r="O500" s="128">
        <f t="shared" si="57"/>
        <v>193</v>
      </c>
      <c r="P500" s="8">
        <v>255651</v>
      </c>
      <c r="Q500" s="8">
        <v>255651</v>
      </c>
      <c r="R500" s="128">
        <f t="shared" si="55"/>
        <v>0</v>
      </c>
      <c r="AQ500" s="8"/>
      <c r="AR500" s="8"/>
      <c r="AS500" s="8"/>
    </row>
    <row r="501" spans="1:45">
      <c r="A501" s="12">
        <v>44876</v>
      </c>
      <c r="B501" s="8">
        <v>496088</v>
      </c>
      <c r="C501" s="8">
        <v>496319</v>
      </c>
      <c r="D501" s="128">
        <f t="shared" si="60"/>
        <v>231</v>
      </c>
      <c r="E501" s="8">
        <v>64895</v>
      </c>
      <c r="F501" s="8">
        <v>65116</v>
      </c>
      <c r="G501" s="137">
        <f t="shared" si="59"/>
        <v>221</v>
      </c>
      <c r="H501" s="128">
        <f t="shared" si="56"/>
        <v>452</v>
      </c>
      <c r="I501" s="8">
        <v>694458</v>
      </c>
      <c r="J501" s="8">
        <v>694665</v>
      </c>
      <c r="K501" s="137">
        <f t="shared" si="61"/>
        <v>207</v>
      </c>
      <c r="L501" s="8">
        <v>32549</v>
      </c>
      <c r="M501" s="8">
        <v>32709</v>
      </c>
      <c r="N501" s="137">
        <f t="shared" si="58"/>
        <v>160</v>
      </c>
      <c r="O501" s="128">
        <f t="shared" si="57"/>
        <v>367</v>
      </c>
      <c r="P501" s="8">
        <v>255651</v>
      </c>
      <c r="Q501" s="8">
        <v>255651</v>
      </c>
      <c r="R501" s="128">
        <f t="shared" si="55"/>
        <v>0</v>
      </c>
      <c r="AQ501" s="8"/>
      <c r="AR501" s="8"/>
      <c r="AS501" s="8"/>
    </row>
    <row r="502" spans="1:45">
      <c r="A502" s="12">
        <v>44877</v>
      </c>
      <c r="B502" s="8">
        <v>496319</v>
      </c>
      <c r="C502" s="8">
        <v>496493</v>
      </c>
      <c r="D502" s="128">
        <f t="shared" si="60"/>
        <v>174</v>
      </c>
      <c r="E502" s="8">
        <v>65116</v>
      </c>
      <c r="F502" s="8">
        <v>65331</v>
      </c>
      <c r="G502" s="137">
        <f t="shared" si="59"/>
        <v>215</v>
      </c>
      <c r="H502" s="128">
        <f t="shared" si="56"/>
        <v>389</v>
      </c>
      <c r="I502" s="8">
        <v>694665</v>
      </c>
      <c r="J502" s="8">
        <v>694897</v>
      </c>
      <c r="K502" s="137">
        <f t="shared" si="61"/>
        <v>232</v>
      </c>
      <c r="L502" s="8">
        <v>32709</v>
      </c>
      <c r="M502" s="8">
        <v>32749</v>
      </c>
      <c r="N502" s="137">
        <f t="shared" si="58"/>
        <v>40</v>
      </c>
      <c r="O502" s="128">
        <f t="shared" si="57"/>
        <v>272</v>
      </c>
      <c r="P502" s="8">
        <v>255651</v>
      </c>
      <c r="Q502" s="8">
        <v>255651</v>
      </c>
      <c r="R502" s="128">
        <f t="shared" si="55"/>
        <v>0</v>
      </c>
      <c r="AQ502" s="8"/>
      <c r="AR502" s="8"/>
      <c r="AS502" s="8"/>
    </row>
    <row r="503" spans="1:45">
      <c r="A503" s="12">
        <v>44878</v>
      </c>
      <c r="B503" s="8">
        <v>496493</v>
      </c>
      <c r="C503" s="8">
        <v>496759</v>
      </c>
      <c r="D503" s="128">
        <f t="shared" si="60"/>
        <v>266</v>
      </c>
      <c r="E503" s="8">
        <v>65331</v>
      </c>
      <c r="F503" s="8">
        <v>65646</v>
      </c>
      <c r="G503" s="137">
        <f t="shared" si="59"/>
        <v>315</v>
      </c>
      <c r="H503" s="128">
        <f t="shared" si="56"/>
        <v>581</v>
      </c>
      <c r="I503" s="8">
        <v>694897</v>
      </c>
      <c r="J503" s="8">
        <v>695012</v>
      </c>
      <c r="K503" s="137">
        <f t="shared" si="61"/>
        <v>115</v>
      </c>
      <c r="L503" s="8">
        <v>32749</v>
      </c>
      <c r="M503" s="8">
        <v>32909</v>
      </c>
      <c r="N503" s="137">
        <f t="shared" si="58"/>
        <v>160</v>
      </c>
      <c r="O503" s="128">
        <f t="shared" si="57"/>
        <v>275</v>
      </c>
      <c r="P503" s="8">
        <v>255651</v>
      </c>
      <c r="Q503" s="8">
        <v>255651</v>
      </c>
      <c r="R503" s="128">
        <f t="shared" si="55"/>
        <v>0</v>
      </c>
      <c r="AQ503" s="8"/>
      <c r="AR503" s="8"/>
      <c r="AS503" s="8"/>
    </row>
    <row r="504" spans="1:45">
      <c r="A504" s="12">
        <v>44879</v>
      </c>
      <c r="B504" s="8">
        <v>496759</v>
      </c>
      <c r="C504" s="8">
        <v>496920</v>
      </c>
      <c r="D504" s="128">
        <f t="shared" si="60"/>
        <v>161</v>
      </c>
      <c r="E504" s="8">
        <v>65646</v>
      </c>
      <c r="F504" s="8">
        <v>65988</v>
      </c>
      <c r="G504" s="137">
        <f t="shared" si="59"/>
        <v>342</v>
      </c>
      <c r="H504" s="128">
        <f t="shared" si="56"/>
        <v>503</v>
      </c>
      <c r="I504" s="8">
        <v>695012</v>
      </c>
      <c r="J504" s="8">
        <v>695145</v>
      </c>
      <c r="K504" s="137">
        <f t="shared" si="61"/>
        <v>133</v>
      </c>
      <c r="L504" s="8">
        <v>32909</v>
      </c>
      <c r="M504" s="8">
        <v>32909</v>
      </c>
      <c r="N504" s="137">
        <f t="shared" si="58"/>
        <v>0</v>
      </c>
      <c r="O504" s="128">
        <f t="shared" si="57"/>
        <v>133</v>
      </c>
      <c r="P504" s="8">
        <v>255651</v>
      </c>
      <c r="Q504" s="8">
        <v>255651</v>
      </c>
      <c r="R504" s="128">
        <f t="shared" si="55"/>
        <v>0</v>
      </c>
      <c r="AQ504" s="8"/>
      <c r="AR504" s="8"/>
      <c r="AS504" s="8"/>
    </row>
    <row r="505" spans="1:45">
      <c r="A505" s="12">
        <v>44880</v>
      </c>
      <c r="B505" s="8">
        <v>496920</v>
      </c>
      <c r="C505" s="8">
        <v>497207</v>
      </c>
      <c r="D505" s="128">
        <f t="shared" si="60"/>
        <v>287</v>
      </c>
      <c r="E505" s="8">
        <v>65988</v>
      </c>
      <c r="F505" s="8">
        <v>66411</v>
      </c>
      <c r="G505" s="137">
        <f t="shared" si="59"/>
        <v>423</v>
      </c>
      <c r="H505" s="128">
        <f t="shared" si="56"/>
        <v>710</v>
      </c>
      <c r="I505" s="8">
        <v>695145</v>
      </c>
      <c r="J505" s="8">
        <v>695245</v>
      </c>
      <c r="K505" s="137">
        <f t="shared" si="61"/>
        <v>100</v>
      </c>
      <c r="L505" s="8">
        <v>32909</v>
      </c>
      <c r="M505" s="8">
        <v>33200</v>
      </c>
      <c r="N505" s="137">
        <f t="shared" si="58"/>
        <v>291</v>
      </c>
      <c r="O505" s="128">
        <f t="shared" si="57"/>
        <v>391</v>
      </c>
      <c r="P505" s="8">
        <v>255651</v>
      </c>
      <c r="Q505" s="8">
        <v>255651</v>
      </c>
      <c r="R505" s="128">
        <f t="shared" si="55"/>
        <v>0</v>
      </c>
      <c r="AQ505" s="8"/>
      <c r="AR505" s="8"/>
      <c r="AS505" s="8"/>
    </row>
    <row r="506" spans="1:45">
      <c r="A506" s="12">
        <v>44881</v>
      </c>
      <c r="B506" s="8">
        <v>497207</v>
      </c>
      <c r="C506" s="8">
        <v>497381</v>
      </c>
      <c r="D506" s="128">
        <f t="shared" si="60"/>
        <v>174</v>
      </c>
      <c r="E506" s="8">
        <v>66411</v>
      </c>
      <c r="F506" s="8">
        <v>66587</v>
      </c>
      <c r="G506" s="137">
        <f t="shared" si="59"/>
        <v>176</v>
      </c>
      <c r="H506" s="128">
        <f t="shared" si="56"/>
        <v>350</v>
      </c>
      <c r="I506" s="8">
        <v>695245</v>
      </c>
      <c r="J506" s="8">
        <v>695460</v>
      </c>
      <c r="K506" s="137">
        <f t="shared" si="61"/>
        <v>215</v>
      </c>
      <c r="L506" s="8">
        <v>32909</v>
      </c>
      <c r="M506" s="8">
        <v>33310</v>
      </c>
      <c r="N506" s="137">
        <f t="shared" si="58"/>
        <v>401</v>
      </c>
      <c r="O506" s="128">
        <f t="shared" si="57"/>
        <v>616</v>
      </c>
      <c r="P506" s="8">
        <v>255651</v>
      </c>
      <c r="Q506" s="8">
        <v>255651</v>
      </c>
      <c r="R506" s="128">
        <f t="shared" si="55"/>
        <v>0</v>
      </c>
      <c r="AQ506" s="8"/>
      <c r="AR506" s="8"/>
      <c r="AS506" s="8"/>
    </row>
    <row r="507" spans="1:45">
      <c r="A507" s="12">
        <v>44882</v>
      </c>
      <c r="B507" s="8">
        <v>497381</v>
      </c>
      <c r="C507" s="8">
        <v>497566</v>
      </c>
      <c r="D507" s="128">
        <f t="shared" si="60"/>
        <v>185</v>
      </c>
      <c r="E507" s="8">
        <v>66587</v>
      </c>
      <c r="F507" s="8">
        <v>66998</v>
      </c>
      <c r="G507" s="137">
        <f t="shared" si="59"/>
        <v>411</v>
      </c>
      <c r="H507" s="128">
        <f t="shared" si="56"/>
        <v>596</v>
      </c>
      <c r="I507" s="8">
        <v>695460</v>
      </c>
      <c r="J507" s="8">
        <v>695639</v>
      </c>
      <c r="K507" s="137">
        <f t="shared" si="61"/>
        <v>179</v>
      </c>
      <c r="L507" s="8">
        <v>33200</v>
      </c>
      <c r="M507" s="8">
        <v>33409</v>
      </c>
      <c r="N507" s="137">
        <f t="shared" si="58"/>
        <v>209</v>
      </c>
      <c r="O507" s="128">
        <f t="shared" si="57"/>
        <v>388</v>
      </c>
      <c r="P507" s="8">
        <v>255651</v>
      </c>
      <c r="Q507" s="8">
        <v>255651</v>
      </c>
      <c r="R507" s="128">
        <f t="shared" si="55"/>
        <v>0</v>
      </c>
      <c r="AQ507" s="8"/>
      <c r="AR507" s="8"/>
      <c r="AS507" s="8"/>
    </row>
    <row r="508" spans="1:45">
      <c r="A508" s="12">
        <v>44883</v>
      </c>
      <c r="B508" s="8">
        <v>497566</v>
      </c>
      <c r="C508" s="8">
        <v>497823</v>
      </c>
      <c r="D508" s="128">
        <f t="shared" si="60"/>
        <v>257</v>
      </c>
      <c r="E508" s="8">
        <v>66998</v>
      </c>
      <c r="F508" s="8">
        <v>67506</v>
      </c>
      <c r="G508" s="137">
        <f t="shared" si="59"/>
        <v>508</v>
      </c>
      <c r="H508" s="128">
        <f t="shared" si="56"/>
        <v>765</v>
      </c>
      <c r="I508" s="8">
        <v>695639</v>
      </c>
      <c r="J508" s="8">
        <v>695919</v>
      </c>
      <c r="K508" s="137">
        <f t="shared" si="61"/>
        <v>280</v>
      </c>
      <c r="L508" s="8">
        <v>33409</v>
      </c>
      <c r="M508" s="8">
        <v>33509</v>
      </c>
      <c r="N508" s="137">
        <f t="shared" si="58"/>
        <v>100</v>
      </c>
      <c r="O508" s="128">
        <f t="shared" si="57"/>
        <v>380</v>
      </c>
      <c r="P508" s="8">
        <v>255651</v>
      </c>
      <c r="Q508" s="8">
        <v>255651</v>
      </c>
      <c r="R508" s="128">
        <f t="shared" si="55"/>
        <v>0</v>
      </c>
      <c r="AQ508" s="8"/>
      <c r="AR508" s="8"/>
      <c r="AS508" s="8"/>
    </row>
    <row r="509" spans="1:45">
      <c r="A509" s="12">
        <v>44884</v>
      </c>
      <c r="B509" s="8">
        <v>497823</v>
      </c>
      <c r="C509" s="8">
        <v>498002</v>
      </c>
      <c r="D509" s="128">
        <f t="shared" si="60"/>
        <v>179</v>
      </c>
      <c r="E509" s="8">
        <v>67506</v>
      </c>
      <c r="F509" s="8">
        <v>68048</v>
      </c>
      <c r="G509" s="137">
        <f t="shared" si="59"/>
        <v>542</v>
      </c>
      <c r="H509" s="128">
        <f t="shared" si="56"/>
        <v>721</v>
      </c>
      <c r="I509" s="8">
        <v>695919</v>
      </c>
      <c r="J509" s="8">
        <v>696500</v>
      </c>
      <c r="K509" s="137">
        <f t="shared" si="61"/>
        <v>581</v>
      </c>
      <c r="L509" s="8">
        <v>33509</v>
      </c>
      <c r="M509" s="8">
        <v>33699</v>
      </c>
      <c r="N509" s="137">
        <f t="shared" si="58"/>
        <v>190</v>
      </c>
      <c r="O509" s="128">
        <f t="shared" si="57"/>
        <v>771</v>
      </c>
      <c r="P509" s="8">
        <v>255651</v>
      </c>
      <c r="Q509" s="8">
        <v>255651</v>
      </c>
      <c r="R509" s="128">
        <f t="shared" si="55"/>
        <v>0</v>
      </c>
      <c r="AQ509" s="8"/>
      <c r="AR509" s="8"/>
      <c r="AS509" s="8"/>
    </row>
    <row r="510" spans="1:45">
      <c r="A510" s="12">
        <v>44885</v>
      </c>
      <c r="B510" s="8">
        <v>498002</v>
      </c>
      <c r="C510" s="8">
        <v>498380</v>
      </c>
      <c r="D510" s="128">
        <f t="shared" si="60"/>
        <v>378</v>
      </c>
      <c r="E510" s="8">
        <v>68048</v>
      </c>
      <c r="F510" s="8">
        <v>68573</v>
      </c>
      <c r="G510" s="137">
        <f t="shared" si="59"/>
        <v>525</v>
      </c>
      <c r="H510" s="128">
        <f t="shared" si="56"/>
        <v>903</v>
      </c>
      <c r="I510" s="8">
        <v>696500</v>
      </c>
      <c r="J510" s="8">
        <v>696705</v>
      </c>
      <c r="K510" s="137">
        <f t="shared" si="61"/>
        <v>205</v>
      </c>
      <c r="L510" s="8">
        <v>33699</v>
      </c>
      <c r="M510" s="8">
        <v>33709</v>
      </c>
      <c r="N510" s="137">
        <f t="shared" si="58"/>
        <v>10</v>
      </c>
      <c r="O510" s="128">
        <f t="shared" si="57"/>
        <v>215</v>
      </c>
      <c r="P510" s="8">
        <v>255651</v>
      </c>
      <c r="Q510" s="8">
        <v>255651</v>
      </c>
      <c r="R510" s="128">
        <f t="shared" si="55"/>
        <v>0</v>
      </c>
      <c r="AQ510" s="8"/>
      <c r="AR510" s="8"/>
      <c r="AS510" s="8"/>
    </row>
    <row r="511" spans="1:45">
      <c r="A511" s="12">
        <v>44886</v>
      </c>
      <c r="B511" s="8">
        <v>498380</v>
      </c>
      <c r="C511" s="8">
        <v>498567</v>
      </c>
      <c r="D511" s="128">
        <f t="shared" si="60"/>
        <v>187</v>
      </c>
      <c r="E511" s="8">
        <v>68573</v>
      </c>
      <c r="F511" s="8">
        <v>68832</v>
      </c>
      <c r="G511" s="137">
        <f t="shared" si="59"/>
        <v>259</v>
      </c>
      <c r="H511" s="128">
        <f t="shared" si="56"/>
        <v>446</v>
      </c>
      <c r="I511" s="8">
        <v>696705</v>
      </c>
      <c r="J511" s="8">
        <v>696901</v>
      </c>
      <c r="K511" s="137">
        <f t="shared" si="61"/>
        <v>196</v>
      </c>
      <c r="L511" s="8">
        <v>33709</v>
      </c>
      <c r="M511" s="8">
        <v>33749</v>
      </c>
      <c r="N511" s="137">
        <f t="shared" si="58"/>
        <v>40</v>
      </c>
      <c r="O511" s="128">
        <f t="shared" si="57"/>
        <v>236</v>
      </c>
      <c r="P511" s="8">
        <v>255651</v>
      </c>
      <c r="Q511" s="8">
        <v>255651</v>
      </c>
      <c r="R511" s="128">
        <f t="shared" ref="R511:R541" si="62">Q511-P511</f>
        <v>0</v>
      </c>
      <c r="AQ511" s="8"/>
      <c r="AR511" s="8"/>
      <c r="AS511" s="8"/>
    </row>
    <row r="512" spans="1:45">
      <c r="A512" s="12">
        <v>44887</v>
      </c>
      <c r="B512" s="8">
        <v>498567</v>
      </c>
      <c r="C512" s="8">
        <v>498759</v>
      </c>
      <c r="D512" s="128">
        <f t="shared" si="60"/>
        <v>192</v>
      </c>
      <c r="E512" s="8">
        <v>68832</v>
      </c>
      <c r="F512" s="8">
        <v>69098</v>
      </c>
      <c r="G512" s="137">
        <f t="shared" si="59"/>
        <v>266</v>
      </c>
      <c r="H512" s="128">
        <f t="shared" si="56"/>
        <v>458</v>
      </c>
      <c r="I512" s="8">
        <v>696901</v>
      </c>
      <c r="J512" s="8">
        <v>697107</v>
      </c>
      <c r="K512" s="137">
        <f t="shared" si="61"/>
        <v>206</v>
      </c>
      <c r="L512" s="8">
        <v>33749</v>
      </c>
      <c r="M512" s="8">
        <v>33809</v>
      </c>
      <c r="N512" s="137">
        <f t="shared" si="58"/>
        <v>60</v>
      </c>
      <c r="O512" s="128">
        <f t="shared" si="57"/>
        <v>266</v>
      </c>
      <c r="P512" s="8">
        <v>255651</v>
      </c>
      <c r="Q512" s="8">
        <v>255651</v>
      </c>
      <c r="R512" s="128">
        <f t="shared" si="62"/>
        <v>0</v>
      </c>
      <c r="AQ512" s="8"/>
      <c r="AR512" s="8"/>
      <c r="AS512" s="8"/>
    </row>
    <row r="513" spans="1:45">
      <c r="A513" s="12">
        <v>44888</v>
      </c>
      <c r="B513" s="8">
        <v>498759</v>
      </c>
      <c r="C513" s="8">
        <v>498911</v>
      </c>
      <c r="D513" s="128">
        <f t="shared" si="60"/>
        <v>152</v>
      </c>
      <c r="E513" s="8">
        <v>69098</v>
      </c>
      <c r="F513" s="8">
        <v>69301</v>
      </c>
      <c r="G513" s="137">
        <f t="shared" si="59"/>
        <v>203</v>
      </c>
      <c r="H513" s="128">
        <f>D513+G513</f>
        <v>355</v>
      </c>
      <c r="I513" s="8">
        <v>697107</v>
      </c>
      <c r="J513" s="8">
        <v>697302</v>
      </c>
      <c r="K513" s="137">
        <f t="shared" si="61"/>
        <v>195</v>
      </c>
      <c r="L513" s="8">
        <v>33809</v>
      </c>
      <c r="M513" s="8">
        <v>33910</v>
      </c>
      <c r="N513" s="137">
        <f t="shared" si="58"/>
        <v>101</v>
      </c>
      <c r="O513" s="128">
        <f t="shared" si="57"/>
        <v>296</v>
      </c>
      <c r="P513" s="8">
        <v>255651</v>
      </c>
      <c r="Q513" s="8">
        <v>256431</v>
      </c>
      <c r="R513" s="128">
        <f t="shared" si="62"/>
        <v>780</v>
      </c>
      <c r="AQ513" s="8"/>
      <c r="AR513" s="8"/>
      <c r="AS513" s="8"/>
    </row>
    <row r="514" spans="1:45">
      <c r="A514" s="12">
        <v>44889</v>
      </c>
      <c r="B514" s="8">
        <v>498911</v>
      </c>
      <c r="C514" s="8">
        <v>499073</v>
      </c>
      <c r="D514" s="128">
        <f t="shared" si="60"/>
        <v>162</v>
      </c>
      <c r="E514" s="8">
        <v>69301</v>
      </c>
      <c r="F514" s="8">
        <v>69485</v>
      </c>
      <c r="G514" s="137">
        <f t="shared" si="59"/>
        <v>184</v>
      </c>
      <c r="H514" s="128">
        <f>D514+G521</f>
        <v>427</v>
      </c>
      <c r="I514" s="8">
        <v>697302</v>
      </c>
      <c r="J514" s="8">
        <v>697422</v>
      </c>
      <c r="K514" s="137">
        <f t="shared" si="61"/>
        <v>120</v>
      </c>
      <c r="L514" s="8">
        <v>33910</v>
      </c>
      <c r="M514" s="8">
        <v>34100</v>
      </c>
      <c r="N514" s="137">
        <f t="shared" si="58"/>
        <v>190</v>
      </c>
      <c r="O514" s="128">
        <f t="shared" si="57"/>
        <v>310</v>
      </c>
      <c r="P514" s="8">
        <v>256431</v>
      </c>
      <c r="Q514" s="8">
        <v>258419</v>
      </c>
      <c r="R514" s="128">
        <f t="shared" si="62"/>
        <v>1988</v>
      </c>
      <c r="S514" s="8" t="s">
        <v>1528</v>
      </c>
      <c r="AQ514" s="8"/>
      <c r="AR514" s="8"/>
      <c r="AS514" s="8"/>
    </row>
    <row r="515" spans="1:45">
      <c r="A515" s="12">
        <v>44890</v>
      </c>
      <c r="B515" s="8">
        <v>499073</v>
      </c>
      <c r="C515" s="8">
        <v>499304</v>
      </c>
      <c r="D515" s="128">
        <f t="shared" si="60"/>
        <v>231</v>
      </c>
      <c r="E515" s="8">
        <v>69485</v>
      </c>
      <c r="F515" s="8">
        <v>69744</v>
      </c>
      <c r="G515" s="137">
        <f t="shared" si="59"/>
        <v>259</v>
      </c>
      <c r="H515" s="128">
        <f>D515+G515</f>
        <v>490</v>
      </c>
      <c r="I515" s="8">
        <v>697422</v>
      </c>
      <c r="J515" s="8">
        <v>697628</v>
      </c>
      <c r="K515" s="137">
        <f t="shared" si="61"/>
        <v>206</v>
      </c>
      <c r="L515" s="8">
        <v>34100</v>
      </c>
      <c r="M515" s="8">
        <v>34275</v>
      </c>
      <c r="N515" s="137">
        <f t="shared" si="58"/>
        <v>175</v>
      </c>
      <c r="O515" s="128">
        <f t="shared" si="57"/>
        <v>381</v>
      </c>
      <c r="P515" s="8">
        <v>258419</v>
      </c>
      <c r="Q515" s="8">
        <v>259253</v>
      </c>
      <c r="R515" s="128">
        <f t="shared" si="62"/>
        <v>834</v>
      </c>
      <c r="AQ515" s="8"/>
      <c r="AR515" s="8"/>
      <c r="AS515" s="8"/>
    </row>
    <row r="516" spans="1:45">
      <c r="A516" s="12">
        <v>44891</v>
      </c>
      <c r="B516" s="8">
        <v>499304</v>
      </c>
      <c r="C516" s="8">
        <v>499456</v>
      </c>
      <c r="D516" s="128">
        <f t="shared" si="60"/>
        <v>152</v>
      </c>
      <c r="E516" s="8">
        <v>69744</v>
      </c>
      <c r="F516" s="8">
        <v>69947</v>
      </c>
      <c r="G516" s="137">
        <f t="shared" si="59"/>
        <v>203</v>
      </c>
      <c r="H516" s="128">
        <f t="shared" ref="H516:H537" si="63">D516+G516</f>
        <v>355</v>
      </c>
      <c r="I516" s="8">
        <v>697628</v>
      </c>
      <c r="J516" s="8">
        <v>697808</v>
      </c>
      <c r="K516" s="137">
        <f t="shared" si="61"/>
        <v>180</v>
      </c>
      <c r="L516" s="8">
        <v>34275</v>
      </c>
      <c r="M516" s="8">
        <v>34445</v>
      </c>
      <c r="N516" s="137">
        <f t="shared" si="58"/>
        <v>170</v>
      </c>
      <c r="O516" s="128">
        <f t="shared" ref="O516:O580" si="64">N516+K516</f>
        <v>350</v>
      </c>
      <c r="P516" s="8">
        <v>259253</v>
      </c>
      <c r="Q516" s="8">
        <v>259928</v>
      </c>
      <c r="R516" s="128">
        <f t="shared" si="62"/>
        <v>675</v>
      </c>
      <c r="AQ516" s="8"/>
      <c r="AR516" s="8"/>
      <c r="AS516" s="8"/>
    </row>
    <row r="517" spans="1:45">
      <c r="A517" s="12">
        <v>44892</v>
      </c>
      <c r="B517" s="8">
        <v>499456</v>
      </c>
      <c r="C517" s="8">
        <v>499706</v>
      </c>
      <c r="D517" s="128">
        <f t="shared" si="60"/>
        <v>250</v>
      </c>
      <c r="E517" s="8">
        <v>69947</v>
      </c>
      <c r="F517" s="8">
        <v>70321</v>
      </c>
      <c r="G517" s="137">
        <f t="shared" si="59"/>
        <v>374</v>
      </c>
      <c r="H517" s="128">
        <f t="shared" si="63"/>
        <v>624</v>
      </c>
      <c r="I517" s="8">
        <v>697808</v>
      </c>
      <c r="J517" s="8">
        <v>697944</v>
      </c>
      <c r="K517" s="137">
        <f t="shared" si="61"/>
        <v>136</v>
      </c>
      <c r="L517" s="8">
        <v>34445</v>
      </c>
      <c r="M517" s="8">
        <v>34483</v>
      </c>
      <c r="N517" s="137">
        <f t="shared" si="58"/>
        <v>38</v>
      </c>
      <c r="O517" s="128">
        <f t="shared" si="64"/>
        <v>174</v>
      </c>
      <c r="P517" s="8">
        <v>259928</v>
      </c>
      <c r="Q517" s="8">
        <v>260616</v>
      </c>
      <c r="R517" s="128">
        <f t="shared" si="62"/>
        <v>688</v>
      </c>
      <c r="AQ517" s="8"/>
      <c r="AR517" s="8"/>
      <c r="AS517" s="8"/>
    </row>
    <row r="518" spans="1:45">
      <c r="A518" s="12">
        <v>44893</v>
      </c>
      <c r="B518" s="8">
        <v>499706</v>
      </c>
      <c r="C518" s="8">
        <v>499899</v>
      </c>
      <c r="D518" s="128">
        <f t="shared" si="60"/>
        <v>193</v>
      </c>
      <c r="E518" s="8">
        <v>70321</v>
      </c>
      <c r="F518" s="8">
        <v>70520</v>
      </c>
      <c r="G518" s="137">
        <f t="shared" si="59"/>
        <v>199</v>
      </c>
      <c r="H518" s="128">
        <f t="shared" si="63"/>
        <v>392</v>
      </c>
      <c r="I518" s="8">
        <v>697944</v>
      </c>
      <c r="J518" s="8">
        <v>698124</v>
      </c>
      <c r="K518" s="137">
        <f t="shared" si="61"/>
        <v>180</v>
      </c>
      <c r="L518" s="8">
        <v>34483</v>
      </c>
      <c r="M518" s="8">
        <v>34510</v>
      </c>
      <c r="N518" s="137">
        <f t="shared" si="58"/>
        <v>27</v>
      </c>
      <c r="O518" s="128">
        <f t="shared" si="64"/>
        <v>207</v>
      </c>
      <c r="P518" s="8">
        <v>260616</v>
      </c>
      <c r="Q518" s="8">
        <v>260858</v>
      </c>
      <c r="R518" s="128">
        <f t="shared" si="62"/>
        <v>242</v>
      </c>
      <c r="AQ518" s="8"/>
      <c r="AR518" s="8"/>
      <c r="AS518" s="8"/>
    </row>
    <row r="519" spans="1:45">
      <c r="A519" s="12">
        <v>44894</v>
      </c>
      <c r="B519" s="8">
        <v>499899</v>
      </c>
      <c r="C519" s="8">
        <v>500101</v>
      </c>
      <c r="D519" s="128">
        <f t="shared" si="60"/>
        <v>202</v>
      </c>
      <c r="E519" s="8">
        <v>70520</v>
      </c>
      <c r="F519" s="8">
        <v>70841</v>
      </c>
      <c r="G519" s="137">
        <f t="shared" ref="G519:G563" si="65">F519-E519</f>
        <v>321</v>
      </c>
      <c r="H519" s="128">
        <f t="shared" si="63"/>
        <v>523</v>
      </c>
      <c r="I519" s="8">
        <v>698124</v>
      </c>
      <c r="J519" s="8">
        <v>698348</v>
      </c>
      <c r="K519" s="137">
        <f t="shared" si="61"/>
        <v>224</v>
      </c>
      <c r="L519" s="8">
        <v>34510</v>
      </c>
      <c r="M519" s="8">
        <v>34609</v>
      </c>
      <c r="N519" s="137">
        <f t="shared" si="58"/>
        <v>99</v>
      </c>
      <c r="O519" s="128">
        <f t="shared" si="64"/>
        <v>323</v>
      </c>
      <c r="P519" s="8">
        <v>260858</v>
      </c>
      <c r="Q519" s="8">
        <v>260955</v>
      </c>
      <c r="R519" s="128">
        <f t="shared" si="62"/>
        <v>97</v>
      </c>
      <c r="S519" s="8" t="s">
        <v>1529</v>
      </c>
      <c r="AQ519" s="8"/>
      <c r="AR519" s="8"/>
      <c r="AS519" s="8"/>
    </row>
    <row r="520" spans="1:45">
      <c r="A520" s="12">
        <v>44895</v>
      </c>
      <c r="B520" s="8">
        <v>500101</v>
      </c>
      <c r="C520" s="8">
        <v>500316</v>
      </c>
      <c r="D520" s="128">
        <f t="shared" si="60"/>
        <v>215</v>
      </c>
      <c r="E520" s="8">
        <v>70841</v>
      </c>
      <c r="F520" s="8">
        <v>71229</v>
      </c>
      <c r="G520" s="137">
        <f t="shared" si="65"/>
        <v>388</v>
      </c>
      <c r="H520" s="128">
        <f t="shared" si="63"/>
        <v>603</v>
      </c>
      <c r="I520" s="8">
        <v>698348</v>
      </c>
      <c r="J520" s="8">
        <v>698558</v>
      </c>
      <c r="K520" s="137">
        <f t="shared" si="61"/>
        <v>210</v>
      </c>
      <c r="L520" s="8">
        <v>34609</v>
      </c>
      <c r="M520" s="8">
        <v>34709</v>
      </c>
      <c r="N520" s="137">
        <f t="shared" ref="N520:N583" si="66">M520-L520</f>
        <v>100</v>
      </c>
      <c r="O520" s="128">
        <f t="shared" si="64"/>
        <v>310</v>
      </c>
      <c r="P520" s="8">
        <v>260955</v>
      </c>
      <c r="Q520" s="8">
        <v>261189</v>
      </c>
      <c r="R520" s="128">
        <f t="shared" si="62"/>
        <v>234</v>
      </c>
      <c r="AQ520" s="8"/>
      <c r="AR520" s="8"/>
      <c r="AS520" s="8"/>
    </row>
    <row r="521" spans="1:45">
      <c r="A521" s="12">
        <v>44896</v>
      </c>
      <c r="B521" s="8">
        <v>500316</v>
      </c>
      <c r="C521" s="8">
        <v>500542</v>
      </c>
      <c r="D521" s="128">
        <f t="shared" si="60"/>
        <v>226</v>
      </c>
      <c r="E521" s="8">
        <v>71229</v>
      </c>
      <c r="F521" s="8">
        <v>71494</v>
      </c>
      <c r="G521" s="137">
        <f t="shared" si="65"/>
        <v>265</v>
      </c>
      <c r="H521" s="128">
        <f t="shared" si="63"/>
        <v>491</v>
      </c>
      <c r="I521" s="8">
        <v>698558</v>
      </c>
      <c r="J521" s="8">
        <v>698831</v>
      </c>
      <c r="K521" s="137">
        <f t="shared" si="61"/>
        <v>273</v>
      </c>
      <c r="L521" s="8">
        <v>34709</v>
      </c>
      <c r="M521" s="8">
        <v>34874</v>
      </c>
      <c r="N521" s="137">
        <f t="shared" si="66"/>
        <v>165</v>
      </c>
      <c r="O521" s="128">
        <f t="shared" si="64"/>
        <v>438</v>
      </c>
      <c r="P521" s="8">
        <v>261189</v>
      </c>
      <c r="Q521" s="8">
        <v>261253</v>
      </c>
      <c r="R521" s="128">
        <f t="shared" si="62"/>
        <v>64</v>
      </c>
      <c r="AQ521" s="8"/>
      <c r="AR521" s="8"/>
      <c r="AS521" s="8"/>
    </row>
    <row r="522" spans="1:45">
      <c r="A522" s="12">
        <v>44897</v>
      </c>
      <c r="B522" s="8">
        <v>500542</v>
      </c>
      <c r="C522" s="8">
        <v>500779</v>
      </c>
      <c r="D522" s="128">
        <f t="shared" si="60"/>
        <v>237</v>
      </c>
      <c r="E522" s="8">
        <v>71494</v>
      </c>
      <c r="F522" s="8">
        <v>71879</v>
      </c>
      <c r="G522" s="137">
        <f t="shared" si="65"/>
        <v>385</v>
      </c>
      <c r="H522" s="128">
        <f t="shared" si="63"/>
        <v>622</v>
      </c>
      <c r="I522" s="8">
        <v>698831</v>
      </c>
      <c r="J522" s="8">
        <v>699019</v>
      </c>
      <c r="K522" s="137">
        <f t="shared" si="61"/>
        <v>188</v>
      </c>
      <c r="L522" s="8">
        <v>34874</v>
      </c>
      <c r="M522" s="8">
        <v>34909</v>
      </c>
      <c r="N522" s="137">
        <f t="shared" si="66"/>
        <v>35</v>
      </c>
      <c r="O522" s="128">
        <f t="shared" si="64"/>
        <v>223</v>
      </c>
      <c r="P522" s="8">
        <v>261253</v>
      </c>
      <c r="Q522" s="8">
        <v>261450</v>
      </c>
      <c r="R522" s="128">
        <f t="shared" si="62"/>
        <v>197</v>
      </c>
      <c r="AQ522" s="8"/>
      <c r="AR522" s="8"/>
      <c r="AS522" s="8"/>
    </row>
    <row r="523" spans="1:45">
      <c r="A523" s="12">
        <v>44898</v>
      </c>
      <c r="B523" s="8">
        <v>500779</v>
      </c>
      <c r="C523" s="8">
        <v>500893</v>
      </c>
      <c r="D523" s="128">
        <f t="shared" si="60"/>
        <v>114</v>
      </c>
      <c r="E523" s="8">
        <v>71879</v>
      </c>
      <c r="F523" s="8">
        <v>71936</v>
      </c>
      <c r="G523" s="137">
        <f t="shared" si="65"/>
        <v>57</v>
      </c>
      <c r="H523" s="128">
        <f t="shared" si="63"/>
        <v>171</v>
      </c>
      <c r="I523" s="8">
        <v>699019</v>
      </c>
      <c r="J523" s="8">
        <v>699234</v>
      </c>
      <c r="K523" s="137">
        <f t="shared" si="61"/>
        <v>215</v>
      </c>
      <c r="L523" s="8">
        <v>34909</v>
      </c>
      <c r="M523" s="8">
        <v>35070</v>
      </c>
      <c r="N523" s="137">
        <f t="shared" si="66"/>
        <v>161</v>
      </c>
      <c r="O523" s="128">
        <f t="shared" si="64"/>
        <v>376</v>
      </c>
      <c r="P523" s="8">
        <v>261450</v>
      </c>
      <c r="Q523" s="8">
        <v>261450</v>
      </c>
      <c r="R523" s="128">
        <f t="shared" si="62"/>
        <v>0</v>
      </c>
      <c r="AQ523" s="8"/>
      <c r="AR523" s="8"/>
      <c r="AS523" s="8"/>
    </row>
    <row r="524" spans="1:45">
      <c r="A524" s="12">
        <v>44899</v>
      </c>
      <c r="B524" s="8">
        <v>500893</v>
      </c>
      <c r="C524" s="8">
        <v>501021</v>
      </c>
      <c r="D524" s="128">
        <f t="shared" si="60"/>
        <v>128</v>
      </c>
      <c r="E524" s="8">
        <v>71936</v>
      </c>
      <c r="F524" s="8">
        <v>72165</v>
      </c>
      <c r="G524" s="137">
        <f t="shared" si="65"/>
        <v>229</v>
      </c>
      <c r="H524" s="128">
        <f t="shared" si="63"/>
        <v>357</v>
      </c>
      <c r="I524" s="8">
        <v>699234</v>
      </c>
      <c r="J524" s="8">
        <v>699395</v>
      </c>
      <c r="K524" s="137">
        <f t="shared" si="61"/>
        <v>161</v>
      </c>
      <c r="L524" s="8">
        <v>35070</v>
      </c>
      <c r="M524" s="8">
        <v>35101</v>
      </c>
      <c r="N524" s="137">
        <f t="shared" si="66"/>
        <v>31</v>
      </c>
      <c r="O524" s="128">
        <f t="shared" si="64"/>
        <v>192</v>
      </c>
      <c r="P524" s="8">
        <v>261450</v>
      </c>
      <c r="Q524" s="8">
        <v>261775</v>
      </c>
      <c r="R524" s="128">
        <f t="shared" si="62"/>
        <v>325</v>
      </c>
      <c r="AQ524" s="8"/>
      <c r="AR524" s="8"/>
      <c r="AS524" s="8"/>
    </row>
    <row r="525" spans="1:45">
      <c r="A525" s="12">
        <v>44900</v>
      </c>
      <c r="B525" s="8">
        <v>501021</v>
      </c>
      <c r="C525" s="8">
        <v>501264</v>
      </c>
      <c r="D525" s="128">
        <f t="shared" si="60"/>
        <v>243</v>
      </c>
      <c r="E525" s="8">
        <v>72165</v>
      </c>
      <c r="F525" s="8">
        <v>72534</v>
      </c>
      <c r="G525" s="137">
        <f t="shared" si="65"/>
        <v>369</v>
      </c>
      <c r="H525" s="128">
        <f t="shared" si="63"/>
        <v>612</v>
      </c>
      <c r="I525" s="8">
        <v>699395</v>
      </c>
      <c r="J525" s="8">
        <v>699627</v>
      </c>
      <c r="K525" s="137">
        <f t="shared" si="61"/>
        <v>232</v>
      </c>
      <c r="L525" s="8">
        <v>35101</v>
      </c>
      <c r="M525" s="8">
        <v>35109</v>
      </c>
      <c r="N525" s="137">
        <f t="shared" si="66"/>
        <v>8</v>
      </c>
      <c r="O525" s="128">
        <f t="shared" si="64"/>
        <v>240</v>
      </c>
      <c r="P525" s="8">
        <v>261775</v>
      </c>
      <c r="Q525" s="8">
        <v>261775</v>
      </c>
      <c r="R525" s="128">
        <f t="shared" si="62"/>
        <v>0</v>
      </c>
      <c r="AQ525" s="8"/>
      <c r="AR525" s="8"/>
      <c r="AS525" s="8"/>
    </row>
    <row r="526" spans="1:45">
      <c r="A526" s="12">
        <v>44901</v>
      </c>
      <c r="B526" s="8">
        <v>501264</v>
      </c>
      <c r="C526" s="8">
        <v>501534</v>
      </c>
      <c r="D526" s="128">
        <f t="shared" si="60"/>
        <v>270</v>
      </c>
      <c r="E526" s="8">
        <v>72534</v>
      </c>
      <c r="F526" s="8">
        <v>72948</v>
      </c>
      <c r="G526" s="137">
        <f t="shared" si="65"/>
        <v>414</v>
      </c>
      <c r="H526" s="128">
        <f t="shared" si="63"/>
        <v>684</v>
      </c>
      <c r="I526" s="8">
        <v>699627</v>
      </c>
      <c r="J526" s="8">
        <v>699867</v>
      </c>
      <c r="K526" s="137">
        <f t="shared" si="61"/>
        <v>240</v>
      </c>
      <c r="L526" s="8">
        <v>35109</v>
      </c>
      <c r="M526" s="8">
        <v>35309</v>
      </c>
      <c r="N526" s="137">
        <f t="shared" si="66"/>
        <v>200</v>
      </c>
      <c r="O526" s="128">
        <f t="shared" si="64"/>
        <v>440</v>
      </c>
      <c r="P526" s="8">
        <v>261775</v>
      </c>
      <c r="Q526" s="8">
        <v>261986</v>
      </c>
      <c r="R526" s="128">
        <f t="shared" si="62"/>
        <v>211</v>
      </c>
      <c r="AQ526" s="8"/>
      <c r="AR526" s="8"/>
      <c r="AS526" s="8"/>
    </row>
    <row r="527" spans="1:45">
      <c r="A527" s="12">
        <v>44902</v>
      </c>
      <c r="B527" s="8">
        <v>501534</v>
      </c>
      <c r="C527" s="8">
        <v>501846</v>
      </c>
      <c r="D527" s="128">
        <f t="shared" si="60"/>
        <v>312</v>
      </c>
      <c r="E527" s="8">
        <v>72948</v>
      </c>
      <c r="F527" s="8">
        <v>73340</v>
      </c>
      <c r="G527" s="137">
        <f t="shared" si="65"/>
        <v>392</v>
      </c>
      <c r="H527" s="128">
        <f t="shared" si="63"/>
        <v>704</v>
      </c>
      <c r="I527" s="8">
        <v>699867</v>
      </c>
      <c r="J527" s="8">
        <v>699963</v>
      </c>
      <c r="K527" s="137">
        <f t="shared" si="61"/>
        <v>96</v>
      </c>
      <c r="L527" s="8">
        <v>35309</v>
      </c>
      <c r="M527" s="8">
        <v>35409</v>
      </c>
      <c r="N527" s="137">
        <f t="shared" si="66"/>
        <v>100</v>
      </c>
      <c r="O527" s="128">
        <f t="shared" si="64"/>
        <v>196</v>
      </c>
      <c r="P527" s="8">
        <v>261986</v>
      </c>
      <c r="Q527" s="8">
        <v>262235</v>
      </c>
      <c r="R527" s="128">
        <f t="shared" si="62"/>
        <v>249</v>
      </c>
      <c r="AQ527" s="8"/>
      <c r="AR527" s="8"/>
      <c r="AS527" s="8"/>
    </row>
    <row r="528" spans="1:45">
      <c r="A528" s="12">
        <v>44903</v>
      </c>
      <c r="B528" s="8">
        <v>501846</v>
      </c>
      <c r="C528" s="8">
        <v>502124</v>
      </c>
      <c r="D528" s="128">
        <f t="shared" si="60"/>
        <v>278</v>
      </c>
      <c r="E528" s="8">
        <v>73340</v>
      </c>
      <c r="F528" s="8">
        <v>73806</v>
      </c>
      <c r="G528" s="137">
        <f t="shared" si="65"/>
        <v>466</v>
      </c>
      <c r="H528" s="128">
        <f t="shared" si="63"/>
        <v>744</v>
      </c>
      <c r="I528" s="8">
        <v>699963</v>
      </c>
      <c r="J528" s="8">
        <v>700170</v>
      </c>
      <c r="K528" s="137">
        <f t="shared" si="61"/>
        <v>207</v>
      </c>
      <c r="L528" s="8">
        <v>35409</v>
      </c>
      <c r="M528" s="8">
        <v>35509</v>
      </c>
      <c r="N528" s="137">
        <f t="shared" si="66"/>
        <v>100</v>
      </c>
      <c r="O528" s="128">
        <f t="shared" si="64"/>
        <v>307</v>
      </c>
      <c r="P528" s="8">
        <v>262235</v>
      </c>
      <c r="Q528" s="8">
        <v>262494</v>
      </c>
      <c r="R528" s="128">
        <f t="shared" si="62"/>
        <v>259</v>
      </c>
      <c r="AQ528" s="8"/>
      <c r="AR528" s="8"/>
      <c r="AS528" s="8"/>
    </row>
    <row r="529" spans="1:45">
      <c r="A529" s="12">
        <v>44904</v>
      </c>
      <c r="B529" s="8">
        <v>502124</v>
      </c>
      <c r="C529" s="8">
        <v>502342</v>
      </c>
      <c r="D529" s="128">
        <f t="shared" si="60"/>
        <v>218</v>
      </c>
      <c r="E529" s="8">
        <v>73806</v>
      </c>
      <c r="F529" s="8">
        <v>74103</v>
      </c>
      <c r="G529" s="137">
        <f t="shared" si="65"/>
        <v>297</v>
      </c>
      <c r="H529" s="128">
        <f t="shared" si="63"/>
        <v>515</v>
      </c>
      <c r="I529" s="8">
        <v>700170</v>
      </c>
      <c r="J529" s="8">
        <v>700365</v>
      </c>
      <c r="K529" s="137">
        <f t="shared" si="61"/>
        <v>195</v>
      </c>
      <c r="L529" s="8">
        <v>35509</v>
      </c>
      <c r="M529" s="8">
        <v>35600</v>
      </c>
      <c r="N529" s="137">
        <f t="shared" si="66"/>
        <v>91</v>
      </c>
      <c r="O529" s="128">
        <f t="shared" si="64"/>
        <v>286</v>
      </c>
      <c r="P529" s="8">
        <v>262494</v>
      </c>
      <c r="Q529" s="8">
        <v>262914</v>
      </c>
      <c r="R529" s="128">
        <f t="shared" si="62"/>
        <v>420</v>
      </c>
      <c r="AQ529" s="8"/>
      <c r="AR529" s="8"/>
      <c r="AS529" s="8"/>
    </row>
    <row r="530" spans="1:45">
      <c r="A530" s="12">
        <v>44905</v>
      </c>
      <c r="B530" s="8">
        <v>502342</v>
      </c>
      <c r="C530" s="8">
        <v>502681</v>
      </c>
      <c r="D530" s="128">
        <f t="shared" si="60"/>
        <v>339</v>
      </c>
      <c r="E530" s="8">
        <v>74103</v>
      </c>
      <c r="F530" s="8">
        <v>74513</v>
      </c>
      <c r="G530" s="137">
        <f t="shared" si="65"/>
        <v>410</v>
      </c>
      <c r="H530" s="128">
        <f t="shared" si="63"/>
        <v>749</v>
      </c>
      <c r="I530" s="8">
        <v>700365</v>
      </c>
      <c r="J530" s="8">
        <v>700568</v>
      </c>
      <c r="K530" s="137">
        <f t="shared" si="61"/>
        <v>203</v>
      </c>
      <c r="L530" s="8">
        <v>35600</v>
      </c>
      <c r="M530" s="8">
        <v>35600</v>
      </c>
      <c r="N530" s="137">
        <f t="shared" si="66"/>
        <v>0</v>
      </c>
      <c r="O530" s="128">
        <f t="shared" si="64"/>
        <v>203</v>
      </c>
      <c r="P530" s="8">
        <v>262914</v>
      </c>
      <c r="Q530" s="8">
        <v>262914</v>
      </c>
      <c r="R530" s="128">
        <f t="shared" si="62"/>
        <v>0</v>
      </c>
      <c r="AQ530" s="8"/>
      <c r="AR530" s="8"/>
      <c r="AS530" s="8"/>
    </row>
    <row r="531" spans="1:45">
      <c r="A531" s="12">
        <v>44906</v>
      </c>
      <c r="B531" s="8">
        <v>502681</v>
      </c>
      <c r="C531" s="8">
        <v>502973</v>
      </c>
      <c r="D531" s="128">
        <f t="shared" ref="D531:D598" si="67">C531-B531</f>
        <v>292</v>
      </c>
      <c r="E531" s="8">
        <v>74513</v>
      </c>
      <c r="F531" s="8">
        <v>74997</v>
      </c>
      <c r="G531" s="137">
        <f t="shared" si="65"/>
        <v>484</v>
      </c>
      <c r="H531" s="128">
        <f t="shared" si="63"/>
        <v>776</v>
      </c>
      <c r="I531" s="8">
        <v>700568</v>
      </c>
      <c r="J531" s="8">
        <v>700750</v>
      </c>
      <c r="K531" s="137">
        <f t="shared" si="61"/>
        <v>182</v>
      </c>
      <c r="L531" s="8">
        <v>35600</v>
      </c>
      <c r="M531" s="8">
        <v>35600</v>
      </c>
      <c r="N531" s="137">
        <f t="shared" si="66"/>
        <v>0</v>
      </c>
      <c r="O531" s="128">
        <f t="shared" si="64"/>
        <v>182</v>
      </c>
      <c r="P531" s="8">
        <v>262914</v>
      </c>
      <c r="Q531" s="8">
        <v>263838</v>
      </c>
      <c r="R531" s="128">
        <f t="shared" si="62"/>
        <v>924</v>
      </c>
      <c r="AQ531" s="8"/>
      <c r="AR531" s="8"/>
      <c r="AS531" s="8"/>
    </row>
    <row r="532" spans="1:45">
      <c r="A532" s="12">
        <v>44907</v>
      </c>
      <c r="B532" s="8">
        <v>502973</v>
      </c>
      <c r="C532" s="8">
        <v>503148</v>
      </c>
      <c r="D532" s="128">
        <f t="shared" si="67"/>
        <v>175</v>
      </c>
      <c r="E532" s="8">
        <v>74997</v>
      </c>
      <c r="F532" s="8">
        <v>75257</v>
      </c>
      <c r="G532" s="137">
        <f t="shared" si="65"/>
        <v>260</v>
      </c>
      <c r="H532" s="128">
        <f t="shared" si="63"/>
        <v>435</v>
      </c>
      <c r="I532" s="8">
        <v>700750</v>
      </c>
      <c r="J532" s="8">
        <v>700950</v>
      </c>
      <c r="K532" s="137">
        <f t="shared" si="61"/>
        <v>200</v>
      </c>
      <c r="L532" s="8">
        <v>35600</v>
      </c>
      <c r="M532" s="8">
        <v>35709</v>
      </c>
      <c r="N532" s="137">
        <f t="shared" si="66"/>
        <v>109</v>
      </c>
      <c r="O532" s="128">
        <f t="shared" si="64"/>
        <v>309</v>
      </c>
      <c r="P532" s="8">
        <v>263838</v>
      </c>
      <c r="Q532" s="8">
        <v>264069</v>
      </c>
      <c r="R532" s="128">
        <f t="shared" si="62"/>
        <v>231</v>
      </c>
      <c r="AQ532" s="8"/>
      <c r="AR532" s="8"/>
      <c r="AS532" s="8"/>
    </row>
    <row r="533" spans="1:45">
      <c r="A533" s="12">
        <v>44908</v>
      </c>
      <c r="B533" s="8">
        <v>503148</v>
      </c>
      <c r="C533" s="8">
        <v>503373</v>
      </c>
      <c r="D533" s="128">
        <f t="shared" si="67"/>
        <v>225</v>
      </c>
      <c r="E533" s="8">
        <v>75257</v>
      </c>
      <c r="F533" s="8">
        <v>75571</v>
      </c>
      <c r="G533" s="137">
        <f t="shared" si="65"/>
        <v>314</v>
      </c>
      <c r="H533" s="128">
        <f t="shared" si="63"/>
        <v>539</v>
      </c>
      <c r="I533" s="8">
        <v>700950</v>
      </c>
      <c r="J533" s="8">
        <v>701143</v>
      </c>
      <c r="K533" s="137">
        <f t="shared" si="61"/>
        <v>193</v>
      </c>
      <c r="L533" s="8">
        <v>35709</v>
      </c>
      <c r="M533" s="8">
        <v>35809</v>
      </c>
      <c r="N533" s="137">
        <f t="shared" si="66"/>
        <v>100</v>
      </c>
      <c r="O533" s="128">
        <f t="shared" si="64"/>
        <v>293</v>
      </c>
      <c r="P533" s="8">
        <v>264069</v>
      </c>
      <c r="Q533" s="8">
        <v>264108</v>
      </c>
      <c r="R533" s="128">
        <f t="shared" si="62"/>
        <v>39</v>
      </c>
      <c r="AQ533" s="8"/>
      <c r="AR533" s="8"/>
      <c r="AS533" s="8"/>
    </row>
    <row r="534" spans="1:45">
      <c r="A534" s="12">
        <v>44909</v>
      </c>
      <c r="B534" s="8">
        <v>503373</v>
      </c>
      <c r="C534" s="8">
        <v>503453</v>
      </c>
      <c r="D534" s="128">
        <f t="shared" si="67"/>
        <v>80</v>
      </c>
      <c r="E534" s="8">
        <v>75571</v>
      </c>
      <c r="F534" s="8">
        <v>75601</v>
      </c>
      <c r="G534" s="137">
        <f t="shared" si="65"/>
        <v>30</v>
      </c>
      <c r="H534" s="128">
        <f t="shared" si="63"/>
        <v>110</v>
      </c>
      <c r="I534" s="8">
        <v>701143</v>
      </c>
      <c r="J534" s="8">
        <v>701328</v>
      </c>
      <c r="K534" s="137">
        <f t="shared" si="61"/>
        <v>185</v>
      </c>
      <c r="L534" s="8">
        <v>35809</v>
      </c>
      <c r="M534" s="8">
        <v>35909</v>
      </c>
      <c r="N534" s="137">
        <f t="shared" si="66"/>
        <v>100</v>
      </c>
      <c r="O534" s="128">
        <f t="shared" si="64"/>
        <v>285</v>
      </c>
      <c r="P534" s="8">
        <v>264108</v>
      </c>
      <c r="Q534" s="8">
        <v>264265</v>
      </c>
      <c r="R534" s="128">
        <f t="shared" si="62"/>
        <v>157</v>
      </c>
      <c r="AQ534" s="8"/>
      <c r="AR534" s="8"/>
      <c r="AS534" s="8"/>
    </row>
    <row r="535" spans="1:45">
      <c r="A535" s="12">
        <v>44910</v>
      </c>
      <c r="B535" s="8">
        <v>503453</v>
      </c>
      <c r="C535" s="8">
        <v>503729</v>
      </c>
      <c r="D535" s="128">
        <f t="shared" si="67"/>
        <v>276</v>
      </c>
      <c r="E535" s="8">
        <v>75601</v>
      </c>
      <c r="F535" s="8">
        <v>75827</v>
      </c>
      <c r="G535" s="137">
        <f t="shared" si="65"/>
        <v>226</v>
      </c>
      <c r="H535" s="128">
        <f t="shared" si="63"/>
        <v>502</v>
      </c>
      <c r="I535" s="8">
        <v>701328</v>
      </c>
      <c r="J535" s="8">
        <v>701566</v>
      </c>
      <c r="K535" s="137">
        <f t="shared" si="61"/>
        <v>238</v>
      </c>
      <c r="L535" s="8">
        <v>35909</v>
      </c>
      <c r="M535" s="8">
        <v>36081</v>
      </c>
      <c r="N535" s="137">
        <f t="shared" si="66"/>
        <v>172</v>
      </c>
      <c r="O535" s="128">
        <f t="shared" si="64"/>
        <v>410</v>
      </c>
      <c r="P535" s="8">
        <v>264265</v>
      </c>
      <c r="Q535" s="8">
        <v>264534</v>
      </c>
      <c r="R535" s="128">
        <f t="shared" si="62"/>
        <v>269</v>
      </c>
      <c r="AQ535" s="8"/>
      <c r="AR535" s="8"/>
      <c r="AS535" s="8"/>
    </row>
    <row r="536" spans="1:45">
      <c r="A536" s="12">
        <v>44911</v>
      </c>
      <c r="B536" s="8">
        <v>503729</v>
      </c>
      <c r="C536" s="8">
        <v>504027</v>
      </c>
      <c r="D536" s="128">
        <f t="shared" si="67"/>
        <v>298</v>
      </c>
      <c r="E536" s="8">
        <v>75827</v>
      </c>
      <c r="F536" s="8">
        <v>76215</v>
      </c>
      <c r="G536" s="137">
        <f t="shared" si="65"/>
        <v>388</v>
      </c>
      <c r="H536" s="128">
        <f t="shared" si="63"/>
        <v>686</v>
      </c>
      <c r="I536" s="8">
        <v>701566</v>
      </c>
      <c r="J536" s="8">
        <v>701747</v>
      </c>
      <c r="K536" s="137">
        <f t="shared" si="61"/>
        <v>181</v>
      </c>
      <c r="L536" s="8">
        <v>36081</v>
      </c>
      <c r="M536" s="8">
        <v>36205</v>
      </c>
      <c r="N536" s="137">
        <f t="shared" si="66"/>
        <v>124</v>
      </c>
      <c r="O536" s="128">
        <f t="shared" si="64"/>
        <v>305</v>
      </c>
      <c r="P536" s="8">
        <v>264534</v>
      </c>
      <c r="Q536" s="8">
        <v>264750</v>
      </c>
      <c r="R536" s="128">
        <f t="shared" si="62"/>
        <v>216</v>
      </c>
      <c r="AQ536" s="8"/>
      <c r="AR536" s="8"/>
      <c r="AS536" s="8"/>
    </row>
    <row r="537" spans="1:45">
      <c r="A537" s="12">
        <v>44912</v>
      </c>
      <c r="B537" s="8">
        <v>504027</v>
      </c>
      <c r="C537" s="8">
        <v>504280</v>
      </c>
      <c r="D537" s="128">
        <f t="shared" si="67"/>
        <v>253</v>
      </c>
      <c r="E537" s="8">
        <v>76215</v>
      </c>
      <c r="F537" s="8">
        <v>76525</v>
      </c>
      <c r="G537" s="137">
        <f>F537-E537</f>
        <v>310</v>
      </c>
      <c r="H537" s="128">
        <f t="shared" si="63"/>
        <v>563</v>
      </c>
      <c r="I537" s="8">
        <v>701747</v>
      </c>
      <c r="J537" s="8">
        <v>702002</v>
      </c>
      <c r="K537" s="137">
        <f t="shared" si="61"/>
        <v>255</v>
      </c>
      <c r="L537" s="8">
        <v>36205</v>
      </c>
      <c r="M537" s="8">
        <v>36309</v>
      </c>
      <c r="N537" s="137">
        <f t="shared" si="66"/>
        <v>104</v>
      </c>
      <c r="O537" s="128">
        <f t="shared" si="64"/>
        <v>359</v>
      </c>
      <c r="P537" s="8">
        <v>264750</v>
      </c>
      <c r="Q537" s="8">
        <v>264987</v>
      </c>
      <c r="R537" s="128">
        <f t="shared" si="62"/>
        <v>237</v>
      </c>
      <c r="AQ537" s="8"/>
      <c r="AR537" s="8"/>
      <c r="AS537" s="8"/>
    </row>
    <row r="538" spans="1:45">
      <c r="A538" s="12">
        <v>44913</v>
      </c>
      <c r="B538" s="8">
        <v>504280</v>
      </c>
      <c r="C538" s="8">
        <v>504554</v>
      </c>
      <c r="D538" s="128">
        <f t="shared" si="67"/>
        <v>274</v>
      </c>
      <c r="E538" s="8">
        <v>76525</v>
      </c>
      <c r="F538" s="8">
        <v>76925</v>
      </c>
      <c r="G538" s="137">
        <f t="shared" si="65"/>
        <v>400</v>
      </c>
      <c r="H538" s="128">
        <f>D538+G538</f>
        <v>674</v>
      </c>
      <c r="I538" s="8">
        <v>702002</v>
      </c>
      <c r="J538" s="8">
        <v>702163</v>
      </c>
      <c r="K538" s="137">
        <f t="shared" si="61"/>
        <v>161</v>
      </c>
      <c r="L538" s="8">
        <v>36309</v>
      </c>
      <c r="M538" s="8">
        <v>36510</v>
      </c>
      <c r="N538" s="137">
        <f t="shared" si="66"/>
        <v>201</v>
      </c>
      <c r="O538" s="128">
        <f t="shared" si="64"/>
        <v>362</v>
      </c>
      <c r="P538" s="8">
        <v>264987</v>
      </c>
      <c r="Q538" s="8">
        <v>265011</v>
      </c>
      <c r="R538" s="128">
        <f t="shared" si="62"/>
        <v>24</v>
      </c>
      <c r="S538" s="8" t="s">
        <v>1560</v>
      </c>
      <c r="AQ538" s="8"/>
      <c r="AR538" s="8"/>
      <c r="AS538" s="8"/>
    </row>
    <row r="539" spans="1:45">
      <c r="A539" s="12">
        <v>44914</v>
      </c>
      <c r="B539" s="8">
        <v>504554</v>
      </c>
      <c r="C539" s="8">
        <v>504766</v>
      </c>
      <c r="D539" s="128">
        <f t="shared" si="67"/>
        <v>212</v>
      </c>
      <c r="E539" s="8">
        <v>76925</v>
      </c>
      <c r="F539" s="8">
        <v>77307</v>
      </c>
      <c r="G539" s="137">
        <f t="shared" si="65"/>
        <v>382</v>
      </c>
      <c r="H539" s="128">
        <f>D539+G539</f>
        <v>594</v>
      </c>
      <c r="I539" s="8">
        <v>702163</v>
      </c>
      <c r="J539" s="8">
        <v>702365</v>
      </c>
      <c r="K539" s="137">
        <f t="shared" si="61"/>
        <v>202</v>
      </c>
      <c r="L539" s="8">
        <v>36510</v>
      </c>
      <c r="M539" s="8">
        <v>36710</v>
      </c>
      <c r="N539" s="137">
        <f t="shared" si="66"/>
        <v>200</v>
      </c>
      <c r="O539" s="128">
        <f t="shared" si="64"/>
        <v>402</v>
      </c>
      <c r="P539" s="8">
        <v>265011</v>
      </c>
      <c r="Q539" s="8">
        <v>265011</v>
      </c>
      <c r="R539" s="128">
        <f t="shared" si="62"/>
        <v>0</v>
      </c>
      <c r="AQ539" s="8"/>
      <c r="AR539" s="8"/>
      <c r="AS539" s="8"/>
    </row>
    <row r="540" spans="1:45">
      <c r="A540" s="12">
        <v>44915</v>
      </c>
      <c r="B540" s="8">
        <v>504766</v>
      </c>
      <c r="C540" s="8">
        <v>504930</v>
      </c>
      <c r="D540" s="128">
        <f t="shared" si="67"/>
        <v>164</v>
      </c>
      <c r="E540" s="8">
        <v>77307</v>
      </c>
      <c r="F540" s="8">
        <v>77697</v>
      </c>
      <c r="G540" s="137">
        <f t="shared" si="65"/>
        <v>390</v>
      </c>
      <c r="H540" s="128">
        <f>D540+G540</f>
        <v>554</v>
      </c>
      <c r="I540" s="8">
        <v>702365</v>
      </c>
      <c r="J540" s="8">
        <v>702523</v>
      </c>
      <c r="K540" s="137">
        <f t="shared" si="61"/>
        <v>158</v>
      </c>
      <c r="L540" s="8">
        <v>36710</v>
      </c>
      <c r="M540" s="8">
        <v>36909</v>
      </c>
      <c r="N540" s="137">
        <f t="shared" si="66"/>
        <v>199</v>
      </c>
      <c r="O540" s="128">
        <f t="shared" si="64"/>
        <v>357</v>
      </c>
      <c r="P540" s="8">
        <v>265011</v>
      </c>
      <c r="Q540" s="8">
        <v>265302</v>
      </c>
      <c r="R540" s="128">
        <f t="shared" si="62"/>
        <v>291</v>
      </c>
      <c r="AQ540" s="8"/>
      <c r="AR540" s="8"/>
      <c r="AS540" s="8"/>
    </row>
    <row r="541" spans="1:45">
      <c r="A541" s="12">
        <v>44916</v>
      </c>
      <c r="B541" s="8">
        <v>504930</v>
      </c>
      <c r="C541" s="8">
        <v>505062</v>
      </c>
      <c r="D541" s="128">
        <f t="shared" si="67"/>
        <v>132</v>
      </c>
      <c r="E541" s="8">
        <v>77697</v>
      </c>
      <c r="F541" s="8">
        <v>78021</v>
      </c>
      <c r="G541" s="137">
        <f t="shared" si="65"/>
        <v>324</v>
      </c>
      <c r="H541" s="128">
        <f t="shared" ref="H541:H569" si="68">D541+G541</f>
        <v>456</v>
      </c>
      <c r="I541" s="8">
        <v>702523</v>
      </c>
      <c r="J541" s="8">
        <v>702754</v>
      </c>
      <c r="K541" s="137">
        <f t="shared" si="61"/>
        <v>231</v>
      </c>
      <c r="L541" s="8">
        <v>36909</v>
      </c>
      <c r="M541" s="8">
        <v>37109</v>
      </c>
      <c r="N541" s="137">
        <f t="shared" si="66"/>
        <v>200</v>
      </c>
      <c r="O541" s="128">
        <f t="shared" si="64"/>
        <v>431</v>
      </c>
      <c r="P541" s="8">
        <v>265302</v>
      </c>
      <c r="Q541" s="8">
        <v>265521</v>
      </c>
      <c r="R541" s="128">
        <f t="shared" si="62"/>
        <v>219</v>
      </c>
      <c r="S541" s="8" t="s">
        <v>1562</v>
      </c>
      <c r="AQ541" s="8"/>
      <c r="AR541" s="8"/>
      <c r="AS541" s="8"/>
    </row>
    <row r="542" spans="1:45">
      <c r="A542" s="12">
        <v>44917</v>
      </c>
      <c r="B542" s="8">
        <v>505062</v>
      </c>
      <c r="C542" s="8">
        <v>505334</v>
      </c>
      <c r="D542" s="128">
        <f t="shared" si="67"/>
        <v>272</v>
      </c>
      <c r="E542" s="8">
        <v>78021</v>
      </c>
      <c r="F542" s="8">
        <v>78234</v>
      </c>
      <c r="G542" s="137">
        <f t="shared" si="65"/>
        <v>213</v>
      </c>
      <c r="H542" s="128">
        <f t="shared" si="68"/>
        <v>485</v>
      </c>
      <c r="I542" s="8">
        <v>702754</v>
      </c>
      <c r="J542" s="8">
        <v>702960</v>
      </c>
      <c r="K542" s="137">
        <f t="shared" si="61"/>
        <v>206</v>
      </c>
      <c r="L542" s="8">
        <v>37109</v>
      </c>
      <c r="M542" s="8">
        <v>37309</v>
      </c>
      <c r="N542" s="137">
        <f t="shared" si="66"/>
        <v>200</v>
      </c>
      <c r="O542" s="128">
        <f t="shared" si="64"/>
        <v>406</v>
      </c>
      <c r="P542" s="8">
        <v>265521</v>
      </c>
      <c r="Q542" s="8">
        <v>265817</v>
      </c>
      <c r="R542" s="128">
        <f>Q542-P542</f>
        <v>296</v>
      </c>
      <c r="AQ542" s="8"/>
      <c r="AR542" s="8"/>
      <c r="AS542" s="8"/>
    </row>
    <row r="543" spans="1:45">
      <c r="A543" s="12">
        <v>44918</v>
      </c>
      <c r="B543" s="8">
        <v>505334</v>
      </c>
      <c r="C543" s="8">
        <v>505576</v>
      </c>
      <c r="D543" s="128">
        <f t="shared" si="67"/>
        <v>242</v>
      </c>
      <c r="E543" s="8">
        <v>78234</v>
      </c>
      <c r="F543" s="8">
        <v>78442</v>
      </c>
      <c r="G543" s="137">
        <f t="shared" si="65"/>
        <v>208</v>
      </c>
      <c r="H543" s="128">
        <f t="shared" si="68"/>
        <v>450</v>
      </c>
      <c r="I543" s="8">
        <v>702960</v>
      </c>
      <c r="J543" s="8">
        <v>703168</v>
      </c>
      <c r="K543" s="137">
        <f t="shared" si="61"/>
        <v>208</v>
      </c>
      <c r="L543" s="8">
        <v>37309</v>
      </c>
      <c r="M543" s="8">
        <v>37497</v>
      </c>
      <c r="N543" s="137">
        <f t="shared" si="66"/>
        <v>188</v>
      </c>
      <c r="O543" s="128">
        <f t="shared" si="64"/>
        <v>396</v>
      </c>
      <c r="P543" s="8">
        <v>265817</v>
      </c>
      <c r="Q543" s="8">
        <v>265817</v>
      </c>
      <c r="R543" s="128">
        <f t="shared" ref="R543:R607" si="69">Q543-P543</f>
        <v>0</v>
      </c>
      <c r="S543" s="8" t="s">
        <v>1560</v>
      </c>
      <c r="AQ543" s="8"/>
      <c r="AR543" s="8"/>
      <c r="AS543" s="8"/>
    </row>
    <row r="544" spans="1:45">
      <c r="A544" s="12">
        <v>44919</v>
      </c>
      <c r="B544" s="8">
        <v>505576</v>
      </c>
      <c r="C544" s="8">
        <v>505837</v>
      </c>
      <c r="D544" s="128">
        <f t="shared" si="67"/>
        <v>261</v>
      </c>
      <c r="E544" s="8">
        <v>78442</v>
      </c>
      <c r="F544" s="8">
        <v>78671</v>
      </c>
      <c r="G544" s="137">
        <f t="shared" si="65"/>
        <v>229</v>
      </c>
      <c r="H544" s="128">
        <f t="shared" si="68"/>
        <v>490</v>
      </c>
      <c r="I544" s="8">
        <v>703168</v>
      </c>
      <c r="J544" s="8">
        <v>703394</v>
      </c>
      <c r="K544" s="137">
        <f t="shared" si="61"/>
        <v>226</v>
      </c>
      <c r="L544" s="8">
        <v>37497</v>
      </c>
      <c r="M544" s="8">
        <v>37510</v>
      </c>
      <c r="N544" s="137">
        <f t="shared" si="66"/>
        <v>13</v>
      </c>
      <c r="O544" s="128">
        <f t="shared" si="64"/>
        <v>239</v>
      </c>
      <c r="P544" s="8">
        <v>265817</v>
      </c>
      <c r="Q544" s="8">
        <v>267272</v>
      </c>
      <c r="R544" s="128">
        <f t="shared" si="69"/>
        <v>1455</v>
      </c>
      <c r="AQ544" s="8"/>
      <c r="AR544" s="8"/>
      <c r="AS544" s="8"/>
    </row>
    <row r="545" spans="1:45">
      <c r="A545" s="12">
        <v>44920</v>
      </c>
      <c r="B545" s="8">
        <v>505837</v>
      </c>
      <c r="C545" s="8">
        <v>506001</v>
      </c>
      <c r="D545" s="128">
        <f t="shared" si="67"/>
        <v>164</v>
      </c>
      <c r="E545" s="8">
        <v>78671</v>
      </c>
      <c r="F545" s="8">
        <v>78964</v>
      </c>
      <c r="G545" s="137">
        <f t="shared" si="65"/>
        <v>293</v>
      </c>
      <c r="H545" s="128">
        <f t="shared" si="68"/>
        <v>457</v>
      </c>
      <c r="I545" s="8">
        <v>703394</v>
      </c>
      <c r="J545" s="8">
        <v>703594</v>
      </c>
      <c r="K545" s="137">
        <f t="shared" si="61"/>
        <v>200</v>
      </c>
      <c r="L545" s="8">
        <v>37510</v>
      </c>
      <c r="M545" s="8">
        <v>37691</v>
      </c>
      <c r="N545" s="137">
        <f t="shared" si="66"/>
        <v>181</v>
      </c>
      <c r="O545" s="128">
        <f t="shared" si="64"/>
        <v>381</v>
      </c>
      <c r="P545" s="8">
        <v>267272</v>
      </c>
      <c r="Q545" s="8">
        <v>267443</v>
      </c>
      <c r="R545" s="128">
        <f t="shared" si="69"/>
        <v>171</v>
      </c>
      <c r="AQ545" s="8"/>
      <c r="AR545" s="8"/>
      <c r="AS545" s="8"/>
    </row>
    <row r="546" spans="1:45">
      <c r="A546" s="12">
        <v>44921</v>
      </c>
      <c r="B546" s="8">
        <v>506001</v>
      </c>
      <c r="C546" s="8">
        <v>506211</v>
      </c>
      <c r="D546" s="128">
        <f t="shared" si="67"/>
        <v>210</v>
      </c>
      <c r="E546" s="8">
        <v>78964</v>
      </c>
      <c r="F546" s="8">
        <v>79291</v>
      </c>
      <c r="G546" s="137">
        <f t="shared" si="65"/>
        <v>327</v>
      </c>
      <c r="H546" s="128">
        <f t="shared" si="68"/>
        <v>537</v>
      </c>
      <c r="I546" s="8">
        <v>703594</v>
      </c>
      <c r="J546" s="8">
        <v>703778</v>
      </c>
      <c r="K546" s="137">
        <f t="shared" si="61"/>
        <v>184</v>
      </c>
      <c r="L546" s="8">
        <v>37691</v>
      </c>
      <c r="M546" s="8">
        <v>37710</v>
      </c>
      <c r="N546" s="137">
        <f t="shared" si="66"/>
        <v>19</v>
      </c>
      <c r="O546" s="128">
        <f t="shared" si="64"/>
        <v>203</v>
      </c>
      <c r="P546" s="8">
        <v>267443</v>
      </c>
      <c r="Q546" s="8">
        <v>267443</v>
      </c>
      <c r="R546" s="128">
        <f t="shared" si="69"/>
        <v>0</v>
      </c>
      <c r="AQ546" s="8"/>
      <c r="AR546" s="8"/>
      <c r="AS546" s="8"/>
    </row>
    <row r="547" spans="1:45">
      <c r="A547" s="12">
        <v>44922</v>
      </c>
      <c r="B547" s="8">
        <v>506211</v>
      </c>
      <c r="C547" s="8">
        <v>506417</v>
      </c>
      <c r="D547" s="128">
        <f t="shared" si="67"/>
        <v>206</v>
      </c>
      <c r="E547" s="8">
        <v>79291</v>
      </c>
      <c r="F547" s="8">
        <v>79617</v>
      </c>
      <c r="G547" s="137">
        <f t="shared" si="65"/>
        <v>326</v>
      </c>
      <c r="H547" s="128">
        <f t="shared" si="68"/>
        <v>532</v>
      </c>
      <c r="I547" s="8">
        <v>703778</v>
      </c>
      <c r="J547" s="8">
        <v>703984</v>
      </c>
      <c r="K547" s="137">
        <f t="shared" si="61"/>
        <v>206</v>
      </c>
      <c r="L547" s="8">
        <v>37621</v>
      </c>
      <c r="M547" s="8">
        <v>37904</v>
      </c>
      <c r="N547" s="137">
        <f t="shared" si="66"/>
        <v>283</v>
      </c>
      <c r="O547" s="128">
        <f t="shared" si="64"/>
        <v>489</v>
      </c>
      <c r="P547" s="8">
        <v>267443</v>
      </c>
      <c r="Q547" s="8">
        <v>267777</v>
      </c>
      <c r="R547" s="128">
        <f t="shared" si="69"/>
        <v>334</v>
      </c>
      <c r="AQ547" s="8"/>
      <c r="AR547" s="8"/>
      <c r="AS547" s="8"/>
    </row>
    <row r="548" spans="1:45">
      <c r="A548" s="12">
        <v>44923</v>
      </c>
      <c r="B548" s="8">
        <v>506417</v>
      </c>
      <c r="C548" s="8">
        <v>506599</v>
      </c>
      <c r="D548" s="128">
        <f t="shared" si="67"/>
        <v>182</v>
      </c>
      <c r="E548" s="8">
        <v>79617</v>
      </c>
      <c r="F548" s="8">
        <v>79847</v>
      </c>
      <c r="G548" s="137">
        <f t="shared" si="65"/>
        <v>230</v>
      </c>
      <c r="H548" s="128">
        <f t="shared" si="68"/>
        <v>412</v>
      </c>
      <c r="I548" s="8">
        <v>703984</v>
      </c>
      <c r="J548" s="8">
        <v>704168</v>
      </c>
      <c r="K548" s="137">
        <f t="shared" si="61"/>
        <v>184</v>
      </c>
      <c r="L548" s="8">
        <v>37904</v>
      </c>
      <c r="M548" s="8">
        <v>37904</v>
      </c>
      <c r="N548" s="137">
        <f t="shared" si="66"/>
        <v>0</v>
      </c>
      <c r="O548" s="128">
        <f t="shared" si="64"/>
        <v>184</v>
      </c>
      <c r="P548" s="8">
        <v>267777</v>
      </c>
      <c r="Q548" s="8">
        <v>267777</v>
      </c>
      <c r="R548" s="128">
        <f t="shared" si="69"/>
        <v>0</v>
      </c>
      <c r="AQ548" s="8"/>
      <c r="AR548" s="8"/>
      <c r="AS548" s="8"/>
    </row>
    <row r="549" spans="1:45">
      <c r="A549" s="12">
        <v>44924</v>
      </c>
      <c r="B549" s="8">
        <v>506599</v>
      </c>
      <c r="C549" s="8">
        <v>506849</v>
      </c>
      <c r="D549" s="128">
        <f t="shared" si="67"/>
        <v>250</v>
      </c>
      <c r="E549" s="8">
        <v>79847</v>
      </c>
      <c r="F549" s="8">
        <v>80156</v>
      </c>
      <c r="G549" s="137">
        <f t="shared" si="65"/>
        <v>309</v>
      </c>
      <c r="H549" s="128">
        <f t="shared" si="68"/>
        <v>559</v>
      </c>
      <c r="I549" s="8">
        <v>704168</v>
      </c>
      <c r="J549" s="8">
        <v>704393</v>
      </c>
      <c r="K549" s="137">
        <f t="shared" si="61"/>
        <v>225</v>
      </c>
      <c r="L549" s="8">
        <v>37904</v>
      </c>
      <c r="M549" s="8">
        <v>37907</v>
      </c>
      <c r="N549" s="137">
        <f t="shared" si="66"/>
        <v>3</v>
      </c>
      <c r="O549" s="128">
        <f t="shared" si="64"/>
        <v>228</v>
      </c>
      <c r="P549" s="8">
        <v>267777</v>
      </c>
      <c r="Q549" s="8">
        <v>267777</v>
      </c>
      <c r="R549" s="128">
        <f t="shared" si="69"/>
        <v>0</v>
      </c>
      <c r="AQ549" s="8"/>
      <c r="AR549" s="8"/>
      <c r="AS549" s="8"/>
    </row>
    <row r="550" spans="1:45">
      <c r="A550" s="12">
        <v>44925</v>
      </c>
      <c r="B550" s="8">
        <v>506849</v>
      </c>
      <c r="C550" s="8">
        <v>507084</v>
      </c>
      <c r="D550" s="128">
        <f t="shared" si="67"/>
        <v>235</v>
      </c>
      <c r="E550" s="8">
        <v>80156</v>
      </c>
      <c r="F550" s="8">
        <v>80465</v>
      </c>
      <c r="G550" s="137">
        <f t="shared" si="65"/>
        <v>309</v>
      </c>
      <c r="H550" s="128">
        <f t="shared" si="68"/>
        <v>544</v>
      </c>
      <c r="I550" s="8">
        <v>704393</v>
      </c>
      <c r="J550" s="8">
        <v>704582</v>
      </c>
      <c r="K550" s="137">
        <f t="shared" si="61"/>
        <v>189</v>
      </c>
      <c r="L550" s="8">
        <v>37907</v>
      </c>
      <c r="M550" s="8">
        <v>37910</v>
      </c>
      <c r="N550" s="137">
        <f t="shared" si="66"/>
        <v>3</v>
      </c>
      <c r="O550" s="128">
        <f t="shared" si="64"/>
        <v>192</v>
      </c>
      <c r="P550" s="8">
        <v>267777</v>
      </c>
      <c r="Q550" s="8">
        <v>267777</v>
      </c>
      <c r="R550" s="128">
        <f t="shared" si="69"/>
        <v>0</v>
      </c>
      <c r="AQ550" s="8"/>
      <c r="AR550" s="8"/>
      <c r="AS550" s="8"/>
    </row>
    <row r="551" spans="1:45">
      <c r="A551" s="12">
        <v>44926</v>
      </c>
      <c r="B551" s="8">
        <v>507084</v>
      </c>
      <c r="C551" s="8">
        <v>507313</v>
      </c>
      <c r="D551" s="128">
        <f t="shared" si="67"/>
        <v>229</v>
      </c>
      <c r="E551" s="8">
        <v>80465</v>
      </c>
      <c r="F551" s="8">
        <v>80785</v>
      </c>
      <c r="G551" s="137">
        <f t="shared" si="65"/>
        <v>320</v>
      </c>
      <c r="H551" s="128">
        <f t="shared" si="68"/>
        <v>549</v>
      </c>
      <c r="I551" s="8">
        <v>704582</v>
      </c>
      <c r="J551" s="8">
        <v>704770</v>
      </c>
      <c r="K551" s="137">
        <f t="shared" si="61"/>
        <v>188</v>
      </c>
      <c r="L551" s="8">
        <v>37910</v>
      </c>
      <c r="M551" s="8">
        <v>37910</v>
      </c>
      <c r="N551" s="137">
        <f t="shared" si="66"/>
        <v>0</v>
      </c>
      <c r="O551" s="128">
        <f t="shared" si="64"/>
        <v>188</v>
      </c>
      <c r="P551" s="8">
        <v>267777</v>
      </c>
      <c r="Q551" s="8">
        <v>267975</v>
      </c>
      <c r="R551" s="128">
        <f t="shared" si="69"/>
        <v>198</v>
      </c>
      <c r="AQ551" s="8"/>
      <c r="AR551" s="8"/>
      <c r="AS551" s="8"/>
    </row>
    <row r="552" spans="1:45">
      <c r="A552" s="12">
        <v>44927</v>
      </c>
      <c r="B552" s="8">
        <v>507313</v>
      </c>
      <c r="C552" s="8">
        <v>507563</v>
      </c>
      <c r="D552" s="128">
        <f t="shared" si="67"/>
        <v>250</v>
      </c>
      <c r="E552" s="8">
        <v>80785</v>
      </c>
      <c r="F552" s="8">
        <v>81062</v>
      </c>
      <c r="G552" s="137">
        <f t="shared" si="65"/>
        <v>277</v>
      </c>
      <c r="H552" s="128">
        <f t="shared" si="68"/>
        <v>527</v>
      </c>
      <c r="I552" s="8">
        <v>704770</v>
      </c>
      <c r="J552" s="8">
        <v>704965</v>
      </c>
      <c r="K552" s="137">
        <f t="shared" si="61"/>
        <v>195</v>
      </c>
      <c r="L552" s="8">
        <v>37910</v>
      </c>
      <c r="M552" s="8">
        <v>38167</v>
      </c>
      <c r="N552" s="137">
        <f t="shared" si="66"/>
        <v>257</v>
      </c>
      <c r="O552" s="128">
        <f t="shared" si="64"/>
        <v>452</v>
      </c>
      <c r="P552" s="8">
        <v>267975</v>
      </c>
      <c r="Q552" s="8">
        <v>268262</v>
      </c>
      <c r="R552" s="128">
        <f t="shared" si="69"/>
        <v>287</v>
      </c>
      <c r="AQ552" s="8"/>
      <c r="AR552" s="8"/>
      <c r="AS552" s="8"/>
    </row>
    <row r="553" spans="1:45">
      <c r="A553" s="12">
        <v>44928</v>
      </c>
      <c r="B553" s="8">
        <v>507563</v>
      </c>
      <c r="C553" s="8">
        <v>507828</v>
      </c>
      <c r="D553" s="128">
        <f t="shared" si="67"/>
        <v>265</v>
      </c>
      <c r="E553" s="8">
        <v>81062</v>
      </c>
      <c r="F553" s="8">
        <v>81312</v>
      </c>
      <c r="G553" s="137">
        <f t="shared" si="65"/>
        <v>250</v>
      </c>
      <c r="H553" s="128">
        <f t="shared" si="68"/>
        <v>515</v>
      </c>
      <c r="I553" s="8">
        <v>704965</v>
      </c>
      <c r="J553" s="8">
        <v>705184</v>
      </c>
      <c r="K553" s="137">
        <f t="shared" si="61"/>
        <v>219</v>
      </c>
      <c r="L553" s="8">
        <v>38167</v>
      </c>
      <c r="M553" s="8">
        <v>38170</v>
      </c>
      <c r="N553" s="137">
        <f t="shared" si="66"/>
        <v>3</v>
      </c>
      <c r="O553" s="128">
        <f t="shared" si="64"/>
        <v>222</v>
      </c>
      <c r="P553" s="8">
        <v>268262</v>
      </c>
      <c r="Q553" s="8">
        <v>268414</v>
      </c>
      <c r="R553" s="128">
        <f t="shared" si="69"/>
        <v>152</v>
      </c>
      <c r="AQ553" s="8"/>
      <c r="AR553" s="8"/>
      <c r="AS553" s="8"/>
    </row>
    <row r="554" spans="1:45">
      <c r="A554" s="12">
        <v>44929</v>
      </c>
      <c r="B554" s="8">
        <v>507828</v>
      </c>
      <c r="C554" s="8">
        <v>508054</v>
      </c>
      <c r="D554" s="128">
        <f t="shared" si="67"/>
        <v>226</v>
      </c>
      <c r="E554" s="8">
        <v>81312</v>
      </c>
      <c r="F554" s="8">
        <v>81488</v>
      </c>
      <c r="G554" s="137">
        <f t="shared" si="65"/>
        <v>176</v>
      </c>
      <c r="H554" s="128">
        <f t="shared" si="68"/>
        <v>402</v>
      </c>
      <c r="I554" s="8">
        <v>705184</v>
      </c>
      <c r="J554" s="8">
        <v>705428</v>
      </c>
      <c r="K554" s="137">
        <f t="shared" si="61"/>
        <v>244</v>
      </c>
      <c r="L554" s="8">
        <v>38170</v>
      </c>
      <c r="M554" s="8">
        <v>38172</v>
      </c>
      <c r="N554" s="137">
        <f t="shared" si="66"/>
        <v>2</v>
      </c>
      <c r="O554" s="128">
        <f t="shared" si="64"/>
        <v>246</v>
      </c>
      <c r="P554" s="8">
        <v>268414</v>
      </c>
      <c r="Q554" s="8">
        <v>269021</v>
      </c>
      <c r="R554" s="128">
        <f t="shared" si="69"/>
        <v>607</v>
      </c>
      <c r="AQ554" s="8"/>
      <c r="AR554" s="8"/>
      <c r="AS554" s="8"/>
    </row>
    <row r="555" spans="1:45">
      <c r="A555" s="12">
        <v>44930</v>
      </c>
      <c r="B555" s="8">
        <v>508054</v>
      </c>
      <c r="C555" s="8">
        <v>508268</v>
      </c>
      <c r="D555" s="128">
        <f t="shared" si="67"/>
        <v>214</v>
      </c>
      <c r="E555" s="8">
        <v>81488</v>
      </c>
      <c r="F555" s="8">
        <v>81686</v>
      </c>
      <c r="G555" s="137">
        <f t="shared" si="65"/>
        <v>198</v>
      </c>
      <c r="H555" s="128">
        <f t="shared" si="68"/>
        <v>412</v>
      </c>
      <c r="I555" s="8">
        <v>705428</v>
      </c>
      <c r="J555" s="8">
        <v>705588</v>
      </c>
      <c r="K555" s="137">
        <f t="shared" si="61"/>
        <v>160</v>
      </c>
      <c r="L555" s="8">
        <v>38172</v>
      </c>
      <c r="M555" s="8">
        <v>38174</v>
      </c>
      <c r="N555" s="137">
        <f t="shared" si="66"/>
        <v>2</v>
      </c>
      <c r="O555" s="128">
        <f t="shared" si="64"/>
        <v>162</v>
      </c>
      <c r="P555" s="8">
        <v>269021</v>
      </c>
      <c r="Q555" s="8">
        <v>269655</v>
      </c>
      <c r="R555" s="128">
        <f t="shared" si="69"/>
        <v>634</v>
      </c>
      <c r="AQ555" s="8"/>
      <c r="AR555" s="8"/>
      <c r="AS555" s="8"/>
    </row>
    <row r="556" spans="1:45">
      <c r="A556" s="12">
        <v>44931</v>
      </c>
      <c r="B556" s="8">
        <v>508268</v>
      </c>
      <c r="C556" s="8">
        <v>508548</v>
      </c>
      <c r="D556" s="128">
        <f t="shared" si="67"/>
        <v>280</v>
      </c>
      <c r="E556" s="8">
        <v>81686</v>
      </c>
      <c r="F556" s="8">
        <v>82042</v>
      </c>
      <c r="G556" s="137">
        <f t="shared" si="65"/>
        <v>356</v>
      </c>
      <c r="H556" s="128">
        <f t="shared" si="68"/>
        <v>636</v>
      </c>
      <c r="I556" s="8">
        <v>705588</v>
      </c>
      <c r="J556" s="8">
        <v>705758</v>
      </c>
      <c r="K556" s="137">
        <f t="shared" si="61"/>
        <v>170</v>
      </c>
      <c r="L556" s="8">
        <v>38174</v>
      </c>
      <c r="M556" s="8">
        <v>38175</v>
      </c>
      <c r="N556" s="137">
        <f t="shared" si="66"/>
        <v>1</v>
      </c>
      <c r="O556" s="128">
        <f t="shared" si="64"/>
        <v>171</v>
      </c>
      <c r="P556" s="8">
        <v>269655</v>
      </c>
      <c r="Q556" s="8">
        <v>269786</v>
      </c>
      <c r="R556" s="128">
        <f t="shared" si="69"/>
        <v>131</v>
      </c>
      <c r="AQ556" s="8"/>
      <c r="AR556" s="8"/>
      <c r="AS556" s="8"/>
    </row>
    <row r="557" spans="1:45">
      <c r="A557" s="12">
        <v>44932</v>
      </c>
      <c r="B557" s="8">
        <v>508548</v>
      </c>
      <c r="C557" s="8">
        <v>508841</v>
      </c>
      <c r="D557" s="128">
        <f t="shared" si="67"/>
        <v>293</v>
      </c>
      <c r="E557" s="8">
        <v>82042</v>
      </c>
      <c r="F557" s="8">
        <v>82420</v>
      </c>
      <c r="G557" s="137">
        <f t="shared" si="65"/>
        <v>378</v>
      </c>
      <c r="H557" s="128">
        <f t="shared" si="68"/>
        <v>671</v>
      </c>
      <c r="I557" s="8">
        <v>705758</v>
      </c>
      <c r="J557" s="8">
        <v>705933</v>
      </c>
      <c r="K557" s="137">
        <f t="shared" si="61"/>
        <v>175</v>
      </c>
      <c r="L557" s="8">
        <v>38175</v>
      </c>
      <c r="M557" s="8">
        <v>38175</v>
      </c>
      <c r="N557" s="137">
        <f t="shared" si="66"/>
        <v>0</v>
      </c>
      <c r="O557" s="128">
        <f t="shared" si="64"/>
        <v>175</v>
      </c>
      <c r="P557" s="8">
        <v>269786</v>
      </c>
      <c r="Q557" s="8">
        <v>269787</v>
      </c>
      <c r="R557" s="128">
        <f t="shared" si="69"/>
        <v>1</v>
      </c>
      <c r="AQ557" s="8"/>
      <c r="AR557" s="8"/>
      <c r="AS557" s="8"/>
    </row>
    <row r="558" spans="1:45">
      <c r="A558" s="12">
        <v>44933</v>
      </c>
      <c r="B558" s="8">
        <v>508841</v>
      </c>
      <c r="C558" s="8">
        <v>509093</v>
      </c>
      <c r="D558" s="128">
        <f t="shared" si="67"/>
        <v>252</v>
      </c>
      <c r="E558" s="8">
        <v>82420</v>
      </c>
      <c r="F558" s="8">
        <v>82747</v>
      </c>
      <c r="G558" s="137">
        <f t="shared" si="65"/>
        <v>327</v>
      </c>
      <c r="H558" s="128">
        <f t="shared" si="68"/>
        <v>579</v>
      </c>
      <c r="I558" s="8">
        <v>705933</v>
      </c>
      <c r="J558" s="8">
        <v>706155</v>
      </c>
      <c r="K558" s="137">
        <f t="shared" si="61"/>
        <v>222</v>
      </c>
      <c r="L558" s="8">
        <v>38175</v>
      </c>
      <c r="M558" s="8">
        <v>38175</v>
      </c>
      <c r="N558" s="137">
        <f t="shared" si="66"/>
        <v>0</v>
      </c>
      <c r="O558" s="128">
        <f t="shared" si="64"/>
        <v>222</v>
      </c>
      <c r="P558" s="8">
        <v>269787</v>
      </c>
      <c r="Q558" s="8">
        <v>269787</v>
      </c>
      <c r="R558" s="128">
        <f t="shared" si="69"/>
        <v>0</v>
      </c>
      <c r="AQ558" s="8"/>
      <c r="AR558" s="8"/>
      <c r="AS558" s="8"/>
    </row>
    <row r="559" spans="1:45">
      <c r="A559" s="12">
        <v>44934</v>
      </c>
      <c r="B559" s="8">
        <v>509093</v>
      </c>
      <c r="C559" s="8">
        <v>509339</v>
      </c>
      <c r="D559" s="128">
        <f t="shared" si="67"/>
        <v>246</v>
      </c>
      <c r="E559" s="8">
        <v>82747</v>
      </c>
      <c r="F559" s="8">
        <v>83098</v>
      </c>
      <c r="G559" s="137">
        <f t="shared" si="65"/>
        <v>351</v>
      </c>
      <c r="H559" s="128">
        <f t="shared" si="68"/>
        <v>597</v>
      </c>
      <c r="I559" s="8">
        <v>706155</v>
      </c>
      <c r="J559" s="8">
        <v>706372</v>
      </c>
      <c r="K559" s="137">
        <f t="shared" ref="K559:K622" si="70">J559-I559</f>
        <v>217</v>
      </c>
      <c r="L559" s="8">
        <v>38175</v>
      </c>
      <c r="M559" s="8">
        <v>38175</v>
      </c>
      <c r="N559" s="137">
        <f t="shared" si="66"/>
        <v>0</v>
      </c>
      <c r="O559" s="128">
        <f t="shared" si="64"/>
        <v>217</v>
      </c>
      <c r="P559" s="8">
        <v>269787</v>
      </c>
      <c r="Q559" s="8">
        <v>269798</v>
      </c>
      <c r="R559" s="128">
        <f t="shared" si="69"/>
        <v>11</v>
      </c>
      <c r="AQ559" s="8"/>
      <c r="AR559" s="8"/>
      <c r="AS559" s="8"/>
    </row>
    <row r="560" spans="1:45">
      <c r="A560" s="12">
        <v>44935</v>
      </c>
      <c r="B560" s="8">
        <v>509339</v>
      </c>
      <c r="C560" s="8">
        <v>509533</v>
      </c>
      <c r="D560" s="128">
        <f t="shared" si="67"/>
        <v>194</v>
      </c>
      <c r="E560" s="8">
        <v>83098</v>
      </c>
      <c r="F560" s="8">
        <v>83257</v>
      </c>
      <c r="G560" s="137">
        <f t="shared" si="65"/>
        <v>159</v>
      </c>
      <c r="H560" s="128">
        <f t="shared" si="68"/>
        <v>353</v>
      </c>
      <c r="I560" s="8">
        <v>706372</v>
      </c>
      <c r="J560" s="8">
        <v>706588</v>
      </c>
      <c r="K560" s="137">
        <f t="shared" si="70"/>
        <v>216</v>
      </c>
      <c r="L560" s="8">
        <v>38175</v>
      </c>
      <c r="M560" s="8">
        <v>38299</v>
      </c>
      <c r="N560" s="137">
        <f t="shared" si="66"/>
        <v>124</v>
      </c>
      <c r="O560" s="128">
        <f t="shared" si="64"/>
        <v>340</v>
      </c>
      <c r="P560" s="8">
        <v>269798</v>
      </c>
      <c r="Q560" s="8">
        <v>270369</v>
      </c>
      <c r="R560" s="128">
        <f t="shared" si="69"/>
        <v>571</v>
      </c>
      <c r="AQ560" s="8"/>
      <c r="AR560" s="8"/>
      <c r="AS560" s="8"/>
    </row>
    <row r="561" spans="1:45">
      <c r="A561" s="12">
        <v>44936</v>
      </c>
      <c r="B561" s="8">
        <v>509533</v>
      </c>
      <c r="C561" s="8">
        <v>509728</v>
      </c>
      <c r="D561" s="128">
        <f t="shared" si="67"/>
        <v>195</v>
      </c>
      <c r="E561" s="8">
        <v>83257</v>
      </c>
      <c r="F561" s="8">
        <v>83355</v>
      </c>
      <c r="G561" s="137">
        <f t="shared" si="65"/>
        <v>98</v>
      </c>
      <c r="H561" s="128">
        <f t="shared" si="68"/>
        <v>293</v>
      </c>
      <c r="I561" s="8">
        <v>706588</v>
      </c>
      <c r="J561" s="8">
        <v>706780</v>
      </c>
      <c r="K561" s="137">
        <f t="shared" si="70"/>
        <v>192</v>
      </c>
      <c r="L561" s="8">
        <v>38299</v>
      </c>
      <c r="M561" s="8">
        <v>38300</v>
      </c>
      <c r="N561" s="137">
        <f t="shared" si="66"/>
        <v>1</v>
      </c>
      <c r="O561" s="128">
        <f t="shared" si="64"/>
        <v>193</v>
      </c>
      <c r="P561" s="8">
        <v>270369</v>
      </c>
      <c r="Q561" s="8">
        <v>270669</v>
      </c>
      <c r="R561" s="128">
        <f t="shared" si="69"/>
        <v>300</v>
      </c>
      <c r="AQ561" s="8"/>
      <c r="AR561" s="8"/>
      <c r="AS561" s="8"/>
    </row>
    <row r="562" spans="1:45">
      <c r="A562" s="12">
        <v>44937</v>
      </c>
      <c r="B562" s="8">
        <v>509728</v>
      </c>
      <c r="C562" s="8">
        <v>510006</v>
      </c>
      <c r="D562" s="128">
        <f t="shared" si="67"/>
        <v>278</v>
      </c>
      <c r="E562" s="8">
        <v>83355</v>
      </c>
      <c r="F562" s="8">
        <v>83786</v>
      </c>
      <c r="G562" s="137">
        <f t="shared" si="65"/>
        <v>431</v>
      </c>
      <c r="H562" s="128">
        <f t="shared" si="68"/>
        <v>709</v>
      </c>
      <c r="I562" s="8">
        <v>706780</v>
      </c>
      <c r="J562" s="8">
        <v>706933</v>
      </c>
      <c r="K562" s="137">
        <f t="shared" si="70"/>
        <v>153</v>
      </c>
      <c r="L562" s="8">
        <v>38300</v>
      </c>
      <c r="M562" s="8">
        <v>38302</v>
      </c>
      <c r="N562" s="137">
        <f t="shared" si="66"/>
        <v>2</v>
      </c>
      <c r="O562" s="128">
        <f t="shared" si="64"/>
        <v>155</v>
      </c>
      <c r="P562" s="8">
        <v>270669</v>
      </c>
      <c r="Q562" s="8">
        <v>270750</v>
      </c>
      <c r="R562" s="128">
        <f t="shared" si="69"/>
        <v>81</v>
      </c>
      <c r="AQ562" s="8"/>
      <c r="AR562" s="8"/>
      <c r="AS562" s="8"/>
    </row>
    <row r="563" spans="1:45">
      <c r="A563" s="12">
        <v>44938</v>
      </c>
      <c r="B563" s="8">
        <v>510006</v>
      </c>
      <c r="C563" s="8">
        <v>510257</v>
      </c>
      <c r="D563" s="128">
        <f t="shared" si="67"/>
        <v>251</v>
      </c>
      <c r="E563" s="8">
        <v>83786</v>
      </c>
      <c r="F563" s="8">
        <v>84122</v>
      </c>
      <c r="G563" s="137">
        <f t="shared" si="65"/>
        <v>336</v>
      </c>
      <c r="H563" s="128">
        <f t="shared" si="68"/>
        <v>587</v>
      </c>
      <c r="I563" s="8">
        <v>706933</v>
      </c>
      <c r="J563" s="8">
        <v>707150</v>
      </c>
      <c r="K563" s="137">
        <f t="shared" si="70"/>
        <v>217</v>
      </c>
      <c r="L563" s="8">
        <v>38302</v>
      </c>
      <c r="M563" s="8">
        <v>38303</v>
      </c>
      <c r="N563" s="137">
        <f t="shared" si="66"/>
        <v>1</v>
      </c>
      <c r="O563" s="128">
        <f t="shared" si="64"/>
        <v>218</v>
      </c>
      <c r="P563" s="8">
        <v>270750</v>
      </c>
      <c r="Q563" s="8">
        <v>270791</v>
      </c>
      <c r="R563" s="128">
        <f t="shared" si="69"/>
        <v>41</v>
      </c>
      <c r="AQ563" s="8"/>
      <c r="AR563" s="8"/>
      <c r="AS563" s="8"/>
    </row>
    <row r="564" spans="1:45">
      <c r="A564" s="12">
        <v>44939</v>
      </c>
      <c r="B564" s="8">
        <v>510257</v>
      </c>
      <c r="C564" s="8">
        <v>510523</v>
      </c>
      <c r="D564" s="128">
        <f t="shared" si="67"/>
        <v>266</v>
      </c>
      <c r="E564" s="8">
        <v>84122</v>
      </c>
      <c r="F564" s="8">
        <v>84434</v>
      </c>
      <c r="G564" s="137">
        <f t="shared" ref="G564:G627" si="71">F564-E564</f>
        <v>312</v>
      </c>
      <c r="H564" s="128">
        <f t="shared" si="68"/>
        <v>578</v>
      </c>
      <c r="I564" s="8">
        <v>707150</v>
      </c>
      <c r="J564" s="8">
        <v>707298</v>
      </c>
      <c r="K564" s="137">
        <f t="shared" si="70"/>
        <v>148</v>
      </c>
      <c r="L564" s="8">
        <v>38303</v>
      </c>
      <c r="M564" s="8">
        <v>38303</v>
      </c>
      <c r="N564" s="137">
        <f t="shared" si="66"/>
        <v>0</v>
      </c>
      <c r="O564" s="128">
        <f t="shared" si="64"/>
        <v>148</v>
      </c>
      <c r="P564" s="8">
        <v>270791</v>
      </c>
      <c r="Q564" s="8">
        <v>270802</v>
      </c>
      <c r="R564" s="128">
        <f t="shared" si="69"/>
        <v>11</v>
      </c>
      <c r="S564" s="10" t="e">
        <f>#REF!+#REF!+#REF!+H563+O563+#REF!+R563</f>
        <v>#REF!</v>
      </c>
      <c r="AQ564" s="8"/>
      <c r="AR564" s="8"/>
      <c r="AS564" s="8"/>
    </row>
    <row r="565" spans="1:45">
      <c r="A565" s="12">
        <v>44940</v>
      </c>
      <c r="B565" s="8">
        <v>510523</v>
      </c>
      <c r="C565" s="8">
        <v>510821</v>
      </c>
      <c r="D565" s="128">
        <f t="shared" si="67"/>
        <v>298</v>
      </c>
      <c r="E565" s="8">
        <v>84434</v>
      </c>
      <c r="F565" s="8">
        <v>84736</v>
      </c>
      <c r="G565" s="137">
        <f t="shared" si="71"/>
        <v>302</v>
      </c>
      <c r="H565" s="128">
        <f t="shared" si="68"/>
        <v>600</v>
      </c>
      <c r="I565" s="8">
        <v>707298</v>
      </c>
      <c r="J565" s="8">
        <v>707532</v>
      </c>
      <c r="K565" s="137">
        <f t="shared" si="70"/>
        <v>234</v>
      </c>
      <c r="L565" s="8">
        <v>38303</v>
      </c>
      <c r="M565" s="8">
        <v>38404</v>
      </c>
      <c r="N565" s="137">
        <f t="shared" si="66"/>
        <v>101</v>
      </c>
      <c r="O565" s="128">
        <f t="shared" si="64"/>
        <v>335</v>
      </c>
      <c r="P565" s="8">
        <v>270802</v>
      </c>
      <c r="Q565" s="8">
        <v>271057</v>
      </c>
      <c r="R565" s="128">
        <f t="shared" si="69"/>
        <v>255</v>
      </c>
      <c r="AQ565" s="8"/>
      <c r="AR565" s="8"/>
      <c r="AS565" s="8"/>
    </row>
    <row r="566" spans="1:45">
      <c r="A566" s="12">
        <v>44941</v>
      </c>
      <c r="B566" s="8">
        <v>510821</v>
      </c>
      <c r="C566" s="8">
        <v>511048</v>
      </c>
      <c r="D566" s="128">
        <f t="shared" si="67"/>
        <v>227</v>
      </c>
      <c r="E566" s="8">
        <v>84736</v>
      </c>
      <c r="F566" s="8">
        <v>85012</v>
      </c>
      <c r="G566" s="137">
        <f t="shared" si="71"/>
        <v>276</v>
      </c>
      <c r="H566" s="128">
        <f t="shared" si="68"/>
        <v>503</v>
      </c>
      <c r="I566" s="8">
        <v>707532</v>
      </c>
      <c r="J566" s="8">
        <v>707732</v>
      </c>
      <c r="K566" s="137">
        <f t="shared" si="70"/>
        <v>200</v>
      </c>
      <c r="L566" s="8">
        <v>38404</v>
      </c>
      <c r="M566" s="8">
        <v>38683</v>
      </c>
      <c r="N566" s="137">
        <f t="shared" si="66"/>
        <v>279</v>
      </c>
      <c r="O566" s="128">
        <f t="shared" si="64"/>
        <v>479</v>
      </c>
      <c r="P566" s="8">
        <v>271057</v>
      </c>
      <c r="Q566" s="8">
        <v>271298</v>
      </c>
      <c r="R566" s="128">
        <f t="shared" si="69"/>
        <v>241</v>
      </c>
      <c r="AQ566" s="8"/>
      <c r="AR566" s="8"/>
      <c r="AS566" s="8"/>
    </row>
    <row r="567" spans="1:45">
      <c r="A567" s="12">
        <v>44942</v>
      </c>
      <c r="B567" s="8">
        <v>511048</v>
      </c>
      <c r="C567" s="8">
        <v>511282</v>
      </c>
      <c r="D567" s="128">
        <f t="shared" si="67"/>
        <v>234</v>
      </c>
      <c r="E567" s="8">
        <v>85012</v>
      </c>
      <c r="F567" s="8">
        <v>85386</v>
      </c>
      <c r="G567" s="137">
        <f t="shared" si="71"/>
        <v>374</v>
      </c>
      <c r="H567" s="128">
        <f t="shared" si="68"/>
        <v>608</v>
      </c>
      <c r="I567" s="8">
        <v>707732</v>
      </c>
      <c r="J567" s="8">
        <v>707972</v>
      </c>
      <c r="K567" s="137">
        <f t="shared" si="70"/>
        <v>240</v>
      </c>
      <c r="L567" s="8">
        <v>38683</v>
      </c>
      <c r="M567" s="8">
        <v>38869</v>
      </c>
      <c r="N567" s="137">
        <f t="shared" si="66"/>
        <v>186</v>
      </c>
      <c r="O567" s="128">
        <f t="shared" si="64"/>
        <v>426</v>
      </c>
      <c r="P567" s="8">
        <v>271298</v>
      </c>
      <c r="Q567" s="8">
        <v>271298</v>
      </c>
      <c r="R567" s="128">
        <f t="shared" si="69"/>
        <v>0</v>
      </c>
      <c r="AQ567" s="8"/>
      <c r="AR567" s="8"/>
      <c r="AS567" s="8"/>
    </row>
    <row r="568" spans="1:45">
      <c r="A568" s="12">
        <v>44943</v>
      </c>
      <c r="B568" s="8">
        <v>511282</v>
      </c>
      <c r="C568" s="8">
        <v>511543</v>
      </c>
      <c r="D568" s="128">
        <f t="shared" si="67"/>
        <v>261</v>
      </c>
      <c r="E568" s="8">
        <v>85386</v>
      </c>
      <c r="F568" s="8">
        <v>85712</v>
      </c>
      <c r="G568" s="137">
        <f t="shared" si="71"/>
        <v>326</v>
      </c>
      <c r="H568" s="128">
        <f t="shared" si="68"/>
        <v>587</v>
      </c>
      <c r="I568" s="8">
        <v>707972</v>
      </c>
      <c r="J568" s="8">
        <v>708224</v>
      </c>
      <c r="K568" s="137">
        <f t="shared" si="70"/>
        <v>252</v>
      </c>
      <c r="L568" s="8">
        <v>38869</v>
      </c>
      <c r="M568" s="8">
        <v>38910</v>
      </c>
      <c r="N568" s="137">
        <f t="shared" si="66"/>
        <v>41</v>
      </c>
      <c r="O568" s="128">
        <f t="shared" si="64"/>
        <v>293</v>
      </c>
      <c r="P568" s="8">
        <v>271298</v>
      </c>
      <c r="Q568" s="8">
        <v>271347</v>
      </c>
      <c r="R568" s="128">
        <f t="shared" si="69"/>
        <v>49</v>
      </c>
      <c r="AQ568" s="8"/>
      <c r="AR568" s="8"/>
      <c r="AS568" s="8"/>
    </row>
    <row r="569" spans="1:45">
      <c r="A569" s="12">
        <v>44944</v>
      </c>
      <c r="B569" s="8">
        <v>511543</v>
      </c>
      <c r="C569" s="8">
        <v>511806</v>
      </c>
      <c r="D569" s="128">
        <f t="shared" si="67"/>
        <v>263</v>
      </c>
      <c r="E569" s="8">
        <v>85712</v>
      </c>
      <c r="F569" s="8">
        <v>85916</v>
      </c>
      <c r="G569" s="137">
        <f t="shared" si="71"/>
        <v>204</v>
      </c>
      <c r="H569" s="128">
        <f t="shared" si="68"/>
        <v>467</v>
      </c>
      <c r="I569" s="8">
        <v>708224</v>
      </c>
      <c r="J569" s="8">
        <v>708464</v>
      </c>
      <c r="K569" s="137">
        <f t="shared" si="70"/>
        <v>240</v>
      </c>
      <c r="L569" s="8">
        <v>38910</v>
      </c>
      <c r="M569" s="8">
        <v>39098</v>
      </c>
      <c r="N569" s="137">
        <f t="shared" si="66"/>
        <v>188</v>
      </c>
      <c r="O569" s="128">
        <f t="shared" si="64"/>
        <v>428</v>
      </c>
      <c r="P569" s="8">
        <v>271347</v>
      </c>
      <c r="Q569" s="8">
        <v>271682</v>
      </c>
      <c r="R569" s="128">
        <f t="shared" si="69"/>
        <v>335</v>
      </c>
      <c r="AQ569" s="8"/>
      <c r="AR569" s="8"/>
      <c r="AS569" s="8"/>
    </row>
    <row r="570" spans="1:45">
      <c r="A570" s="12">
        <v>44945</v>
      </c>
      <c r="B570" s="8">
        <v>511806</v>
      </c>
      <c r="C570" s="8">
        <v>512065</v>
      </c>
      <c r="D570" s="128">
        <f t="shared" si="67"/>
        <v>259</v>
      </c>
      <c r="E570" s="8">
        <v>85916</v>
      </c>
      <c r="F570" s="8">
        <v>86074</v>
      </c>
      <c r="G570" s="137">
        <f t="shared" si="71"/>
        <v>158</v>
      </c>
      <c r="H570" s="128">
        <f>D570+G570</f>
        <v>417</v>
      </c>
      <c r="I570" s="8">
        <v>708464</v>
      </c>
      <c r="J570" s="8">
        <v>708719</v>
      </c>
      <c r="K570" s="137">
        <f t="shared" si="70"/>
        <v>255</v>
      </c>
      <c r="L570" s="8">
        <v>39098</v>
      </c>
      <c r="M570" s="8">
        <v>39111</v>
      </c>
      <c r="N570" s="137">
        <f t="shared" si="66"/>
        <v>13</v>
      </c>
      <c r="O570" s="128">
        <f t="shared" si="64"/>
        <v>268</v>
      </c>
      <c r="P570" s="8">
        <v>271682</v>
      </c>
      <c r="Q570" s="8">
        <v>272353</v>
      </c>
      <c r="R570" s="128">
        <f t="shared" si="69"/>
        <v>671</v>
      </c>
      <c r="AQ570" s="8"/>
      <c r="AR570" s="8"/>
      <c r="AS570" s="8"/>
    </row>
    <row r="571" spans="1:45">
      <c r="A571" s="12">
        <v>44946</v>
      </c>
      <c r="B571" s="8">
        <v>512065</v>
      </c>
      <c r="C571" s="8">
        <v>512352</v>
      </c>
      <c r="D571" s="128">
        <f t="shared" si="67"/>
        <v>287</v>
      </c>
      <c r="E571" s="8">
        <v>86074</v>
      </c>
      <c r="F571" s="8">
        <v>86418</v>
      </c>
      <c r="G571" s="137">
        <f t="shared" si="71"/>
        <v>344</v>
      </c>
      <c r="H571" s="128">
        <f>D571+G571</f>
        <v>631</v>
      </c>
      <c r="I571" s="8">
        <v>708719</v>
      </c>
      <c r="J571" s="8">
        <v>708911</v>
      </c>
      <c r="K571" s="137">
        <f t="shared" si="70"/>
        <v>192</v>
      </c>
      <c r="L571" s="8">
        <v>39111</v>
      </c>
      <c r="M571" s="8">
        <v>39310</v>
      </c>
      <c r="N571" s="137">
        <f t="shared" si="66"/>
        <v>199</v>
      </c>
      <c r="O571" s="128">
        <f t="shared" si="64"/>
        <v>391</v>
      </c>
      <c r="P571" s="8">
        <v>272353</v>
      </c>
      <c r="Q571" s="8">
        <v>272430</v>
      </c>
      <c r="R571" s="128">
        <f t="shared" si="69"/>
        <v>77</v>
      </c>
      <c r="AQ571" s="8"/>
      <c r="AR571" s="8"/>
      <c r="AS571" s="8"/>
    </row>
    <row r="572" spans="1:45">
      <c r="A572" s="12">
        <v>44947</v>
      </c>
      <c r="B572" s="8">
        <v>512352</v>
      </c>
      <c r="C572" s="8">
        <v>512743</v>
      </c>
      <c r="D572" s="128">
        <f t="shared" si="67"/>
        <v>391</v>
      </c>
      <c r="E572" s="8">
        <v>86418</v>
      </c>
      <c r="F572" s="8">
        <v>86865</v>
      </c>
      <c r="G572" s="137">
        <f t="shared" si="71"/>
        <v>447</v>
      </c>
      <c r="H572" s="128">
        <f t="shared" ref="H572:H640" si="72">D572+G572</f>
        <v>838</v>
      </c>
      <c r="I572" s="8">
        <v>708911</v>
      </c>
      <c r="J572" s="8">
        <v>709167</v>
      </c>
      <c r="K572" s="137">
        <f t="shared" si="70"/>
        <v>256</v>
      </c>
      <c r="L572" s="8">
        <v>39310</v>
      </c>
      <c r="M572" s="8">
        <v>39442</v>
      </c>
      <c r="N572" s="137">
        <f t="shared" si="66"/>
        <v>132</v>
      </c>
      <c r="O572" s="128">
        <f t="shared" si="64"/>
        <v>388</v>
      </c>
      <c r="P572" s="8">
        <v>272430</v>
      </c>
      <c r="Q572" s="8">
        <v>272551</v>
      </c>
      <c r="R572" s="128">
        <f t="shared" si="69"/>
        <v>121</v>
      </c>
      <c r="AQ572" s="8"/>
      <c r="AR572" s="8"/>
      <c r="AS572" s="8"/>
    </row>
    <row r="573" spans="1:45">
      <c r="A573" s="12">
        <v>44948</v>
      </c>
      <c r="B573" s="8">
        <v>512743</v>
      </c>
      <c r="C573" s="8">
        <v>512997</v>
      </c>
      <c r="D573" s="128">
        <f t="shared" si="67"/>
        <v>254</v>
      </c>
      <c r="E573" s="8">
        <v>86865</v>
      </c>
      <c r="F573" s="8">
        <v>87335</v>
      </c>
      <c r="G573" s="137">
        <f t="shared" si="71"/>
        <v>470</v>
      </c>
      <c r="H573" s="128">
        <f t="shared" si="72"/>
        <v>724</v>
      </c>
      <c r="I573" s="8">
        <v>709167</v>
      </c>
      <c r="J573" s="8">
        <v>709429</v>
      </c>
      <c r="K573" s="137">
        <f t="shared" si="70"/>
        <v>262</v>
      </c>
      <c r="L573" s="8">
        <v>39442</v>
      </c>
      <c r="M573" s="8">
        <v>39521</v>
      </c>
      <c r="N573" s="137">
        <f t="shared" si="66"/>
        <v>79</v>
      </c>
      <c r="O573" s="128">
        <f t="shared" si="64"/>
        <v>341</v>
      </c>
      <c r="P573" s="8">
        <v>272551</v>
      </c>
      <c r="Q573" s="8">
        <v>272551</v>
      </c>
      <c r="R573" s="128">
        <f t="shared" si="69"/>
        <v>0</v>
      </c>
      <c r="AQ573" s="8"/>
      <c r="AR573" s="8"/>
      <c r="AS573" s="8"/>
    </row>
    <row r="574" spans="1:45">
      <c r="A574" s="12">
        <v>44949</v>
      </c>
      <c r="B574" s="8">
        <v>512997</v>
      </c>
      <c r="C574" s="8">
        <v>513192</v>
      </c>
      <c r="D574" s="128">
        <f t="shared" si="67"/>
        <v>195</v>
      </c>
      <c r="E574" s="8">
        <v>87335</v>
      </c>
      <c r="F574" s="8">
        <v>87425</v>
      </c>
      <c r="G574" s="137">
        <f t="shared" si="71"/>
        <v>90</v>
      </c>
      <c r="H574" s="128">
        <f t="shared" si="72"/>
        <v>285</v>
      </c>
      <c r="I574" s="8">
        <v>709429</v>
      </c>
      <c r="J574" s="8">
        <v>709629</v>
      </c>
      <c r="K574" s="137">
        <f t="shared" si="70"/>
        <v>200</v>
      </c>
      <c r="L574" s="8">
        <v>39521</v>
      </c>
      <c r="M574" s="8">
        <v>39686</v>
      </c>
      <c r="N574" s="137">
        <f t="shared" si="66"/>
        <v>165</v>
      </c>
      <c r="O574" s="128">
        <f t="shared" si="64"/>
        <v>365</v>
      </c>
      <c r="P574" s="8">
        <v>272551</v>
      </c>
      <c r="Q574" s="8">
        <v>272784</v>
      </c>
      <c r="R574" s="128">
        <f t="shared" si="69"/>
        <v>233</v>
      </c>
      <c r="AQ574" s="8"/>
      <c r="AR574" s="8"/>
      <c r="AS574" s="8"/>
    </row>
    <row r="575" spans="1:45">
      <c r="A575" s="12">
        <v>44950</v>
      </c>
      <c r="B575" s="8">
        <v>513192</v>
      </c>
      <c r="C575" s="8">
        <v>513453</v>
      </c>
      <c r="D575" s="128">
        <f t="shared" si="67"/>
        <v>261</v>
      </c>
      <c r="E575" s="8">
        <v>87335</v>
      </c>
      <c r="F575" s="8">
        <v>87782</v>
      </c>
      <c r="G575" s="137">
        <f t="shared" si="71"/>
        <v>447</v>
      </c>
      <c r="H575" s="128">
        <f t="shared" si="72"/>
        <v>708</v>
      </c>
      <c r="I575" s="8">
        <v>709629</v>
      </c>
      <c r="J575" s="8">
        <v>709789</v>
      </c>
      <c r="K575" s="137">
        <f t="shared" si="70"/>
        <v>160</v>
      </c>
      <c r="L575" s="8">
        <v>39686</v>
      </c>
      <c r="M575" s="8">
        <v>39821</v>
      </c>
      <c r="N575" s="137">
        <f t="shared" si="66"/>
        <v>135</v>
      </c>
      <c r="O575" s="128">
        <f t="shared" si="64"/>
        <v>295</v>
      </c>
      <c r="P575" s="8">
        <v>272784</v>
      </c>
      <c r="Q575" s="8">
        <v>272784</v>
      </c>
      <c r="R575" s="128">
        <f t="shared" si="69"/>
        <v>0</v>
      </c>
      <c r="AQ575" s="8"/>
      <c r="AR575" s="8"/>
      <c r="AS575" s="8"/>
    </row>
    <row r="576" spans="1:45">
      <c r="A576" s="12">
        <v>44951</v>
      </c>
      <c r="B576" s="8">
        <v>513453</v>
      </c>
      <c r="C576" s="8">
        <v>513794</v>
      </c>
      <c r="D576" s="128">
        <f t="shared" si="67"/>
        <v>341</v>
      </c>
      <c r="E576" s="8">
        <v>87782</v>
      </c>
      <c r="F576" s="8">
        <v>88143</v>
      </c>
      <c r="G576" s="137">
        <f t="shared" si="71"/>
        <v>361</v>
      </c>
      <c r="H576" s="128">
        <f t="shared" si="72"/>
        <v>702</v>
      </c>
      <c r="I576" s="8">
        <v>709789</v>
      </c>
      <c r="J576" s="8">
        <v>709941</v>
      </c>
      <c r="K576" s="137">
        <f t="shared" si="70"/>
        <v>152</v>
      </c>
      <c r="L576" s="8">
        <v>39821</v>
      </c>
      <c r="M576" s="8">
        <v>40098</v>
      </c>
      <c r="N576" s="137">
        <f t="shared" si="66"/>
        <v>277</v>
      </c>
      <c r="O576" s="128">
        <f t="shared" si="64"/>
        <v>429</v>
      </c>
      <c r="P576" s="8">
        <v>272784</v>
      </c>
      <c r="Q576" s="8">
        <v>272980</v>
      </c>
      <c r="R576" s="128">
        <f t="shared" si="69"/>
        <v>196</v>
      </c>
      <c r="AQ576" s="8"/>
      <c r="AR576" s="8"/>
      <c r="AS576" s="8"/>
    </row>
    <row r="577" spans="1:45">
      <c r="A577" s="12">
        <v>44952</v>
      </c>
      <c r="B577" s="8">
        <v>513794</v>
      </c>
      <c r="C577" s="8">
        <v>514102</v>
      </c>
      <c r="D577" s="128">
        <f t="shared" si="67"/>
        <v>308</v>
      </c>
      <c r="E577" s="8">
        <v>88143</v>
      </c>
      <c r="F577" s="8">
        <v>88669</v>
      </c>
      <c r="G577" s="137">
        <f t="shared" si="71"/>
        <v>526</v>
      </c>
      <c r="H577" s="128">
        <f t="shared" si="72"/>
        <v>834</v>
      </c>
      <c r="I577" s="8">
        <v>709941</v>
      </c>
      <c r="J577" s="8">
        <v>710218</v>
      </c>
      <c r="K577" s="137">
        <f t="shared" si="70"/>
        <v>277</v>
      </c>
      <c r="L577" s="8">
        <v>40098</v>
      </c>
      <c r="M577" s="8">
        <v>40318</v>
      </c>
      <c r="N577" s="137">
        <f t="shared" si="66"/>
        <v>220</v>
      </c>
      <c r="O577" s="128">
        <f t="shared" si="64"/>
        <v>497</v>
      </c>
      <c r="P577" s="8">
        <v>272980</v>
      </c>
      <c r="Q577" s="8">
        <v>272980</v>
      </c>
      <c r="R577" s="128">
        <f t="shared" si="69"/>
        <v>0</v>
      </c>
      <c r="AQ577" s="8"/>
      <c r="AR577" s="8"/>
      <c r="AS577" s="8"/>
    </row>
    <row r="578" spans="1:45">
      <c r="A578" s="12">
        <v>44953</v>
      </c>
      <c r="B578" s="8">
        <v>514102</v>
      </c>
      <c r="C578" s="8">
        <v>514473</v>
      </c>
      <c r="D578" s="128">
        <f t="shared" si="67"/>
        <v>371</v>
      </c>
      <c r="E578" s="8">
        <v>88669</v>
      </c>
      <c r="F578" s="8">
        <v>89127</v>
      </c>
      <c r="G578" s="137">
        <f t="shared" si="71"/>
        <v>458</v>
      </c>
      <c r="H578" s="128">
        <f t="shared" si="72"/>
        <v>829</v>
      </c>
      <c r="I578" s="8">
        <v>710218</v>
      </c>
      <c r="J578" s="8">
        <v>710421</v>
      </c>
      <c r="K578" s="137">
        <f t="shared" si="70"/>
        <v>203</v>
      </c>
      <c r="L578" s="8">
        <v>40318</v>
      </c>
      <c r="M578" s="8">
        <v>40521</v>
      </c>
      <c r="N578" s="137">
        <f t="shared" si="66"/>
        <v>203</v>
      </c>
      <c r="O578" s="128">
        <f t="shared" si="64"/>
        <v>406</v>
      </c>
      <c r="P578" s="8">
        <v>272980</v>
      </c>
      <c r="Q578" s="8">
        <v>272980</v>
      </c>
      <c r="R578" s="128">
        <f t="shared" si="69"/>
        <v>0</v>
      </c>
      <c r="AQ578" s="8"/>
      <c r="AR578" s="8"/>
      <c r="AS578" s="8"/>
    </row>
    <row r="579" spans="1:45">
      <c r="A579" s="12">
        <v>44954</v>
      </c>
      <c r="B579" s="8">
        <v>514473</v>
      </c>
      <c r="C579" s="8">
        <v>514858</v>
      </c>
      <c r="D579" s="128">
        <f t="shared" si="67"/>
        <v>385</v>
      </c>
      <c r="E579" s="8">
        <v>89127</v>
      </c>
      <c r="F579" s="8">
        <v>89689</v>
      </c>
      <c r="G579" s="137">
        <f t="shared" si="71"/>
        <v>562</v>
      </c>
      <c r="H579" s="128">
        <f t="shared" si="72"/>
        <v>947</v>
      </c>
      <c r="I579" s="8">
        <v>710421</v>
      </c>
      <c r="J579" s="8">
        <v>710510</v>
      </c>
      <c r="K579" s="137">
        <f t="shared" si="70"/>
        <v>89</v>
      </c>
      <c r="L579" s="8">
        <v>40521</v>
      </c>
      <c r="M579" s="8">
        <v>40835</v>
      </c>
      <c r="N579" s="137">
        <f t="shared" si="66"/>
        <v>314</v>
      </c>
      <c r="O579" s="128">
        <f t="shared" si="64"/>
        <v>403</v>
      </c>
      <c r="P579" s="8">
        <v>272980</v>
      </c>
      <c r="Q579" s="8">
        <v>272980</v>
      </c>
      <c r="R579" s="128">
        <f t="shared" si="69"/>
        <v>0</v>
      </c>
      <c r="AQ579" s="8"/>
      <c r="AR579" s="8"/>
      <c r="AS579" s="8"/>
    </row>
    <row r="580" spans="1:45">
      <c r="A580" s="12">
        <v>44955</v>
      </c>
      <c r="B580" s="8">
        <v>514858</v>
      </c>
      <c r="C580" s="8">
        <v>515126</v>
      </c>
      <c r="D580" s="128">
        <f t="shared" si="67"/>
        <v>268</v>
      </c>
      <c r="E580" s="8">
        <v>89689</v>
      </c>
      <c r="F580" s="8">
        <v>90202</v>
      </c>
      <c r="G580" s="137">
        <f t="shared" si="71"/>
        <v>513</v>
      </c>
      <c r="H580" s="128">
        <f t="shared" si="72"/>
        <v>781</v>
      </c>
      <c r="I580" s="8">
        <v>710510</v>
      </c>
      <c r="J580" s="8">
        <v>710710</v>
      </c>
      <c r="K580" s="137">
        <f t="shared" si="70"/>
        <v>200</v>
      </c>
      <c r="L580" s="8">
        <v>40835</v>
      </c>
      <c r="M580" s="8">
        <v>41026</v>
      </c>
      <c r="N580" s="137">
        <f t="shared" si="66"/>
        <v>191</v>
      </c>
      <c r="O580" s="128">
        <f t="shared" si="64"/>
        <v>391</v>
      </c>
      <c r="P580" s="8">
        <v>272980</v>
      </c>
      <c r="Q580" s="8">
        <v>272980</v>
      </c>
      <c r="R580" s="128">
        <f t="shared" si="69"/>
        <v>0</v>
      </c>
      <c r="AQ580" s="8"/>
      <c r="AR580" s="8"/>
      <c r="AS580" s="8"/>
    </row>
    <row r="581" spans="1:45">
      <c r="A581" s="12">
        <v>44956</v>
      </c>
      <c r="B581" s="8">
        <v>515126</v>
      </c>
      <c r="C581" s="8">
        <v>515456</v>
      </c>
      <c r="D581" s="128">
        <f t="shared" si="67"/>
        <v>330</v>
      </c>
      <c r="E581" s="8">
        <v>90202</v>
      </c>
      <c r="F581" s="8">
        <v>90683</v>
      </c>
      <c r="G581" s="137">
        <f t="shared" si="71"/>
        <v>481</v>
      </c>
      <c r="H581" s="128">
        <f t="shared" si="72"/>
        <v>811</v>
      </c>
      <c r="I581" s="8">
        <v>710710</v>
      </c>
      <c r="J581" s="8">
        <v>710928</v>
      </c>
      <c r="K581" s="137">
        <f t="shared" si="70"/>
        <v>218</v>
      </c>
      <c r="L581" s="8">
        <v>41026</v>
      </c>
      <c r="M581" s="8">
        <v>41337</v>
      </c>
      <c r="N581" s="137">
        <f t="shared" si="66"/>
        <v>311</v>
      </c>
      <c r="O581" s="128">
        <f t="shared" ref="O581:O609" si="73">N581+K581</f>
        <v>529</v>
      </c>
      <c r="P581" s="8">
        <v>272980</v>
      </c>
      <c r="Q581" s="8">
        <v>272980</v>
      </c>
      <c r="R581" s="128">
        <f t="shared" si="69"/>
        <v>0</v>
      </c>
      <c r="AQ581" s="8"/>
      <c r="AR581" s="8"/>
      <c r="AS581" s="8"/>
    </row>
    <row r="582" spans="1:45">
      <c r="A582" s="12">
        <v>44957</v>
      </c>
      <c r="B582" s="8">
        <v>515456</v>
      </c>
      <c r="C582" s="8">
        <v>515804</v>
      </c>
      <c r="D582" s="128">
        <f t="shared" si="67"/>
        <v>348</v>
      </c>
      <c r="E582" s="8">
        <v>90683</v>
      </c>
      <c r="F582" s="8">
        <v>91149</v>
      </c>
      <c r="G582" s="137">
        <f t="shared" si="71"/>
        <v>466</v>
      </c>
      <c r="H582" s="128">
        <f t="shared" si="72"/>
        <v>814</v>
      </c>
      <c r="I582" s="8">
        <v>710928</v>
      </c>
      <c r="J582" s="8">
        <v>711107</v>
      </c>
      <c r="K582" s="137">
        <f t="shared" si="70"/>
        <v>179</v>
      </c>
      <c r="L582" s="8">
        <v>41337</v>
      </c>
      <c r="M582" s="8">
        <v>41601</v>
      </c>
      <c r="N582" s="137">
        <f t="shared" si="66"/>
        <v>264</v>
      </c>
      <c r="O582" s="128">
        <f t="shared" si="73"/>
        <v>443</v>
      </c>
      <c r="P582" s="8">
        <v>272980</v>
      </c>
      <c r="Q582" s="8">
        <v>272980</v>
      </c>
      <c r="R582" s="128">
        <f t="shared" si="69"/>
        <v>0</v>
      </c>
      <c r="AQ582" s="8"/>
      <c r="AR582" s="8"/>
      <c r="AS582" s="8"/>
    </row>
    <row r="583" spans="1:45">
      <c r="A583" s="12">
        <v>44958</v>
      </c>
      <c r="B583" s="8">
        <v>515804</v>
      </c>
      <c r="C583" s="8">
        <v>516057</v>
      </c>
      <c r="D583" s="128">
        <f t="shared" si="67"/>
        <v>253</v>
      </c>
      <c r="E583" s="8">
        <v>91149</v>
      </c>
      <c r="F583" s="8">
        <v>91486</v>
      </c>
      <c r="G583" s="137">
        <f t="shared" si="71"/>
        <v>337</v>
      </c>
      <c r="H583" s="128">
        <f t="shared" si="72"/>
        <v>590</v>
      </c>
      <c r="I583" s="8">
        <v>711107</v>
      </c>
      <c r="J583" s="8">
        <v>711318</v>
      </c>
      <c r="K583" s="137">
        <f t="shared" si="70"/>
        <v>211</v>
      </c>
      <c r="L583" s="8">
        <v>41601</v>
      </c>
      <c r="M583" s="8">
        <v>41812</v>
      </c>
      <c r="N583" s="137">
        <f t="shared" si="66"/>
        <v>211</v>
      </c>
      <c r="O583" s="128">
        <f t="shared" si="73"/>
        <v>422</v>
      </c>
      <c r="P583" s="8">
        <v>272980</v>
      </c>
      <c r="Q583" s="8">
        <v>272980</v>
      </c>
      <c r="R583" s="128">
        <f t="shared" si="69"/>
        <v>0</v>
      </c>
      <c r="AQ583" s="8"/>
      <c r="AR583" s="8"/>
      <c r="AS583" s="8"/>
    </row>
    <row r="584" spans="1:45">
      <c r="A584" s="12">
        <v>44959</v>
      </c>
      <c r="B584" s="8">
        <v>516057</v>
      </c>
      <c r="C584" s="8">
        <v>516321</v>
      </c>
      <c r="D584" s="128">
        <f t="shared" si="67"/>
        <v>264</v>
      </c>
      <c r="E584" s="8">
        <v>91486</v>
      </c>
      <c r="F584" s="8">
        <v>91812</v>
      </c>
      <c r="G584" s="137">
        <f t="shared" si="71"/>
        <v>326</v>
      </c>
      <c r="H584" s="128">
        <f t="shared" si="72"/>
        <v>590</v>
      </c>
      <c r="I584" s="8">
        <v>711318</v>
      </c>
      <c r="J584" s="8">
        <v>711551</v>
      </c>
      <c r="K584" s="137">
        <f t="shared" si="70"/>
        <v>233</v>
      </c>
      <c r="L584" s="8">
        <v>41812</v>
      </c>
      <c r="M584" s="8">
        <v>42222</v>
      </c>
      <c r="N584" s="137">
        <f t="shared" ref="N584:N647" si="74">M584-L584</f>
        <v>410</v>
      </c>
      <c r="O584" s="128">
        <f t="shared" si="73"/>
        <v>643</v>
      </c>
      <c r="P584" s="8">
        <v>272980</v>
      </c>
      <c r="Q584" s="8">
        <v>272980</v>
      </c>
      <c r="R584" s="128">
        <f t="shared" si="69"/>
        <v>0</v>
      </c>
      <c r="AQ584" s="8"/>
      <c r="AR584" s="8"/>
      <c r="AS584" s="8"/>
    </row>
    <row r="585" spans="1:45">
      <c r="A585" s="12">
        <v>44960</v>
      </c>
      <c r="B585" s="8">
        <v>516321</v>
      </c>
      <c r="C585" s="8">
        <v>516631</v>
      </c>
      <c r="D585" s="128">
        <f t="shared" si="67"/>
        <v>310</v>
      </c>
      <c r="E585" s="8">
        <v>91812</v>
      </c>
      <c r="F585" s="8">
        <v>92009</v>
      </c>
      <c r="G585" s="137">
        <f t="shared" si="71"/>
        <v>197</v>
      </c>
      <c r="H585" s="128">
        <f t="shared" si="72"/>
        <v>507</v>
      </c>
      <c r="I585" s="8">
        <v>711551</v>
      </c>
      <c r="J585" s="8">
        <v>711769</v>
      </c>
      <c r="K585" s="137">
        <f t="shared" si="70"/>
        <v>218</v>
      </c>
      <c r="L585" s="8">
        <v>42222</v>
      </c>
      <c r="M585" s="8">
        <v>42222</v>
      </c>
      <c r="N585" s="137">
        <f t="shared" si="74"/>
        <v>0</v>
      </c>
      <c r="O585" s="128">
        <f t="shared" si="73"/>
        <v>218</v>
      </c>
      <c r="P585" s="8">
        <v>272980</v>
      </c>
      <c r="Q585" s="8">
        <v>272980</v>
      </c>
      <c r="R585" s="128">
        <f t="shared" si="69"/>
        <v>0</v>
      </c>
      <c r="AQ585" s="8"/>
      <c r="AR585" s="8"/>
      <c r="AS585" s="8"/>
    </row>
    <row r="586" spans="1:45">
      <c r="A586" s="12">
        <v>44961</v>
      </c>
      <c r="B586" s="8">
        <v>516321</v>
      </c>
      <c r="C586" s="8">
        <v>516978</v>
      </c>
      <c r="D586" s="128">
        <f t="shared" si="67"/>
        <v>657</v>
      </c>
      <c r="E586" s="8">
        <v>92009</v>
      </c>
      <c r="F586" s="8">
        <v>92429</v>
      </c>
      <c r="G586" s="137">
        <f t="shared" si="71"/>
        <v>420</v>
      </c>
      <c r="H586" s="128">
        <f t="shared" si="72"/>
        <v>1077</v>
      </c>
      <c r="I586" s="8">
        <v>711769</v>
      </c>
      <c r="J586" s="8">
        <v>711999</v>
      </c>
      <c r="K586" s="137">
        <f t="shared" si="70"/>
        <v>230</v>
      </c>
      <c r="L586" s="8">
        <v>42222</v>
      </c>
      <c r="M586" s="8">
        <v>42512</v>
      </c>
      <c r="N586" s="137">
        <f t="shared" si="74"/>
        <v>290</v>
      </c>
      <c r="O586" s="128">
        <f t="shared" si="73"/>
        <v>520</v>
      </c>
      <c r="P586" s="8">
        <v>272980</v>
      </c>
      <c r="Q586" s="8">
        <v>272980</v>
      </c>
      <c r="R586" s="128">
        <f t="shared" si="69"/>
        <v>0</v>
      </c>
      <c r="AQ586" s="8"/>
      <c r="AR586" s="8"/>
      <c r="AS586" s="8"/>
    </row>
    <row r="587" spans="1:45">
      <c r="A587" s="12">
        <v>44962</v>
      </c>
      <c r="B587" s="8">
        <v>516978</v>
      </c>
      <c r="C587" s="8">
        <v>517187</v>
      </c>
      <c r="D587" s="128">
        <f t="shared" si="67"/>
        <v>209</v>
      </c>
      <c r="E587" s="8">
        <v>92429</v>
      </c>
      <c r="F587" s="8">
        <v>92777</v>
      </c>
      <c r="G587" s="137">
        <f t="shared" si="71"/>
        <v>348</v>
      </c>
      <c r="H587" s="128">
        <f t="shared" si="72"/>
        <v>557</v>
      </c>
      <c r="I587" s="8">
        <v>711999</v>
      </c>
      <c r="J587" s="8">
        <v>712216</v>
      </c>
      <c r="K587" s="137">
        <f t="shared" si="70"/>
        <v>217</v>
      </c>
      <c r="L587" s="8">
        <v>42512</v>
      </c>
      <c r="M587" s="8">
        <v>42611</v>
      </c>
      <c r="N587" s="137">
        <f t="shared" si="74"/>
        <v>99</v>
      </c>
      <c r="O587" s="128">
        <f t="shared" si="73"/>
        <v>316</v>
      </c>
      <c r="P587" s="8">
        <v>272980</v>
      </c>
      <c r="Q587" s="8">
        <v>272980</v>
      </c>
      <c r="R587" s="128">
        <f t="shared" si="69"/>
        <v>0</v>
      </c>
      <c r="AQ587" s="8"/>
      <c r="AR587" s="8"/>
      <c r="AS587" s="8"/>
    </row>
    <row r="588" spans="1:45">
      <c r="A588" s="12">
        <v>44963</v>
      </c>
      <c r="B588" s="8">
        <v>517187</v>
      </c>
      <c r="C588" s="8">
        <v>517466</v>
      </c>
      <c r="D588" s="128">
        <f t="shared" si="67"/>
        <v>279</v>
      </c>
      <c r="E588" s="8">
        <v>92777</v>
      </c>
      <c r="F588" s="8">
        <v>93134</v>
      </c>
      <c r="G588" s="137">
        <f t="shared" si="71"/>
        <v>357</v>
      </c>
      <c r="H588" s="128">
        <f t="shared" si="72"/>
        <v>636</v>
      </c>
      <c r="I588" s="8">
        <v>712216</v>
      </c>
      <c r="J588" s="8">
        <v>712433</v>
      </c>
      <c r="K588" s="137">
        <f t="shared" si="70"/>
        <v>217</v>
      </c>
      <c r="L588" s="8">
        <v>42611</v>
      </c>
      <c r="M588" s="8">
        <v>42857</v>
      </c>
      <c r="N588" s="137">
        <f t="shared" si="74"/>
        <v>246</v>
      </c>
      <c r="O588" s="128">
        <f t="shared" si="73"/>
        <v>463</v>
      </c>
      <c r="P588" s="8">
        <v>272980</v>
      </c>
      <c r="Q588" s="8">
        <v>272980</v>
      </c>
      <c r="R588" s="128">
        <f t="shared" si="69"/>
        <v>0</v>
      </c>
      <c r="AQ588" s="8"/>
      <c r="AR588" s="8"/>
      <c r="AS588" s="8"/>
    </row>
    <row r="589" spans="1:45">
      <c r="A589" s="12">
        <v>44964</v>
      </c>
      <c r="B589" s="8">
        <v>517466</v>
      </c>
      <c r="C589" s="8">
        <v>517716</v>
      </c>
      <c r="D589" s="128">
        <f t="shared" si="67"/>
        <v>250</v>
      </c>
      <c r="E589" s="8">
        <v>93134</v>
      </c>
      <c r="F589" s="8">
        <v>93492</v>
      </c>
      <c r="G589" s="137">
        <f t="shared" si="71"/>
        <v>358</v>
      </c>
      <c r="H589" s="128">
        <f t="shared" si="72"/>
        <v>608</v>
      </c>
      <c r="I589" s="8">
        <v>712433</v>
      </c>
      <c r="J589" s="8">
        <v>712662</v>
      </c>
      <c r="K589" s="137">
        <f t="shared" si="70"/>
        <v>229</v>
      </c>
      <c r="L589" s="8">
        <v>42857</v>
      </c>
      <c r="M589" s="8">
        <v>43085</v>
      </c>
      <c r="N589" s="137">
        <f t="shared" si="74"/>
        <v>228</v>
      </c>
      <c r="O589" s="128">
        <f t="shared" si="73"/>
        <v>457</v>
      </c>
      <c r="P589" s="8">
        <v>272980</v>
      </c>
      <c r="Q589" s="8">
        <v>272980</v>
      </c>
      <c r="R589" s="128">
        <f t="shared" si="69"/>
        <v>0</v>
      </c>
      <c r="AQ589" s="8"/>
      <c r="AR589" s="8"/>
      <c r="AS589" s="8"/>
    </row>
    <row r="590" spans="1:45">
      <c r="A590" s="12">
        <v>44965</v>
      </c>
      <c r="B590" s="8">
        <v>517716</v>
      </c>
      <c r="C590" s="8">
        <v>517876</v>
      </c>
      <c r="D590" s="128">
        <f t="shared" si="67"/>
        <v>160</v>
      </c>
      <c r="E590" s="8">
        <v>93492</v>
      </c>
      <c r="F590" s="8">
        <v>93735</v>
      </c>
      <c r="G590" s="137">
        <f t="shared" si="71"/>
        <v>243</v>
      </c>
      <c r="H590" s="128">
        <f t="shared" si="72"/>
        <v>403</v>
      </c>
      <c r="I590" s="8">
        <v>712662</v>
      </c>
      <c r="J590" s="8">
        <v>712942</v>
      </c>
      <c r="K590" s="137">
        <f t="shared" si="70"/>
        <v>280</v>
      </c>
      <c r="L590" s="8">
        <v>43085</v>
      </c>
      <c r="M590" s="8">
        <v>43308</v>
      </c>
      <c r="N590" s="137">
        <f t="shared" si="74"/>
        <v>223</v>
      </c>
      <c r="O590" s="128">
        <f t="shared" si="73"/>
        <v>503</v>
      </c>
      <c r="P590" s="8">
        <v>272980</v>
      </c>
      <c r="Q590" s="8">
        <v>273683</v>
      </c>
      <c r="R590" s="128">
        <f t="shared" si="69"/>
        <v>703</v>
      </c>
      <c r="AQ590" s="8"/>
      <c r="AR590" s="8"/>
      <c r="AS590" s="8"/>
    </row>
    <row r="591" spans="1:45">
      <c r="A591" s="12">
        <v>44966</v>
      </c>
      <c r="B591" s="8">
        <v>517876</v>
      </c>
      <c r="C591" s="8">
        <v>518168</v>
      </c>
      <c r="D591" s="128">
        <f t="shared" si="67"/>
        <v>292</v>
      </c>
      <c r="E591" s="8">
        <v>93735</v>
      </c>
      <c r="F591" s="8">
        <v>93973</v>
      </c>
      <c r="G591" s="137">
        <f t="shared" si="71"/>
        <v>238</v>
      </c>
      <c r="H591" s="128">
        <f t="shared" si="72"/>
        <v>530</v>
      </c>
      <c r="I591" s="8">
        <v>712942</v>
      </c>
      <c r="J591" s="8">
        <v>713122</v>
      </c>
      <c r="K591" s="137">
        <f t="shared" si="70"/>
        <v>180</v>
      </c>
      <c r="L591" s="8">
        <v>43308</v>
      </c>
      <c r="M591" s="8">
        <v>43537</v>
      </c>
      <c r="N591" s="137">
        <f t="shared" si="74"/>
        <v>229</v>
      </c>
      <c r="O591" s="128">
        <f t="shared" si="73"/>
        <v>409</v>
      </c>
      <c r="P591" s="8">
        <v>273683</v>
      </c>
      <c r="Q591" s="8">
        <v>274328</v>
      </c>
      <c r="R591" s="128">
        <f t="shared" si="69"/>
        <v>645</v>
      </c>
      <c r="AQ591" s="8"/>
      <c r="AR591" s="8"/>
      <c r="AS591" s="8"/>
    </row>
    <row r="592" spans="1:45">
      <c r="A592" s="12">
        <v>44967</v>
      </c>
      <c r="B592" s="8">
        <v>518168</v>
      </c>
      <c r="C592" s="8">
        <v>518404</v>
      </c>
      <c r="D592" s="128">
        <f t="shared" si="67"/>
        <v>236</v>
      </c>
      <c r="E592" s="8">
        <v>93973</v>
      </c>
      <c r="F592" s="8">
        <v>94282</v>
      </c>
      <c r="G592" s="137">
        <f t="shared" si="71"/>
        <v>309</v>
      </c>
      <c r="H592" s="128">
        <f t="shared" si="72"/>
        <v>545</v>
      </c>
      <c r="I592" s="8">
        <v>713122</v>
      </c>
      <c r="J592" s="8">
        <v>713247</v>
      </c>
      <c r="K592" s="137">
        <f t="shared" si="70"/>
        <v>125</v>
      </c>
      <c r="L592" s="8">
        <v>43537</v>
      </c>
      <c r="M592" s="8">
        <v>43778</v>
      </c>
      <c r="N592" s="137">
        <f t="shared" si="74"/>
        <v>241</v>
      </c>
      <c r="O592" s="128">
        <f t="shared" si="73"/>
        <v>366</v>
      </c>
      <c r="P592" s="8">
        <v>274328</v>
      </c>
      <c r="Q592" s="8">
        <v>274552</v>
      </c>
      <c r="R592" s="128">
        <f t="shared" si="69"/>
        <v>224</v>
      </c>
      <c r="AQ592" s="8"/>
      <c r="AR592" s="8"/>
      <c r="AS592" s="8"/>
    </row>
    <row r="593" spans="1:45">
      <c r="A593" s="12">
        <v>44968</v>
      </c>
      <c r="B593" s="8">
        <v>518404</v>
      </c>
      <c r="C593" s="8">
        <v>518862</v>
      </c>
      <c r="D593" s="128">
        <f t="shared" si="67"/>
        <v>458</v>
      </c>
      <c r="E593" s="8">
        <v>94282</v>
      </c>
      <c r="F593" s="8">
        <v>94805</v>
      </c>
      <c r="G593" s="137">
        <f t="shared" si="71"/>
        <v>523</v>
      </c>
      <c r="H593" s="128">
        <f t="shared" si="72"/>
        <v>981</v>
      </c>
      <c r="I593" s="8">
        <v>713247</v>
      </c>
      <c r="J593" s="8">
        <v>713463</v>
      </c>
      <c r="K593" s="137">
        <f t="shared" si="70"/>
        <v>216</v>
      </c>
      <c r="L593" s="8">
        <v>43778</v>
      </c>
      <c r="M593" s="8">
        <v>44000</v>
      </c>
      <c r="N593" s="137">
        <f t="shared" si="74"/>
        <v>222</v>
      </c>
      <c r="O593" s="128">
        <f t="shared" si="73"/>
        <v>438</v>
      </c>
      <c r="P593" s="8">
        <v>274552</v>
      </c>
      <c r="Q593" s="8">
        <v>274552</v>
      </c>
      <c r="R593" s="128">
        <f t="shared" si="69"/>
        <v>0</v>
      </c>
      <c r="AQ593" s="8"/>
      <c r="AR593" s="8"/>
      <c r="AS593" s="8"/>
    </row>
    <row r="594" spans="1:45">
      <c r="A594" s="12">
        <v>44969</v>
      </c>
      <c r="B594" s="8">
        <v>518862</v>
      </c>
      <c r="C594" s="8">
        <v>519107</v>
      </c>
      <c r="D594" s="128">
        <f t="shared" si="67"/>
        <v>245</v>
      </c>
      <c r="E594" s="8">
        <v>94805</v>
      </c>
      <c r="F594" s="8">
        <v>95162</v>
      </c>
      <c r="G594" s="137">
        <f t="shared" si="71"/>
        <v>357</v>
      </c>
      <c r="H594" s="128">
        <f t="shared" si="72"/>
        <v>602</v>
      </c>
      <c r="I594" s="8">
        <v>713463</v>
      </c>
      <c r="J594" s="8">
        <v>713606</v>
      </c>
      <c r="K594" s="137">
        <f t="shared" si="70"/>
        <v>143</v>
      </c>
      <c r="L594" s="8">
        <v>44000</v>
      </c>
      <c r="M594" s="8">
        <v>44202</v>
      </c>
      <c r="N594" s="137">
        <f t="shared" si="74"/>
        <v>202</v>
      </c>
      <c r="O594" s="128">
        <f t="shared" si="73"/>
        <v>345</v>
      </c>
      <c r="P594" s="8">
        <v>274552</v>
      </c>
      <c r="Q594" s="8">
        <v>274552</v>
      </c>
      <c r="R594" s="128">
        <f t="shared" si="69"/>
        <v>0</v>
      </c>
      <c r="AQ594" s="8"/>
      <c r="AR594" s="8"/>
      <c r="AS594" s="8"/>
    </row>
    <row r="595" spans="1:45">
      <c r="A595" s="12">
        <v>44970</v>
      </c>
      <c r="B595" s="8">
        <v>519107</v>
      </c>
      <c r="C595" s="8">
        <v>519447</v>
      </c>
      <c r="D595" s="128">
        <f t="shared" si="67"/>
        <v>340</v>
      </c>
      <c r="E595" s="8">
        <v>95162</v>
      </c>
      <c r="F595" s="8">
        <v>95588</v>
      </c>
      <c r="G595" s="137">
        <f t="shared" si="71"/>
        <v>426</v>
      </c>
      <c r="H595" s="128">
        <f t="shared" si="72"/>
        <v>766</v>
      </c>
      <c r="I595" s="8">
        <v>713606</v>
      </c>
      <c r="J595" s="8">
        <v>713822</v>
      </c>
      <c r="K595" s="137">
        <f t="shared" si="70"/>
        <v>216</v>
      </c>
      <c r="L595" s="8">
        <v>44202</v>
      </c>
      <c r="M595" s="8">
        <v>44473</v>
      </c>
      <c r="N595" s="137">
        <f t="shared" si="74"/>
        <v>271</v>
      </c>
      <c r="O595" s="128">
        <f t="shared" si="73"/>
        <v>487</v>
      </c>
      <c r="P595" s="8">
        <v>274552</v>
      </c>
      <c r="Q595" s="8">
        <v>274552</v>
      </c>
      <c r="R595" s="128">
        <f t="shared" si="69"/>
        <v>0</v>
      </c>
      <c r="AQ595" s="8"/>
      <c r="AR595" s="8"/>
      <c r="AS595" s="8"/>
    </row>
    <row r="596" spans="1:45">
      <c r="A596" s="12">
        <v>44971</v>
      </c>
      <c r="B596" s="8">
        <v>519447</v>
      </c>
      <c r="C596" s="8">
        <v>519741</v>
      </c>
      <c r="D596" s="128">
        <f t="shared" si="67"/>
        <v>294</v>
      </c>
      <c r="E596" s="8">
        <v>95588</v>
      </c>
      <c r="F596" s="8">
        <v>96031</v>
      </c>
      <c r="G596" s="137">
        <f t="shared" si="71"/>
        <v>443</v>
      </c>
      <c r="H596" s="128">
        <f t="shared" si="72"/>
        <v>737</v>
      </c>
      <c r="I596" s="8">
        <v>713822</v>
      </c>
      <c r="J596" s="8">
        <v>714004</v>
      </c>
      <c r="K596" s="137">
        <f t="shared" si="70"/>
        <v>182</v>
      </c>
      <c r="L596" s="8">
        <v>44473</v>
      </c>
      <c r="M596" s="8">
        <v>44511</v>
      </c>
      <c r="N596" s="137">
        <f t="shared" si="74"/>
        <v>38</v>
      </c>
      <c r="O596" s="128">
        <f t="shared" si="73"/>
        <v>220</v>
      </c>
      <c r="P596" s="8">
        <v>274552</v>
      </c>
      <c r="Q596" s="8">
        <v>274552</v>
      </c>
      <c r="R596" s="128">
        <f t="shared" si="69"/>
        <v>0</v>
      </c>
      <c r="AQ596" s="8"/>
      <c r="AR596" s="8"/>
      <c r="AS596" s="8"/>
    </row>
    <row r="597" spans="1:45">
      <c r="A597" s="12">
        <v>44972</v>
      </c>
      <c r="B597" s="8">
        <v>519741</v>
      </c>
      <c r="C597" s="8">
        <v>520047</v>
      </c>
      <c r="D597" s="128">
        <f t="shared" si="67"/>
        <v>306</v>
      </c>
      <c r="E597" s="8">
        <v>96031</v>
      </c>
      <c r="F597" s="8">
        <v>96421</v>
      </c>
      <c r="G597" s="137">
        <f t="shared" si="71"/>
        <v>390</v>
      </c>
      <c r="H597" s="128">
        <f t="shared" si="72"/>
        <v>696</v>
      </c>
      <c r="I597" s="8">
        <v>714004</v>
      </c>
      <c r="J597" s="8">
        <v>714200</v>
      </c>
      <c r="K597" s="137">
        <f t="shared" si="70"/>
        <v>196</v>
      </c>
      <c r="L597" s="8">
        <v>44511</v>
      </c>
      <c r="M597" s="8">
        <v>44753</v>
      </c>
      <c r="N597" s="137">
        <f t="shared" si="74"/>
        <v>242</v>
      </c>
      <c r="O597" s="128">
        <f t="shared" si="73"/>
        <v>438</v>
      </c>
      <c r="P597" s="8">
        <v>274552</v>
      </c>
      <c r="Q597" s="8">
        <v>274552</v>
      </c>
      <c r="R597" s="128">
        <f t="shared" si="69"/>
        <v>0</v>
      </c>
      <c r="AQ597" s="8"/>
      <c r="AR597" s="8"/>
      <c r="AS597" s="8"/>
    </row>
    <row r="598" spans="1:45">
      <c r="A598" s="12">
        <v>44973</v>
      </c>
      <c r="B598" s="8">
        <v>520047</v>
      </c>
      <c r="C598" s="8">
        <v>520299</v>
      </c>
      <c r="D598" s="128">
        <f t="shared" si="67"/>
        <v>252</v>
      </c>
      <c r="E598" s="8">
        <v>96421</v>
      </c>
      <c r="F598" s="8">
        <v>96737</v>
      </c>
      <c r="G598" s="137">
        <f t="shared" si="71"/>
        <v>316</v>
      </c>
      <c r="H598" s="128">
        <f t="shared" si="72"/>
        <v>568</v>
      </c>
      <c r="I598" s="8">
        <v>714200</v>
      </c>
      <c r="J598" s="8">
        <v>714396</v>
      </c>
      <c r="K598" s="137">
        <f t="shared" si="70"/>
        <v>196</v>
      </c>
      <c r="L598" s="8">
        <v>44753</v>
      </c>
      <c r="M598" s="8">
        <v>44911</v>
      </c>
      <c r="N598" s="137">
        <f t="shared" si="74"/>
        <v>158</v>
      </c>
      <c r="O598" s="128">
        <f t="shared" si="73"/>
        <v>354</v>
      </c>
      <c r="P598" s="8">
        <v>274552</v>
      </c>
      <c r="Q598" s="8">
        <v>274552</v>
      </c>
      <c r="R598" s="128">
        <f t="shared" si="69"/>
        <v>0</v>
      </c>
      <c r="AQ598" s="8"/>
      <c r="AR598" s="8"/>
      <c r="AS598" s="8"/>
    </row>
    <row r="599" spans="1:45">
      <c r="A599" s="12">
        <v>44974</v>
      </c>
      <c r="B599" s="8">
        <v>520299</v>
      </c>
      <c r="C599" s="8">
        <v>520620</v>
      </c>
      <c r="D599" s="128">
        <f t="shared" ref="D599:D663" si="75">C599-B599</f>
        <v>321</v>
      </c>
      <c r="E599" s="8">
        <v>96737</v>
      </c>
      <c r="F599" s="8">
        <v>97106</v>
      </c>
      <c r="G599" s="137">
        <f t="shared" si="71"/>
        <v>369</v>
      </c>
      <c r="H599" s="128">
        <f t="shared" si="72"/>
        <v>690</v>
      </c>
      <c r="I599" s="8">
        <v>714396</v>
      </c>
      <c r="J599" s="8">
        <v>714566</v>
      </c>
      <c r="K599" s="137">
        <f t="shared" si="70"/>
        <v>170</v>
      </c>
      <c r="L599" s="8">
        <v>44911</v>
      </c>
      <c r="M599" s="8">
        <v>44912</v>
      </c>
      <c r="N599" s="137">
        <f t="shared" si="74"/>
        <v>1</v>
      </c>
      <c r="O599" s="128">
        <f t="shared" si="73"/>
        <v>171</v>
      </c>
      <c r="P599" s="8">
        <v>274552</v>
      </c>
      <c r="Q599" s="8">
        <v>274552</v>
      </c>
      <c r="R599" s="128">
        <f t="shared" si="69"/>
        <v>0</v>
      </c>
      <c r="AQ599" s="8"/>
      <c r="AR599" s="8"/>
      <c r="AS599" s="8"/>
    </row>
    <row r="600" spans="1:45">
      <c r="A600" s="12">
        <v>44975</v>
      </c>
      <c r="B600" s="8">
        <v>520620</v>
      </c>
      <c r="C600" s="8">
        <v>520961</v>
      </c>
      <c r="D600" s="128">
        <f t="shared" si="75"/>
        <v>341</v>
      </c>
      <c r="E600" s="8">
        <v>97106</v>
      </c>
      <c r="F600" s="8">
        <v>97518</v>
      </c>
      <c r="G600" s="137">
        <f t="shared" si="71"/>
        <v>412</v>
      </c>
      <c r="H600" s="128">
        <f t="shared" si="72"/>
        <v>753</v>
      </c>
      <c r="I600" s="8">
        <v>714566</v>
      </c>
      <c r="J600" s="8">
        <v>714796</v>
      </c>
      <c r="K600" s="137">
        <f t="shared" si="70"/>
        <v>230</v>
      </c>
      <c r="L600" s="8">
        <v>44912</v>
      </c>
      <c r="M600" s="8">
        <v>45109</v>
      </c>
      <c r="N600" s="137">
        <f t="shared" si="74"/>
        <v>197</v>
      </c>
      <c r="O600" s="128">
        <f t="shared" si="73"/>
        <v>427</v>
      </c>
      <c r="P600" s="8">
        <v>274552</v>
      </c>
      <c r="Q600" s="8">
        <v>274552</v>
      </c>
      <c r="R600" s="128">
        <f t="shared" si="69"/>
        <v>0</v>
      </c>
      <c r="AQ600" s="8"/>
      <c r="AR600" s="8"/>
      <c r="AS600" s="8"/>
    </row>
    <row r="601" spans="1:45">
      <c r="A601" s="12">
        <v>44976</v>
      </c>
      <c r="B601" s="8">
        <v>520961</v>
      </c>
      <c r="C601" s="8">
        <v>521216</v>
      </c>
      <c r="D601" s="128">
        <f t="shared" si="75"/>
        <v>255</v>
      </c>
      <c r="E601" s="8">
        <v>97518</v>
      </c>
      <c r="F601" s="8">
        <v>97902</v>
      </c>
      <c r="G601" s="137">
        <f t="shared" si="71"/>
        <v>384</v>
      </c>
      <c r="H601" s="128">
        <f t="shared" si="72"/>
        <v>639</v>
      </c>
      <c r="I601" s="8">
        <v>714796</v>
      </c>
      <c r="J601" s="8">
        <v>714994</v>
      </c>
      <c r="K601" s="137">
        <f t="shared" si="70"/>
        <v>198</v>
      </c>
      <c r="L601" s="8">
        <v>45109</v>
      </c>
      <c r="M601" s="8">
        <v>45222</v>
      </c>
      <c r="N601" s="137">
        <f t="shared" si="74"/>
        <v>113</v>
      </c>
      <c r="O601" s="128">
        <f t="shared" si="73"/>
        <v>311</v>
      </c>
      <c r="P601" s="8">
        <v>274552</v>
      </c>
      <c r="Q601" s="8">
        <v>274552</v>
      </c>
      <c r="R601" s="128">
        <f t="shared" si="69"/>
        <v>0</v>
      </c>
      <c r="AQ601" s="8"/>
      <c r="AR601" s="8"/>
      <c r="AS601" s="8"/>
    </row>
    <row r="602" spans="1:45">
      <c r="A602" s="12">
        <v>44977</v>
      </c>
      <c r="B602" s="8">
        <v>521216</v>
      </c>
      <c r="C602" s="8">
        <v>521494</v>
      </c>
      <c r="D602" s="128">
        <f t="shared" si="75"/>
        <v>278</v>
      </c>
      <c r="E602" s="8">
        <v>97902</v>
      </c>
      <c r="F602" s="8">
        <v>98301</v>
      </c>
      <c r="G602" s="137">
        <f t="shared" si="71"/>
        <v>399</v>
      </c>
      <c r="H602" s="128">
        <f t="shared" si="72"/>
        <v>677</v>
      </c>
      <c r="I602" s="8">
        <v>714994</v>
      </c>
      <c r="J602" s="8">
        <v>715215</v>
      </c>
      <c r="K602" s="137">
        <f t="shared" si="70"/>
        <v>221</v>
      </c>
      <c r="L602" s="8">
        <v>45222</v>
      </c>
      <c r="M602" s="8">
        <v>45448</v>
      </c>
      <c r="N602" s="137">
        <f t="shared" si="74"/>
        <v>226</v>
      </c>
      <c r="O602" s="128">
        <f t="shared" si="73"/>
        <v>447</v>
      </c>
      <c r="P602" s="8">
        <v>274552</v>
      </c>
      <c r="Q602" s="8">
        <v>274552</v>
      </c>
      <c r="R602" s="128">
        <f t="shared" si="69"/>
        <v>0</v>
      </c>
      <c r="AQ602" s="8"/>
      <c r="AR602" s="8"/>
      <c r="AS602" s="8"/>
    </row>
    <row r="603" spans="1:45">
      <c r="A603" s="12">
        <v>44978</v>
      </c>
      <c r="B603" s="8">
        <v>521494</v>
      </c>
      <c r="C603" s="8">
        <v>521752</v>
      </c>
      <c r="D603" s="128">
        <f t="shared" si="75"/>
        <v>258</v>
      </c>
      <c r="E603" s="8">
        <v>98301</v>
      </c>
      <c r="F603" s="8">
        <v>98597</v>
      </c>
      <c r="G603" s="137">
        <f t="shared" si="71"/>
        <v>296</v>
      </c>
      <c r="H603" s="128">
        <f t="shared" si="72"/>
        <v>554</v>
      </c>
      <c r="I603" s="8">
        <v>715215</v>
      </c>
      <c r="J603" s="8">
        <v>715427</v>
      </c>
      <c r="K603" s="137">
        <f t="shared" si="70"/>
        <v>212</v>
      </c>
      <c r="L603" s="8">
        <v>45448</v>
      </c>
      <c r="M603" s="8">
        <v>45673</v>
      </c>
      <c r="N603" s="137">
        <f t="shared" si="74"/>
        <v>225</v>
      </c>
      <c r="O603" s="128">
        <f t="shared" si="73"/>
        <v>437</v>
      </c>
      <c r="P603" s="8">
        <v>274552</v>
      </c>
      <c r="Q603" s="8">
        <v>274552</v>
      </c>
      <c r="R603" s="128">
        <f t="shared" si="69"/>
        <v>0</v>
      </c>
      <c r="AQ603" s="8"/>
      <c r="AR603" s="8"/>
      <c r="AS603" s="8"/>
    </row>
    <row r="604" spans="1:45">
      <c r="A604" s="12">
        <v>44979</v>
      </c>
      <c r="B604" s="8">
        <v>521752</v>
      </c>
      <c r="C604" s="8">
        <v>522013</v>
      </c>
      <c r="D604" s="128">
        <f t="shared" si="75"/>
        <v>261</v>
      </c>
      <c r="E604" s="8">
        <v>98597</v>
      </c>
      <c r="F604" s="8">
        <v>98994</v>
      </c>
      <c r="G604" s="137">
        <f t="shared" si="71"/>
        <v>397</v>
      </c>
      <c r="H604" s="128">
        <f t="shared" si="72"/>
        <v>658</v>
      </c>
      <c r="I604" s="8">
        <v>715427</v>
      </c>
      <c r="J604" s="8">
        <v>715687</v>
      </c>
      <c r="K604" s="137">
        <f t="shared" si="70"/>
        <v>260</v>
      </c>
      <c r="L604" s="8">
        <v>45673</v>
      </c>
      <c r="M604" s="8">
        <v>45885</v>
      </c>
      <c r="N604" s="137">
        <f t="shared" si="74"/>
        <v>212</v>
      </c>
      <c r="O604" s="128">
        <f t="shared" si="73"/>
        <v>472</v>
      </c>
      <c r="P604" s="8">
        <v>274552</v>
      </c>
      <c r="Q604" s="8">
        <v>274552</v>
      </c>
      <c r="R604" s="128">
        <f t="shared" si="69"/>
        <v>0</v>
      </c>
      <c r="AQ604" s="8"/>
      <c r="AR604" s="8"/>
      <c r="AS604" s="8"/>
    </row>
    <row r="605" spans="1:45">
      <c r="A605" s="12">
        <v>44980</v>
      </c>
      <c r="B605" s="8">
        <v>522013</v>
      </c>
      <c r="C605" s="8">
        <v>522257</v>
      </c>
      <c r="D605" s="128">
        <f t="shared" si="75"/>
        <v>244</v>
      </c>
      <c r="E605" s="8">
        <v>98994</v>
      </c>
      <c r="F605" s="8">
        <v>99357</v>
      </c>
      <c r="G605" s="137">
        <f t="shared" si="71"/>
        <v>363</v>
      </c>
      <c r="H605" s="128">
        <f t="shared" si="72"/>
        <v>607</v>
      </c>
      <c r="I605" s="8">
        <v>715687</v>
      </c>
      <c r="J605" s="8">
        <v>715843</v>
      </c>
      <c r="K605" s="137">
        <f t="shared" si="70"/>
        <v>156</v>
      </c>
      <c r="L605" s="8">
        <v>45885</v>
      </c>
      <c r="M605" s="8">
        <v>46105</v>
      </c>
      <c r="N605" s="137">
        <f t="shared" si="74"/>
        <v>220</v>
      </c>
      <c r="O605" s="128">
        <f t="shared" si="73"/>
        <v>376</v>
      </c>
      <c r="P605" s="8">
        <v>274552</v>
      </c>
      <c r="Q605" s="8">
        <v>274552</v>
      </c>
      <c r="R605" s="128">
        <f t="shared" si="69"/>
        <v>0</v>
      </c>
      <c r="AQ605" s="8"/>
      <c r="AR605" s="8"/>
      <c r="AS605" s="8"/>
    </row>
    <row r="606" spans="1:45">
      <c r="A606" s="12">
        <v>44981</v>
      </c>
      <c r="B606" s="8">
        <v>522257</v>
      </c>
      <c r="C606" s="8">
        <v>522567</v>
      </c>
      <c r="D606" s="128">
        <f t="shared" si="75"/>
        <v>310</v>
      </c>
      <c r="E606" s="8">
        <v>99357</v>
      </c>
      <c r="F606" s="8">
        <v>99739</v>
      </c>
      <c r="G606" s="137">
        <f t="shared" si="71"/>
        <v>382</v>
      </c>
      <c r="H606" s="128">
        <f t="shared" si="72"/>
        <v>692</v>
      </c>
      <c r="I606" s="8">
        <v>715843</v>
      </c>
      <c r="J606" s="8">
        <v>716071</v>
      </c>
      <c r="K606" s="137">
        <f t="shared" si="70"/>
        <v>228</v>
      </c>
      <c r="L606" s="8">
        <v>46105</v>
      </c>
      <c r="M606" s="8">
        <v>46107</v>
      </c>
      <c r="N606" s="137">
        <f t="shared" si="74"/>
        <v>2</v>
      </c>
      <c r="O606" s="128">
        <f t="shared" si="73"/>
        <v>230</v>
      </c>
      <c r="P606" s="8">
        <v>274552</v>
      </c>
      <c r="Q606" s="8">
        <v>274552</v>
      </c>
      <c r="R606" s="128">
        <f t="shared" si="69"/>
        <v>0</v>
      </c>
      <c r="AQ606" s="8"/>
      <c r="AR606" s="8"/>
      <c r="AS606" s="8"/>
    </row>
    <row r="607" spans="1:45">
      <c r="A607" s="12">
        <v>44982</v>
      </c>
      <c r="B607" s="8">
        <v>522567</v>
      </c>
      <c r="C607" s="8">
        <v>522929</v>
      </c>
      <c r="D607" s="128">
        <f t="shared" si="75"/>
        <v>362</v>
      </c>
      <c r="E607" s="8">
        <v>99739</v>
      </c>
      <c r="F607" s="8">
        <v>100114</v>
      </c>
      <c r="G607" s="137">
        <f t="shared" si="71"/>
        <v>375</v>
      </c>
      <c r="H607" s="128">
        <f t="shared" si="72"/>
        <v>737</v>
      </c>
      <c r="I607" s="8">
        <v>716071</v>
      </c>
      <c r="J607" s="8">
        <v>716319</v>
      </c>
      <c r="K607" s="137">
        <f t="shared" si="70"/>
        <v>248</v>
      </c>
      <c r="L607" s="8">
        <v>46107</v>
      </c>
      <c r="M607" s="8">
        <v>46248</v>
      </c>
      <c r="N607" s="137">
        <f t="shared" si="74"/>
        <v>141</v>
      </c>
      <c r="O607" s="128">
        <f t="shared" si="73"/>
        <v>389</v>
      </c>
      <c r="P607" s="8">
        <v>274552</v>
      </c>
      <c r="Q607" s="8">
        <v>274552</v>
      </c>
      <c r="R607" s="128">
        <f t="shared" si="69"/>
        <v>0</v>
      </c>
      <c r="AQ607" s="8"/>
      <c r="AR607" s="8"/>
      <c r="AS607" s="8"/>
    </row>
    <row r="608" spans="1:45">
      <c r="A608" s="12">
        <v>44983</v>
      </c>
      <c r="B608" s="8">
        <v>522929</v>
      </c>
      <c r="C608" s="8">
        <v>523143</v>
      </c>
      <c r="D608" s="128">
        <f t="shared" si="75"/>
        <v>214</v>
      </c>
      <c r="E608" s="8">
        <v>100114</v>
      </c>
      <c r="F608" s="8">
        <v>100434</v>
      </c>
      <c r="G608" s="137">
        <f t="shared" si="71"/>
        <v>320</v>
      </c>
      <c r="H608" s="128">
        <f t="shared" si="72"/>
        <v>534</v>
      </c>
      <c r="I608" s="8">
        <v>716319</v>
      </c>
      <c r="J608" s="8">
        <v>716607</v>
      </c>
      <c r="K608" s="137">
        <f t="shared" si="70"/>
        <v>288</v>
      </c>
      <c r="L608" s="8">
        <v>46248</v>
      </c>
      <c r="M608" s="8">
        <v>46448</v>
      </c>
      <c r="N608" s="137">
        <f t="shared" si="74"/>
        <v>200</v>
      </c>
      <c r="O608" s="128">
        <f t="shared" si="73"/>
        <v>488</v>
      </c>
      <c r="P608" s="8">
        <v>274552</v>
      </c>
      <c r="Q608" s="8">
        <v>274552</v>
      </c>
      <c r="R608" s="128">
        <f t="shared" ref="R608:R672" si="76">Q608-P608</f>
        <v>0</v>
      </c>
      <c r="AQ608" s="8"/>
      <c r="AR608" s="8"/>
      <c r="AS608" s="8"/>
    </row>
    <row r="609" spans="1:45">
      <c r="A609" s="12">
        <v>44984</v>
      </c>
      <c r="B609" s="8">
        <v>523143</v>
      </c>
      <c r="C609" s="8">
        <v>523426</v>
      </c>
      <c r="D609" s="128">
        <f t="shared" si="75"/>
        <v>283</v>
      </c>
      <c r="E609" s="8">
        <v>100434</v>
      </c>
      <c r="F609" s="8">
        <v>100816</v>
      </c>
      <c r="G609" s="137">
        <f t="shared" si="71"/>
        <v>382</v>
      </c>
      <c r="H609" s="128">
        <f t="shared" si="72"/>
        <v>665</v>
      </c>
      <c r="I609" s="8">
        <v>716607</v>
      </c>
      <c r="J609" s="8">
        <v>716804</v>
      </c>
      <c r="K609" s="137">
        <f t="shared" si="70"/>
        <v>197</v>
      </c>
      <c r="L609" s="8">
        <v>46448</v>
      </c>
      <c r="M609" s="8">
        <v>46679</v>
      </c>
      <c r="N609" s="137">
        <f t="shared" si="74"/>
        <v>231</v>
      </c>
      <c r="O609" s="128">
        <f t="shared" si="73"/>
        <v>428</v>
      </c>
      <c r="P609" s="8">
        <v>274552</v>
      </c>
      <c r="Q609" s="8">
        <v>274552</v>
      </c>
      <c r="R609" s="128">
        <f t="shared" si="76"/>
        <v>0</v>
      </c>
      <c r="AQ609" s="8"/>
      <c r="AR609" s="8"/>
      <c r="AS609" s="8"/>
    </row>
    <row r="610" spans="1:45">
      <c r="A610" s="12">
        <v>44985</v>
      </c>
      <c r="B610" s="8">
        <v>523426</v>
      </c>
      <c r="C610" s="8">
        <v>523683</v>
      </c>
      <c r="D610" s="128">
        <f t="shared" si="75"/>
        <v>257</v>
      </c>
      <c r="E610" s="8">
        <v>100816</v>
      </c>
      <c r="F610" s="8">
        <v>101192</v>
      </c>
      <c r="G610" s="137">
        <f t="shared" si="71"/>
        <v>376</v>
      </c>
      <c r="H610" s="128">
        <f t="shared" si="72"/>
        <v>633</v>
      </c>
      <c r="I610" s="8">
        <v>716804</v>
      </c>
      <c r="J610" s="8">
        <v>717021</v>
      </c>
      <c r="K610" s="137">
        <f t="shared" si="70"/>
        <v>217</v>
      </c>
      <c r="L610" s="8">
        <v>46679</v>
      </c>
      <c r="M610" s="8">
        <v>46876</v>
      </c>
      <c r="N610" s="137">
        <f t="shared" si="74"/>
        <v>197</v>
      </c>
      <c r="O610" s="128">
        <f t="shared" ref="O610:O676" si="77">N610+K610</f>
        <v>414</v>
      </c>
      <c r="P610" s="8">
        <v>274552</v>
      </c>
      <c r="Q610" s="8">
        <v>275088</v>
      </c>
      <c r="R610" s="128">
        <f t="shared" si="76"/>
        <v>536</v>
      </c>
      <c r="AQ610" s="8"/>
      <c r="AR610" s="8"/>
      <c r="AS610" s="8"/>
    </row>
    <row r="611" spans="1:45">
      <c r="A611" s="12">
        <v>44986</v>
      </c>
      <c r="B611" s="8">
        <v>523683</v>
      </c>
      <c r="C611" s="8">
        <v>523938</v>
      </c>
      <c r="D611" s="128">
        <f t="shared" si="75"/>
        <v>255</v>
      </c>
      <c r="E611" s="8">
        <v>101192</v>
      </c>
      <c r="F611" s="8">
        <v>101421</v>
      </c>
      <c r="G611" s="137">
        <f t="shared" si="71"/>
        <v>229</v>
      </c>
      <c r="H611" s="128">
        <f t="shared" si="72"/>
        <v>484</v>
      </c>
      <c r="I611" s="8">
        <v>717021</v>
      </c>
      <c r="J611" s="8">
        <v>717249</v>
      </c>
      <c r="K611" s="137">
        <f t="shared" si="70"/>
        <v>228</v>
      </c>
      <c r="L611" s="8">
        <v>46876</v>
      </c>
      <c r="M611" s="8">
        <v>47098</v>
      </c>
      <c r="N611" s="137">
        <f t="shared" si="74"/>
        <v>222</v>
      </c>
      <c r="O611" s="128">
        <f t="shared" si="77"/>
        <v>450</v>
      </c>
      <c r="P611" s="8">
        <v>275088</v>
      </c>
      <c r="Q611" s="8">
        <v>275797</v>
      </c>
      <c r="R611" s="128">
        <f t="shared" si="76"/>
        <v>709</v>
      </c>
      <c r="AQ611" s="8"/>
      <c r="AR611" s="8"/>
      <c r="AS611" s="8"/>
    </row>
    <row r="612" spans="1:45">
      <c r="A612" s="12">
        <v>44987</v>
      </c>
      <c r="B612" s="8">
        <v>523938</v>
      </c>
      <c r="C612" s="8">
        <v>524225</v>
      </c>
      <c r="D612" s="128">
        <f t="shared" si="75"/>
        <v>287</v>
      </c>
      <c r="E612" s="8">
        <v>101421</v>
      </c>
      <c r="F612" s="8">
        <v>101825</v>
      </c>
      <c r="G612" s="137">
        <f t="shared" si="71"/>
        <v>404</v>
      </c>
      <c r="H612" s="128">
        <f t="shared" si="72"/>
        <v>691</v>
      </c>
      <c r="I612" s="8">
        <v>717249</v>
      </c>
      <c r="J612" s="8">
        <v>717449</v>
      </c>
      <c r="K612" s="137">
        <f t="shared" si="70"/>
        <v>200</v>
      </c>
      <c r="L612" s="8">
        <v>47098</v>
      </c>
      <c r="M612" s="8">
        <v>47312</v>
      </c>
      <c r="N612" s="137">
        <f t="shared" si="74"/>
        <v>214</v>
      </c>
      <c r="O612" s="128">
        <f t="shared" si="77"/>
        <v>414</v>
      </c>
      <c r="P612" s="8">
        <v>275797</v>
      </c>
      <c r="Q612" s="8">
        <v>276129</v>
      </c>
      <c r="R612" s="128">
        <f t="shared" si="76"/>
        <v>332</v>
      </c>
      <c r="AQ612" s="8"/>
      <c r="AR612" s="8"/>
      <c r="AS612" s="8"/>
    </row>
    <row r="613" spans="1:45">
      <c r="A613" s="12">
        <v>44988</v>
      </c>
      <c r="B613" s="8">
        <v>524225</v>
      </c>
      <c r="C613" s="8">
        <v>524455</v>
      </c>
      <c r="D613" s="128">
        <f t="shared" si="75"/>
        <v>230</v>
      </c>
      <c r="E613" s="8">
        <v>101825</v>
      </c>
      <c r="F613" s="8">
        <v>102124</v>
      </c>
      <c r="G613" s="137">
        <f t="shared" si="71"/>
        <v>299</v>
      </c>
      <c r="H613" s="128">
        <f t="shared" si="72"/>
        <v>529</v>
      </c>
      <c r="I613" s="8">
        <v>717449</v>
      </c>
      <c r="J613" s="8">
        <v>717614</v>
      </c>
      <c r="K613" s="137">
        <f t="shared" si="70"/>
        <v>165</v>
      </c>
      <c r="L613" s="8">
        <v>47312</v>
      </c>
      <c r="M613" s="8">
        <v>47421</v>
      </c>
      <c r="N613" s="137">
        <f t="shared" si="74"/>
        <v>109</v>
      </c>
      <c r="O613" s="128">
        <f t="shared" si="77"/>
        <v>274</v>
      </c>
      <c r="P613" s="8">
        <v>276129</v>
      </c>
      <c r="Q613" s="8">
        <v>276541</v>
      </c>
      <c r="R613" s="128">
        <f t="shared" si="76"/>
        <v>412</v>
      </c>
      <c r="AQ613" s="8"/>
      <c r="AR613" s="8"/>
      <c r="AS613" s="8"/>
    </row>
    <row r="614" spans="1:45">
      <c r="A614" s="12">
        <v>44989</v>
      </c>
      <c r="B614" s="8">
        <v>524455</v>
      </c>
      <c r="C614" s="8">
        <v>524720</v>
      </c>
      <c r="D614" s="128">
        <f t="shared" si="75"/>
        <v>265</v>
      </c>
      <c r="E614" s="8">
        <v>102124</v>
      </c>
      <c r="F614" s="8">
        <v>102506</v>
      </c>
      <c r="G614" s="137">
        <f t="shared" si="71"/>
        <v>382</v>
      </c>
      <c r="H614" s="128">
        <f t="shared" si="72"/>
        <v>647</v>
      </c>
      <c r="I614" s="8">
        <v>717614</v>
      </c>
      <c r="J614" s="8">
        <v>717836</v>
      </c>
      <c r="K614" s="137">
        <f t="shared" si="70"/>
        <v>222</v>
      </c>
      <c r="L614" s="8">
        <v>47421</v>
      </c>
      <c r="M614" s="8">
        <v>47621</v>
      </c>
      <c r="N614" s="137">
        <f t="shared" si="74"/>
        <v>200</v>
      </c>
      <c r="O614" s="128">
        <f t="shared" si="77"/>
        <v>422</v>
      </c>
      <c r="P614" s="8">
        <v>276541</v>
      </c>
      <c r="Q614" s="8">
        <v>276541</v>
      </c>
      <c r="R614" s="128">
        <f t="shared" si="76"/>
        <v>0</v>
      </c>
      <c r="AQ614" s="8"/>
      <c r="AR614" s="8"/>
      <c r="AS614" s="8"/>
    </row>
    <row r="615" spans="1:45">
      <c r="A615" s="12">
        <v>44990</v>
      </c>
      <c r="B615" s="8">
        <v>524720</v>
      </c>
      <c r="C615" s="8">
        <v>525041</v>
      </c>
      <c r="D615" s="128">
        <f t="shared" si="75"/>
        <v>321</v>
      </c>
      <c r="E615" s="8">
        <v>102506</v>
      </c>
      <c r="F615" s="8">
        <v>103025</v>
      </c>
      <c r="G615" s="137">
        <f t="shared" si="71"/>
        <v>519</v>
      </c>
      <c r="H615" s="128">
        <f t="shared" si="72"/>
        <v>840</v>
      </c>
      <c r="I615" s="8">
        <v>717836</v>
      </c>
      <c r="J615" s="8">
        <v>718126</v>
      </c>
      <c r="K615" s="137">
        <f t="shared" si="70"/>
        <v>290</v>
      </c>
      <c r="L615" s="8">
        <v>47621</v>
      </c>
      <c r="M615" s="8">
        <v>47908</v>
      </c>
      <c r="N615" s="137">
        <f t="shared" si="74"/>
        <v>287</v>
      </c>
      <c r="O615" s="128">
        <f t="shared" si="77"/>
        <v>577</v>
      </c>
      <c r="P615" s="8">
        <v>276541</v>
      </c>
      <c r="Q615" s="8">
        <v>276601</v>
      </c>
      <c r="R615" s="128">
        <f t="shared" si="76"/>
        <v>60</v>
      </c>
      <c r="AQ615" s="8"/>
      <c r="AR615" s="8"/>
      <c r="AS615" s="8"/>
    </row>
    <row r="616" spans="1:45">
      <c r="A616" s="12">
        <v>44991</v>
      </c>
      <c r="B616" s="8">
        <v>525041</v>
      </c>
      <c r="C616" s="8">
        <v>525304</v>
      </c>
      <c r="D616" s="128">
        <f t="shared" si="75"/>
        <v>263</v>
      </c>
      <c r="E616" s="8">
        <v>103025</v>
      </c>
      <c r="F616" s="8">
        <v>103331</v>
      </c>
      <c r="G616" s="137">
        <f t="shared" si="71"/>
        <v>306</v>
      </c>
      <c r="H616" s="128">
        <f t="shared" si="72"/>
        <v>569</v>
      </c>
      <c r="I616" s="8">
        <v>718126</v>
      </c>
      <c r="J616" s="8">
        <v>718338</v>
      </c>
      <c r="K616" s="137">
        <f t="shared" si="70"/>
        <v>212</v>
      </c>
      <c r="L616" s="8">
        <v>47908</v>
      </c>
      <c r="M616" s="8">
        <v>48132</v>
      </c>
      <c r="N616" s="137">
        <f t="shared" si="74"/>
        <v>224</v>
      </c>
      <c r="O616" s="128">
        <f t="shared" si="77"/>
        <v>436</v>
      </c>
      <c r="P616" s="8">
        <v>276601</v>
      </c>
      <c r="Q616" s="8">
        <v>276769</v>
      </c>
      <c r="R616" s="128">
        <f t="shared" si="76"/>
        <v>168</v>
      </c>
      <c r="AQ616" s="8"/>
      <c r="AR616" s="8"/>
      <c r="AS616" s="8"/>
    </row>
    <row r="617" spans="1:45">
      <c r="A617" s="12">
        <v>44992</v>
      </c>
      <c r="B617" s="8">
        <v>525304</v>
      </c>
      <c r="C617" s="8">
        <v>525615</v>
      </c>
      <c r="D617" s="128">
        <f t="shared" si="75"/>
        <v>311</v>
      </c>
      <c r="E617" s="8">
        <v>103331</v>
      </c>
      <c r="F617" s="8">
        <v>103665</v>
      </c>
      <c r="G617" s="137">
        <f t="shared" si="71"/>
        <v>334</v>
      </c>
      <c r="H617" s="128">
        <f t="shared" si="72"/>
        <v>645</v>
      </c>
      <c r="I617" s="8">
        <v>718338</v>
      </c>
      <c r="J617" s="8">
        <v>718559</v>
      </c>
      <c r="K617" s="137">
        <f t="shared" si="70"/>
        <v>221</v>
      </c>
      <c r="L617" s="8">
        <v>48132</v>
      </c>
      <c r="M617" s="8">
        <v>48341</v>
      </c>
      <c r="N617" s="137">
        <f t="shared" si="74"/>
        <v>209</v>
      </c>
      <c r="O617" s="128">
        <f t="shared" si="77"/>
        <v>430</v>
      </c>
      <c r="P617" s="8">
        <v>276769</v>
      </c>
      <c r="Q617" s="8">
        <v>277149</v>
      </c>
      <c r="R617" s="128">
        <f t="shared" si="76"/>
        <v>380</v>
      </c>
      <c r="AQ617" s="8"/>
      <c r="AR617" s="8"/>
      <c r="AS617" s="8"/>
    </row>
    <row r="618" spans="1:45">
      <c r="A618" s="12">
        <v>44993</v>
      </c>
      <c r="B618" s="8">
        <v>525615</v>
      </c>
      <c r="C618" s="8">
        <v>525890</v>
      </c>
      <c r="D618" s="128">
        <f t="shared" si="75"/>
        <v>275</v>
      </c>
      <c r="E618" s="8">
        <v>103665</v>
      </c>
      <c r="F618" s="8">
        <v>104039</v>
      </c>
      <c r="G618" s="137">
        <f t="shared" si="71"/>
        <v>374</v>
      </c>
      <c r="H618" s="128">
        <f t="shared" si="72"/>
        <v>649</v>
      </c>
      <c r="I618" s="8">
        <v>718559</v>
      </c>
      <c r="J618" s="8">
        <v>718761</v>
      </c>
      <c r="K618" s="137">
        <f t="shared" si="70"/>
        <v>202</v>
      </c>
      <c r="L618" s="8">
        <v>48341</v>
      </c>
      <c r="M618" s="8">
        <v>48551</v>
      </c>
      <c r="N618" s="137">
        <f t="shared" si="74"/>
        <v>210</v>
      </c>
      <c r="O618" s="128">
        <f t="shared" si="77"/>
        <v>412</v>
      </c>
      <c r="P618" s="8">
        <v>277149</v>
      </c>
      <c r="Q618" s="8">
        <v>277391</v>
      </c>
      <c r="R618" s="128">
        <f t="shared" si="76"/>
        <v>242</v>
      </c>
      <c r="AQ618" s="8"/>
      <c r="AR618" s="8"/>
      <c r="AS618" s="8"/>
    </row>
    <row r="619" spans="1:45">
      <c r="A619" s="12">
        <v>44994</v>
      </c>
      <c r="B619" s="8">
        <v>525890</v>
      </c>
      <c r="C619" s="8">
        <v>526144</v>
      </c>
      <c r="D619" s="128">
        <f t="shared" si="75"/>
        <v>254</v>
      </c>
      <c r="E619" s="8">
        <v>104039</v>
      </c>
      <c r="F619" s="8">
        <v>104385</v>
      </c>
      <c r="G619" s="137">
        <f t="shared" si="71"/>
        <v>346</v>
      </c>
      <c r="H619" s="128">
        <f t="shared" si="72"/>
        <v>600</v>
      </c>
      <c r="I619" s="8">
        <v>718761</v>
      </c>
      <c r="J619" s="8">
        <v>718962</v>
      </c>
      <c r="K619" s="137">
        <f t="shared" si="70"/>
        <v>201</v>
      </c>
      <c r="L619" s="8">
        <v>48551</v>
      </c>
      <c r="M619" s="8">
        <v>48761</v>
      </c>
      <c r="N619" s="137">
        <f t="shared" si="74"/>
        <v>210</v>
      </c>
      <c r="O619" s="128">
        <f t="shared" si="77"/>
        <v>411</v>
      </c>
      <c r="P619" s="8">
        <v>277391</v>
      </c>
      <c r="Q619" s="8">
        <v>277721</v>
      </c>
      <c r="R619" s="128">
        <f t="shared" si="76"/>
        <v>330</v>
      </c>
      <c r="AQ619" s="8"/>
      <c r="AR619" s="8"/>
      <c r="AS619" s="8"/>
    </row>
    <row r="620" spans="1:45">
      <c r="A620" s="12">
        <v>44995</v>
      </c>
      <c r="B620" s="8">
        <v>526144</v>
      </c>
      <c r="C620" s="8">
        <v>526424</v>
      </c>
      <c r="D620" s="128">
        <f t="shared" si="75"/>
        <v>280</v>
      </c>
      <c r="E620" s="8">
        <v>104385</v>
      </c>
      <c r="F620" s="8">
        <v>104867</v>
      </c>
      <c r="G620" s="137">
        <f t="shared" si="71"/>
        <v>482</v>
      </c>
      <c r="H620" s="128">
        <f t="shared" si="72"/>
        <v>762</v>
      </c>
      <c r="I620" s="8">
        <v>718962</v>
      </c>
      <c r="J620" s="8">
        <v>719056</v>
      </c>
      <c r="K620" s="137">
        <f t="shared" si="70"/>
        <v>94</v>
      </c>
      <c r="L620" s="8">
        <v>48761</v>
      </c>
      <c r="M620" s="8">
        <v>48912</v>
      </c>
      <c r="N620" s="137">
        <f t="shared" si="74"/>
        <v>151</v>
      </c>
      <c r="O620" s="128">
        <f t="shared" si="77"/>
        <v>245</v>
      </c>
      <c r="P620" s="8">
        <v>277721</v>
      </c>
      <c r="Q620" s="8">
        <v>277721</v>
      </c>
      <c r="R620" s="128">
        <f t="shared" si="76"/>
        <v>0</v>
      </c>
      <c r="AQ620" s="8"/>
      <c r="AR620" s="8"/>
      <c r="AS620" s="8"/>
    </row>
    <row r="621" spans="1:45">
      <c r="A621" s="12">
        <v>44996</v>
      </c>
      <c r="B621" s="8">
        <v>526424</v>
      </c>
      <c r="C621" s="8">
        <v>526768</v>
      </c>
      <c r="D621" s="128">
        <f t="shared" si="75"/>
        <v>344</v>
      </c>
      <c r="E621" s="8">
        <v>104867</v>
      </c>
      <c r="F621" s="8">
        <v>105549</v>
      </c>
      <c r="G621" s="137">
        <f t="shared" si="71"/>
        <v>682</v>
      </c>
      <c r="H621" s="128">
        <f t="shared" si="72"/>
        <v>1026</v>
      </c>
      <c r="I621" s="8">
        <v>719056</v>
      </c>
      <c r="J621" s="8">
        <v>719288</v>
      </c>
      <c r="K621" s="137">
        <f t="shared" si="70"/>
        <v>232</v>
      </c>
      <c r="L621" s="8">
        <v>48912</v>
      </c>
      <c r="M621" s="8">
        <v>49202</v>
      </c>
      <c r="N621" s="137">
        <f t="shared" si="74"/>
        <v>290</v>
      </c>
      <c r="O621" s="128">
        <f t="shared" si="77"/>
        <v>522</v>
      </c>
      <c r="P621" s="8">
        <v>277721</v>
      </c>
      <c r="Q621" s="8">
        <v>277909</v>
      </c>
      <c r="R621" s="128">
        <f t="shared" si="76"/>
        <v>188</v>
      </c>
      <c r="AQ621" s="8"/>
      <c r="AR621" s="8"/>
      <c r="AS621" s="8"/>
    </row>
    <row r="622" spans="1:45">
      <c r="A622" s="12">
        <v>44997</v>
      </c>
      <c r="B622" s="8">
        <v>526768</v>
      </c>
      <c r="C622" s="8">
        <v>527042</v>
      </c>
      <c r="D622" s="128">
        <f t="shared" si="75"/>
        <v>274</v>
      </c>
      <c r="E622" s="8">
        <v>105549</v>
      </c>
      <c r="F622" s="8">
        <v>105725</v>
      </c>
      <c r="G622" s="137">
        <f t="shared" si="71"/>
        <v>176</v>
      </c>
      <c r="H622" s="128">
        <f t="shared" si="72"/>
        <v>450</v>
      </c>
      <c r="I622" s="8">
        <v>719288</v>
      </c>
      <c r="J622" s="8">
        <v>719398</v>
      </c>
      <c r="K622" s="137">
        <f t="shared" si="70"/>
        <v>110</v>
      </c>
      <c r="L622" s="8">
        <v>49202</v>
      </c>
      <c r="M622" s="8">
        <v>49422</v>
      </c>
      <c r="N622" s="137">
        <f t="shared" si="74"/>
        <v>220</v>
      </c>
      <c r="O622" s="128">
        <f t="shared" si="77"/>
        <v>330</v>
      </c>
      <c r="P622" s="8">
        <v>277909</v>
      </c>
      <c r="Q622" s="8">
        <v>278212</v>
      </c>
      <c r="R622" s="128">
        <f t="shared" si="76"/>
        <v>303</v>
      </c>
      <c r="AQ622" s="8"/>
      <c r="AR622" s="8"/>
      <c r="AS622" s="8"/>
    </row>
    <row r="623" spans="1:45">
      <c r="A623" s="12">
        <v>44998</v>
      </c>
      <c r="B623" s="8">
        <v>527042</v>
      </c>
      <c r="C623" s="8">
        <v>527320</v>
      </c>
      <c r="D623" s="128">
        <f t="shared" si="75"/>
        <v>278</v>
      </c>
      <c r="E623" s="8">
        <v>105725</v>
      </c>
      <c r="F623" s="8">
        <v>106149</v>
      </c>
      <c r="G623" s="137">
        <f t="shared" si="71"/>
        <v>424</v>
      </c>
      <c r="H623" s="128">
        <f t="shared" si="72"/>
        <v>702</v>
      </c>
      <c r="I623" s="8">
        <v>719398</v>
      </c>
      <c r="J623" s="8">
        <v>719641</v>
      </c>
      <c r="K623" s="137">
        <f t="shared" ref="K623:K686" si="78">J623-I623</f>
        <v>243</v>
      </c>
      <c r="L623" s="8">
        <v>49422</v>
      </c>
      <c r="M623" s="8">
        <v>49655</v>
      </c>
      <c r="N623" s="137">
        <f t="shared" si="74"/>
        <v>233</v>
      </c>
      <c r="O623" s="128">
        <f t="shared" si="77"/>
        <v>476</v>
      </c>
      <c r="P623" s="8">
        <v>278212</v>
      </c>
      <c r="Q623" s="8">
        <v>278212</v>
      </c>
      <c r="R623" s="128">
        <f t="shared" si="76"/>
        <v>0</v>
      </c>
      <c r="AQ623" s="8"/>
      <c r="AR623" s="8"/>
      <c r="AS623" s="8"/>
    </row>
    <row r="624" spans="1:45">
      <c r="A624" s="12">
        <v>44999</v>
      </c>
      <c r="B624" s="8">
        <v>527320</v>
      </c>
      <c r="C624" s="8">
        <v>527610</v>
      </c>
      <c r="D624" s="128">
        <f t="shared" si="75"/>
        <v>290</v>
      </c>
      <c r="E624" s="8">
        <v>106149</v>
      </c>
      <c r="F624" s="8">
        <v>106554</v>
      </c>
      <c r="G624" s="137">
        <f t="shared" si="71"/>
        <v>405</v>
      </c>
      <c r="H624" s="128">
        <f t="shared" si="72"/>
        <v>695</v>
      </c>
      <c r="I624" s="8">
        <v>719641</v>
      </c>
      <c r="J624" s="8">
        <v>719876</v>
      </c>
      <c r="K624" s="137">
        <f t="shared" si="78"/>
        <v>235</v>
      </c>
      <c r="L624" s="8">
        <v>49655</v>
      </c>
      <c r="M624" s="8">
        <v>49906</v>
      </c>
      <c r="N624" s="137">
        <f t="shared" si="74"/>
        <v>251</v>
      </c>
      <c r="O624" s="128">
        <f t="shared" si="77"/>
        <v>486</v>
      </c>
      <c r="P624" s="8">
        <v>278212</v>
      </c>
      <c r="Q624" s="8">
        <v>278212</v>
      </c>
      <c r="R624" s="128">
        <f t="shared" si="76"/>
        <v>0</v>
      </c>
      <c r="AQ624" s="8"/>
      <c r="AR624" s="8"/>
      <c r="AS624" s="8"/>
    </row>
    <row r="625" spans="1:45">
      <c r="A625" s="12">
        <v>45000</v>
      </c>
      <c r="B625" s="8">
        <v>527610</v>
      </c>
      <c r="C625" s="8">
        <v>527852</v>
      </c>
      <c r="D625" s="128">
        <f t="shared" si="75"/>
        <v>242</v>
      </c>
      <c r="E625" s="8">
        <v>106554</v>
      </c>
      <c r="F625" s="8">
        <v>106935</v>
      </c>
      <c r="G625" s="137">
        <f t="shared" si="71"/>
        <v>381</v>
      </c>
      <c r="H625" s="128">
        <f t="shared" si="72"/>
        <v>623</v>
      </c>
      <c r="I625" s="8">
        <v>719876</v>
      </c>
      <c r="J625" s="8">
        <v>720049</v>
      </c>
      <c r="K625" s="137">
        <f t="shared" si="78"/>
        <v>173</v>
      </c>
      <c r="L625" s="8">
        <v>49906</v>
      </c>
      <c r="M625" s="8">
        <v>50133</v>
      </c>
      <c r="N625" s="137">
        <f t="shared" si="74"/>
        <v>227</v>
      </c>
      <c r="O625" s="128">
        <f t="shared" si="77"/>
        <v>400</v>
      </c>
      <c r="P625" s="8">
        <v>278212</v>
      </c>
      <c r="Q625" s="8">
        <v>278431</v>
      </c>
      <c r="R625" s="128">
        <f t="shared" si="76"/>
        <v>219</v>
      </c>
      <c r="AQ625" s="8"/>
      <c r="AR625" s="8"/>
      <c r="AS625" s="8"/>
    </row>
    <row r="626" spans="1:45">
      <c r="A626" s="12">
        <v>45001</v>
      </c>
      <c r="B626" s="8">
        <v>527852</v>
      </c>
      <c r="C626" s="8">
        <v>528102</v>
      </c>
      <c r="D626" s="128">
        <f t="shared" si="75"/>
        <v>250</v>
      </c>
      <c r="E626" s="8">
        <v>106935</v>
      </c>
      <c r="F626" s="8">
        <v>107406</v>
      </c>
      <c r="G626" s="137">
        <f t="shared" si="71"/>
        <v>471</v>
      </c>
      <c r="H626" s="128">
        <f t="shared" si="72"/>
        <v>721</v>
      </c>
      <c r="I626" s="8">
        <v>720049</v>
      </c>
      <c r="J626" s="8">
        <v>720267</v>
      </c>
      <c r="K626" s="137">
        <f t="shared" si="78"/>
        <v>218</v>
      </c>
      <c r="L626" s="8">
        <v>50133</v>
      </c>
      <c r="M626" s="8">
        <v>50375</v>
      </c>
      <c r="N626" s="137">
        <f t="shared" si="74"/>
        <v>242</v>
      </c>
      <c r="O626" s="128">
        <f t="shared" si="77"/>
        <v>460</v>
      </c>
      <c r="P626" s="8">
        <v>278431</v>
      </c>
      <c r="Q626" s="8">
        <v>278431</v>
      </c>
      <c r="R626" s="128">
        <f t="shared" si="76"/>
        <v>0</v>
      </c>
      <c r="AQ626" s="8"/>
      <c r="AR626" s="8"/>
      <c r="AS626" s="8"/>
    </row>
    <row r="627" spans="1:45">
      <c r="A627" s="12">
        <v>45002</v>
      </c>
      <c r="B627" s="8">
        <v>528102</v>
      </c>
      <c r="C627" s="8">
        <v>528431</v>
      </c>
      <c r="D627" s="128">
        <f t="shared" si="75"/>
        <v>329</v>
      </c>
      <c r="E627" s="8">
        <v>107406</v>
      </c>
      <c r="F627" s="8">
        <v>107809</v>
      </c>
      <c r="G627" s="137">
        <f t="shared" si="71"/>
        <v>403</v>
      </c>
      <c r="H627" s="128">
        <f t="shared" si="72"/>
        <v>732</v>
      </c>
      <c r="I627" s="8">
        <v>720267</v>
      </c>
      <c r="J627" s="8">
        <v>720501</v>
      </c>
      <c r="K627" s="137">
        <f t="shared" si="78"/>
        <v>234</v>
      </c>
      <c r="L627" s="8">
        <v>50375</v>
      </c>
      <c r="M627" s="8">
        <v>50630</v>
      </c>
      <c r="N627" s="137">
        <f t="shared" si="74"/>
        <v>255</v>
      </c>
      <c r="O627" s="128">
        <f t="shared" si="77"/>
        <v>489</v>
      </c>
      <c r="P627" s="8">
        <v>278431</v>
      </c>
      <c r="Q627" s="8">
        <v>278737</v>
      </c>
      <c r="R627" s="128">
        <f t="shared" si="76"/>
        <v>306</v>
      </c>
      <c r="AQ627" s="8"/>
      <c r="AR627" s="8"/>
      <c r="AS627" s="8"/>
    </row>
    <row r="628" spans="1:45">
      <c r="A628" s="12">
        <v>45003</v>
      </c>
      <c r="B628" s="8">
        <v>528431</v>
      </c>
      <c r="C628" s="8">
        <v>528800</v>
      </c>
      <c r="D628" s="128">
        <f t="shared" si="75"/>
        <v>369</v>
      </c>
      <c r="E628" s="8">
        <v>107809</v>
      </c>
      <c r="F628" s="8">
        <v>108291</v>
      </c>
      <c r="G628" s="137">
        <f t="shared" ref="G628:G681" si="79">F628-E628</f>
        <v>482</v>
      </c>
      <c r="H628" s="128">
        <f t="shared" si="72"/>
        <v>851</v>
      </c>
      <c r="I628" s="8">
        <v>720501</v>
      </c>
      <c r="J628" s="8">
        <v>720721</v>
      </c>
      <c r="K628" s="137">
        <f t="shared" si="78"/>
        <v>220</v>
      </c>
      <c r="L628" s="8">
        <v>50630</v>
      </c>
      <c r="M628" s="8">
        <v>50821</v>
      </c>
      <c r="N628" s="137">
        <f t="shared" si="74"/>
        <v>191</v>
      </c>
      <c r="O628" s="128">
        <f t="shared" si="77"/>
        <v>411</v>
      </c>
      <c r="P628" s="8">
        <v>278737</v>
      </c>
      <c r="Q628" s="8">
        <v>278737</v>
      </c>
      <c r="R628" s="128">
        <f t="shared" si="76"/>
        <v>0</v>
      </c>
      <c r="AQ628" s="8"/>
      <c r="AR628" s="8"/>
      <c r="AS628" s="8"/>
    </row>
    <row r="629" spans="1:45">
      <c r="A629" s="12">
        <v>45004</v>
      </c>
      <c r="B629" s="8">
        <v>528800</v>
      </c>
      <c r="C629" s="8">
        <v>529041</v>
      </c>
      <c r="D629" s="128">
        <f t="shared" si="75"/>
        <v>241</v>
      </c>
      <c r="E629" s="8">
        <v>108291</v>
      </c>
      <c r="F629" s="8">
        <v>108618</v>
      </c>
      <c r="G629" s="137">
        <f t="shared" si="79"/>
        <v>327</v>
      </c>
      <c r="H629" s="128">
        <f t="shared" si="72"/>
        <v>568</v>
      </c>
      <c r="I629" s="8">
        <v>720721</v>
      </c>
      <c r="J629" s="8">
        <v>720918</v>
      </c>
      <c r="K629" s="137">
        <f t="shared" si="78"/>
        <v>197</v>
      </c>
      <c r="L629" s="8">
        <v>50821</v>
      </c>
      <c r="M629" s="8">
        <v>50822</v>
      </c>
      <c r="N629" s="137">
        <f t="shared" si="74"/>
        <v>1</v>
      </c>
      <c r="O629" s="128">
        <f t="shared" si="77"/>
        <v>198</v>
      </c>
      <c r="P629" s="8">
        <v>278737</v>
      </c>
      <c r="Q629" s="8">
        <v>278737</v>
      </c>
      <c r="R629" s="128">
        <f t="shared" si="76"/>
        <v>0</v>
      </c>
      <c r="AQ629" s="8"/>
      <c r="AR629" s="8"/>
      <c r="AS629" s="8"/>
    </row>
    <row r="630" spans="1:45">
      <c r="A630" s="12">
        <v>45005</v>
      </c>
      <c r="B630" s="8">
        <v>529041</v>
      </c>
      <c r="C630" s="8">
        <v>529315</v>
      </c>
      <c r="D630" s="128">
        <f t="shared" si="75"/>
        <v>274</v>
      </c>
      <c r="E630" s="8">
        <v>108618</v>
      </c>
      <c r="F630" s="8">
        <v>109048</v>
      </c>
      <c r="G630" s="137">
        <f t="shared" si="79"/>
        <v>430</v>
      </c>
      <c r="H630" s="128">
        <f t="shared" si="72"/>
        <v>704</v>
      </c>
      <c r="I630" s="8">
        <v>720918</v>
      </c>
      <c r="J630" s="8">
        <v>721120</v>
      </c>
      <c r="K630" s="137">
        <f t="shared" si="78"/>
        <v>202</v>
      </c>
      <c r="L630" s="8">
        <v>50822</v>
      </c>
      <c r="M630" s="8">
        <v>51021</v>
      </c>
      <c r="N630" s="137">
        <f t="shared" si="74"/>
        <v>199</v>
      </c>
      <c r="O630" s="128">
        <f t="shared" si="77"/>
        <v>401</v>
      </c>
      <c r="P630" s="8">
        <v>278737</v>
      </c>
      <c r="Q630" s="8">
        <v>278737</v>
      </c>
      <c r="R630" s="128">
        <f t="shared" si="76"/>
        <v>0</v>
      </c>
      <c r="AQ630" s="8"/>
      <c r="AR630" s="8"/>
      <c r="AS630" s="8"/>
    </row>
    <row r="631" spans="1:45">
      <c r="A631" s="12">
        <v>45006</v>
      </c>
      <c r="B631" s="8">
        <v>529315</v>
      </c>
      <c r="C631" s="8">
        <v>529512</v>
      </c>
      <c r="D631" s="128">
        <f t="shared" si="75"/>
        <v>197</v>
      </c>
      <c r="E631" s="8">
        <v>109048</v>
      </c>
      <c r="F631" s="8">
        <v>109326</v>
      </c>
      <c r="G631" s="137">
        <f t="shared" si="79"/>
        <v>278</v>
      </c>
      <c r="H631" s="128">
        <f t="shared" si="72"/>
        <v>475</v>
      </c>
      <c r="I631" s="8">
        <v>721120</v>
      </c>
      <c r="J631" s="8">
        <v>721317</v>
      </c>
      <c r="K631" s="137">
        <f t="shared" si="78"/>
        <v>197</v>
      </c>
      <c r="L631" s="8">
        <v>51021</v>
      </c>
      <c r="M631" s="8">
        <v>51213</v>
      </c>
      <c r="N631" s="137">
        <f t="shared" si="74"/>
        <v>192</v>
      </c>
      <c r="O631" s="128">
        <f t="shared" si="77"/>
        <v>389</v>
      </c>
      <c r="P631" s="8">
        <v>278737</v>
      </c>
      <c r="Q631" s="8">
        <v>278737</v>
      </c>
      <c r="R631" s="128">
        <f t="shared" si="76"/>
        <v>0</v>
      </c>
      <c r="AQ631" s="8"/>
      <c r="AR631" s="8"/>
      <c r="AS631" s="8"/>
    </row>
    <row r="632" spans="1:45">
      <c r="A632" s="12">
        <v>45007</v>
      </c>
      <c r="B632" s="8">
        <v>529512</v>
      </c>
      <c r="C632" s="8">
        <v>529725</v>
      </c>
      <c r="D632" s="128">
        <f t="shared" si="75"/>
        <v>213</v>
      </c>
      <c r="E632" s="8">
        <v>109326</v>
      </c>
      <c r="F632" s="8">
        <v>109627</v>
      </c>
      <c r="G632" s="137">
        <f t="shared" si="79"/>
        <v>301</v>
      </c>
      <c r="H632" s="128">
        <f t="shared" si="72"/>
        <v>514</v>
      </c>
      <c r="I632" s="8">
        <v>721317</v>
      </c>
      <c r="J632" s="8">
        <v>721461</v>
      </c>
      <c r="K632" s="137">
        <f t="shared" si="78"/>
        <v>144</v>
      </c>
      <c r="L632" s="8">
        <v>51213</v>
      </c>
      <c r="M632" s="8">
        <v>51434</v>
      </c>
      <c r="N632" s="137">
        <f t="shared" si="74"/>
        <v>221</v>
      </c>
      <c r="O632" s="128">
        <f t="shared" si="77"/>
        <v>365</v>
      </c>
      <c r="P632" s="8">
        <v>278737</v>
      </c>
      <c r="Q632" s="8">
        <v>278737</v>
      </c>
      <c r="R632" s="128">
        <f t="shared" si="76"/>
        <v>0</v>
      </c>
      <c r="AQ632" s="8"/>
      <c r="AR632" s="8"/>
      <c r="AS632" s="8"/>
    </row>
    <row r="633" spans="1:45">
      <c r="A633" s="12">
        <v>45008</v>
      </c>
      <c r="B633" s="8">
        <v>529725</v>
      </c>
      <c r="C633" s="8">
        <v>529916</v>
      </c>
      <c r="D633" s="128">
        <f t="shared" si="75"/>
        <v>191</v>
      </c>
      <c r="E633" s="8">
        <v>109627</v>
      </c>
      <c r="F633" s="8">
        <v>109990</v>
      </c>
      <c r="G633" s="137">
        <f t="shared" si="79"/>
        <v>363</v>
      </c>
      <c r="H633" s="128">
        <f t="shared" si="72"/>
        <v>554</v>
      </c>
      <c r="I633" s="8">
        <v>721461</v>
      </c>
      <c r="J633" s="8">
        <v>721644</v>
      </c>
      <c r="K633" s="137">
        <f t="shared" si="78"/>
        <v>183</v>
      </c>
      <c r="L633" s="8">
        <v>51434</v>
      </c>
      <c r="M633" s="8">
        <v>51635</v>
      </c>
      <c r="N633" s="137">
        <f t="shared" si="74"/>
        <v>201</v>
      </c>
      <c r="O633" s="128">
        <f t="shared" si="77"/>
        <v>384</v>
      </c>
      <c r="P633" s="8">
        <v>278737</v>
      </c>
      <c r="Q633" s="8">
        <v>278737</v>
      </c>
      <c r="R633" s="128">
        <f t="shared" si="76"/>
        <v>0</v>
      </c>
      <c r="AQ633" s="8"/>
      <c r="AR633" s="8"/>
      <c r="AS633" s="8"/>
    </row>
    <row r="634" spans="1:45">
      <c r="A634" s="12">
        <v>45009</v>
      </c>
      <c r="B634" s="8">
        <v>529916</v>
      </c>
      <c r="C634" s="8">
        <v>530106</v>
      </c>
      <c r="D634" s="128">
        <f t="shared" si="75"/>
        <v>190</v>
      </c>
      <c r="E634" s="8">
        <v>109990</v>
      </c>
      <c r="F634" s="8">
        <v>110327</v>
      </c>
      <c r="G634" s="137">
        <f t="shared" si="79"/>
        <v>337</v>
      </c>
      <c r="H634" s="128">
        <f t="shared" si="72"/>
        <v>527</v>
      </c>
      <c r="I634" s="8">
        <v>721644</v>
      </c>
      <c r="J634" s="8">
        <v>721931</v>
      </c>
      <c r="K634" s="137">
        <f t="shared" si="78"/>
        <v>287</v>
      </c>
      <c r="L634" s="8">
        <v>51635</v>
      </c>
      <c r="M634" s="8">
        <v>51839</v>
      </c>
      <c r="N634" s="137">
        <f t="shared" si="74"/>
        <v>204</v>
      </c>
      <c r="O634" s="128">
        <f t="shared" si="77"/>
        <v>491</v>
      </c>
      <c r="P634" s="8">
        <v>278737</v>
      </c>
      <c r="Q634" s="8">
        <v>278737</v>
      </c>
      <c r="R634" s="128">
        <f t="shared" si="76"/>
        <v>0</v>
      </c>
      <c r="AQ634" s="8"/>
      <c r="AR634" s="8"/>
      <c r="AS634" s="8"/>
    </row>
    <row r="635" spans="1:45">
      <c r="A635" s="12">
        <v>45010</v>
      </c>
      <c r="B635" s="8">
        <v>530106</v>
      </c>
      <c r="C635" s="8">
        <v>530266</v>
      </c>
      <c r="D635" s="128">
        <f t="shared" si="75"/>
        <v>160</v>
      </c>
      <c r="E635" s="8">
        <v>110327</v>
      </c>
      <c r="F635" s="8">
        <v>110327</v>
      </c>
      <c r="G635" s="137">
        <f t="shared" si="79"/>
        <v>0</v>
      </c>
      <c r="H635" s="128">
        <f t="shared" si="72"/>
        <v>160</v>
      </c>
      <c r="I635" s="8">
        <v>721931</v>
      </c>
      <c r="J635" s="8">
        <v>722131</v>
      </c>
      <c r="K635" s="137">
        <f t="shared" si="78"/>
        <v>200</v>
      </c>
      <c r="L635" s="8">
        <v>51839</v>
      </c>
      <c r="M635" s="8">
        <v>51844</v>
      </c>
      <c r="N635" s="137">
        <f t="shared" si="74"/>
        <v>5</v>
      </c>
      <c r="O635" s="128">
        <f t="shared" si="77"/>
        <v>205</v>
      </c>
      <c r="P635" s="8">
        <v>278737</v>
      </c>
      <c r="Q635" s="8">
        <v>278737</v>
      </c>
      <c r="R635" s="128">
        <f t="shared" si="76"/>
        <v>0</v>
      </c>
      <c r="AQ635" s="8"/>
      <c r="AR635" s="8"/>
      <c r="AS635" s="8"/>
    </row>
    <row r="636" spans="1:45">
      <c r="A636" s="12">
        <v>45011</v>
      </c>
      <c r="B636" s="8">
        <v>530266</v>
      </c>
      <c r="C636" s="8">
        <v>530585</v>
      </c>
      <c r="D636" s="128">
        <f t="shared" si="75"/>
        <v>319</v>
      </c>
      <c r="E636" s="8">
        <v>110327</v>
      </c>
      <c r="F636" s="8">
        <v>110804</v>
      </c>
      <c r="G636" s="137">
        <f t="shared" si="79"/>
        <v>477</v>
      </c>
      <c r="H636" s="128">
        <f t="shared" si="72"/>
        <v>796</v>
      </c>
      <c r="I636" s="8">
        <v>722131</v>
      </c>
      <c r="J636" s="8">
        <v>722343</v>
      </c>
      <c r="K636" s="137">
        <f t="shared" si="78"/>
        <v>212</v>
      </c>
      <c r="L636" s="8">
        <v>51844</v>
      </c>
      <c r="M636" s="8">
        <v>52156</v>
      </c>
      <c r="N636" s="137">
        <f t="shared" si="74"/>
        <v>312</v>
      </c>
      <c r="O636" s="128">
        <f t="shared" si="77"/>
        <v>524</v>
      </c>
      <c r="P636" s="8">
        <v>278737</v>
      </c>
      <c r="Q636" s="8">
        <v>278737</v>
      </c>
      <c r="R636" s="128">
        <f t="shared" si="76"/>
        <v>0</v>
      </c>
      <c r="AQ636" s="8"/>
      <c r="AR636" s="8"/>
      <c r="AS636" s="8"/>
    </row>
    <row r="637" spans="1:45">
      <c r="A637" s="12">
        <v>45012</v>
      </c>
      <c r="B637" s="8">
        <v>530585</v>
      </c>
      <c r="C637" s="8">
        <v>530763</v>
      </c>
      <c r="D637" s="128">
        <f t="shared" si="75"/>
        <v>178</v>
      </c>
      <c r="E637" s="8">
        <v>110804</v>
      </c>
      <c r="F637" s="8">
        <v>111256</v>
      </c>
      <c r="G637" s="137">
        <f t="shared" si="79"/>
        <v>452</v>
      </c>
      <c r="H637" s="128">
        <f t="shared" si="72"/>
        <v>630</v>
      </c>
      <c r="I637" s="8">
        <v>722343</v>
      </c>
      <c r="J637" s="8">
        <v>722482</v>
      </c>
      <c r="K637" s="137">
        <f t="shared" si="78"/>
        <v>139</v>
      </c>
      <c r="L637" s="8">
        <v>52156</v>
      </c>
      <c r="M637" s="8">
        <v>52381</v>
      </c>
      <c r="N637" s="137">
        <f t="shared" si="74"/>
        <v>225</v>
      </c>
      <c r="O637" s="128">
        <f t="shared" si="77"/>
        <v>364</v>
      </c>
      <c r="P637" s="8">
        <v>278737</v>
      </c>
      <c r="Q637" s="8">
        <v>278737</v>
      </c>
      <c r="R637" s="128">
        <f t="shared" si="76"/>
        <v>0</v>
      </c>
      <c r="AQ637" s="8"/>
      <c r="AR637" s="8"/>
      <c r="AS637" s="8"/>
    </row>
    <row r="638" spans="1:45">
      <c r="A638" s="12">
        <v>45013</v>
      </c>
      <c r="B638" s="8">
        <v>530763</v>
      </c>
      <c r="C638" s="8">
        <v>530996</v>
      </c>
      <c r="D638" s="128">
        <f t="shared" si="75"/>
        <v>233</v>
      </c>
      <c r="E638" s="8">
        <v>111256</v>
      </c>
      <c r="F638" s="8">
        <v>111653</v>
      </c>
      <c r="G638" s="137">
        <f t="shared" si="79"/>
        <v>397</v>
      </c>
      <c r="H638" s="128">
        <f t="shared" si="72"/>
        <v>630</v>
      </c>
      <c r="I638" s="8">
        <v>722482</v>
      </c>
      <c r="J638" s="8">
        <v>722684</v>
      </c>
      <c r="K638" s="137">
        <f t="shared" si="78"/>
        <v>202</v>
      </c>
      <c r="L638" s="8">
        <v>52381</v>
      </c>
      <c r="M638" s="8">
        <v>52609</v>
      </c>
      <c r="N638" s="137">
        <f t="shared" si="74"/>
        <v>228</v>
      </c>
      <c r="O638" s="128">
        <f t="shared" si="77"/>
        <v>430</v>
      </c>
      <c r="P638" s="8">
        <v>278737</v>
      </c>
      <c r="Q638" s="8">
        <v>279423</v>
      </c>
      <c r="R638" s="128">
        <f t="shared" si="76"/>
        <v>686</v>
      </c>
      <c r="AQ638" s="8"/>
      <c r="AR638" s="8"/>
      <c r="AS638" s="8"/>
    </row>
    <row r="639" spans="1:45">
      <c r="A639" s="12">
        <v>45014</v>
      </c>
      <c r="B639" s="8">
        <v>530996</v>
      </c>
      <c r="C639" s="8">
        <v>531166</v>
      </c>
      <c r="D639" s="128">
        <f t="shared" si="75"/>
        <v>170</v>
      </c>
      <c r="E639" s="8">
        <v>111653</v>
      </c>
      <c r="F639" s="8">
        <v>112029</v>
      </c>
      <c r="G639" s="137">
        <f t="shared" si="79"/>
        <v>376</v>
      </c>
      <c r="H639" s="128">
        <f t="shared" si="72"/>
        <v>546</v>
      </c>
      <c r="I639" s="8">
        <v>722684</v>
      </c>
      <c r="J639" s="8">
        <v>722860</v>
      </c>
      <c r="K639" s="137">
        <f t="shared" si="78"/>
        <v>176</v>
      </c>
      <c r="L639" s="8">
        <v>52609</v>
      </c>
      <c r="M639" s="8">
        <v>52826</v>
      </c>
      <c r="N639" s="137">
        <f t="shared" si="74"/>
        <v>217</v>
      </c>
      <c r="O639" s="128">
        <f t="shared" si="77"/>
        <v>393</v>
      </c>
      <c r="P639" s="8">
        <v>279423</v>
      </c>
      <c r="Q639" s="8">
        <v>279789</v>
      </c>
      <c r="R639" s="128">
        <f t="shared" si="76"/>
        <v>366</v>
      </c>
      <c r="AQ639" s="8"/>
      <c r="AR639" s="8"/>
      <c r="AS639" s="8"/>
    </row>
    <row r="640" spans="1:45">
      <c r="A640" s="12">
        <v>45015</v>
      </c>
      <c r="B640" s="8">
        <v>531166</v>
      </c>
      <c r="C640" s="8">
        <v>531350</v>
      </c>
      <c r="D640" s="128">
        <f t="shared" si="75"/>
        <v>184</v>
      </c>
      <c r="E640" s="8">
        <v>112029</v>
      </c>
      <c r="F640" s="8">
        <v>112265</v>
      </c>
      <c r="G640" s="137">
        <f t="shared" si="79"/>
        <v>236</v>
      </c>
      <c r="H640" s="128">
        <f t="shared" si="72"/>
        <v>420</v>
      </c>
      <c r="I640" s="8">
        <v>722860</v>
      </c>
      <c r="J640" s="8">
        <v>723050</v>
      </c>
      <c r="K640" s="137">
        <f t="shared" si="78"/>
        <v>190</v>
      </c>
      <c r="L640" s="8">
        <v>52826</v>
      </c>
      <c r="M640" s="8">
        <v>53038</v>
      </c>
      <c r="N640" s="137">
        <f t="shared" si="74"/>
        <v>212</v>
      </c>
      <c r="O640" s="128">
        <f t="shared" si="77"/>
        <v>402</v>
      </c>
      <c r="P640" s="8">
        <v>279789</v>
      </c>
      <c r="Q640" s="8">
        <v>280078</v>
      </c>
      <c r="R640" s="128">
        <f t="shared" si="76"/>
        <v>289</v>
      </c>
      <c r="AQ640" s="8"/>
      <c r="AR640" s="8"/>
      <c r="AS640" s="8"/>
    </row>
    <row r="641" spans="1:45">
      <c r="A641" s="12">
        <v>45016</v>
      </c>
      <c r="B641" s="8">
        <v>531350</v>
      </c>
      <c r="C641" s="8">
        <v>531635</v>
      </c>
      <c r="D641" s="128">
        <f t="shared" si="75"/>
        <v>285</v>
      </c>
      <c r="E641" s="8">
        <v>112265</v>
      </c>
      <c r="F641" s="8">
        <v>112651</v>
      </c>
      <c r="G641" s="137">
        <f t="shared" si="79"/>
        <v>386</v>
      </c>
      <c r="H641" s="128">
        <f t="shared" ref="H641:H704" si="80">D641+G641</f>
        <v>671</v>
      </c>
      <c r="I641" s="8">
        <v>723050</v>
      </c>
      <c r="J641" s="8">
        <v>723221</v>
      </c>
      <c r="K641" s="137">
        <f t="shared" si="78"/>
        <v>171</v>
      </c>
      <c r="L641" s="8">
        <v>53038</v>
      </c>
      <c r="M641" s="8">
        <v>53286</v>
      </c>
      <c r="N641" s="137">
        <f t="shared" si="74"/>
        <v>248</v>
      </c>
      <c r="O641" s="128">
        <f t="shared" si="77"/>
        <v>419</v>
      </c>
      <c r="P641" s="8">
        <v>280078</v>
      </c>
      <c r="Q641" s="8">
        <v>280268</v>
      </c>
      <c r="R641" s="128">
        <f t="shared" si="76"/>
        <v>190</v>
      </c>
      <c r="AQ641" s="8"/>
      <c r="AR641" s="8"/>
      <c r="AS641" s="8"/>
    </row>
    <row r="642" spans="1:45">
      <c r="A642" s="12">
        <v>45017</v>
      </c>
      <c r="B642" s="8">
        <v>531635</v>
      </c>
      <c r="C642" s="8">
        <v>531889</v>
      </c>
      <c r="D642" s="128">
        <f t="shared" si="75"/>
        <v>254</v>
      </c>
      <c r="E642" s="8">
        <v>112651</v>
      </c>
      <c r="F642" s="8">
        <v>112950</v>
      </c>
      <c r="G642" s="137">
        <f t="shared" si="79"/>
        <v>299</v>
      </c>
      <c r="H642" s="128">
        <f t="shared" si="80"/>
        <v>553</v>
      </c>
      <c r="I642" s="8">
        <v>723221</v>
      </c>
      <c r="J642" s="8">
        <v>723460</v>
      </c>
      <c r="K642" s="137">
        <f t="shared" si="78"/>
        <v>239</v>
      </c>
      <c r="L642" s="8">
        <v>53286</v>
      </c>
      <c r="M642" s="8">
        <v>53514</v>
      </c>
      <c r="N642" s="137">
        <f t="shared" si="74"/>
        <v>228</v>
      </c>
      <c r="O642" s="128">
        <f t="shared" si="77"/>
        <v>467</v>
      </c>
      <c r="P642" s="8">
        <v>280268</v>
      </c>
      <c r="Q642" s="8">
        <v>280580</v>
      </c>
      <c r="R642" s="128">
        <f t="shared" si="76"/>
        <v>312</v>
      </c>
      <c r="AQ642" s="8"/>
      <c r="AR642" s="8"/>
      <c r="AS642" s="8"/>
    </row>
    <row r="643" spans="1:45">
      <c r="A643" s="12">
        <v>45018</v>
      </c>
      <c r="B643" s="8">
        <v>531889</v>
      </c>
      <c r="C643" s="8">
        <v>532067</v>
      </c>
      <c r="D643" s="128">
        <f t="shared" si="75"/>
        <v>178</v>
      </c>
      <c r="E643" s="8">
        <v>112950</v>
      </c>
      <c r="F643" s="8">
        <v>113216</v>
      </c>
      <c r="G643" s="137">
        <f t="shared" si="79"/>
        <v>266</v>
      </c>
      <c r="H643" s="128">
        <f t="shared" si="80"/>
        <v>444</v>
      </c>
      <c r="I643" s="8">
        <v>723460</v>
      </c>
      <c r="J643" s="8">
        <v>723654</v>
      </c>
      <c r="K643" s="137">
        <f t="shared" si="78"/>
        <v>194</v>
      </c>
      <c r="L643" s="8">
        <v>53514</v>
      </c>
      <c r="M643" s="8">
        <v>53691</v>
      </c>
      <c r="N643" s="137">
        <f t="shared" si="74"/>
        <v>177</v>
      </c>
      <c r="O643" s="128">
        <f t="shared" si="77"/>
        <v>371</v>
      </c>
      <c r="P643" s="8">
        <v>280580</v>
      </c>
      <c r="Q643" s="8">
        <v>280787</v>
      </c>
      <c r="R643" s="128">
        <f t="shared" si="76"/>
        <v>207</v>
      </c>
      <c r="AQ643" s="8"/>
      <c r="AR643" s="8"/>
      <c r="AS643" s="8"/>
    </row>
    <row r="644" spans="1:45">
      <c r="A644" s="12">
        <v>45019</v>
      </c>
      <c r="B644" s="8">
        <v>532067</v>
      </c>
      <c r="C644" s="8">
        <v>532240</v>
      </c>
      <c r="D644" s="128">
        <f t="shared" si="75"/>
        <v>173</v>
      </c>
      <c r="E644" s="8">
        <v>113216</v>
      </c>
      <c r="F644" s="8">
        <v>113576</v>
      </c>
      <c r="G644" s="137">
        <f t="shared" si="79"/>
        <v>360</v>
      </c>
      <c r="H644" s="128">
        <f t="shared" si="80"/>
        <v>533</v>
      </c>
      <c r="I644" s="8">
        <v>723654</v>
      </c>
      <c r="J644" s="8">
        <v>723867</v>
      </c>
      <c r="K644" s="137">
        <f t="shared" si="78"/>
        <v>213</v>
      </c>
      <c r="L644" s="8">
        <v>53691</v>
      </c>
      <c r="M644" s="8">
        <v>53809</v>
      </c>
      <c r="N644" s="137">
        <f t="shared" si="74"/>
        <v>118</v>
      </c>
      <c r="O644" s="128">
        <f t="shared" si="77"/>
        <v>331</v>
      </c>
      <c r="P644" s="8">
        <v>280787</v>
      </c>
      <c r="Q644" s="8">
        <v>280787</v>
      </c>
      <c r="R644" s="128">
        <f t="shared" si="76"/>
        <v>0</v>
      </c>
      <c r="AQ644" s="8"/>
      <c r="AR644" s="8"/>
      <c r="AS644" s="8"/>
    </row>
    <row r="645" spans="1:45">
      <c r="A645" s="12">
        <v>45020</v>
      </c>
      <c r="B645" s="8">
        <v>532240</v>
      </c>
      <c r="C645" s="8">
        <v>532431</v>
      </c>
      <c r="D645" s="128">
        <f t="shared" si="75"/>
        <v>191</v>
      </c>
      <c r="E645" s="8">
        <v>113576</v>
      </c>
      <c r="F645" s="8">
        <v>113928</v>
      </c>
      <c r="G645" s="137">
        <f t="shared" si="79"/>
        <v>352</v>
      </c>
      <c r="H645" s="128">
        <f t="shared" si="80"/>
        <v>543</v>
      </c>
      <c r="I645" s="8">
        <v>723867</v>
      </c>
      <c r="J645" s="8">
        <v>724052</v>
      </c>
      <c r="K645" s="137">
        <f t="shared" si="78"/>
        <v>185</v>
      </c>
      <c r="L645" s="8">
        <v>53809</v>
      </c>
      <c r="M645" s="8">
        <v>54032</v>
      </c>
      <c r="N645" s="137">
        <f t="shared" si="74"/>
        <v>223</v>
      </c>
      <c r="O645" s="128">
        <f t="shared" si="77"/>
        <v>408</v>
      </c>
      <c r="P645" s="8">
        <v>280787</v>
      </c>
      <c r="Q645" s="8">
        <v>280787</v>
      </c>
      <c r="R645" s="128">
        <f t="shared" si="76"/>
        <v>0</v>
      </c>
      <c r="AQ645" s="8"/>
      <c r="AR645" s="8"/>
      <c r="AS645" s="8"/>
    </row>
    <row r="646" spans="1:45">
      <c r="A646" s="12">
        <v>45021</v>
      </c>
      <c r="B646" s="8">
        <v>532431</v>
      </c>
      <c r="C646" s="8">
        <v>532669</v>
      </c>
      <c r="D646" s="128">
        <f t="shared" si="75"/>
        <v>238</v>
      </c>
      <c r="E646" s="8">
        <v>113928</v>
      </c>
      <c r="F646" s="8">
        <v>114282</v>
      </c>
      <c r="G646" s="137">
        <f t="shared" si="79"/>
        <v>354</v>
      </c>
      <c r="H646" s="128">
        <f t="shared" si="80"/>
        <v>592</v>
      </c>
      <c r="I646" s="8">
        <v>724052</v>
      </c>
      <c r="J646" s="8">
        <v>724246</v>
      </c>
      <c r="K646" s="137">
        <f t="shared" si="78"/>
        <v>194</v>
      </c>
      <c r="L646" s="8">
        <v>54032</v>
      </c>
      <c r="M646" s="8">
        <v>54274</v>
      </c>
      <c r="N646" s="137">
        <f t="shared" si="74"/>
        <v>242</v>
      </c>
      <c r="O646" s="128">
        <f t="shared" si="77"/>
        <v>436</v>
      </c>
      <c r="P646" s="8">
        <v>280787</v>
      </c>
      <c r="Q646" s="8">
        <v>280787</v>
      </c>
      <c r="R646" s="128">
        <f t="shared" si="76"/>
        <v>0</v>
      </c>
      <c r="AQ646" s="8"/>
      <c r="AR646" s="8"/>
      <c r="AS646" s="8"/>
    </row>
    <row r="647" spans="1:45">
      <c r="A647" s="12">
        <v>45022</v>
      </c>
      <c r="B647" s="8">
        <v>532669</v>
      </c>
      <c r="C647" s="8">
        <v>532890</v>
      </c>
      <c r="D647" s="128">
        <f t="shared" si="75"/>
        <v>221</v>
      </c>
      <c r="E647" s="8">
        <v>114282</v>
      </c>
      <c r="F647" s="8">
        <v>114589</v>
      </c>
      <c r="G647" s="137">
        <f t="shared" si="79"/>
        <v>307</v>
      </c>
      <c r="H647" s="128">
        <f t="shared" si="80"/>
        <v>528</v>
      </c>
      <c r="I647" s="8">
        <v>724246</v>
      </c>
      <c r="J647" s="8">
        <v>724460</v>
      </c>
      <c r="K647" s="137">
        <f t="shared" si="78"/>
        <v>214</v>
      </c>
      <c r="L647" s="8">
        <v>54274</v>
      </c>
      <c r="M647" s="8">
        <v>54481</v>
      </c>
      <c r="N647" s="137">
        <f t="shared" si="74"/>
        <v>207</v>
      </c>
      <c r="O647" s="128">
        <f t="shared" si="77"/>
        <v>421</v>
      </c>
      <c r="P647" s="8">
        <v>280787</v>
      </c>
      <c r="Q647" s="8">
        <v>280787</v>
      </c>
      <c r="R647" s="128">
        <f t="shared" si="76"/>
        <v>0</v>
      </c>
      <c r="AQ647" s="8"/>
      <c r="AR647" s="8"/>
      <c r="AS647" s="8"/>
    </row>
    <row r="648" spans="1:45">
      <c r="A648" s="12">
        <v>45023</v>
      </c>
      <c r="B648" s="8">
        <v>532890</v>
      </c>
      <c r="C648" s="8">
        <v>533118</v>
      </c>
      <c r="D648" s="128">
        <f t="shared" si="75"/>
        <v>228</v>
      </c>
      <c r="E648" s="8">
        <v>114589</v>
      </c>
      <c r="F648" s="8">
        <v>115059</v>
      </c>
      <c r="G648" s="137">
        <f t="shared" si="79"/>
        <v>470</v>
      </c>
      <c r="H648" s="128">
        <f t="shared" si="80"/>
        <v>698</v>
      </c>
      <c r="I648" s="8">
        <v>724460</v>
      </c>
      <c r="J648" s="8">
        <v>724609</v>
      </c>
      <c r="K648" s="137">
        <f t="shared" si="78"/>
        <v>149</v>
      </c>
      <c r="L648" s="8">
        <v>54481</v>
      </c>
      <c r="M648" s="8">
        <v>54736</v>
      </c>
      <c r="N648" s="137">
        <f t="shared" ref="N648:N711" si="81">M648-L648</f>
        <v>255</v>
      </c>
      <c r="O648" s="128">
        <f t="shared" si="77"/>
        <v>404</v>
      </c>
      <c r="P648" s="8">
        <v>280787</v>
      </c>
      <c r="Q648" s="8">
        <v>280787</v>
      </c>
      <c r="R648" s="128">
        <f t="shared" si="76"/>
        <v>0</v>
      </c>
      <c r="AQ648" s="8"/>
      <c r="AR648" s="8"/>
      <c r="AS648" s="8"/>
    </row>
    <row r="649" spans="1:45">
      <c r="A649" s="12">
        <v>45024</v>
      </c>
      <c r="B649" s="8">
        <v>533118</v>
      </c>
      <c r="C649" s="8">
        <v>533373</v>
      </c>
      <c r="D649" s="128">
        <f t="shared" si="75"/>
        <v>255</v>
      </c>
      <c r="E649" s="8">
        <v>115059</v>
      </c>
      <c r="F649" s="8">
        <v>115311</v>
      </c>
      <c r="G649" s="137">
        <f t="shared" si="79"/>
        <v>252</v>
      </c>
      <c r="H649" s="128">
        <f t="shared" si="80"/>
        <v>507</v>
      </c>
      <c r="I649" s="8">
        <v>724609</v>
      </c>
      <c r="J649" s="8">
        <v>724818</v>
      </c>
      <c r="K649" s="137">
        <f t="shared" si="78"/>
        <v>209</v>
      </c>
      <c r="L649" s="8">
        <v>54736</v>
      </c>
      <c r="M649" s="8">
        <v>54975</v>
      </c>
      <c r="N649" s="137">
        <f t="shared" si="81"/>
        <v>239</v>
      </c>
      <c r="O649" s="128">
        <f t="shared" si="77"/>
        <v>448</v>
      </c>
      <c r="P649" s="8">
        <v>280787</v>
      </c>
      <c r="Q649" s="8">
        <v>280787</v>
      </c>
      <c r="R649" s="128">
        <f t="shared" si="76"/>
        <v>0</v>
      </c>
      <c r="AQ649" s="8"/>
      <c r="AR649" s="8"/>
      <c r="AS649" s="8"/>
    </row>
    <row r="650" spans="1:45">
      <c r="A650" s="12">
        <v>45025</v>
      </c>
      <c r="B650" s="8">
        <v>533373</v>
      </c>
      <c r="C650" s="8">
        <v>533664</v>
      </c>
      <c r="D650" s="128">
        <f t="shared" si="75"/>
        <v>291</v>
      </c>
      <c r="E650" s="8">
        <v>115311</v>
      </c>
      <c r="F650" s="8">
        <v>115641</v>
      </c>
      <c r="G650" s="137">
        <f t="shared" si="79"/>
        <v>330</v>
      </c>
      <c r="H650" s="128">
        <f t="shared" si="80"/>
        <v>621</v>
      </c>
      <c r="I650" s="8">
        <v>724818</v>
      </c>
      <c r="J650" s="8">
        <v>724970</v>
      </c>
      <c r="K650" s="137">
        <f t="shared" si="78"/>
        <v>152</v>
      </c>
      <c r="L650" s="8">
        <v>54975</v>
      </c>
      <c r="M650" s="8">
        <v>55209</v>
      </c>
      <c r="N650" s="137">
        <f t="shared" si="81"/>
        <v>234</v>
      </c>
      <c r="O650" s="128">
        <f t="shared" si="77"/>
        <v>386</v>
      </c>
      <c r="P650" s="8">
        <v>280787</v>
      </c>
      <c r="Q650" s="8">
        <v>280787</v>
      </c>
      <c r="R650" s="128">
        <f t="shared" si="76"/>
        <v>0</v>
      </c>
      <c r="AQ650" s="8"/>
      <c r="AR650" s="8"/>
      <c r="AS650" s="8"/>
    </row>
    <row r="651" spans="1:45">
      <c r="A651" s="12">
        <v>45026</v>
      </c>
      <c r="B651" s="8">
        <v>533664</v>
      </c>
      <c r="C651" s="8">
        <v>533989</v>
      </c>
      <c r="D651" s="128">
        <f t="shared" si="75"/>
        <v>325</v>
      </c>
      <c r="E651" s="8">
        <v>115641</v>
      </c>
      <c r="F651" s="8">
        <v>116123</v>
      </c>
      <c r="G651" s="137">
        <f t="shared" si="79"/>
        <v>482</v>
      </c>
      <c r="H651" s="128">
        <f t="shared" si="80"/>
        <v>807</v>
      </c>
      <c r="I651" s="8">
        <v>724970</v>
      </c>
      <c r="J651" s="8">
        <v>725070</v>
      </c>
      <c r="K651" s="137">
        <f t="shared" si="78"/>
        <v>100</v>
      </c>
      <c r="L651" s="8">
        <v>55209</v>
      </c>
      <c r="M651" s="8">
        <v>55209</v>
      </c>
      <c r="N651" s="137">
        <f t="shared" si="81"/>
        <v>0</v>
      </c>
      <c r="O651" s="128">
        <f t="shared" si="77"/>
        <v>100</v>
      </c>
      <c r="P651" s="8">
        <v>280787</v>
      </c>
      <c r="Q651" s="8">
        <v>280787</v>
      </c>
      <c r="R651" s="128">
        <f t="shared" si="76"/>
        <v>0</v>
      </c>
      <c r="AQ651" s="8"/>
      <c r="AR651" s="8"/>
      <c r="AS651" s="8"/>
    </row>
    <row r="652" spans="1:45">
      <c r="A652" s="12">
        <v>45027</v>
      </c>
      <c r="B652" s="8">
        <v>533989</v>
      </c>
      <c r="C652" s="8">
        <v>534231</v>
      </c>
      <c r="D652" s="128">
        <f t="shared" si="75"/>
        <v>242</v>
      </c>
      <c r="E652" s="8">
        <v>116123</v>
      </c>
      <c r="F652" s="8">
        <v>116520</v>
      </c>
      <c r="G652" s="137">
        <f t="shared" si="79"/>
        <v>397</v>
      </c>
      <c r="H652" s="128">
        <f t="shared" si="80"/>
        <v>639</v>
      </c>
      <c r="I652" s="8">
        <v>725070</v>
      </c>
      <c r="J652" s="8">
        <v>725249</v>
      </c>
      <c r="K652" s="137">
        <f t="shared" si="78"/>
        <v>179</v>
      </c>
      <c r="L652" s="8">
        <v>55209</v>
      </c>
      <c r="M652" s="8">
        <v>55340</v>
      </c>
      <c r="N652" s="137">
        <f t="shared" si="81"/>
        <v>131</v>
      </c>
      <c r="O652" s="128">
        <f t="shared" si="77"/>
        <v>310</v>
      </c>
      <c r="P652" s="8">
        <v>280787</v>
      </c>
      <c r="Q652" s="8">
        <v>280787</v>
      </c>
      <c r="R652" s="128">
        <f t="shared" si="76"/>
        <v>0</v>
      </c>
      <c r="AQ652" s="8"/>
      <c r="AR652" s="8"/>
      <c r="AS652" s="8"/>
    </row>
    <row r="653" spans="1:45">
      <c r="A653" s="12">
        <v>45028</v>
      </c>
      <c r="B653" s="8">
        <v>534231</v>
      </c>
      <c r="C653" s="8">
        <v>534524</v>
      </c>
      <c r="D653" s="128">
        <f t="shared" si="75"/>
        <v>293</v>
      </c>
      <c r="E653" s="8">
        <v>116520</v>
      </c>
      <c r="F653" s="8">
        <v>117017</v>
      </c>
      <c r="G653" s="137">
        <f t="shared" si="79"/>
        <v>497</v>
      </c>
      <c r="H653" s="128">
        <f t="shared" si="80"/>
        <v>790</v>
      </c>
      <c r="I653" s="8">
        <v>725249</v>
      </c>
      <c r="J653" s="8">
        <v>725360</v>
      </c>
      <c r="K653" s="137">
        <f t="shared" si="78"/>
        <v>111</v>
      </c>
      <c r="L653" s="8">
        <v>55340</v>
      </c>
      <c r="M653" s="8">
        <v>55646</v>
      </c>
      <c r="N653" s="137">
        <f t="shared" si="81"/>
        <v>306</v>
      </c>
      <c r="O653" s="128">
        <f t="shared" si="77"/>
        <v>417</v>
      </c>
      <c r="P653" s="8">
        <v>280787</v>
      </c>
      <c r="Q653" s="8">
        <v>280787</v>
      </c>
      <c r="R653" s="128">
        <f t="shared" si="76"/>
        <v>0</v>
      </c>
      <c r="AQ653" s="8"/>
      <c r="AR653" s="8"/>
      <c r="AS653" s="8"/>
    </row>
    <row r="654" spans="1:45">
      <c r="A654" s="12">
        <v>45029</v>
      </c>
      <c r="B654" s="8">
        <v>534524</v>
      </c>
      <c r="C654" s="8">
        <v>534762</v>
      </c>
      <c r="D654" s="128">
        <f t="shared" si="75"/>
        <v>238</v>
      </c>
      <c r="E654" s="8">
        <v>117017</v>
      </c>
      <c r="F654" s="8">
        <v>117411</v>
      </c>
      <c r="G654" s="137">
        <f t="shared" si="79"/>
        <v>394</v>
      </c>
      <c r="H654" s="128">
        <f t="shared" si="80"/>
        <v>632</v>
      </c>
      <c r="I654" s="8">
        <v>725360</v>
      </c>
      <c r="J654" s="8">
        <v>725549</v>
      </c>
      <c r="K654" s="137">
        <f t="shared" si="78"/>
        <v>189</v>
      </c>
      <c r="L654" s="8">
        <v>55646</v>
      </c>
      <c r="M654" s="8">
        <v>55845</v>
      </c>
      <c r="N654" s="137">
        <f t="shared" si="81"/>
        <v>199</v>
      </c>
      <c r="O654" s="128">
        <f t="shared" si="77"/>
        <v>388</v>
      </c>
      <c r="P654" s="8">
        <v>280787</v>
      </c>
      <c r="Q654" s="8">
        <v>280787</v>
      </c>
      <c r="R654" s="128">
        <f t="shared" si="76"/>
        <v>0</v>
      </c>
      <c r="AQ654" s="8"/>
      <c r="AR654" s="8"/>
      <c r="AS654" s="8"/>
    </row>
    <row r="655" spans="1:45">
      <c r="A655" s="12">
        <v>45030</v>
      </c>
      <c r="B655" s="8">
        <v>534762</v>
      </c>
      <c r="C655" s="8">
        <v>534989</v>
      </c>
      <c r="D655" s="128">
        <f t="shared" si="75"/>
        <v>227</v>
      </c>
      <c r="E655" s="8">
        <v>117411</v>
      </c>
      <c r="F655" s="8">
        <v>117763</v>
      </c>
      <c r="G655" s="137">
        <f t="shared" si="79"/>
        <v>352</v>
      </c>
      <c r="H655" s="128">
        <f t="shared" si="80"/>
        <v>579</v>
      </c>
      <c r="I655" s="8">
        <v>725549</v>
      </c>
      <c r="J655" s="8">
        <v>725760</v>
      </c>
      <c r="K655" s="137">
        <f t="shared" si="78"/>
        <v>211</v>
      </c>
      <c r="L655" s="8">
        <v>55845</v>
      </c>
      <c r="M655" s="8">
        <v>56089</v>
      </c>
      <c r="N655" s="137">
        <f t="shared" si="81"/>
        <v>244</v>
      </c>
      <c r="O655" s="128">
        <f t="shared" si="77"/>
        <v>455</v>
      </c>
      <c r="P655" s="8">
        <v>280787</v>
      </c>
      <c r="Q655" s="8">
        <v>280787</v>
      </c>
      <c r="R655" s="128">
        <f t="shared" si="76"/>
        <v>0</v>
      </c>
      <c r="AQ655" s="8"/>
      <c r="AR655" s="8"/>
      <c r="AS655" s="8"/>
    </row>
    <row r="656" spans="1:45">
      <c r="A656" s="12">
        <v>45031</v>
      </c>
      <c r="B656" s="8">
        <v>534989</v>
      </c>
      <c r="C656" s="8">
        <v>535188</v>
      </c>
      <c r="D656" s="128">
        <f t="shared" si="75"/>
        <v>199</v>
      </c>
      <c r="E656" s="8">
        <v>117763</v>
      </c>
      <c r="F656" s="8">
        <v>118102</v>
      </c>
      <c r="G656" s="137">
        <f t="shared" si="79"/>
        <v>339</v>
      </c>
      <c r="H656" s="128">
        <f t="shared" si="80"/>
        <v>538</v>
      </c>
      <c r="I656" s="8">
        <v>725760</v>
      </c>
      <c r="J656" s="8">
        <v>725958</v>
      </c>
      <c r="K656" s="137">
        <f t="shared" si="78"/>
        <v>198</v>
      </c>
      <c r="L656" s="8">
        <v>56089</v>
      </c>
      <c r="M656" s="8">
        <v>56330</v>
      </c>
      <c r="N656" s="137">
        <f t="shared" si="81"/>
        <v>241</v>
      </c>
      <c r="O656" s="128">
        <f t="shared" si="77"/>
        <v>439</v>
      </c>
      <c r="P656" s="8">
        <v>280787</v>
      </c>
      <c r="Q656" s="8">
        <v>280787</v>
      </c>
      <c r="R656" s="128">
        <f t="shared" si="76"/>
        <v>0</v>
      </c>
      <c r="S656" s="44" t="e">
        <f>#REF!-#REF!</f>
        <v>#REF!</v>
      </c>
      <c r="AQ656" s="8"/>
      <c r="AR656" s="8"/>
      <c r="AS656" s="8"/>
    </row>
    <row r="657" spans="1:45">
      <c r="A657" s="12">
        <v>45032</v>
      </c>
      <c r="B657" s="8">
        <v>535188</v>
      </c>
      <c r="C657" s="8">
        <v>535342</v>
      </c>
      <c r="D657" s="128">
        <f t="shared" si="75"/>
        <v>154</v>
      </c>
      <c r="E657" s="8">
        <v>118102</v>
      </c>
      <c r="F657" s="8">
        <v>118535</v>
      </c>
      <c r="G657" s="137">
        <f t="shared" si="79"/>
        <v>433</v>
      </c>
      <c r="H657" s="128">
        <f t="shared" si="80"/>
        <v>587</v>
      </c>
      <c r="I657" s="8">
        <v>725958</v>
      </c>
      <c r="J657" s="8">
        <v>726158</v>
      </c>
      <c r="K657" s="137">
        <f t="shared" si="78"/>
        <v>200</v>
      </c>
      <c r="L657" s="8">
        <v>56330</v>
      </c>
      <c r="M657" s="8">
        <v>56555</v>
      </c>
      <c r="N657" s="137">
        <f t="shared" si="81"/>
        <v>225</v>
      </c>
      <c r="O657" s="128">
        <f t="shared" si="77"/>
        <v>425</v>
      </c>
      <c r="P657" s="8">
        <v>280787</v>
      </c>
      <c r="Q657" s="8">
        <v>280787</v>
      </c>
      <c r="R657" s="128">
        <f t="shared" si="76"/>
        <v>0</v>
      </c>
      <c r="AQ657" s="8"/>
      <c r="AR657" s="8"/>
      <c r="AS657" s="8"/>
    </row>
    <row r="658" spans="1:45">
      <c r="A658" s="12">
        <v>45033</v>
      </c>
      <c r="B658" s="8">
        <v>535342</v>
      </c>
      <c r="C658" s="8">
        <v>535632</v>
      </c>
      <c r="D658" s="128">
        <f t="shared" si="75"/>
        <v>290</v>
      </c>
      <c r="E658" s="8">
        <v>118535</v>
      </c>
      <c r="F658" s="8">
        <v>118858</v>
      </c>
      <c r="G658" s="137">
        <f t="shared" si="79"/>
        <v>323</v>
      </c>
      <c r="H658" s="128">
        <f t="shared" si="80"/>
        <v>613</v>
      </c>
      <c r="I658" s="8">
        <v>726158</v>
      </c>
      <c r="J658" s="8">
        <v>726358</v>
      </c>
      <c r="K658" s="137">
        <f t="shared" si="78"/>
        <v>200</v>
      </c>
      <c r="L658" s="8">
        <v>56555</v>
      </c>
      <c r="M658" s="8">
        <v>56776</v>
      </c>
      <c r="N658" s="137">
        <f t="shared" si="81"/>
        <v>221</v>
      </c>
      <c r="O658" s="128">
        <f t="shared" si="77"/>
        <v>421</v>
      </c>
      <c r="P658" s="8">
        <v>280787</v>
      </c>
      <c r="Q658" s="8">
        <v>281852</v>
      </c>
      <c r="R658" s="128">
        <f t="shared" si="76"/>
        <v>1065</v>
      </c>
      <c r="AQ658" s="8"/>
      <c r="AR658" s="8"/>
      <c r="AS658" s="8"/>
    </row>
    <row r="659" spans="1:45">
      <c r="A659" s="12">
        <v>45034</v>
      </c>
      <c r="B659" s="8">
        <v>535632</v>
      </c>
      <c r="C659" s="8">
        <v>535876</v>
      </c>
      <c r="D659" s="128">
        <f t="shared" si="75"/>
        <v>244</v>
      </c>
      <c r="E659" s="8">
        <v>118858</v>
      </c>
      <c r="F659" s="8">
        <v>119129</v>
      </c>
      <c r="G659" s="137">
        <f t="shared" si="79"/>
        <v>271</v>
      </c>
      <c r="H659" s="128">
        <f t="shared" si="80"/>
        <v>515</v>
      </c>
      <c r="I659" s="8">
        <v>726358</v>
      </c>
      <c r="J659" s="8">
        <v>726538</v>
      </c>
      <c r="K659" s="137">
        <f t="shared" si="78"/>
        <v>180</v>
      </c>
      <c r="L659" s="8">
        <v>56776</v>
      </c>
      <c r="M659" s="8">
        <v>56809</v>
      </c>
      <c r="N659" s="137">
        <f t="shared" si="81"/>
        <v>33</v>
      </c>
      <c r="O659" s="128">
        <f t="shared" si="77"/>
        <v>213</v>
      </c>
      <c r="P659" s="8">
        <v>281852</v>
      </c>
      <c r="Q659" s="8">
        <v>282184</v>
      </c>
      <c r="R659" s="128">
        <f t="shared" si="76"/>
        <v>332</v>
      </c>
      <c r="AQ659" s="8"/>
      <c r="AR659" s="8"/>
      <c r="AS659" s="8"/>
    </row>
    <row r="660" spans="1:45">
      <c r="A660" s="12">
        <v>45035</v>
      </c>
      <c r="B660" s="8">
        <v>535876</v>
      </c>
      <c r="C660" s="8">
        <v>536113</v>
      </c>
      <c r="D660" s="128">
        <f t="shared" si="75"/>
        <v>237</v>
      </c>
      <c r="E660" s="8">
        <v>119129</v>
      </c>
      <c r="F660" s="8">
        <v>119426</v>
      </c>
      <c r="G660" s="137">
        <f t="shared" si="79"/>
        <v>297</v>
      </c>
      <c r="H660" s="128">
        <f t="shared" si="80"/>
        <v>534</v>
      </c>
      <c r="I660" s="8">
        <v>726538</v>
      </c>
      <c r="J660" s="8">
        <v>726720</v>
      </c>
      <c r="K660" s="137">
        <f t="shared" si="78"/>
        <v>182</v>
      </c>
      <c r="L660" s="8">
        <v>56809</v>
      </c>
      <c r="M660" s="8">
        <v>57048</v>
      </c>
      <c r="N660" s="137">
        <f t="shared" si="81"/>
        <v>239</v>
      </c>
      <c r="O660" s="128">
        <f t="shared" si="77"/>
        <v>421</v>
      </c>
      <c r="P660" s="8">
        <v>282184</v>
      </c>
      <c r="Q660" s="8">
        <v>282754</v>
      </c>
      <c r="R660" s="128">
        <f t="shared" si="76"/>
        <v>570</v>
      </c>
      <c r="AQ660" s="8"/>
      <c r="AR660" s="8"/>
      <c r="AS660" s="8"/>
    </row>
    <row r="661" spans="1:45">
      <c r="A661" s="12">
        <v>45036</v>
      </c>
      <c r="B661" s="8">
        <v>536113</v>
      </c>
      <c r="C661" s="8">
        <v>536360</v>
      </c>
      <c r="D661" s="128">
        <f t="shared" si="75"/>
        <v>247</v>
      </c>
      <c r="E661" s="8">
        <v>119426</v>
      </c>
      <c r="F661" s="8">
        <v>119730</v>
      </c>
      <c r="G661" s="137">
        <f t="shared" si="79"/>
        <v>304</v>
      </c>
      <c r="H661" s="128">
        <f t="shared" si="80"/>
        <v>551</v>
      </c>
      <c r="I661" s="8">
        <v>726720</v>
      </c>
      <c r="J661" s="8">
        <v>726931</v>
      </c>
      <c r="K661" s="137">
        <f t="shared" si="78"/>
        <v>211</v>
      </c>
      <c r="L661" s="8">
        <v>57048</v>
      </c>
      <c r="M661" s="8">
        <v>57259</v>
      </c>
      <c r="N661" s="137">
        <f t="shared" si="81"/>
        <v>211</v>
      </c>
      <c r="O661" s="128">
        <f t="shared" si="77"/>
        <v>422</v>
      </c>
      <c r="P661" s="8">
        <v>282754</v>
      </c>
      <c r="Q661" s="8">
        <v>282860</v>
      </c>
      <c r="R661" s="128">
        <f t="shared" si="76"/>
        <v>106</v>
      </c>
      <c r="AQ661" s="8"/>
      <c r="AR661" s="8"/>
      <c r="AS661" s="8"/>
    </row>
    <row r="662" spans="1:45">
      <c r="A662" s="12">
        <v>45037</v>
      </c>
      <c r="B662" s="8">
        <v>536260</v>
      </c>
      <c r="C662" s="8">
        <v>536410</v>
      </c>
      <c r="D662" s="128">
        <f t="shared" si="75"/>
        <v>150</v>
      </c>
      <c r="E662" s="8">
        <v>119730</v>
      </c>
      <c r="F662" s="8">
        <v>120093</v>
      </c>
      <c r="G662" s="137">
        <f t="shared" si="79"/>
        <v>363</v>
      </c>
      <c r="H662" s="128">
        <f t="shared" si="80"/>
        <v>513</v>
      </c>
      <c r="I662" s="8">
        <v>726931</v>
      </c>
      <c r="J662" s="8">
        <v>727120</v>
      </c>
      <c r="K662" s="137">
        <f t="shared" si="78"/>
        <v>189</v>
      </c>
      <c r="L662" s="8">
        <v>57259</v>
      </c>
      <c r="M662" s="8">
        <v>57259</v>
      </c>
      <c r="N662" s="137">
        <f t="shared" si="81"/>
        <v>0</v>
      </c>
      <c r="O662" s="128">
        <f t="shared" si="77"/>
        <v>189</v>
      </c>
      <c r="P662" s="8">
        <v>282860</v>
      </c>
      <c r="Q662" s="8">
        <v>282985</v>
      </c>
      <c r="R662" s="128">
        <f t="shared" si="76"/>
        <v>125</v>
      </c>
      <c r="AQ662" s="8"/>
      <c r="AR662" s="8"/>
      <c r="AS662" s="8"/>
    </row>
    <row r="663" spans="1:45">
      <c r="A663" s="12">
        <v>45038</v>
      </c>
      <c r="B663" s="8">
        <v>536410</v>
      </c>
      <c r="C663" s="8">
        <v>536615</v>
      </c>
      <c r="D663" s="128">
        <f t="shared" si="75"/>
        <v>205</v>
      </c>
      <c r="E663" s="8">
        <v>120093</v>
      </c>
      <c r="F663" s="8">
        <v>120391</v>
      </c>
      <c r="G663" s="137">
        <f t="shared" si="79"/>
        <v>298</v>
      </c>
      <c r="H663" s="128">
        <f t="shared" si="80"/>
        <v>503</v>
      </c>
      <c r="I663" s="8">
        <v>727120</v>
      </c>
      <c r="J663" s="8">
        <v>727320</v>
      </c>
      <c r="K663" s="137">
        <f t="shared" si="78"/>
        <v>200</v>
      </c>
      <c r="L663" s="8">
        <v>57259</v>
      </c>
      <c r="M663" s="8">
        <v>57489</v>
      </c>
      <c r="N663" s="137">
        <f t="shared" si="81"/>
        <v>230</v>
      </c>
      <c r="O663" s="128">
        <f t="shared" si="77"/>
        <v>430</v>
      </c>
      <c r="P663" s="8">
        <v>282985</v>
      </c>
      <c r="Q663" s="8">
        <v>282985</v>
      </c>
      <c r="R663" s="128">
        <f t="shared" si="76"/>
        <v>0</v>
      </c>
      <c r="AQ663" s="8"/>
      <c r="AR663" s="8"/>
      <c r="AS663" s="8"/>
    </row>
    <row r="664" spans="1:45">
      <c r="A664" s="12">
        <v>45039</v>
      </c>
      <c r="B664" s="8">
        <v>536715</v>
      </c>
      <c r="C664" s="8">
        <v>536994</v>
      </c>
      <c r="D664" s="128">
        <f t="shared" ref="D664:D729" si="82">C664-B664</f>
        <v>279</v>
      </c>
      <c r="E664" s="8">
        <v>120391</v>
      </c>
      <c r="F664" s="8">
        <v>120650</v>
      </c>
      <c r="G664" s="137">
        <f t="shared" si="79"/>
        <v>259</v>
      </c>
      <c r="H664" s="128">
        <f t="shared" si="80"/>
        <v>538</v>
      </c>
      <c r="I664" s="8">
        <v>727320</v>
      </c>
      <c r="J664" s="8">
        <v>727490</v>
      </c>
      <c r="K664" s="137">
        <f t="shared" si="78"/>
        <v>170</v>
      </c>
      <c r="L664" s="8">
        <v>57489</v>
      </c>
      <c r="M664" s="8">
        <v>57734</v>
      </c>
      <c r="N664" s="137">
        <f t="shared" si="81"/>
        <v>245</v>
      </c>
      <c r="O664" s="128">
        <f t="shared" si="77"/>
        <v>415</v>
      </c>
      <c r="P664" s="8">
        <v>282985</v>
      </c>
      <c r="Q664" s="8">
        <v>283370</v>
      </c>
      <c r="R664" s="128">
        <f t="shared" si="76"/>
        <v>385</v>
      </c>
      <c r="AQ664" s="8"/>
      <c r="AR664" s="8"/>
      <c r="AS664" s="8"/>
    </row>
    <row r="665" spans="1:45">
      <c r="A665" s="12">
        <v>45040</v>
      </c>
      <c r="B665" s="8">
        <v>536994</v>
      </c>
      <c r="C665" s="8">
        <v>537256</v>
      </c>
      <c r="D665" s="128">
        <f t="shared" si="82"/>
        <v>262</v>
      </c>
      <c r="E665" s="8">
        <v>120650</v>
      </c>
      <c r="F665" s="8">
        <v>121023</v>
      </c>
      <c r="G665" s="137">
        <f t="shared" si="79"/>
        <v>373</v>
      </c>
      <c r="H665" s="128">
        <f t="shared" si="80"/>
        <v>635</v>
      </c>
      <c r="I665" s="8">
        <v>727490</v>
      </c>
      <c r="J665" s="8">
        <v>727712</v>
      </c>
      <c r="K665" s="137">
        <f t="shared" si="78"/>
        <v>222</v>
      </c>
      <c r="L665" s="8">
        <v>57734</v>
      </c>
      <c r="M665" s="8">
        <v>57970</v>
      </c>
      <c r="N665" s="137">
        <f t="shared" si="81"/>
        <v>236</v>
      </c>
      <c r="O665" s="128">
        <f t="shared" si="77"/>
        <v>458</v>
      </c>
      <c r="P665" s="8">
        <v>283370</v>
      </c>
      <c r="Q665" s="8">
        <v>283516</v>
      </c>
      <c r="R665" s="128">
        <f t="shared" si="76"/>
        <v>146</v>
      </c>
      <c r="AQ665" s="8"/>
      <c r="AR665" s="8"/>
      <c r="AS665" s="8"/>
    </row>
    <row r="666" spans="1:45">
      <c r="A666" s="12">
        <v>45041</v>
      </c>
      <c r="B666" s="8">
        <v>537256</v>
      </c>
      <c r="C666" s="8">
        <v>537479</v>
      </c>
      <c r="D666" s="128">
        <f t="shared" si="82"/>
        <v>223</v>
      </c>
      <c r="E666" s="8">
        <v>121023</v>
      </c>
      <c r="F666" s="8">
        <v>121319</v>
      </c>
      <c r="G666" s="137">
        <f t="shared" si="79"/>
        <v>296</v>
      </c>
      <c r="H666" s="128">
        <f t="shared" si="80"/>
        <v>519</v>
      </c>
      <c r="I666" s="8">
        <v>727712</v>
      </c>
      <c r="J666" s="8">
        <v>727902</v>
      </c>
      <c r="K666" s="137">
        <f t="shared" si="78"/>
        <v>190</v>
      </c>
      <c r="L666" s="8">
        <v>57970</v>
      </c>
      <c r="M666" s="8">
        <v>58197</v>
      </c>
      <c r="N666" s="137">
        <f t="shared" si="81"/>
        <v>227</v>
      </c>
      <c r="O666" s="128">
        <f t="shared" si="77"/>
        <v>417</v>
      </c>
      <c r="P666" s="8">
        <v>283516</v>
      </c>
      <c r="Q666" s="8">
        <v>283516</v>
      </c>
      <c r="R666" s="128">
        <f t="shared" si="76"/>
        <v>0</v>
      </c>
      <c r="AQ666" s="8"/>
      <c r="AR666" s="8"/>
      <c r="AS666" s="8"/>
    </row>
    <row r="667" spans="1:45">
      <c r="A667" s="12">
        <v>45042</v>
      </c>
      <c r="B667" s="8">
        <v>537479</v>
      </c>
      <c r="C667" s="8">
        <v>537748</v>
      </c>
      <c r="D667" s="128">
        <f t="shared" si="82"/>
        <v>269</v>
      </c>
      <c r="E667" s="8">
        <v>121319</v>
      </c>
      <c r="F667" s="8">
        <v>121605</v>
      </c>
      <c r="G667" s="137">
        <f t="shared" si="79"/>
        <v>286</v>
      </c>
      <c r="H667" s="128">
        <f t="shared" si="80"/>
        <v>555</v>
      </c>
      <c r="I667" s="8">
        <v>727902</v>
      </c>
      <c r="J667" s="8">
        <v>728144</v>
      </c>
      <c r="K667" s="137">
        <f t="shared" si="78"/>
        <v>242</v>
      </c>
      <c r="L667" s="8">
        <v>58197</v>
      </c>
      <c r="M667" s="8">
        <v>58415</v>
      </c>
      <c r="N667" s="137">
        <f t="shared" si="81"/>
        <v>218</v>
      </c>
      <c r="O667" s="128">
        <f t="shared" si="77"/>
        <v>460</v>
      </c>
      <c r="P667" s="8">
        <v>283516</v>
      </c>
      <c r="Q667" s="8">
        <v>283654</v>
      </c>
      <c r="R667" s="128">
        <f t="shared" si="76"/>
        <v>138</v>
      </c>
      <c r="AQ667" s="8"/>
      <c r="AR667" s="8"/>
      <c r="AS667" s="8"/>
    </row>
    <row r="668" spans="1:45">
      <c r="A668" s="12">
        <v>45043</v>
      </c>
      <c r="B668" s="8">
        <v>537748</v>
      </c>
      <c r="C668" s="8">
        <v>537961</v>
      </c>
      <c r="D668" s="128">
        <f t="shared" si="82"/>
        <v>213</v>
      </c>
      <c r="E668" s="8">
        <v>121605</v>
      </c>
      <c r="F668" s="8">
        <v>121965</v>
      </c>
      <c r="G668" s="137">
        <f t="shared" si="79"/>
        <v>360</v>
      </c>
      <c r="H668" s="128">
        <f t="shared" si="80"/>
        <v>573</v>
      </c>
      <c r="I668" s="8">
        <v>728144</v>
      </c>
      <c r="J668" s="8">
        <v>728345</v>
      </c>
      <c r="K668" s="137">
        <f t="shared" si="78"/>
        <v>201</v>
      </c>
      <c r="L668" s="8">
        <v>58415</v>
      </c>
      <c r="M668" s="8">
        <v>58650</v>
      </c>
      <c r="N668" s="137">
        <f t="shared" si="81"/>
        <v>235</v>
      </c>
      <c r="O668" s="128">
        <f t="shared" si="77"/>
        <v>436</v>
      </c>
      <c r="P668" s="8">
        <v>283654</v>
      </c>
      <c r="Q668" s="8">
        <v>283834</v>
      </c>
      <c r="R668" s="128">
        <f t="shared" si="76"/>
        <v>180</v>
      </c>
      <c r="AQ668" s="8"/>
      <c r="AR668" s="8"/>
      <c r="AS668" s="8"/>
    </row>
    <row r="669" spans="1:45">
      <c r="A669" s="12">
        <v>45044</v>
      </c>
      <c r="B669" s="8">
        <v>537961</v>
      </c>
      <c r="C669" s="8">
        <v>538220</v>
      </c>
      <c r="D669" s="128">
        <f t="shared" si="82"/>
        <v>259</v>
      </c>
      <c r="E669" s="8">
        <v>121965</v>
      </c>
      <c r="F669" s="8">
        <v>122230</v>
      </c>
      <c r="G669" s="137">
        <f t="shared" si="79"/>
        <v>265</v>
      </c>
      <c r="H669" s="128">
        <f t="shared" si="80"/>
        <v>524</v>
      </c>
      <c r="I669" s="8">
        <v>728345</v>
      </c>
      <c r="J669" s="8">
        <v>728568</v>
      </c>
      <c r="K669" s="137">
        <f t="shared" si="78"/>
        <v>223</v>
      </c>
      <c r="L669" s="8">
        <v>58650</v>
      </c>
      <c r="M669" s="8">
        <v>58830</v>
      </c>
      <c r="N669" s="137">
        <f t="shared" si="81"/>
        <v>180</v>
      </c>
      <c r="O669" s="128">
        <f t="shared" si="77"/>
        <v>403</v>
      </c>
      <c r="P669" s="8">
        <v>283834</v>
      </c>
      <c r="Q669" s="8">
        <v>283834</v>
      </c>
      <c r="R669" s="128">
        <f t="shared" si="76"/>
        <v>0</v>
      </c>
      <c r="AQ669" s="8"/>
      <c r="AR669" s="8"/>
      <c r="AS669" s="8"/>
    </row>
    <row r="670" spans="1:45">
      <c r="A670" s="12">
        <v>45045</v>
      </c>
      <c r="B670" s="8">
        <v>538220</v>
      </c>
      <c r="C670" s="8">
        <v>538403</v>
      </c>
      <c r="D670" s="128">
        <f t="shared" si="82"/>
        <v>183</v>
      </c>
      <c r="E670" s="8">
        <v>122230</v>
      </c>
      <c r="F670" s="8">
        <v>122673</v>
      </c>
      <c r="G670" s="137">
        <f t="shared" si="79"/>
        <v>443</v>
      </c>
      <c r="H670" s="128">
        <f t="shared" si="80"/>
        <v>626</v>
      </c>
      <c r="I670" s="8">
        <v>728568</v>
      </c>
      <c r="J670" s="8">
        <v>728658</v>
      </c>
      <c r="K670" s="137">
        <f t="shared" si="78"/>
        <v>90</v>
      </c>
      <c r="L670" s="8">
        <v>58830</v>
      </c>
      <c r="M670" s="8">
        <v>59191</v>
      </c>
      <c r="N670" s="137">
        <f t="shared" si="81"/>
        <v>361</v>
      </c>
      <c r="O670" s="128">
        <f t="shared" si="77"/>
        <v>451</v>
      </c>
      <c r="P670" s="8">
        <v>283834</v>
      </c>
      <c r="Q670" s="8">
        <v>284002</v>
      </c>
      <c r="R670" s="128">
        <f t="shared" si="76"/>
        <v>168</v>
      </c>
      <c r="AQ670" s="8"/>
      <c r="AR670" s="8"/>
      <c r="AS670" s="8"/>
    </row>
    <row r="671" spans="1:45">
      <c r="A671" s="12">
        <v>45046</v>
      </c>
      <c r="B671" s="8">
        <v>538403</v>
      </c>
      <c r="C671" s="8">
        <v>538582</v>
      </c>
      <c r="D671" s="128">
        <f t="shared" si="82"/>
        <v>179</v>
      </c>
      <c r="E671" s="8">
        <v>122673</v>
      </c>
      <c r="F671" s="8">
        <v>122847</v>
      </c>
      <c r="G671" s="137">
        <f t="shared" si="79"/>
        <v>174</v>
      </c>
      <c r="H671" s="128">
        <f t="shared" si="80"/>
        <v>353</v>
      </c>
      <c r="I671" s="8">
        <v>728658</v>
      </c>
      <c r="J671" s="8">
        <v>728823</v>
      </c>
      <c r="K671" s="137">
        <f t="shared" si="78"/>
        <v>165</v>
      </c>
      <c r="L671" s="8">
        <v>59191</v>
      </c>
      <c r="M671" s="8">
        <v>59327</v>
      </c>
      <c r="N671" s="137">
        <f t="shared" si="81"/>
        <v>136</v>
      </c>
      <c r="O671" s="128">
        <f t="shared" si="77"/>
        <v>301</v>
      </c>
      <c r="P671" s="8">
        <v>284320</v>
      </c>
      <c r="Q671" s="8">
        <v>284320</v>
      </c>
      <c r="R671" s="128">
        <f t="shared" si="76"/>
        <v>0</v>
      </c>
      <c r="AQ671" s="8"/>
      <c r="AR671" s="8"/>
      <c r="AS671" s="8"/>
    </row>
    <row r="672" spans="1:45">
      <c r="A672" s="12">
        <v>45047</v>
      </c>
      <c r="B672" s="8">
        <v>538582</v>
      </c>
      <c r="C672" s="8">
        <v>538741</v>
      </c>
      <c r="D672" s="128">
        <f t="shared" si="82"/>
        <v>159</v>
      </c>
      <c r="E672" s="8">
        <v>122847</v>
      </c>
      <c r="F672" s="8">
        <v>123103</v>
      </c>
      <c r="G672" s="137">
        <f t="shared" si="79"/>
        <v>256</v>
      </c>
      <c r="H672" s="128">
        <f t="shared" si="80"/>
        <v>415</v>
      </c>
      <c r="I672" s="8">
        <v>728823</v>
      </c>
      <c r="J672" s="8">
        <v>728973</v>
      </c>
      <c r="K672" s="137">
        <f t="shared" si="78"/>
        <v>150</v>
      </c>
      <c r="L672" s="8">
        <v>59327</v>
      </c>
      <c r="M672" s="8">
        <v>59554</v>
      </c>
      <c r="N672" s="137">
        <f t="shared" si="81"/>
        <v>227</v>
      </c>
      <c r="O672" s="128">
        <f t="shared" si="77"/>
        <v>377</v>
      </c>
      <c r="P672" s="8">
        <v>284320</v>
      </c>
      <c r="Q672" s="8">
        <v>284320</v>
      </c>
      <c r="R672" s="128">
        <f t="shared" si="76"/>
        <v>0</v>
      </c>
      <c r="AQ672" s="8"/>
      <c r="AR672" s="8"/>
      <c r="AS672" s="8"/>
    </row>
    <row r="673" spans="1:45">
      <c r="A673" s="12">
        <v>45048</v>
      </c>
      <c r="B673" s="8">
        <v>538741</v>
      </c>
      <c r="C673" s="8">
        <v>538914</v>
      </c>
      <c r="D673" s="128">
        <f t="shared" si="82"/>
        <v>173</v>
      </c>
      <c r="E673" s="8">
        <v>123103</v>
      </c>
      <c r="F673" s="8">
        <v>123300</v>
      </c>
      <c r="G673" s="137">
        <f t="shared" si="79"/>
        <v>197</v>
      </c>
      <c r="H673" s="128">
        <f t="shared" si="80"/>
        <v>370</v>
      </c>
      <c r="I673" s="8">
        <v>728973</v>
      </c>
      <c r="J673" s="8">
        <v>729104</v>
      </c>
      <c r="K673" s="137">
        <f t="shared" si="78"/>
        <v>131</v>
      </c>
      <c r="L673" s="8">
        <v>59554</v>
      </c>
      <c r="M673" s="8">
        <v>59768</v>
      </c>
      <c r="N673" s="137">
        <f t="shared" si="81"/>
        <v>214</v>
      </c>
      <c r="O673" s="128">
        <f t="shared" si="77"/>
        <v>345</v>
      </c>
      <c r="P673" s="8">
        <v>284320</v>
      </c>
      <c r="Q673" s="8">
        <v>284590</v>
      </c>
      <c r="R673" s="128">
        <f t="shared" ref="R673:R696" si="83">Q673-P673</f>
        <v>270</v>
      </c>
      <c r="AQ673" s="8"/>
      <c r="AR673" s="8"/>
      <c r="AS673" s="8"/>
    </row>
    <row r="674" spans="1:45">
      <c r="A674" s="12">
        <v>45049</v>
      </c>
      <c r="B674" s="8">
        <v>538914</v>
      </c>
      <c r="C674" s="8">
        <v>539042</v>
      </c>
      <c r="D674" s="128">
        <f t="shared" si="82"/>
        <v>128</v>
      </c>
      <c r="E674" s="8">
        <v>123300</v>
      </c>
      <c r="F674" s="8">
        <v>123534</v>
      </c>
      <c r="G674" s="137">
        <f t="shared" si="79"/>
        <v>234</v>
      </c>
      <c r="H674" s="128">
        <f t="shared" si="80"/>
        <v>362</v>
      </c>
      <c r="I674" s="8">
        <v>729104</v>
      </c>
      <c r="J674" s="8">
        <v>729306</v>
      </c>
      <c r="K674" s="137">
        <f t="shared" si="78"/>
        <v>202</v>
      </c>
      <c r="L674" s="8">
        <v>59768</v>
      </c>
      <c r="M674" s="8">
        <v>59946</v>
      </c>
      <c r="N674" s="137">
        <f t="shared" si="81"/>
        <v>178</v>
      </c>
      <c r="O674" s="128">
        <f t="shared" si="77"/>
        <v>380</v>
      </c>
      <c r="P674" s="8">
        <v>284590</v>
      </c>
      <c r="Q674" s="8">
        <v>284752</v>
      </c>
      <c r="R674" s="128">
        <f t="shared" si="83"/>
        <v>162</v>
      </c>
      <c r="AQ674" s="8"/>
      <c r="AR674" s="8"/>
      <c r="AS674" s="8"/>
    </row>
    <row r="675" spans="1:45">
      <c r="A675" s="12">
        <v>45050</v>
      </c>
      <c r="B675" s="8">
        <v>539042</v>
      </c>
      <c r="C675" s="8">
        <v>539379</v>
      </c>
      <c r="D675" s="128">
        <f t="shared" si="82"/>
        <v>337</v>
      </c>
      <c r="E675" s="8">
        <v>123534</v>
      </c>
      <c r="F675" s="8">
        <v>123816</v>
      </c>
      <c r="G675" s="137">
        <f t="shared" si="79"/>
        <v>282</v>
      </c>
      <c r="H675" s="128">
        <f t="shared" si="80"/>
        <v>619</v>
      </c>
      <c r="I675" s="8">
        <v>729306</v>
      </c>
      <c r="J675" s="8">
        <v>729524</v>
      </c>
      <c r="K675" s="137">
        <f t="shared" si="78"/>
        <v>218</v>
      </c>
      <c r="L675" s="8">
        <v>59946</v>
      </c>
      <c r="M675" s="8">
        <v>60179</v>
      </c>
      <c r="N675" s="137">
        <f t="shared" si="81"/>
        <v>233</v>
      </c>
      <c r="O675" s="128">
        <f t="shared" si="77"/>
        <v>451</v>
      </c>
      <c r="P675" s="8">
        <v>284752</v>
      </c>
      <c r="Q675" s="8">
        <v>285028</v>
      </c>
      <c r="R675" s="128">
        <f t="shared" si="83"/>
        <v>276</v>
      </c>
      <c r="AQ675" s="8"/>
      <c r="AR675" s="8"/>
      <c r="AS675" s="8"/>
    </row>
    <row r="676" spans="1:45">
      <c r="A676" s="12">
        <v>45051</v>
      </c>
      <c r="B676" s="8">
        <v>539379</v>
      </c>
      <c r="C676" s="8">
        <v>539641</v>
      </c>
      <c r="D676" s="128">
        <f t="shared" si="82"/>
        <v>262</v>
      </c>
      <c r="E676" s="8">
        <v>123816</v>
      </c>
      <c r="F676" s="8">
        <v>124116</v>
      </c>
      <c r="G676" s="137">
        <f t="shared" si="79"/>
        <v>300</v>
      </c>
      <c r="H676" s="128">
        <f t="shared" si="80"/>
        <v>562</v>
      </c>
      <c r="I676" s="8">
        <v>729524</v>
      </c>
      <c r="J676" s="8">
        <v>729702</v>
      </c>
      <c r="K676" s="137">
        <f t="shared" si="78"/>
        <v>178</v>
      </c>
      <c r="L676" s="8">
        <v>60179</v>
      </c>
      <c r="M676" s="8">
        <v>60389</v>
      </c>
      <c r="N676" s="137">
        <f t="shared" si="81"/>
        <v>210</v>
      </c>
      <c r="O676" s="128">
        <f t="shared" si="77"/>
        <v>388</v>
      </c>
      <c r="P676" s="8">
        <v>285028</v>
      </c>
      <c r="Q676" s="8">
        <v>285368</v>
      </c>
      <c r="R676" s="128">
        <f t="shared" si="83"/>
        <v>340</v>
      </c>
      <c r="AQ676" s="8"/>
      <c r="AR676" s="8"/>
      <c r="AS676" s="8"/>
    </row>
    <row r="677" spans="1:45">
      <c r="A677" s="12">
        <v>45052</v>
      </c>
      <c r="B677" s="8">
        <v>539641</v>
      </c>
      <c r="C677" s="8">
        <v>539912</v>
      </c>
      <c r="D677" s="128">
        <f t="shared" si="82"/>
        <v>271</v>
      </c>
      <c r="E677" s="8">
        <v>124116</v>
      </c>
      <c r="F677" s="8">
        <v>124444</v>
      </c>
      <c r="G677" s="137">
        <f t="shared" si="79"/>
        <v>328</v>
      </c>
      <c r="H677" s="128">
        <f t="shared" si="80"/>
        <v>599</v>
      </c>
      <c r="I677" s="8">
        <v>729702</v>
      </c>
      <c r="J677" s="8">
        <v>729806</v>
      </c>
      <c r="K677" s="137">
        <f t="shared" si="78"/>
        <v>104</v>
      </c>
      <c r="L677" s="8">
        <v>60389</v>
      </c>
      <c r="M677" s="8">
        <v>60658</v>
      </c>
      <c r="N677" s="137">
        <f t="shared" si="81"/>
        <v>269</v>
      </c>
      <c r="O677" s="128">
        <f t="shared" ref="O677:O741" si="84">N677+K677</f>
        <v>373</v>
      </c>
      <c r="P677" s="8">
        <v>285368</v>
      </c>
      <c r="Q677" s="8">
        <v>285672</v>
      </c>
      <c r="R677" s="128">
        <f t="shared" si="83"/>
        <v>304</v>
      </c>
      <c r="AQ677" s="8"/>
      <c r="AR677" s="8"/>
      <c r="AS677" s="8"/>
    </row>
    <row r="678" spans="1:45">
      <c r="A678" s="12">
        <v>45053</v>
      </c>
      <c r="B678" s="8">
        <v>539912</v>
      </c>
      <c r="C678" s="8">
        <v>540073</v>
      </c>
      <c r="D678" s="128">
        <f t="shared" si="82"/>
        <v>161</v>
      </c>
      <c r="E678" s="8">
        <v>124444</v>
      </c>
      <c r="F678" s="8">
        <v>124750</v>
      </c>
      <c r="G678" s="137">
        <f t="shared" si="79"/>
        <v>306</v>
      </c>
      <c r="H678" s="128">
        <f t="shared" si="80"/>
        <v>467</v>
      </c>
      <c r="I678" s="8">
        <v>729806</v>
      </c>
      <c r="J678" s="8">
        <v>730059</v>
      </c>
      <c r="K678" s="137">
        <f t="shared" si="78"/>
        <v>253</v>
      </c>
      <c r="L678" s="8">
        <v>60658</v>
      </c>
      <c r="M678" s="8">
        <v>60836</v>
      </c>
      <c r="N678" s="137">
        <f t="shared" si="81"/>
        <v>178</v>
      </c>
      <c r="O678" s="128">
        <f t="shared" si="84"/>
        <v>431</v>
      </c>
      <c r="P678" s="8">
        <v>285672</v>
      </c>
      <c r="Q678" s="8">
        <v>285812</v>
      </c>
      <c r="R678" s="128">
        <f t="shared" si="83"/>
        <v>140</v>
      </c>
      <c r="AQ678" s="8"/>
      <c r="AR678" s="8"/>
      <c r="AS678" s="8"/>
    </row>
    <row r="679" spans="1:45">
      <c r="A679" s="12">
        <v>45054</v>
      </c>
      <c r="B679" s="8">
        <v>540073</v>
      </c>
      <c r="C679" s="8">
        <v>540356</v>
      </c>
      <c r="D679" s="128">
        <f t="shared" si="82"/>
        <v>283</v>
      </c>
      <c r="E679" s="8">
        <v>124750</v>
      </c>
      <c r="F679" s="8">
        <v>125102</v>
      </c>
      <c r="G679" s="137">
        <f t="shared" si="79"/>
        <v>352</v>
      </c>
      <c r="H679" s="128">
        <f t="shared" si="80"/>
        <v>635</v>
      </c>
      <c r="I679" s="8">
        <v>730059</v>
      </c>
      <c r="J679" s="8">
        <v>730322</v>
      </c>
      <c r="K679" s="137">
        <f t="shared" si="78"/>
        <v>263</v>
      </c>
      <c r="L679" s="8">
        <v>60836</v>
      </c>
      <c r="M679" s="8">
        <v>61177</v>
      </c>
      <c r="N679" s="137">
        <f t="shared" si="81"/>
        <v>341</v>
      </c>
      <c r="O679" s="128">
        <f t="shared" si="84"/>
        <v>604</v>
      </c>
      <c r="P679" s="8">
        <v>285812</v>
      </c>
      <c r="Q679" s="8">
        <v>285812</v>
      </c>
      <c r="R679" s="128">
        <f t="shared" si="83"/>
        <v>0</v>
      </c>
      <c r="AQ679" s="8"/>
      <c r="AR679" s="8"/>
      <c r="AS679" s="8"/>
    </row>
    <row r="680" spans="1:45">
      <c r="A680" s="12">
        <v>45055</v>
      </c>
      <c r="B680" s="8">
        <v>540356</v>
      </c>
      <c r="C680" s="8">
        <v>540656</v>
      </c>
      <c r="D680" s="128">
        <f t="shared" si="82"/>
        <v>300</v>
      </c>
      <c r="E680" s="8">
        <v>125102</v>
      </c>
      <c r="F680" s="8">
        <v>125453</v>
      </c>
      <c r="G680" s="137">
        <f t="shared" si="79"/>
        <v>351</v>
      </c>
      <c r="H680" s="128">
        <f t="shared" si="80"/>
        <v>651</v>
      </c>
      <c r="I680" s="8">
        <v>730322</v>
      </c>
      <c r="J680" s="8">
        <v>730428</v>
      </c>
      <c r="K680" s="137">
        <f t="shared" si="78"/>
        <v>106</v>
      </c>
      <c r="L680" s="8">
        <v>61177</v>
      </c>
      <c r="M680" s="8">
        <v>61410</v>
      </c>
      <c r="N680" s="137">
        <f t="shared" si="81"/>
        <v>233</v>
      </c>
      <c r="O680" s="128">
        <f t="shared" si="84"/>
        <v>339</v>
      </c>
      <c r="P680" s="8">
        <v>285812</v>
      </c>
      <c r="Q680" s="8">
        <v>286036</v>
      </c>
      <c r="R680" s="128">
        <f t="shared" si="83"/>
        <v>224</v>
      </c>
      <c r="AQ680" s="8"/>
      <c r="AR680" s="8"/>
      <c r="AS680" s="8"/>
    </row>
    <row r="681" spans="1:45">
      <c r="A681" s="12">
        <v>45056</v>
      </c>
      <c r="B681" s="8">
        <v>540656</v>
      </c>
      <c r="C681" s="8">
        <v>540906</v>
      </c>
      <c r="D681" s="128">
        <f t="shared" si="82"/>
        <v>250</v>
      </c>
      <c r="E681" s="8">
        <v>125453</v>
      </c>
      <c r="F681" s="8">
        <v>125721</v>
      </c>
      <c r="G681" s="137">
        <f t="shared" si="79"/>
        <v>268</v>
      </c>
      <c r="H681" s="128">
        <f t="shared" si="80"/>
        <v>518</v>
      </c>
      <c r="I681" s="8">
        <v>730428</v>
      </c>
      <c r="J681" s="8">
        <v>730608</v>
      </c>
      <c r="K681" s="137">
        <f t="shared" si="78"/>
        <v>180</v>
      </c>
      <c r="L681" s="8">
        <v>61410</v>
      </c>
      <c r="M681" s="8">
        <v>61639</v>
      </c>
      <c r="N681" s="137">
        <f t="shared" si="81"/>
        <v>229</v>
      </c>
      <c r="O681" s="128">
        <f t="shared" si="84"/>
        <v>409</v>
      </c>
      <c r="P681" s="8">
        <v>286036</v>
      </c>
      <c r="Q681" s="8">
        <v>286382</v>
      </c>
      <c r="R681" s="128">
        <f t="shared" si="83"/>
        <v>346</v>
      </c>
      <c r="AQ681" s="8"/>
      <c r="AR681" s="8"/>
      <c r="AS681" s="8"/>
    </row>
    <row r="682" spans="1:45">
      <c r="A682" s="12">
        <v>45057</v>
      </c>
      <c r="B682" s="8">
        <v>540906</v>
      </c>
      <c r="C682" s="8">
        <v>541131</v>
      </c>
      <c r="D682" s="128">
        <f t="shared" si="82"/>
        <v>225</v>
      </c>
      <c r="E682" s="8">
        <v>125721</v>
      </c>
      <c r="F682" s="8">
        <v>126058</v>
      </c>
      <c r="G682" s="137">
        <f>F682-E682</f>
        <v>337</v>
      </c>
      <c r="H682" s="128">
        <f t="shared" si="80"/>
        <v>562</v>
      </c>
      <c r="I682" s="8">
        <v>730608</v>
      </c>
      <c r="J682" s="8">
        <v>730742</v>
      </c>
      <c r="K682" s="137">
        <f t="shared" si="78"/>
        <v>134</v>
      </c>
      <c r="L682" s="8">
        <v>61639</v>
      </c>
      <c r="M682" s="8">
        <v>61853</v>
      </c>
      <c r="N682" s="137">
        <f t="shared" si="81"/>
        <v>214</v>
      </c>
      <c r="O682" s="128">
        <f t="shared" si="84"/>
        <v>348</v>
      </c>
      <c r="P682" s="8">
        <v>286382</v>
      </c>
      <c r="Q682" s="8">
        <v>286382</v>
      </c>
      <c r="R682" s="128">
        <f t="shared" si="83"/>
        <v>0</v>
      </c>
      <c r="AQ682" s="8"/>
      <c r="AR682" s="8"/>
      <c r="AS682" s="8"/>
    </row>
    <row r="683" spans="1:45">
      <c r="A683" s="12">
        <v>45058</v>
      </c>
      <c r="B683" s="8">
        <v>541131</v>
      </c>
      <c r="C683" s="8">
        <v>541385</v>
      </c>
      <c r="D683" s="128">
        <f t="shared" si="82"/>
        <v>254</v>
      </c>
      <c r="E683" s="8">
        <v>126058</v>
      </c>
      <c r="F683" s="8">
        <v>126435</v>
      </c>
      <c r="G683" s="137">
        <f t="shared" ref="G683:G748" si="85">F683-E683</f>
        <v>377</v>
      </c>
      <c r="H683" s="128">
        <f t="shared" si="80"/>
        <v>631</v>
      </c>
      <c r="I683" s="8">
        <v>730742</v>
      </c>
      <c r="J683" s="8">
        <v>730989</v>
      </c>
      <c r="K683" s="137">
        <f t="shared" si="78"/>
        <v>247</v>
      </c>
      <c r="L683" s="8">
        <v>61853</v>
      </c>
      <c r="M683" s="8">
        <v>62016</v>
      </c>
      <c r="N683" s="137">
        <f t="shared" si="81"/>
        <v>163</v>
      </c>
      <c r="O683" s="128">
        <f t="shared" si="84"/>
        <v>410</v>
      </c>
      <c r="P683" s="8">
        <v>286382</v>
      </c>
      <c r="Q683" s="8">
        <v>286714</v>
      </c>
      <c r="R683" s="128">
        <f t="shared" si="83"/>
        <v>332</v>
      </c>
      <c r="AQ683" s="8"/>
      <c r="AR683" s="8"/>
      <c r="AS683" s="8"/>
    </row>
    <row r="684" spans="1:45">
      <c r="A684" s="12">
        <v>45059</v>
      </c>
      <c r="B684" s="8">
        <v>541385</v>
      </c>
      <c r="C684" s="8">
        <v>541669</v>
      </c>
      <c r="D684" s="128">
        <f t="shared" si="82"/>
        <v>284</v>
      </c>
      <c r="E684" s="8">
        <v>126435</v>
      </c>
      <c r="F684" s="8">
        <v>126789</v>
      </c>
      <c r="G684" s="137">
        <f t="shared" si="85"/>
        <v>354</v>
      </c>
      <c r="H684" s="128">
        <f t="shared" si="80"/>
        <v>638</v>
      </c>
      <c r="I684" s="8">
        <v>730989</v>
      </c>
      <c r="J684" s="8">
        <v>731218</v>
      </c>
      <c r="K684" s="137">
        <f t="shared" si="78"/>
        <v>229</v>
      </c>
      <c r="L684" s="8">
        <v>62016</v>
      </c>
      <c r="M684" s="8">
        <v>62119</v>
      </c>
      <c r="N684" s="137">
        <f t="shared" si="81"/>
        <v>103</v>
      </c>
      <c r="O684" s="128">
        <f t="shared" si="84"/>
        <v>332</v>
      </c>
      <c r="P684" s="8">
        <v>286714</v>
      </c>
      <c r="Q684" s="8">
        <v>286929</v>
      </c>
      <c r="R684" s="128">
        <f t="shared" si="83"/>
        <v>215</v>
      </c>
      <c r="AQ684" s="8"/>
      <c r="AR684" s="8"/>
      <c r="AS684" s="8"/>
    </row>
    <row r="685" spans="1:45">
      <c r="A685" s="12">
        <v>45060</v>
      </c>
      <c r="B685" s="8">
        <v>541669</v>
      </c>
      <c r="C685" s="8">
        <v>541991</v>
      </c>
      <c r="D685" s="128">
        <f t="shared" si="82"/>
        <v>322</v>
      </c>
      <c r="E685" s="8">
        <v>126789</v>
      </c>
      <c r="F685" s="8">
        <v>127094</v>
      </c>
      <c r="G685" s="137">
        <f t="shared" si="85"/>
        <v>305</v>
      </c>
      <c r="H685" s="128">
        <f t="shared" si="80"/>
        <v>627</v>
      </c>
      <c r="I685" s="8">
        <v>731218</v>
      </c>
      <c r="J685" s="8">
        <v>731432</v>
      </c>
      <c r="K685" s="137">
        <f t="shared" si="78"/>
        <v>214</v>
      </c>
      <c r="L685" s="8">
        <v>62119</v>
      </c>
      <c r="M685" s="8">
        <v>62215</v>
      </c>
      <c r="N685" s="137">
        <f t="shared" si="81"/>
        <v>96</v>
      </c>
      <c r="O685" s="128">
        <f t="shared" si="84"/>
        <v>310</v>
      </c>
      <c r="P685" s="8">
        <v>286929</v>
      </c>
      <c r="Q685" s="8">
        <v>287218</v>
      </c>
      <c r="R685" s="128">
        <f t="shared" si="83"/>
        <v>289</v>
      </c>
      <c r="AQ685" s="8"/>
      <c r="AR685" s="8"/>
      <c r="AS685" s="8"/>
    </row>
    <row r="686" spans="1:45">
      <c r="A686" s="12">
        <v>45061</v>
      </c>
      <c r="B686" s="8">
        <v>541991</v>
      </c>
      <c r="C686" s="8">
        <v>542240</v>
      </c>
      <c r="D686" s="128">
        <f t="shared" si="82"/>
        <v>249</v>
      </c>
      <c r="E686" s="8">
        <v>127094</v>
      </c>
      <c r="F686" s="8">
        <v>127429</v>
      </c>
      <c r="G686" s="137">
        <f t="shared" si="85"/>
        <v>335</v>
      </c>
      <c r="H686" s="128">
        <f t="shared" si="80"/>
        <v>584</v>
      </c>
      <c r="I686" s="8">
        <v>731432</v>
      </c>
      <c r="J686" s="8">
        <v>731618</v>
      </c>
      <c r="K686" s="137">
        <f t="shared" si="78"/>
        <v>186</v>
      </c>
      <c r="L686" s="8">
        <v>62215</v>
      </c>
      <c r="M686" s="8">
        <v>62506</v>
      </c>
      <c r="N686" s="137">
        <v>2</v>
      </c>
      <c r="O686" s="128">
        <f t="shared" si="84"/>
        <v>188</v>
      </c>
      <c r="P686" s="8">
        <v>287218</v>
      </c>
      <c r="Q686" s="8">
        <v>287218</v>
      </c>
      <c r="R686" s="128">
        <f t="shared" si="83"/>
        <v>0</v>
      </c>
      <c r="AQ686" s="8"/>
      <c r="AR686" s="8"/>
      <c r="AS686" s="8"/>
    </row>
    <row r="687" spans="1:45">
      <c r="A687" s="12">
        <v>45062</v>
      </c>
      <c r="B687" s="8">
        <v>542240</v>
      </c>
      <c r="C687" s="8">
        <v>542449</v>
      </c>
      <c r="D687" s="128">
        <f t="shared" si="82"/>
        <v>209</v>
      </c>
      <c r="E687" s="8">
        <v>127429</v>
      </c>
      <c r="F687" s="8">
        <v>127753</v>
      </c>
      <c r="G687" s="137">
        <f t="shared" si="85"/>
        <v>324</v>
      </c>
      <c r="H687" s="128">
        <f t="shared" si="80"/>
        <v>533</v>
      </c>
      <c r="I687" s="8">
        <v>731618</v>
      </c>
      <c r="J687" s="8">
        <v>731798</v>
      </c>
      <c r="K687" s="137">
        <f t="shared" ref="K687:K753" si="86">J687-I687</f>
        <v>180</v>
      </c>
      <c r="L687" s="8">
        <v>62506</v>
      </c>
      <c r="M687" s="8">
        <v>62761</v>
      </c>
      <c r="N687" s="137">
        <f t="shared" si="81"/>
        <v>255</v>
      </c>
      <c r="O687" s="128">
        <f t="shared" si="84"/>
        <v>435</v>
      </c>
      <c r="P687" s="8">
        <v>287218</v>
      </c>
      <c r="Q687" s="8">
        <v>287537</v>
      </c>
      <c r="R687" s="128">
        <f t="shared" si="83"/>
        <v>319</v>
      </c>
      <c r="AQ687" s="8"/>
      <c r="AR687" s="8"/>
      <c r="AS687" s="8"/>
    </row>
    <row r="688" spans="1:45">
      <c r="A688" s="12">
        <v>45063</v>
      </c>
      <c r="B688" s="8">
        <v>542449</v>
      </c>
      <c r="C688" s="8">
        <v>542605</v>
      </c>
      <c r="D688" s="128">
        <f t="shared" si="82"/>
        <v>156</v>
      </c>
      <c r="E688" s="8">
        <v>127753</v>
      </c>
      <c r="F688" s="8">
        <v>128096</v>
      </c>
      <c r="G688" s="137">
        <f t="shared" si="85"/>
        <v>343</v>
      </c>
      <c r="H688" s="128">
        <f t="shared" si="80"/>
        <v>499</v>
      </c>
      <c r="I688" s="8">
        <v>731798</v>
      </c>
      <c r="J688" s="8">
        <v>732006</v>
      </c>
      <c r="K688" s="137">
        <f t="shared" si="86"/>
        <v>208</v>
      </c>
      <c r="L688" s="8">
        <v>62761</v>
      </c>
      <c r="M688" s="8">
        <v>62994</v>
      </c>
      <c r="N688" s="137">
        <f t="shared" si="81"/>
        <v>233</v>
      </c>
      <c r="O688" s="128">
        <f t="shared" si="84"/>
        <v>441</v>
      </c>
      <c r="P688" s="8">
        <v>287537</v>
      </c>
      <c r="Q688" s="8">
        <v>287537</v>
      </c>
      <c r="R688" s="128">
        <f t="shared" si="83"/>
        <v>0</v>
      </c>
      <c r="AQ688" s="8"/>
      <c r="AR688" s="8"/>
      <c r="AS688" s="8"/>
    </row>
    <row r="689" spans="1:45">
      <c r="A689" s="12">
        <v>45064</v>
      </c>
      <c r="B689" s="8">
        <v>542605</v>
      </c>
      <c r="C689" s="8">
        <v>542802</v>
      </c>
      <c r="D689" s="128">
        <f t="shared" si="82"/>
        <v>197</v>
      </c>
      <c r="E689" s="8">
        <v>128096</v>
      </c>
      <c r="F689" s="8">
        <v>128479</v>
      </c>
      <c r="G689" s="137">
        <f t="shared" si="85"/>
        <v>383</v>
      </c>
      <c r="H689" s="128">
        <f t="shared" si="80"/>
        <v>580</v>
      </c>
      <c r="I689" s="8">
        <v>732006</v>
      </c>
      <c r="J689" s="8">
        <v>732226</v>
      </c>
      <c r="K689" s="137">
        <f t="shared" si="86"/>
        <v>220</v>
      </c>
      <c r="L689" s="8">
        <v>62994</v>
      </c>
      <c r="M689" s="8">
        <v>63213</v>
      </c>
      <c r="N689" s="137">
        <f t="shared" si="81"/>
        <v>219</v>
      </c>
      <c r="O689" s="128">
        <f t="shared" si="84"/>
        <v>439</v>
      </c>
      <c r="P689" s="8">
        <v>287537</v>
      </c>
      <c r="Q689" s="8">
        <v>287537</v>
      </c>
      <c r="R689" s="128">
        <f t="shared" si="83"/>
        <v>0</v>
      </c>
      <c r="AQ689" s="8"/>
      <c r="AR689" s="8"/>
      <c r="AS689" s="8"/>
    </row>
    <row r="690" spans="1:45">
      <c r="A690" s="12">
        <v>45065</v>
      </c>
      <c r="B690" s="8">
        <v>542802</v>
      </c>
      <c r="C690" s="8">
        <v>543037</v>
      </c>
      <c r="D690" s="128">
        <f t="shared" si="82"/>
        <v>235</v>
      </c>
      <c r="E690" s="8">
        <v>128479</v>
      </c>
      <c r="F690" s="8">
        <v>128774</v>
      </c>
      <c r="G690" s="137">
        <f t="shared" si="85"/>
        <v>295</v>
      </c>
      <c r="H690" s="128">
        <f t="shared" si="80"/>
        <v>530</v>
      </c>
      <c r="I690" s="8">
        <v>732226</v>
      </c>
      <c r="J690" s="8">
        <v>732434</v>
      </c>
      <c r="K690" s="137">
        <f t="shared" si="86"/>
        <v>208</v>
      </c>
      <c r="L690" s="8">
        <v>63213</v>
      </c>
      <c r="M690" s="8">
        <v>63453</v>
      </c>
      <c r="N690" s="137">
        <f t="shared" si="81"/>
        <v>240</v>
      </c>
      <c r="O690" s="128">
        <f t="shared" si="84"/>
        <v>448</v>
      </c>
      <c r="P690" s="8">
        <v>287537</v>
      </c>
      <c r="Q690" s="8">
        <v>288015</v>
      </c>
      <c r="R690" s="128">
        <f t="shared" si="83"/>
        <v>478</v>
      </c>
      <c r="AQ690" s="8"/>
      <c r="AR690" s="8"/>
      <c r="AS690" s="8"/>
    </row>
    <row r="691" spans="1:45">
      <c r="A691" s="12">
        <v>45066</v>
      </c>
      <c r="B691" s="8">
        <v>543037</v>
      </c>
      <c r="C691" s="8">
        <v>543356</v>
      </c>
      <c r="D691" s="128">
        <f t="shared" si="82"/>
        <v>319</v>
      </c>
      <c r="E691" s="8">
        <v>128774</v>
      </c>
      <c r="F691" s="8">
        <v>129186</v>
      </c>
      <c r="G691" s="137">
        <f t="shared" si="85"/>
        <v>412</v>
      </c>
      <c r="H691" s="128">
        <f t="shared" si="80"/>
        <v>731</v>
      </c>
      <c r="I691" s="8">
        <v>732434</v>
      </c>
      <c r="J691" s="8">
        <v>732670</v>
      </c>
      <c r="K691" s="137">
        <f t="shared" si="86"/>
        <v>236</v>
      </c>
      <c r="L691" s="8">
        <v>63453</v>
      </c>
      <c r="M691" s="8">
        <v>63731</v>
      </c>
      <c r="N691" s="137">
        <f t="shared" si="81"/>
        <v>278</v>
      </c>
      <c r="O691" s="128">
        <f t="shared" si="84"/>
        <v>514</v>
      </c>
      <c r="P691" s="8">
        <v>288015</v>
      </c>
      <c r="Q691" s="8">
        <v>288415</v>
      </c>
      <c r="R691" s="128">
        <f t="shared" si="83"/>
        <v>400</v>
      </c>
      <c r="AQ691" s="8"/>
      <c r="AR691" s="8"/>
      <c r="AS691" s="8"/>
    </row>
    <row r="692" spans="1:45">
      <c r="A692" s="12">
        <v>45067</v>
      </c>
      <c r="B692" s="8">
        <v>543356</v>
      </c>
      <c r="C692" s="8">
        <v>543517</v>
      </c>
      <c r="D692" s="128">
        <f t="shared" si="82"/>
        <v>161</v>
      </c>
      <c r="E692" s="8">
        <v>129186</v>
      </c>
      <c r="F692" s="8">
        <v>129186</v>
      </c>
      <c r="G692" s="137">
        <f t="shared" si="85"/>
        <v>0</v>
      </c>
      <c r="H692" s="128">
        <f t="shared" si="80"/>
        <v>161</v>
      </c>
      <c r="I692" s="8">
        <v>732670</v>
      </c>
      <c r="J692" s="8">
        <v>732890</v>
      </c>
      <c r="K692" s="137">
        <f t="shared" si="86"/>
        <v>220</v>
      </c>
      <c r="L692" s="8">
        <v>63731</v>
      </c>
      <c r="M692" s="8">
        <v>63909</v>
      </c>
      <c r="N692" s="137">
        <f t="shared" si="81"/>
        <v>178</v>
      </c>
      <c r="O692" s="128">
        <f t="shared" si="84"/>
        <v>398</v>
      </c>
      <c r="P692" s="8">
        <v>288415</v>
      </c>
      <c r="Q692" s="8">
        <v>288726</v>
      </c>
      <c r="R692" s="128">
        <f t="shared" si="83"/>
        <v>311</v>
      </c>
      <c r="AQ692" s="8"/>
      <c r="AR692" s="8"/>
      <c r="AS692" s="8"/>
    </row>
    <row r="693" spans="1:45">
      <c r="A693" s="12">
        <v>45068</v>
      </c>
      <c r="B693" s="8">
        <v>543517</v>
      </c>
      <c r="C693" s="8">
        <v>543714</v>
      </c>
      <c r="D693" s="128">
        <f t="shared" si="82"/>
        <v>197</v>
      </c>
      <c r="E693" s="8">
        <v>129186</v>
      </c>
      <c r="F693" s="8">
        <v>129792</v>
      </c>
      <c r="G693" s="137">
        <f t="shared" si="85"/>
        <v>606</v>
      </c>
      <c r="H693" s="128">
        <f t="shared" si="80"/>
        <v>803</v>
      </c>
      <c r="I693" s="8">
        <v>732890</v>
      </c>
      <c r="J693" s="8">
        <v>733068</v>
      </c>
      <c r="K693" s="137">
        <f t="shared" si="86"/>
        <v>178</v>
      </c>
      <c r="L693" s="8">
        <v>63909</v>
      </c>
      <c r="M693" s="8">
        <v>64107</v>
      </c>
      <c r="N693" s="137">
        <f t="shared" si="81"/>
        <v>198</v>
      </c>
      <c r="O693" s="128">
        <f t="shared" si="84"/>
        <v>376</v>
      </c>
      <c r="P693" s="8">
        <v>288726</v>
      </c>
      <c r="Q693" s="8">
        <v>289092</v>
      </c>
      <c r="R693" s="128">
        <f t="shared" si="83"/>
        <v>366</v>
      </c>
      <c r="AQ693" s="8"/>
      <c r="AR693" s="8"/>
      <c r="AS693" s="8"/>
    </row>
    <row r="694" spans="1:45">
      <c r="A694" s="12">
        <v>45069</v>
      </c>
      <c r="B694" s="8">
        <v>543714</v>
      </c>
      <c r="C694" s="8">
        <v>544010</v>
      </c>
      <c r="D694" s="128">
        <f t="shared" si="82"/>
        <v>296</v>
      </c>
      <c r="E694" s="8">
        <v>129792</v>
      </c>
      <c r="F694" s="8">
        <v>130172</v>
      </c>
      <c r="G694" s="137">
        <f t="shared" si="85"/>
        <v>380</v>
      </c>
      <c r="H694" s="128">
        <f t="shared" si="80"/>
        <v>676</v>
      </c>
      <c r="I694" s="8">
        <v>733068</v>
      </c>
      <c r="J694" s="8">
        <v>733278</v>
      </c>
      <c r="K694" s="137">
        <f t="shared" si="86"/>
        <v>210</v>
      </c>
      <c r="L694" s="8">
        <v>64107</v>
      </c>
      <c r="M694" s="8">
        <v>64348</v>
      </c>
      <c r="N694" s="137">
        <f t="shared" si="81"/>
        <v>241</v>
      </c>
      <c r="O694" s="128">
        <f t="shared" si="84"/>
        <v>451</v>
      </c>
      <c r="P694" s="8">
        <v>289092</v>
      </c>
      <c r="Q694" s="8">
        <v>289092</v>
      </c>
      <c r="R694" s="128">
        <f t="shared" si="83"/>
        <v>0</v>
      </c>
      <c r="AQ694" s="8"/>
      <c r="AR694" s="8"/>
      <c r="AS694" s="8"/>
    </row>
    <row r="695" spans="1:45">
      <c r="A695" s="12">
        <v>45070</v>
      </c>
      <c r="B695" s="8">
        <v>544010</v>
      </c>
      <c r="C695" s="8">
        <v>544258</v>
      </c>
      <c r="D695" s="128">
        <f t="shared" si="82"/>
        <v>248</v>
      </c>
      <c r="E695" s="8">
        <v>130172</v>
      </c>
      <c r="F695" s="8">
        <v>130394</v>
      </c>
      <c r="G695" s="137">
        <f t="shared" si="85"/>
        <v>222</v>
      </c>
      <c r="H695" s="128">
        <f t="shared" si="80"/>
        <v>470</v>
      </c>
      <c r="I695" s="8">
        <v>733278</v>
      </c>
      <c r="J695" s="8">
        <v>733517</v>
      </c>
      <c r="K695" s="137">
        <f t="shared" si="86"/>
        <v>239</v>
      </c>
      <c r="L695" s="8">
        <v>64348</v>
      </c>
      <c r="M695" s="8">
        <v>64628</v>
      </c>
      <c r="N695" s="137">
        <f t="shared" si="81"/>
        <v>280</v>
      </c>
      <c r="O695" s="128">
        <f t="shared" si="84"/>
        <v>519</v>
      </c>
      <c r="P695" s="8">
        <v>289092</v>
      </c>
      <c r="Q695" s="8">
        <v>289092</v>
      </c>
      <c r="R695" s="128">
        <f t="shared" si="83"/>
        <v>0</v>
      </c>
      <c r="AQ695" s="8"/>
      <c r="AR695" s="8"/>
      <c r="AS695" s="8"/>
    </row>
    <row r="696" spans="1:45">
      <c r="A696" s="12">
        <v>45071</v>
      </c>
      <c r="B696" s="8">
        <v>544258</v>
      </c>
      <c r="C696" s="8">
        <v>544507</v>
      </c>
      <c r="D696" s="128">
        <f t="shared" si="82"/>
        <v>249</v>
      </c>
      <c r="E696" s="8">
        <v>130394</v>
      </c>
      <c r="F696" s="8">
        <v>130675</v>
      </c>
      <c r="G696" s="137">
        <f t="shared" si="85"/>
        <v>281</v>
      </c>
      <c r="H696" s="128">
        <f t="shared" si="80"/>
        <v>530</v>
      </c>
      <c r="I696" s="8">
        <v>733517</v>
      </c>
      <c r="J696" s="8">
        <v>733670</v>
      </c>
      <c r="K696" s="137">
        <f t="shared" si="86"/>
        <v>153</v>
      </c>
      <c r="L696" s="8">
        <v>64628</v>
      </c>
      <c r="M696" s="8">
        <v>64826</v>
      </c>
      <c r="N696" s="137">
        <f t="shared" si="81"/>
        <v>198</v>
      </c>
      <c r="O696" s="128">
        <f t="shared" si="84"/>
        <v>351</v>
      </c>
      <c r="P696" s="8">
        <v>289092</v>
      </c>
      <c r="Q696" s="8">
        <v>289567</v>
      </c>
      <c r="R696" s="128">
        <f t="shared" si="83"/>
        <v>475</v>
      </c>
      <c r="AQ696" s="8"/>
      <c r="AR696" s="8"/>
      <c r="AS696" s="8"/>
    </row>
    <row r="697" spans="1:45">
      <c r="A697" s="12">
        <v>45072</v>
      </c>
      <c r="B697" s="8">
        <v>544507</v>
      </c>
      <c r="C697" s="8">
        <v>544742</v>
      </c>
      <c r="D697" s="128">
        <f t="shared" si="82"/>
        <v>235</v>
      </c>
      <c r="E697" s="8">
        <v>130675</v>
      </c>
      <c r="F697" s="8">
        <v>130925</v>
      </c>
      <c r="G697" s="137">
        <f t="shared" si="85"/>
        <v>250</v>
      </c>
      <c r="H697" s="128">
        <f t="shared" si="80"/>
        <v>485</v>
      </c>
      <c r="I697" s="8">
        <v>733670</v>
      </c>
      <c r="J697" s="8">
        <v>733817</v>
      </c>
      <c r="K697" s="137">
        <f t="shared" si="86"/>
        <v>147</v>
      </c>
      <c r="L697" s="8">
        <v>64826</v>
      </c>
      <c r="M697" s="8">
        <v>65050</v>
      </c>
      <c r="N697" s="137">
        <f t="shared" si="81"/>
        <v>224</v>
      </c>
      <c r="O697" s="128">
        <f t="shared" si="84"/>
        <v>371</v>
      </c>
      <c r="P697" s="8">
        <v>289567</v>
      </c>
      <c r="Q697" s="8">
        <v>289758</v>
      </c>
      <c r="R697" s="128">
        <f t="shared" ref="R697:R760" si="87">Q697-P697</f>
        <v>191</v>
      </c>
      <c r="AQ697" s="8"/>
      <c r="AR697" s="8"/>
      <c r="AS697" s="8"/>
    </row>
    <row r="698" spans="1:45">
      <c r="A698" s="12">
        <v>45073</v>
      </c>
      <c r="B698" s="8">
        <v>544742</v>
      </c>
      <c r="C698" s="8">
        <v>544945</v>
      </c>
      <c r="D698" s="128">
        <f t="shared" si="82"/>
        <v>203</v>
      </c>
      <c r="E698" s="8">
        <v>130925</v>
      </c>
      <c r="F698" s="8">
        <v>131257</v>
      </c>
      <c r="G698" s="137">
        <f t="shared" si="85"/>
        <v>332</v>
      </c>
      <c r="H698" s="128">
        <f t="shared" si="80"/>
        <v>535</v>
      </c>
      <c r="I698" s="8">
        <v>733817</v>
      </c>
      <c r="J698" s="8">
        <v>734097</v>
      </c>
      <c r="K698" s="137">
        <f t="shared" si="86"/>
        <v>280</v>
      </c>
      <c r="L698" s="8">
        <v>65050</v>
      </c>
      <c r="M698" s="8">
        <v>65130</v>
      </c>
      <c r="N698" s="137">
        <f t="shared" si="81"/>
        <v>80</v>
      </c>
      <c r="O698" s="128">
        <f t="shared" si="84"/>
        <v>360</v>
      </c>
      <c r="P698" s="8">
        <v>289758</v>
      </c>
      <c r="Q698" s="8">
        <v>289958</v>
      </c>
      <c r="R698" s="128">
        <f t="shared" si="87"/>
        <v>200</v>
      </c>
      <c r="AQ698" s="8"/>
      <c r="AR698" s="8"/>
      <c r="AS698" s="8"/>
    </row>
    <row r="699" spans="1:45">
      <c r="A699" s="12">
        <v>45074</v>
      </c>
      <c r="B699" s="8">
        <v>544945</v>
      </c>
      <c r="C699" s="8">
        <v>544988</v>
      </c>
      <c r="D699" s="128">
        <f t="shared" si="82"/>
        <v>43</v>
      </c>
      <c r="E699" s="8">
        <v>131257</v>
      </c>
      <c r="F699" s="8">
        <v>131538</v>
      </c>
      <c r="G699" s="137">
        <f t="shared" si="85"/>
        <v>281</v>
      </c>
      <c r="H699" s="128">
        <f t="shared" si="80"/>
        <v>324</v>
      </c>
      <c r="I699" s="8">
        <v>734097</v>
      </c>
      <c r="J699" s="8">
        <v>734337</v>
      </c>
      <c r="K699" s="137">
        <f t="shared" si="86"/>
        <v>240</v>
      </c>
      <c r="L699" s="8">
        <v>65130</v>
      </c>
      <c r="M699" s="8">
        <v>65262</v>
      </c>
      <c r="N699" s="137">
        <f t="shared" si="81"/>
        <v>132</v>
      </c>
      <c r="O699" s="128">
        <f t="shared" si="84"/>
        <v>372</v>
      </c>
      <c r="P699" s="8">
        <v>289958</v>
      </c>
      <c r="Q699" s="8">
        <v>290304</v>
      </c>
      <c r="R699" s="128">
        <f t="shared" si="87"/>
        <v>346</v>
      </c>
      <c r="AQ699" s="8"/>
      <c r="AR699" s="8"/>
      <c r="AS699" s="8"/>
    </row>
    <row r="700" spans="1:45">
      <c r="A700" s="12">
        <v>45075</v>
      </c>
      <c r="B700" s="8">
        <v>544888</v>
      </c>
      <c r="C700" s="8">
        <v>544988</v>
      </c>
      <c r="D700" s="128">
        <f t="shared" si="82"/>
        <v>100</v>
      </c>
      <c r="E700" s="8">
        <v>131538</v>
      </c>
      <c r="F700" s="8">
        <v>131888</v>
      </c>
      <c r="G700" s="137">
        <f t="shared" si="85"/>
        <v>350</v>
      </c>
      <c r="H700" s="128">
        <f t="shared" si="80"/>
        <v>450</v>
      </c>
      <c r="I700" s="8">
        <v>734337</v>
      </c>
      <c r="J700" s="8">
        <v>734479</v>
      </c>
      <c r="K700" s="137">
        <f t="shared" si="86"/>
        <v>142</v>
      </c>
      <c r="L700" s="8">
        <v>65262</v>
      </c>
      <c r="M700" s="8">
        <v>65394</v>
      </c>
      <c r="N700" s="137">
        <f t="shared" si="81"/>
        <v>132</v>
      </c>
      <c r="O700" s="128">
        <f t="shared" si="84"/>
        <v>274</v>
      </c>
      <c r="P700" s="8">
        <v>290304</v>
      </c>
      <c r="Q700" s="8">
        <v>290528</v>
      </c>
      <c r="R700" s="128">
        <f t="shared" si="87"/>
        <v>224</v>
      </c>
      <c r="AQ700" s="8"/>
      <c r="AR700" s="8"/>
      <c r="AS700" s="8"/>
    </row>
    <row r="701" spans="1:45">
      <c r="A701" s="12">
        <v>45076</v>
      </c>
      <c r="B701" s="8">
        <v>544988</v>
      </c>
      <c r="C701" s="8">
        <v>545090</v>
      </c>
      <c r="D701" s="128">
        <f t="shared" si="82"/>
        <v>102</v>
      </c>
      <c r="E701" s="8">
        <v>131888</v>
      </c>
      <c r="F701" s="8">
        <v>132174</v>
      </c>
      <c r="G701" s="137">
        <f t="shared" si="85"/>
        <v>286</v>
      </c>
      <c r="H701" s="128">
        <f t="shared" si="80"/>
        <v>388</v>
      </c>
      <c r="I701" s="8">
        <v>734479</v>
      </c>
      <c r="J701" s="8">
        <v>734665</v>
      </c>
      <c r="K701" s="137">
        <f t="shared" si="86"/>
        <v>186</v>
      </c>
      <c r="L701" s="8">
        <v>65394</v>
      </c>
      <c r="M701" s="8">
        <v>65604</v>
      </c>
      <c r="N701" s="137">
        <f t="shared" si="81"/>
        <v>210</v>
      </c>
      <c r="O701" s="128">
        <f t="shared" si="84"/>
        <v>396</v>
      </c>
      <c r="P701" s="8">
        <v>290528</v>
      </c>
      <c r="Q701" s="8">
        <v>290738</v>
      </c>
      <c r="R701" s="128">
        <f t="shared" si="87"/>
        <v>210</v>
      </c>
      <c r="AQ701" s="8"/>
      <c r="AR701" s="8"/>
      <c r="AS701" s="8"/>
    </row>
    <row r="702" spans="1:45">
      <c r="A702" s="12">
        <v>45077</v>
      </c>
      <c r="B702" s="8">
        <v>545090</v>
      </c>
      <c r="C702" s="8">
        <v>545201</v>
      </c>
      <c r="D702" s="128">
        <f t="shared" si="82"/>
        <v>111</v>
      </c>
      <c r="E702" s="8">
        <v>132174</v>
      </c>
      <c r="F702" s="8">
        <v>132484</v>
      </c>
      <c r="G702" s="137">
        <f t="shared" si="85"/>
        <v>310</v>
      </c>
      <c r="H702" s="128">
        <f t="shared" si="80"/>
        <v>421</v>
      </c>
      <c r="I702" s="8">
        <v>734665</v>
      </c>
      <c r="J702" s="8">
        <v>734795</v>
      </c>
      <c r="K702" s="137">
        <f t="shared" si="86"/>
        <v>130</v>
      </c>
      <c r="L702" s="8">
        <v>65604</v>
      </c>
      <c r="M702" s="8">
        <v>65830</v>
      </c>
      <c r="N702" s="137">
        <f t="shared" si="81"/>
        <v>226</v>
      </c>
      <c r="O702" s="128">
        <f t="shared" si="84"/>
        <v>356</v>
      </c>
      <c r="P702" s="8">
        <v>290738</v>
      </c>
      <c r="Q702" s="8">
        <v>290738</v>
      </c>
      <c r="R702" s="128">
        <f t="shared" si="87"/>
        <v>0</v>
      </c>
      <c r="AQ702" s="8"/>
      <c r="AR702" s="8"/>
      <c r="AS702" s="8"/>
    </row>
    <row r="703" spans="1:45">
      <c r="A703" s="12">
        <v>45078</v>
      </c>
      <c r="B703" s="8">
        <v>545201</v>
      </c>
      <c r="C703" s="8">
        <v>545271</v>
      </c>
      <c r="D703" s="128">
        <f t="shared" si="82"/>
        <v>70</v>
      </c>
      <c r="E703" s="8">
        <v>132484</v>
      </c>
      <c r="F703" s="8">
        <v>132669</v>
      </c>
      <c r="G703" s="137">
        <f t="shared" si="85"/>
        <v>185</v>
      </c>
      <c r="H703" s="128">
        <f t="shared" si="80"/>
        <v>255</v>
      </c>
      <c r="I703" s="8">
        <v>734795</v>
      </c>
      <c r="J703" s="8">
        <v>734934</v>
      </c>
      <c r="K703" s="137">
        <f t="shared" si="86"/>
        <v>139</v>
      </c>
      <c r="L703" s="8">
        <v>65830</v>
      </c>
      <c r="M703" s="8">
        <v>65968</v>
      </c>
      <c r="N703" s="137">
        <f t="shared" si="81"/>
        <v>138</v>
      </c>
      <c r="O703" s="128">
        <f t="shared" si="84"/>
        <v>277</v>
      </c>
      <c r="P703" s="8">
        <v>290738</v>
      </c>
      <c r="Q703" s="8">
        <v>291124</v>
      </c>
      <c r="R703" s="128">
        <f t="shared" si="87"/>
        <v>386</v>
      </c>
      <c r="AQ703" s="8"/>
      <c r="AR703" s="8"/>
      <c r="AS703" s="8"/>
    </row>
    <row r="704" spans="1:45">
      <c r="A704" s="12">
        <v>45079</v>
      </c>
      <c r="B704" s="8">
        <v>545271</v>
      </c>
      <c r="C704" s="8">
        <v>545494</v>
      </c>
      <c r="D704" s="128">
        <f t="shared" si="82"/>
        <v>223</v>
      </c>
      <c r="E704" s="8">
        <v>132669</v>
      </c>
      <c r="F704" s="8">
        <v>132920</v>
      </c>
      <c r="G704" s="137">
        <f t="shared" si="85"/>
        <v>251</v>
      </c>
      <c r="H704" s="128">
        <f t="shared" si="80"/>
        <v>474</v>
      </c>
      <c r="I704" s="8">
        <v>734934</v>
      </c>
      <c r="J704" s="8">
        <v>735128</v>
      </c>
      <c r="K704" s="137">
        <f t="shared" si="86"/>
        <v>194</v>
      </c>
      <c r="L704" s="8">
        <v>65968</v>
      </c>
      <c r="M704" s="8">
        <v>65968</v>
      </c>
      <c r="N704" s="137">
        <f t="shared" si="81"/>
        <v>0</v>
      </c>
      <c r="O704" s="128">
        <f t="shared" si="84"/>
        <v>194</v>
      </c>
      <c r="P704" s="8">
        <v>291124</v>
      </c>
      <c r="Q704" s="8">
        <v>291466</v>
      </c>
      <c r="R704" s="128">
        <f t="shared" si="87"/>
        <v>342</v>
      </c>
      <c r="AQ704" s="8"/>
      <c r="AR704" s="8"/>
      <c r="AS704" s="8"/>
    </row>
    <row r="705" spans="1:45">
      <c r="A705" s="12">
        <v>45080</v>
      </c>
      <c r="B705" s="8">
        <v>545494</v>
      </c>
      <c r="C705" s="8">
        <v>545845</v>
      </c>
      <c r="D705" s="128">
        <f t="shared" si="82"/>
        <v>351</v>
      </c>
      <c r="E705" s="8">
        <v>132920</v>
      </c>
      <c r="F705" s="8">
        <v>133310</v>
      </c>
      <c r="G705" s="137">
        <f t="shared" si="85"/>
        <v>390</v>
      </c>
      <c r="H705" s="128">
        <f t="shared" ref="H705:H768" si="88">D705+G705</f>
        <v>741</v>
      </c>
      <c r="I705" s="8">
        <v>735128</v>
      </c>
      <c r="J705" s="8">
        <v>735309</v>
      </c>
      <c r="K705" s="137">
        <f t="shared" si="86"/>
        <v>181</v>
      </c>
      <c r="L705" s="8">
        <v>65968</v>
      </c>
      <c r="M705" s="8">
        <v>65968</v>
      </c>
      <c r="N705" s="137">
        <f t="shared" si="81"/>
        <v>0</v>
      </c>
      <c r="O705" s="128">
        <f t="shared" si="84"/>
        <v>181</v>
      </c>
      <c r="P705" s="8">
        <v>291466</v>
      </c>
      <c r="Q705" s="8">
        <v>291741</v>
      </c>
      <c r="R705" s="128">
        <f t="shared" si="87"/>
        <v>275</v>
      </c>
      <c r="AQ705" s="8"/>
      <c r="AR705" s="8"/>
      <c r="AS705" s="8"/>
    </row>
    <row r="706" spans="1:45">
      <c r="A706" s="12">
        <v>45081</v>
      </c>
      <c r="B706" s="8">
        <v>545845</v>
      </c>
      <c r="C706" s="8">
        <v>546058</v>
      </c>
      <c r="D706" s="128">
        <f t="shared" si="82"/>
        <v>213</v>
      </c>
      <c r="E706" s="8">
        <v>133310</v>
      </c>
      <c r="F706" s="8">
        <v>133610</v>
      </c>
      <c r="G706" s="137">
        <f t="shared" si="85"/>
        <v>300</v>
      </c>
      <c r="H706" s="128">
        <f t="shared" si="88"/>
        <v>513</v>
      </c>
      <c r="I706" s="8">
        <v>735309</v>
      </c>
      <c r="J706" s="8">
        <v>735466</v>
      </c>
      <c r="K706" s="137">
        <f t="shared" si="86"/>
        <v>157</v>
      </c>
      <c r="L706" s="8">
        <v>65968</v>
      </c>
      <c r="M706" s="8">
        <v>65968</v>
      </c>
      <c r="N706" s="137">
        <f t="shared" si="81"/>
        <v>0</v>
      </c>
      <c r="O706" s="128">
        <f t="shared" si="84"/>
        <v>157</v>
      </c>
      <c r="P706" s="8">
        <v>291741</v>
      </c>
      <c r="Q706" s="8">
        <v>292017</v>
      </c>
      <c r="R706" s="128">
        <f t="shared" si="87"/>
        <v>276</v>
      </c>
      <c r="AQ706" s="8"/>
      <c r="AR706" s="8"/>
      <c r="AS706" s="8"/>
    </row>
    <row r="707" spans="1:45">
      <c r="A707" s="12">
        <v>45082</v>
      </c>
      <c r="B707" s="8">
        <v>546058</v>
      </c>
      <c r="C707" s="8">
        <v>546287</v>
      </c>
      <c r="D707" s="128">
        <f t="shared" si="82"/>
        <v>229</v>
      </c>
      <c r="E707" s="8">
        <v>133610</v>
      </c>
      <c r="F707" s="8">
        <v>133880</v>
      </c>
      <c r="G707" s="137">
        <f t="shared" si="85"/>
        <v>270</v>
      </c>
      <c r="H707" s="128">
        <f t="shared" si="88"/>
        <v>499</v>
      </c>
      <c r="I707" s="8">
        <v>735466</v>
      </c>
      <c r="J707" s="8">
        <v>735681</v>
      </c>
      <c r="K707" s="137">
        <f t="shared" si="86"/>
        <v>215</v>
      </c>
      <c r="L707" s="8">
        <v>65968</v>
      </c>
      <c r="M707" s="8">
        <v>65968</v>
      </c>
      <c r="N707" s="137">
        <f t="shared" si="81"/>
        <v>0</v>
      </c>
      <c r="O707" s="128">
        <f t="shared" si="84"/>
        <v>215</v>
      </c>
      <c r="P707" s="8">
        <v>292017</v>
      </c>
      <c r="Q707" s="8">
        <v>292521</v>
      </c>
      <c r="R707" s="128">
        <f t="shared" si="87"/>
        <v>504</v>
      </c>
      <c r="AQ707" s="8"/>
      <c r="AR707" s="8"/>
      <c r="AS707" s="8"/>
    </row>
    <row r="708" spans="1:45">
      <c r="A708" s="12">
        <v>45083</v>
      </c>
      <c r="B708" s="8">
        <v>546287</v>
      </c>
      <c r="C708" s="8">
        <v>546428</v>
      </c>
      <c r="D708" s="128">
        <f t="shared" si="82"/>
        <v>141</v>
      </c>
      <c r="E708" s="8">
        <v>133880</v>
      </c>
      <c r="F708" s="8">
        <v>134279</v>
      </c>
      <c r="G708" s="137">
        <f t="shared" si="85"/>
        <v>399</v>
      </c>
      <c r="H708" s="128">
        <f t="shared" si="88"/>
        <v>540</v>
      </c>
      <c r="I708" s="8">
        <v>735681</v>
      </c>
      <c r="J708" s="8">
        <v>735906</v>
      </c>
      <c r="K708" s="137">
        <f t="shared" si="86"/>
        <v>225</v>
      </c>
      <c r="L708" s="8">
        <v>65968</v>
      </c>
      <c r="M708" s="8">
        <v>65968</v>
      </c>
      <c r="N708" s="137">
        <f t="shared" si="81"/>
        <v>0</v>
      </c>
      <c r="O708" s="128">
        <f t="shared" si="84"/>
        <v>225</v>
      </c>
      <c r="P708" s="8">
        <v>292521</v>
      </c>
      <c r="Q708" s="8">
        <v>292521</v>
      </c>
      <c r="R708" s="128">
        <f t="shared" si="87"/>
        <v>0</v>
      </c>
      <c r="AQ708" s="8"/>
      <c r="AR708" s="8"/>
      <c r="AS708" s="8"/>
    </row>
    <row r="709" spans="1:45">
      <c r="A709" s="12">
        <v>45084</v>
      </c>
      <c r="B709" s="8">
        <v>546428</v>
      </c>
      <c r="C709" s="8">
        <v>546428</v>
      </c>
      <c r="D709" s="128">
        <f t="shared" si="82"/>
        <v>0</v>
      </c>
      <c r="E709" s="8">
        <v>134279</v>
      </c>
      <c r="F709" s="8">
        <v>134573</v>
      </c>
      <c r="G709" s="137">
        <f t="shared" si="85"/>
        <v>294</v>
      </c>
      <c r="H709" s="128">
        <f t="shared" si="88"/>
        <v>294</v>
      </c>
      <c r="I709" s="8">
        <v>735906</v>
      </c>
      <c r="J709" s="8">
        <v>736186</v>
      </c>
      <c r="K709" s="137">
        <f t="shared" si="86"/>
        <v>280</v>
      </c>
      <c r="L709" s="8">
        <v>65968</v>
      </c>
      <c r="M709" s="8">
        <v>65968</v>
      </c>
      <c r="N709" s="137">
        <f t="shared" si="81"/>
        <v>0</v>
      </c>
      <c r="O709" s="128">
        <f t="shared" si="84"/>
        <v>280</v>
      </c>
      <c r="P709" s="8">
        <v>292521</v>
      </c>
      <c r="Q709" s="8">
        <v>292810</v>
      </c>
      <c r="R709" s="128">
        <f t="shared" si="87"/>
        <v>289</v>
      </c>
      <c r="AQ709" s="8"/>
      <c r="AR709" s="8"/>
      <c r="AS709" s="8"/>
    </row>
    <row r="710" spans="1:45">
      <c r="A710" s="12">
        <v>45085</v>
      </c>
      <c r="B710" s="8">
        <v>546428</v>
      </c>
      <c r="C710" s="8">
        <v>546428</v>
      </c>
      <c r="D710" s="128">
        <f t="shared" si="82"/>
        <v>0</v>
      </c>
      <c r="E710" s="8">
        <v>134573</v>
      </c>
      <c r="F710" s="8">
        <v>134905</v>
      </c>
      <c r="G710" s="137">
        <f t="shared" si="85"/>
        <v>332</v>
      </c>
      <c r="H710" s="128">
        <f t="shared" si="88"/>
        <v>332</v>
      </c>
      <c r="I710" s="8">
        <v>736186</v>
      </c>
      <c r="J710" s="8">
        <v>736265</v>
      </c>
      <c r="K710" s="137">
        <f t="shared" si="86"/>
        <v>79</v>
      </c>
      <c r="L710" s="8">
        <v>65968</v>
      </c>
      <c r="M710" s="8">
        <v>65968</v>
      </c>
      <c r="N710" s="137">
        <f t="shared" si="81"/>
        <v>0</v>
      </c>
      <c r="O710" s="128">
        <f t="shared" si="84"/>
        <v>79</v>
      </c>
      <c r="P710" s="8">
        <v>292810</v>
      </c>
      <c r="Q710" s="8">
        <v>293014</v>
      </c>
      <c r="R710" s="128">
        <f t="shared" si="87"/>
        <v>204</v>
      </c>
      <c r="AQ710" s="8"/>
      <c r="AR710" s="8"/>
      <c r="AS710" s="8"/>
    </row>
    <row r="711" spans="1:45">
      <c r="A711" s="12">
        <v>45086</v>
      </c>
      <c r="B711" s="8">
        <v>546428</v>
      </c>
      <c r="C711" s="8">
        <v>546428</v>
      </c>
      <c r="D711" s="128">
        <f t="shared" si="82"/>
        <v>0</v>
      </c>
      <c r="E711" s="8">
        <v>134905</v>
      </c>
      <c r="F711" s="8">
        <v>135246</v>
      </c>
      <c r="G711" s="137">
        <f t="shared" si="85"/>
        <v>341</v>
      </c>
      <c r="H711" s="128">
        <f t="shared" si="88"/>
        <v>341</v>
      </c>
      <c r="I711" s="8">
        <v>736265</v>
      </c>
      <c r="J711" s="8">
        <v>736384</v>
      </c>
      <c r="K711" s="137">
        <f t="shared" si="86"/>
        <v>119</v>
      </c>
      <c r="L711" s="8">
        <v>65968</v>
      </c>
      <c r="M711" s="8">
        <v>65968</v>
      </c>
      <c r="N711" s="137">
        <f t="shared" si="81"/>
        <v>0</v>
      </c>
      <c r="O711" s="128">
        <f t="shared" si="84"/>
        <v>119</v>
      </c>
      <c r="P711" s="8">
        <v>293014</v>
      </c>
      <c r="Q711" s="8">
        <v>293014</v>
      </c>
      <c r="R711" s="128">
        <f t="shared" si="87"/>
        <v>0</v>
      </c>
      <c r="AQ711" s="8"/>
      <c r="AR711" s="8"/>
      <c r="AS711" s="8"/>
    </row>
    <row r="712" spans="1:45">
      <c r="A712" s="12">
        <v>45087</v>
      </c>
      <c r="B712" s="8">
        <v>546428</v>
      </c>
      <c r="C712" s="8">
        <v>546670</v>
      </c>
      <c r="D712" s="128">
        <f t="shared" si="82"/>
        <v>242</v>
      </c>
      <c r="E712" s="8">
        <v>135246</v>
      </c>
      <c r="F712" s="8">
        <v>135563</v>
      </c>
      <c r="G712" s="137">
        <f t="shared" si="85"/>
        <v>317</v>
      </c>
      <c r="H712" s="128">
        <f t="shared" si="88"/>
        <v>559</v>
      </c>
      <c r="I712" s="8">
        <v>736384</v>
      </c>
      <c r="J712" s="8">
        <v>736529</v>
      </c>
      <c r="K712" s="137">
        <f t="shared" si="86"/>
        <v>145</v>
      </c>
      <c r="L712" s="8">
        <v>65968</v>
      </c>
      <c r="M712" s="8">
        <v>65968</v>
      </c>
      <c r="N712" s="137">
        <f t="shared" ref="N712:N775" si="89">M712-L712</f>
        <v>0</v>
      </c>
      <c r="O712" s="128">
        <f t="shared" si="84"/>
        <v>145</v>
      </c>
      <c r="P712" s="8">
        <v>293014</v>
      </c>
      <c r="Q712" s="8">
        <v>293446</v>
      </c>
      <c r="R712" s="128">
        <f t="shared" si="87"/>
        <v>432</v>
      </c>
      <c r="AQ712" s="8"/>
      <c r="AR712" s="8"/>
      <c r="AS712" s="8"/>
    </row>
    <row r="713" spans="1:45">
      <c r="A713" s="12">
        <v>45088</v>
      </c>
      <c r="B713" s="8">
        <v>546670</v>
      </c>
      <c r="C713" s="8">
        <v>546731</v>
      </c>
      <c r="D713" s="128">
        <f t="shared" si="82"/>
        <v>61</v>
      </c>
      <c r="E713" s="8">
        <v>135563</v>
      </c>
      <c r="F713" s="8">
        <v>135921</v>
      </c>
      <c r="G713" s="137">
        <f t="shared" si="85"/>
        <v>358</v>
      </c>
      <c r="H713" s="128">
        <f t="shared" si="88"/>
        <v>419</v>
      </c>
      <c r="I713" s="8">
        <v>736529</v>
      </c>
      <c r="J713" s="8">
        <v>736733</v>
      </c>
      <c r="K713" s="137">
        <f t="shared" si="86"/>
        <v>204</v>
      </c>
      <c r="L713" s="8">
        <v>65968</v>
      </c>
      <c r="M713" s="8">
        <v>65968</v>
      </c>
      <c r="N713" s="137">
        <f t="shared" si="89"/>
        <v>0</v>
      </c>
      <c r="O713" s="128">
        <f t="shared" si="84"/>
        <v>204</v>
      </c>
      <c r="P713" s="8">
        <v>293446</v>
      </c>
      <c r="Q713" s="8">
        <v>293446</v>
      </c>
      <c r="R713" s="128">
        <f t="shared" si="87"/>
        <v>0</v>
      </c>
      <c r="AQ713" s="8"/>
      <c r="AR713" s="8"/>
      <c r="AS713" s="8"/>
    </row>
    <row r="714" spans="1:45">
      <c r="A714" s="12">
        <v>45089</v>
      </c>
      <c r="B714" s="8">
        <v>546731</v>
      </c>
      <c r="C714" s="8">
        <v>547092</v>
      </c>
      <c r="D714" s="128">
        <f t="shared" si="82"/>
        <v>361</v>
      </c>
      <c r="E714" s="8">
        <v>135921</v>
      </c>
      <c r="F714" s="8">
        <v>136120</v>
      </c>
      <c r="G714" s="137">
        <f t="shared" si="85"/>
        <v>199</v>
      </c>
      <c r="H714" s="128">
        <f t="shared" si="88"/>
        <v>560</v>
      </c>
      <c r="I714" s="8">
        <v>736733</v>
      </c>
      <c r="J714" s="8">
        <v>736952</v>
      </c>
      <c r="K714" s="137">
        <f t="shared" si="86"/>
        <v>219</v>
      </c>
      <c r="L714" s="8">
        <v>65968</v>
      </c>
      <c r="M714" s="8">
        <v>65968</v>
      </c>
      <c r="N714" s="137">
        <f t="shared" si="89"/>
        <v>0</v>
      </c>
      <c r="O714" s="128">
        <f t="shared" si="84"/>
        <v>219</v>
      </c>
      <c r="P714" s="8">
        <v>293446</v>
      </c>
      <c r="Q714" s="8">
        <v>293718</v>
      </c>
      <c r="R714" s="128">
        <f t="shared" si="87"/>
        <v>272</v>
      </c>
      <c r="AQ714" s="8"/>
      <c r="AR714" s="8"/>
      <c r="AS714" s="8"/>
    </row>
    <row r="715" spans="1:45">
      <c r="A715" s="12">
        <v>45090</v>
      </c>
      <c r="B715" s="8">
        <v>547092</v>
      </c>
      <c r="C715" s="8">
        <v>547192</v>
      </c>
      <c r="D715" s="128">
        <f t="shared" si="82"/>
        <v>100</v>
      </c>
      <c r="E715" s="8">
        <v>136120</v>
      </c>
      <c r="F715" s="8">
        <v>136251</v>
      </c>
      <c r="G715" s="137">
        <f t="shared" si="85"/>
        <v>131</v>
      </c>
      <c r="H715" s="128">
        <f t="shared" si="88"/>
        <v>231</v>
      </c>
      <c r="I715" s="8">
        <v>736952</v>
      </c>
      <c r="J715" s="8">
        <v>737106</v>
      </c>
      <c r="K715" s="137">
        <f t="shared" si="86"/>
        <v>154</v>
      </c>
      <c r="L715" s="8">
        <v>65968</v>
      </c>
      <c r="M715" s="8">
        <v>65968</v>
      </c>
      <c r="N715" s="137">
        <f t="shared" si="89"/>
        <v>0</v>
      </c>
      <c r="O715" s="128">
        <f t="shared" si="84"/>
        <v>154</v>
      </c>
      <c r="P715" s="8">
        <v>293718</v>
      </c>
      <c r="Q715" s="8">
        <v>293718</v>
      </c>
      <c r="R715" s="128">
        <f t="shared" si="87"/>
        <v>0</v>
      </c>
      <c r="AQ715" s="8"/>
      <c r="AR715" s="8"/>
      <c r="AS715" s="8"/>
    </row>
    <row r="716" spans="1:45">
      <c r="A716" s="12">
        <v>45091</v>
      </c>
      <c r="B716" s="8">
        <v>547192</v>
      </c>
      <c r="C716" s="8">
        <v>547340</v>
      </c>
      <c r="D716" s="128">
        <f t="shared" si="82"/>
        <v>148</v>
      </c>
      <c r="E716" s="8">
        <v>136251</v>
      </c>
      <c r="F716" s="8">
        <v>136526</v>
      </c>
      <c r="G716" s="137">
        <f t="shared" si="85"/>
        <v>275</v>
      </c>
      <c r="H716" s="128">
        <f t="shared" si="88"/>
        <v>423</v>
      </c>
      <c r="I716" s="8">
        <v>737106</v>
      </c>
      <c r="J716" s="8">
        <v>737278</v>
      </c>
      <c r="K716" s="137">
        <f t="shared" si="86"/>
        <v>172</v>
      </c>
      <c r="L716" s="8">
        <v>65968</v>
      </c>
      <c r="M716" s="8">
        <v>65968</v>
      </c>
      <c r="N716" s="137">
        <f t="shared" si="89"/>
        <v>0</v>
      </c>
      <c r="O716" s="128">
        <f t="shared" si="84"/>
        <v>172</v>
      </c>
      <c r="P716" s="8">
        <v>293718</v>
      </c>
      <c r="Q716" s="8">
        <v>294025</v>
      </c>
      <c r="R716" s="128">
        <f t="shared" si="87"/>
        <v>307</v>
      </c>
      <c r="AQ716" s="8"/>
      <c r="AR716" s="8"/>
      <c r="AS716" s="8"/>
    </row>
    <row r="717" spans="1:45">
      <c r="A717" s="12">
        <v>45092</v>
      </c>
      <c r="B717" s="8">
        <v>547340</v>
      </c>
      <c r="C717" s="8">
        <v>547632</v>
      </c>
      <c r="D717" s="128">
        <f t="shared" si="82"/>
        <v>292</v>
      </c>
      <c r="E717" s="8">
        <v>136526</v>
      </c>
      <c r="F717" s="8">
        <v>136870</v>
      </c>
      <c r="G717" s="137">
        <f t="shared" si="85"/>
        <v>344</v>
      </c>
      <c r="H717" s="128">
        <f t="shared" si="88"/>
        <v>636</v>
      </c>
      <c r="I717" s="8">
        <v>737278</v>
      </c>
      <c r="J717" s="8">
        <v>737438</v>
      </c>
      <c r="K717" s="137">
        <f t="shared" si="86"/>
        <v>160</v>
      </c>
      <c r="L717" s="8">
        <v>65968</v>
      </c>
      <c r="M717" s="8">
        <v>65968</v>
      </c>
      <c r="N717" s="137">
        <f t="shared" si="89"/>
        <v>0</v>
      </c>
      <c r="O717" s="128">
        <f t="shared" si="84"/>
        <v>160</v>
      </c>
      <c r="P717" s="8">
        <v>294025</v>
      </c>
      <c r="Q717" s="8">
        <v>294025</v>
      </c>
      <c r="R717" s="128">
        <f t="shared" si="87"/>
        <v>0</v>
      </c>
      <c r="AQ717" s="8"/>
      <c r="AR717" s="8"/>
      <c r="AS717" s="8"/>
    </row>
    <row r="718" spans="1:45">
      <c r="A718" s="12">
        <v>45093</v>
      </c>
      <c r="B718" s="8">
        <v>547632</v>
      </c>
      <c r="C718" s="8">
        <v>547990</v>
      </c>
      <c r="D718" s="128">
        <f t="shared" si="82"/>
        <v>358</v>
      </c>
      <c r="E718" s="8">
        <v>136870</v>
      </c>
      <c r="F718" s="8">
        <v>137240</v>
      </c>
      <c r="G718" s="137">
        <f t="shared" si="85"/>
        <v>370</v>
      </c>
      <c r="H718" s="128">
        <f t="shared" si="88"/>
        <v>728</v>
      </c>
      <c r="I718" s="8">
        <v>737438</v>
      </c>
      <c r="J718" s="8">
        <v>737533</v>
      </c>
      <c r="K718" s="137">
        <f t="shared" si="86"/>
        <v>95</v>
      </c>
      <c r="L718" s="8">
        <v>65968</v>
      </c>
      <c r="M718" s="8">
        <v>65968</v>
      </c>
      <c r="N718" s="137">
        <f t="shared" si="89"/>
        <v>0</v>
      </c>
      <c r="O718" s="128">
        <f t="shared" si="84"/>
        <v>95</v>
      </c>
      <c r="P718" s="8">
        <v>294025</v>
      </c>
      <c r="Q718" s="8">
        <v>294025</v>
      </c>
      <c r="R718" s="128">
        <f t="shared" si="87"/>
        <v>0</v>
      </c>
      <c r="AQ718" s="8"/>
      <c r="AR718" s="8"/>
      <c r="AS718" s="8"/>
    </row>
    <row r="719" spans="1:45">
      <c r="A719" s="12">
        <v>45094</v>
      </c>
      <c r="B719" s="8">
        <v>547990</v>
      </c>
      <c r="C719" s="8">
        <v>548310</v>
      </c>
      <c r="D719" s="128">
        <f t="shared" si="82"/>
        <v>320</v>
      </c>
      <c r="E719" s="8">
        <v>137240</v>
      </c>
      <c r="F719" s="8">
        <v>137554</v>
      </c>
      <c r="G719" s="137">
        <f t="shared" si="85"/>
        <v>314</v>
      </c>
      <c r="H719" s="128">
        <f t="shared" si="88"/>
        <v>634</v>
      </c>
      <c r="I719" s="8">
        <v>737533</v>
      </c>
      <c r="J719" s="8">
        <v>737688</v>
      </c>
      <c r="K719" s="137">
        <f t="shared" si="86"/>
        <v>155</v>
      </c>
      <c r="L719" s="8">
        <v>65968</v>
      </c>
      <c r="M719" s="8">
        <v>65968</v>
      </c>
      <c r="N719" s="137">
        <f t="shared" si="89"/>
        <v>0</v>
      </c>
      <c r="O719" s="128">
        <f t="shared" si="84"/>
        <v>155</v>
      </c>
      <c r="P719" s="8">
        <v>294025</v>
      </c>
      <c r="Q719" s="8">
        <v>294025</v>
      </c>
      <c r="R719" s="128">
        <f t="shared" si="87"/>
        <v>0</v>
      </c>
      <c r="AQ719" s="8"/>
      <c r="AR719" s="8"/>
      <c r="AS719" s="8"/>
    </row>
    <row r="720" spans="1:45">
      <c r="A720" s="12">
        <v>45095</v>
      </c>
      <c r="B720" s="8">
        <v>548010</v>
      </c>
      <c r="C720" s="8">
        <v>548320</v>
      </c>
      <c r="D720" s="128">
        <f t="shared" si="82"/>
        <v>310</v>
      </c>
      <c r="E720" s="8">
        <v>137554</v>
      </c>
      <c r="F720" s="8">
        <v>137793</v>
      </c>
      <c r="G720" s="137">
        <f t="shared" si="85"/>
        <v>239</v>
      </c>
      <c r="H720" s="128">
        <f t="shared" si="88"/>
        <v>549</v>
      </c>
      <c r="I720" s="8">
        <v>737688</v>
      </c>
      <c r="J720" s="8">
        <v>737878</v>
      </c>
      <c r="K720" s="137">
        <f t="shared" si="86"/>
        <v>190</v>
      </c>
      <c r="L720" s="8">
        <v>65968</v>
      </c>
      <c r="M720" s="8">
        <v>65968</v>
      </c>
      <c r="N720" s="137">
        <f t="shared" si="89"/>
        <v>0</v>
      </c>
      <c r="O720" s="128">
        <f t="shared" si="84"/>
        <v>190</v>
      </c>
      <c r="P720" s="8">
        <v>294025</v>
      </c>
      <c r="Q720" s="8">
        <v>294025</v>
      </c>
      <c r="R720" s="128">
        <f t="shared" si="87"/>
        <v>0</v>
      </c>
      <c r="AQ720" s="8"/>
      <c r="AR720" s="8"/>
      <c r="AS720" s="8"/>
    </row>
    <row r="721" spans="1:45">
      <c r="A721" s="12">
        <v>45096</v>
      </c>
      <c r="B721" s="8">
        <v>548320</v>
      </c>
      <c r="C721" s="8">
        <v>548588</v>
      </c>
      <c r="D721" s="128">
        <f t="shared" si="82"/>
        <v>268</v>
      </c>
      <c r="E721" s="8">
        <v>137793</v>
      </c>
      <c r="F721" s="8">
        <v>138073</v>
      </c>
      <c r="G721" s="137">
        <f t="shared" si="85"/>
        <v>280</v>
      </c>
      <c r="H721" s="128">
        <f t="shared" si="88"/>
        <v>548</v>
      </c>
      <c r="I721" s="8">
        <v>737878</v>
      </c>
      <c r="J721" s="8">
        <v>738037</v>
      </c>
      <c r="K721" s="137">
        <f>J721-I721</f>
        <v>159</v>
      </c>
      <c r="L721" s="8">
        <v>65968</v>
      </c>
      <c r="M721" s="8">
        <v>65968</v>
      </c>
      <c r="N721" s="137">
        <f t="shared" si="89"/>
        <v>0</v>
      </c>
      <c r="O721" s="128">
        <f t="shared" si="84"/>
        <v>159</v>
      </c>
      <c r="P721" s="8">
        <v>294025</v>
      </c>
      <c r="Q721" s="8">
        <v>294025</v>
      </c>
      <c r="R721" s="128">
        <f t="shared" si="87"/>
        <v>0</v>
      </c>
      <c r="AQ721" s="8"/>
      <c r="AR721" s="8"/>
      <c r="AS721" s="8"/>
    </row>
    <row r="722" spans="1:45">
      <c r="A722" s="12">
        <v>45097</v>
      </c>
      <c r="B722" s="8">
        <v>548588</v>
      </c>
      <c r="C722" s="8">
        <v>548825</v>
      </c>
      <c r="D722" s="128">
        <f t="shared" si="82"/>
        <v>237</v>
      </c>
      <c r="E722" s="8">
        <v>138073</v>
      </c>
      <c r="F722" s="8">
        <v>138294</v>
      </c>
      <c r="G722" s="137">
        <f t="shared" si="85"/>
        <v>221</v>
      </c>
      <c r="H722" s="128">
        <f t="shared" si="88"/>
        <v>458</v>
      </c>
      <c r="I722" s="8">
        <v>738037</v>
      </c>
      <c r="J722" s="8">
        <v>738267</v>
      </c>
      <c r="K722" s="137">
        <f>J722-I722</f>
        <v>230</v>
      </c>
      <c r="L722" s="8">
        <v>65968</v>
      </c>
      <c r="M722" s="8">
        <v>65968</v>
      </c>
      <c r="N722" s="137">
        <f t="shared" si="89"/>
        <v>0</v>
      </c>
      <c r="O722" s="128">
        <f t="shared" si="84"/>
        <v>230</v>
      </c>
      <c r="P722" s="8">
        <v>294025</v>
      </c>
      <c r="Q722" s="8">
        <v>294025</v>
      </c>
      <c r="R722" s="128">
        <f t="shared" si="87"/>
        <v>0</v>
      </c>
      <c r="AQ722" s="8"/>
      <c r="AR722" s="8"/>
      <c r="AS722" s="8"/>
    </row>
    <row r="723" spans="1:45">
      <c r="A723" s="12">
        <v>45098</v>
      </c>
      <c r="B723" s="8">
        <v>548825</v>
      </c>
      <c r="C723" s="8">
        <v>549081</v>
      </c>
      <c r="D723" s="128">
        <f t="shared" si="82"/>
        <v>256</v>
      </c>
      <c r="E723" s="8">
        <v>138294</v>
      </c>
      <c r="F723" s="8">
        <v>138596</v>
      </c>
      <c r="G723" s="137">
        <f t="shared" si="85"/>
        <v>302</v>
      </c>
      <c r="H723" s="128">
        <f t="shared" si="88"/>
        <v>558</v>
      </c>
      <c r="I723" s="8">
        <v>738267</v>
      </c>
      <c r="J723" s="8">
        <v>738449</v>
      </c>
      <c r="K723" s="137">
        <f t="shared" si="86"/>
        <v>182</v>
      </c>
      <c r="L723" s="8">
        <v>65968</v>
      </c>
      <c r="M723" s="8">
        <v>65968</v>
      </c>
      <c r="N723" s="137">
        <f t="shared" si="89"/>
        <v>0</v>
      </c>
      <c r="O723" s="128">
        <f t="shared" si="84"/>
        <v>182</v>
      </c>
      <c r="P723" s="8">
        <v>294025</v>
      </c>
      <c r="Q723" s="8">
        <v>294025</v>
      </c>
      <c r="R723" s="128">
        <f t="shared" si="87"/>
        <v>0</v>
      </c>
      <c r="AQ723" s="8"/>
      <c r="AR723" s="8"/>
      <c r="AS723" s="8"/>
    </row>
    <row r="724" spans="1:45">
      <c r="A724" s="12">
        <v>45099</v>
      </c>
      <c r="B724" s="8">
        <v>549081</v>
      </c>
      <c r="C724" s="8">
        <v>549341</v>
      </c>
      <c r="D724" s="128">
        <f t="shared" si="82"/>
        <v>260</v>
      </c>
      <c r="E724" s="8">
        <v>138596</v>
      </c>
      <c r="F724" s="8">
        <v>138948</v>
      </c>
      <c r="G724" s="137">
        <f t="shared" si="85"/>
        <v>352</v>
      </c>
      <c r="H724" s="128">
        <f t="shared" si="88"/>
        <v>612</v>
      </c>
      <c r="I724" s="8">
        <v>738449</v>
      </c>
      <c r="J724" s="8">
        <v>738629</v>
      </c>
      <c r="K724" s="137">
        <f t="shared" si="86"/>
        <v>180</v>
      </c>
      <c r="L724" s="8">
        <v>65968</v>
      </c>
      <c r="M724" s="8">
        <v>65968</v>
      </c>
      <c r="N724" s="137">
        <f t="shared" si="89"/>
        <v>0</v>
      </c>
      <c r="O724" s="128">
        <f t="shared" si="84"/>
        <v>180</v>
      </c>
      <c r="P724" s="8">
        <v>294025</v>
      </c>
      <c r="Q724" s="8">
        <v>294025</v>
      </c>
      <c r="R724" s="128">
        <f t="shared" si="87"/>
        <v>0</v>
      </c>
      <c r="AQ724" s="8"/>
      <c r="AR724" s="8"/>
      <c r="AS724" s="8"/>
    </row>
    <row r="725" spans="1:45">
      <c r="A725" s="12">
        <v>45100</v>
      </c>
      <c r="B725" s="8">
        <v>549341</v>
      </c>
      <c r="C725" s="8">
        <v>549663</v>
      </c>
      <c r="D725" s="128">
        <f t="shared" si="82"/>
        <v>322</v>
      </c>
      <c r="E725" s="8">
        <v>138948</v>
      </c>
      <c r="F725" s="8">
        <v>139373</v>
      </c>
      <c r="G725" s="137">
        <f t="shared" si="85"/>
        <v>425</v>
      </c>
      <c r="H725" s="128">
        <f t="shared" si="88"/>
        <v>747</v>
      </c>
      <c r="I725" s="8">
        <v>738629</v>
      </c>
      <c r="J725" s="8">
        <v>738825</v>
      </c>
      <c r="K725" s="137">
        <f t="shared" si="86"/>
        <v>196</v>
      </c>
      <c r="L725" s="8">
        <v>65968</v>
      </c>
      <c r="M725" s="8">
        <v>65968</v>
      </c>
      <c r="N725" s="137">
        <f t="shared" si="89"/>
        <v>0</v>
      </c>
      <c r="O725" s="128">
        <f t="shared" si="84"/>
        <v>196</v>
      </c>
      <c r="P725" s="8">
        <v>294025</v>
      </c>
      <c r="Q725" s="8">
        <v>294025</v>
      </c>
      <c r="R725" s="128">
        <f t="shared" si="87"/>
        <v>0</v>
      </c>
      <c r="AQ725" s="8"/>
      <c r="AR725" s="8"/>
      <c r="AS725" s="8"/>
    </row>
    <row r="726" spans="1:45">
      <c r="A726" s="12">
        <v>45101</v>
      </c>
      <c r="B726" s="8">
        <v>549663</v>
      </c>
      <c r="C726" s="8">
        <v>549988</v>
      </c>
      <c r="D726" s="128">
        <f t="shared" si="82"/>
        <v>325</v>
      </c>
      <c r="E726" s="8">
        <v>139373</v>
      </c>
      <c r="F726" s="8">
        <v>139882</v>
      </c>
      <c r="G726" s="137">
        <f t="shared" si="85"/>
        <v>509</v>
      </c>
      <c r="H726" s="128">
        <f t="shared" si="88"/>
        <v>834</v>
      </c>
      <c r="I726" s="8">
        <v>738825</v>
      </c>
      <c r="J726" s="8">
        <v>738989</v>
      </c>
      <c r="K726" s="137">
        <f t="shared" si="86"/>
        <v>164</v>
      </c>
      <c r="L726" s="8">
        <v>65968</v>
      </c>
      <c r="M726" s="8">
        <v>65968</v>
      </c>
      <c r="N726" s="137">
        <f t="shared" si="89"/>
        <v>0</v>
      </c>
      <c r="O726" s="128">
        <f t="shared" si="84"/>
        <v>164</v>
      </c>
      <c r="P726" s="8">
        <v>294025</v>
      </c>
      <c r="Q726" s="8">
        <v>294025</v>
      </c>
      <c r="R726" s="128">
        <f t="shared" si="87"/>
        <v>0</v>
      </c>
      <c r="AQ726" s="8"/>
      <c r="AR726" s="8"/>
      <c r="AS726" s="8"/>
    </row>
    <row r="727" spans="1:45">
      <c r="A727" s="12">
        <v>45102</v>
      </c>
      <c r="B727" s="8">
        <v>549988</v>
      </c>
      <c r="C727" s="8">
        <v>550257</v>
      </c>
      <c r="D727" s="128">
        <f t="shared" si="82"/>
        <v>269</v>
      </c>
      <c r="E727" s="8">
        <v>139882</v>
      </c>
      <c r="F727" s="8">
        <v>140305</v>
      </c>
      <c r="G727" s="137">
        <f t="shared" si="85"/>
        <v>423</v>
      </c>
      <c r="H727" s="128">
        <f t="shared" si="88"/>
        <v>692</v>
      </c>
      <c r="I727" s="8">
        <v>738989</v>
      </c>
      <c r="J727" s="8">
        <v>739162</v>
      </c>
      <c r="K727" s="137">
        <f t="shared" si="86"/>
        <v>173</v>
      </c>
      <c r="L727" s="8">
        <v>65968</v>
      </c>
      <c r="M727" s="8">
        <v>65968</v>
      </c>
      <c r="N727" s="137">
        <f t="shared" si="89"/>
        <v>0</v>
      </c>
      <c r="O727" s="128">
        <f t="shared" si="84"/>
        <v>173</v>
      </c>
      <c r="P727" s="8">
        <v>294025</v>
      </c>
      <c r="Q727" s="8">
        <v>294625</v>
      </c>
      <c r="R727" s="128">
        <f t="shared" si="87"/>
        <v>600</v>
      </c>
      <c r="AQ727" s="8"/>
      <c r="AR727" s="8"/>
      <c r="AS727" s="8"/>
    </row>
    <row r="728" spans="1:45">
      <c r="A728" s="12">
        <v>45103</v>
      </c>
      <c r="B728" s="8">
        <v>550257</v>
      </c>
      <c r="C728" s="8">
        <v>550506</v>
      </c>
      <c r="D728" s="128">
        <f t="shared" si="82"/>
        <v>249</v>
      </c>
      <c r="E728" s="8">
        <v>140305</v>
      </c>
      <c r="F728" s="8">
        <v>140609</v>
      </c>
      <c r="G728" s="137">
        <f t="shared" si="85"/>
        <v>304</v>
      </c>
      <c r="H728" s="128">
        <f t="shared" si="88"/>
        <v>553</v>
      </c>
      <c r="I728" s="8">
        <v>739162</v>
      </c>
      <c r="J728" s="8">
        <v>739314</v>
      </c>
      <c r="K728" s="137">
        <f t="shared" si="86"/>
        <v>152</v>
      </c>
      <c r="L728" s="8">
        <v>65968</v>
      </c>
      <c r="M728" s="8">
        <v>65968</v>
      </c>
      <c r="N728" s="137">
        <f t="shared" si="89"/>
        <v>0</v>
      </c>
      <c r="O728" s="128">
        <f t="shared" si="84"/>
        <v>152</v>
      </c>
      <c r="P728" s="8">
        <v>294625</v>
      </c>
      <c r="Q728" s="8">
        <v>295896</v>
      </c>
      <c r="R728" s="128">
        <f t="shared" si="87"/>
        <v>1271</v>
      </c>
      <c r="AQ728" s="8"/>
      <c r="AR728" s="8"/>
      <c r="AS728" s="8"/>
    </row>
    <row r="729" spans="1:45">
      <c r="A729" s="12">
        <v>45104</v>
      </c>
      <c r="B729" s="8">
        <v>550506</v>
      </c>
      <c r="C729" s="8">
        <v>550730</v>
      </c>
      <c r="D729" s="128">
        <f t="shared" si="82"/>
        <v>224</v>
      </c>
      <c r="E729" s="8">
        <v>140609</v>
      </c>
      <c r="F729" s="8">
        <v>140820</v>
      </c>
      <c r="G729" s="137">
        <f t="shared" si="85"/>
        <v>211</v>
      </c>
      <c r="H729" s="128">
        <f t="shared" si="88"/>
        <v>435</v>
      </c>
      <c r="I729" s="8">
        <v>739314</v>
      </c>
      <c r="J729" s="8">
        <v>739447</v>
      </c>
      <c r="K729" s="137">
        <f t="shared" si="86"/>
        <v>133</v>
      </c>
      <c r="L729" s="8">
        <v>65968</v>
      </c>
      <c r="M729" s="8">
        <v>65968</v>
      </c>
      <c r="N729" s="137">
        <f t="shared" si="89"/>
        <v>0</v>
      </c>
      <c r="O729" s="128">
        <f t="shared" si="84"/>
        <v>133</v>
      </c>
      <c r="P729" s="8">
        <v>295896</v>
      </c>
      <c r="Q729" s="8">
        <v>296120</v>
      </c>
      <c r="R729" s="128">
        <f t="shared" si="87"/>
        <v>224</v>
      </c>
      <c r="AQ729" s="8"/>
      <c r="AR729" s="8"/>
      <c r="AS729" s="8"/>
    </row>
    <row r="730" spans="1:45">
      <c r="A730" s="12">
        <v>45105</v>
      </c>
      <c r="B730" s="8">
        <v>550730</v>
      </c>
      <c r="C730" s="8">
        <v>550941</v>
      </c>
      <c r="D730" s="128">
        <f t="shared" ref="D730:D798" si="90">C730-B730</f>
        <v>211</v>
      </c>
      <c r="E730" s="8">
        <v>140820</v>
      </c>
      <c r="F730" s="8">
        <v>141133</v>
      </c>
      <c r="G730" s="137">
        <f t="shared" si="85"/>
        <v>313</v>
      </c>
      <c r="H730" s="128">
        <f t="shared" si="88"/>
        <v>524</v>
      </c>
      <c r="I730" s="8">
        <v>739447</v>
      </c>
      <c r="J730" s="8">
        <v>739611</v>
      </c>
      <c r="K730" s="137">
        <f t="shared" si="86"/>
        <v>164</v>
      </c>
      <c r="L730" s="8">
        <v>65968</v>
      </c>
      <c r="M730" s="8">
        <v>65968</v>
      </c>
      <c r="N730" s="137">
        <f t="shared" si="89"/>
        <v>0</v>
      </c>
      <c r="O730" s="128">
        <f t="shared" si="84"/>
        <v>164</v>
      </c>
      <c r="P730" s="8">
        <v>296120</v>
      </c>
      <c r="Q730" s="8">
        <v>296657</v>
      </c>
      <c r="R730" s="128">
        <f t="shared" si="87"/>
        <v>537</v>
      </c>
      <c r="AQ730" s="8"/>
      <c r="AR730" s="8"/>
      <c r="AS730" s="8"/>
    </row>
    <row r="731" spans="1:45">
      <c r="A731" s="12">
        <v>45106</v>
      </c>
      <c r="B731" s="8">
        <v>550941</v>
      </c>
      <c r="C731" s="8">
        <v>551190</v>
      </c>
      <c r="D731" s="128">
        <f t="shared" si="90"/>
        <v>249</v>
      </c>
      <c r="E731" s="8">
        <v>141133</v>
      </c>
      <c r="F731" s="8">
        <v>141425</v>
      </c>
      <c r="G731" s="137">
        <f t="shared" si="85"/>
        <v>292</v>
      </c>
      <c r="H731" s="128">
        <f t="shared" si="88"/>
        <v>541</v>
      </c>
      <c r="I731" s="8">
        <v>739611</v>
      </c>
      <c r="J731" s="8">
        <v>739793</v>
      </c>
      <c r="K731" s="137">
        <f t="shared" si="86"/>
        <v>182</v>
      </c>
      <c r="L731" s="8">
        <v>65968</v>
      </c>
      <c r="M731" s="8">
        <v>65968</v>
      </c>
      <c r="N731" s="137">
        <f t="shared" si="89"/>
        <v>0</v>
      </c>
      <c r="O731" s="128">
        <f t="shared" si="84"/>
        <v>182</v>
      </c>
      <c r="P731" s="8">
        <v>296657</v>
      </c>
      <c r="Q731" s="8">
        <v>297671</v>
      </c>
      <c r="R731" s="128">
        <f t="shared" si="87"/>
        <v>1014</v>
      </c>
      <c r="AQ731" s="8"/>
      <c r="AR731" s="8"/>
      <c r="AS731" s="8"/>
    </row>
    <row r="732" spans="1:45">
      <c r="A732" s="12">
        <v>45107</v>
      </c>
      <c r="B732" s="8">
        <v>551190</v>
      </c>
      <c r="C732" s="8">
        <v>551420</v>
      </c>
      <c r="D732" s="128">
        <f t="shared" si="90"/>
        <v>230</v>
      </c>
      <c r="E732" s="8">
        <v>141425</v>
      </c>
      <c r="F732" s="8">
        <v>141745</v>
      </c>
      <c r="G732" s="137">
        <f t="shared" si="85"/>
        <v>320</v>
      </c>
      <c r="H732" s="128">
        <f t="shared" si="88"/>
        <v>550</v>
      </c>
      <c r="I732" s="8">
        <v>739793</v>
      </c>
      <c r="J732" s="8">
        <v>740035</v>
      </c>
      <c r="K732" s="137">
        <f t="shared" si="86"/>
        <v>242</v>
      </c>
      <c r="L732" s="8">
        <v>65968</v>
      </c>
      <c r="M732" s="8">
        <v>65968</v>
      </c>
      <c r="N732" s="137">
        <f t="shared" si="89"/>
        <v>0</v>
      </c>
      <c r="O732" s="128">
        <f t="shared" si="84"/>
        <v>242</v>
      </c>
      <c r="P732" s="8">
        <v>297671</v>
      </c>
      <c r="Q732" s="8">
        <v>298152</v>
      </c>
      <c r="R732" s="128">
        <f t="shared" si="87"/>
        <v>481</v>
      </c>
      <c r="AQ732" s="8"/>
      <c r="AR732" s="8"/>
      <c r="AS732" s="8"/>
    </row>
    <row r="733" spans="1:45">
      <c r="A733" s="12">
        <v>45108</v>
      </c>
      <c r="B733" s="8">
        <v>551420</v>
      </c>
      <c r="C733" s="8">
        <v>551670</v>
      </c>
      <c r="D733" s="128">
        <f t="shared" si="90"/>
        <v>250</v>
      </c>
      <c r="E733" s="8">
        <v>141745</v>
      </c>
      <c r="F733" s="8">
        <v>142090</v>
      </c>
      <c r="G733" s="137">
        <f t="shared" si="85"/>
        <v>345</v>
      </c>
      <c r="H733" s="128">
        <f t="shared" si="88"/>
        <v>595</v>
      </c>
      <c r="I733" s="8">
        <v>740035</v>
      </c>
      <c r="J733" s="8">
        <v>740215</v>
      </c>
      <c r="K733" s="137">
        <f t="shared" si="86"/>
        <v>180</v>
      </c>
      <c r="L733" s="8">
        <v>65968</v>
      </c>
      <c r="M733" s="8">
        <v>65968</v>
      </c>
      <c r="N733" s="137">
        <f t="shared" si="89"/>
        <v>0</v>
      </c>
      <c r="O733" s="128">
        <f t="shared" si="84"/>
        <v>180</v>
      </c>
      <c r="P733" s="8">
        <v>298152</v>
      </c>
      <c r="Q733" s="8">
        <v>298152</v>
      </c>
      <c r="R733" s="128">
        <f t="shared" si="87"/>
        <v>0</v>
      </c>
      <c r="AQ733" s="8"/>
      <c r="AR733" s="8"/>
      <c r="AS733" s="8"/>
    </row>
    <row r="734" spans="1:45">
      <c r="A734" s="12">
        <v>45109</v>
      </c>
      <c r="B734" s="8">
        <v>551670</v>
      </c>
      <c r="C734" s="8">
        <v>551971</v>
      </c>
      <c r="D734" s="128">
        <f t="shared" si="90"/>
        <v>301</v>
      </c>
      <c r="E734" s="8">
        <v>142090</v>
      </c>
      <c r="F734" s="8">
        <v>142412</v>
      </c>
      <c r="G734" s="137">
        <f t="shared" si="85"/>
        <v>322</v>
      </c>
      <c r="H734" s="128">
        <f t="shared" si="88"/>
        <v>623</v>
      </c>
      <c r="I734" s="8">
        <v>740215</v>
      </c>
      <c r="J734" s="8">
        <v>740394</v>
      </c>
      <c r="K734" s="137">
        <f t="shared" si="86"/>
        <v>179</v>
      </c>
      <c r="L734" s="8">
        <v>65968</v>
      </c>
      <c r="M734" s="8">
        <v>65968</v>
      </c>
      <c r="N734" s="137">
        <f t="shared" si="89"/>
        <v>0</v>
      </c>
      <c r="O734" s="128">
        <f t="shared" si="84"/>
        <v>179</v>
      </c>
      <c r="P734" s="8">
        <v>298152</v>
      </c>
      <c r="Q734" s="8">
        <v>298152</v>
      </c>
      <c r="R734" s="128">
        <f t="shared" si="87"/>
        <v>0</v>
      </c>
      <c r="AQ734" s="8"/>
      <c r="AR734" s="8"/>
      <c r="AS734" s="8"/>
    </row>
    <row r="735" spans="1:45">
      <c r="A735" s="12">
        <v>45110</v>
      </c>
      <c r="B735" s="8">
        <v>551971</v>
      </c>
      <c r="C735" s="8">
        <v>552217</v>
      </c>
      <c r="D735" s="128">
        <f t="shared" si="90"/>
        <v>246</v>
      </c>
      <c r="E735" s="8">
        <v>142412</v>
      </c>
      <c r="F735" s="8">
        <v>142613</v>
      </c>
      <c r="G735" s="137">
        <f t="shared" si="85"/>
        <v>201</v>
      </c>
      <c r="H735" s="128">
        <f t="shared" si="88"/>
        <v>447</v>
      </c>
      <c r="I735" s="8">
        <v>740394</v>
      </c>
      <c r="J735" s="8">
        <v>740560</v>
      </c>
      <c r="K735" s="137">
        <f t="shared" si="86"/>
        <v>166</v>
      </c>
      <c r="L735" s="8">
        <v>65968</v>
      </c>
      <c r="M735" s="8">
        <v>65968</v>
      </c>
      <c r="N735" s="137">
        <f t="shared" si="89"/>
        <v>0</v>
      </c>
      <c r="O735" s="128">
        <f t="shared" si="84"/>
        <v>166</v>
      </c>
      <c r="P735" s="8">
        <v>298152</v>
      </c>
      <c r="Q735" s="8">
        <v>298890</v>
      </c>
      <c r="R735" s="128">
        <f t="shared" si="87"/>
        <v>738</v>
      </c>
      <c r="AQ735" s="8"/>
      <c r="AR735" s="8"/>
      <c r="AS735" s="8"/>
    </row>
    <row r="736" spans="1:45">
      <c r="A736" s="12">
        <v>45111</v>
      </c>
      <c r="B736" s="8">
        <v>552217</v>
      </c>
      <c r="C736" s="8">
        <v>552507</v>
      </c>
      <c r="D736" s="128">
        <f t="shared" si="90"/>
        <v>290</v>
      </c>
      <c r="E736" s="8">
        <v>142613</v>
      </c>
      <c r="F736" s="8">
        <v>142939</v>
      </c>
      <c r="G736" s="137">
        <f t="shared" si="85"/>
        <v>326</v>
      </c>
      <c r="H736" s="128">
        <f t="shared" si="88"/>
        <v>616</v>
      </c>
      <c r="I736" s="8">
        <v>740560</v>
      </c>
      <c r="J736" s="8">
        <v>740751</v>
      </c>
      <c r="K736" s="137">
        <f t="shared" si="86"/>
        <v>191</v>
      </c>
      <c r="L736" s="8">
        <v>65968</v>
      </c>
      <c r="M736" s="8">
        <v>65968</v>
      </c>
      <c r="N736" s="137">
        <f t="shared" si="89"/>
        <v>0</v>
      </c>
      <c r="O736" s="128">
        <f t="shared" si="84"/>
        <v>191</v>
      </c>
      <c r="P736" s="8">
        <v>298890</v>
      </c>
      <c r="Q736" s="8">
        <v>298890</v>
      </c>
      <c r="R736" s="128">
        <f t="shared" si="87"/>
        <v>0</v>
      </c>
      <c r="AQ736" s="8"/>
      <c r="AR736" s="8"/>
      <c r="AS736" s="8"/>
    </row>
    <row r="737" spans="1:45">
      <c r="A737" s="12">
        <v>45112</v>
      </c>
      <c r="B737" s="8">
        <v>552507</v>
      </c>
      <c r="C737" s="8">
        <v>552782</v>
      </c>
      <c r="D737" s="128">
        <f t="shared" si="90"/>
        <v>275</v>
      </c>
      <c r="E737" s="8">
        <v>142939</v>
      </c>
      <c r="F737" s="8">
        <v>143272</v>
      </c>
      <c r="G737" s="137">
        <f t="shared" si="85"/>
        <v>333</v>
      </c>
      <c r="H737" s="128">
        <f t="shared" si="88"/>
        <v>608</v>
      </c>
      <c r="I737" s="8">
        <v>740751</v>
      </c>
      <c r="J737" s="8">
        <v>740969</v>
      </c>
      <c r="K737" s="137">
        <f t="shared" si="86"/>
        <v>218</v>
      </c>
      <c r="L737" s="8">
        <v>65968</v>
      </c>
      <c r="M737" s="8">
        <v>65968</v>
      </c>
      <c r="N737" s="137">
        <f t="shared" si="89"/>
        <v>0</v>
      </c>
      <c r="O737" s="128">
        <f t="shared" si="84"/>
        <v>218</v>
      </c>
      <c r="P737" s="8">
        <v>298890</v>
      </c>
      <c r="Q737" s="8">
        <v>298890</v>
      </c>
      <c r="R737" s="128">
        <f t="shared" si="87"/>
        <v>0</v>
      </c>
      <c r="AQ737" s="8"/>
      <c r="AR737" s="8"/>
      <c r="AS737" s="8"/>
    </row>
    <row r="738" spans="1:45">
      <c r="A738" s="12">
        <v>45113</v>
      </c>
      <c r="B738" s="8">
        <v>552782</v>
      </c>
      <c r="C738" s="8">
        <v>553035</v>
      </c>
      <c r="D738" s="128">
        <f t="shared" si="90"/>
        <v>253</v>
      </c>
      <c r="E738" s="8">
        <v>143272</v>
      </c>
      <c r="F738" s="8">
        <v>143595</v>
      </c>
      <c r="G738" s="137">
        <f t="shared" si="85"/>
        <v>323</v>
      </c>
      <c r="H738" s="128">
        <f t="shared" si="88"/>
        <v>576</v>
      </c>
      <c r="I738" s="8">
        <v>740969</v>
      </c>
      <c r="J738" s="8">
        <v>741162</v>
      </c>
      <c r="K738" s="137">
        <f t="shared" si="86"/>
        <v>193</v>
      </c>
      <c r="L738" s="8">
        <v>65968</v>
      </c>
      <c r="M738" s="8">
        <v>65968</v>
      </c>
      <c r="N738" s="137">
        <f t="shared" si="89"/>
        <v>0</v>
      </c>
      <c r="O738" s="128">
        <f t="shared" si="84"/>
        <v>193</v>
      </c>
      <c r="P738" s="8">
        <v>298890</v>
      </c>
      <c r="Q738" s="8">
        <v>298890</v>
      </c>
      <c r="R738" s="128">
        <f t="shared" si="87"/>
        <v>0</v>
      </c>
      <c r="AQ738" s="8"/>
      <c r="AR738" s="8"/>
      <c r="AS738" s="8"/>
    </row>
    <row r="739" spans="1:45">
      <c r="A739" s="12">
        <v>45114</v>
      </c>
      <c r="B739" s="8">
        <v>553035</v>
      </c>
      <c r="C739" s="8">
        <v>553317</v>
      </c>
      <c r="D739" s="128">
        <f t="shared" si="90"/>
        <v>282</v>
      </c>
      <c r="E739" s="8">
        <v>143595</v>
      </c>
      <c r="F739" s="8">
        <v>143866</v>
      </c>
      <c r="G739" s="137">
        <f t="shared" si="85"/>
        <v>271</v>
      </c>
      <c r="H739" s="128">
        <f t="shared" si="88"/>
        <v>553</v>
      </c>
      <c r="I739" s="8">
        <v>741162</v>
      </c>
      <c r="J739" s="8">
        <v>741375</v>
      </c>
      <c r="K739" s="137">
        <f t="shared" si="86"/>
        <v>213</v>
      </c>
      <c r="L739" s="8">
        <v>65968</v>
      </c>
      <c r="M739" s="8">
        <v>65968</v>
      </c>
      <c r="N739" s="137">
        <f t="shared" si="89"/>
        <v>0</v>
      </c>
      <c r="O739" s="128">
        <f t="shared" si="84"/>
        <v>213</v>
      </c>
      <c r="P739" s="8">
        <v>298890</v>
      </c>
      <c r="Q739" s="8">
        <v>299235</v>
      </c>
      <c r="R739" s="128">
        <f t="shared" si="87"/>
        <v>345</v>
      </c>
      <c r="AQ739" s="8"/>
      <c r="AR739" s="8"/>
      <c r="AS739" s="8"/>
    </row>
    <row r="740" spans="1:45">
      <c r="A740" s="12">
        <v>45115</v>
      </c>
      <c r="B740" s="8">
        <v>553317</v>
      </c>
      <c r="C740" s="8">
        <v>553681</v>
      </c>
      <c r="D740" s="128">
        <f t="shared" si="90"/>
        <v>364</v>
      </c>
      <c r="E740" s="8">
        <v>143866</v>
      </c>
      <c r="F740" s="8">
        <v>144215</v>
      </c>
      <c r="G740" s="137">
        <f t="shared" si="85"/>
        <v>349</v>
      </c>
      <c r="H740" s="128">
        <f t="shared" si="88"/>
        <v>713</v>
      </c>
      <c r="I740" s="8">
        <v>741375</v>
      </c>
      <c r="J740" s="8">
        <v>741575</v>
      </c>
      <c r="K740" s="137">
        <f t="shared" si="86"/>
        <v>200</v>
      </c>
      <c r="L740" s="8">
        <v>65968</v>
      </c>
      <c r="M740" s="8">
        <v>65968</v>
      </c>
      <c r="N740" s="137">
        <f t="shared" si="89"/>
        <v>0</v>
      </c>
      <c r="O740" s="128">
        <f t="shared" si="84"/>
        <v>200</v>
      </c>
      <c r="P740" s="8">
        <v>299235</v>
      </c>
      <c r="Q740" s="8">
        <v>299620</v>
      </c>
      <c r="R740" s="128">
        <f t="shared" si="87"/>
        <v>385</v>
      </c>
      <c r="AQ740" s="8"/>
      <c r="AR740" s="8"/>
      <c r="AS740" s="8"/>
    </row>
    <row r="741" spans="1:45">
      <c r="A741" s="12">
        <v>45116</v>
      </c>
      <c r="B741" s="8">
        <v>553681</v>
      </c>
      <c r="C741" s="8">
        <v>553854</v>
      </c>
      <c r="D741" s="128">
        <f t="shared" si="90"/>
        <v>173</v>
      </c>
      <c r="E741" s="8">
        <v>144215</v>
      </c>
      <c r="F741" s="8">
        <v>144441</v>
      </c>
      <c r="G741" s="137">
        <f t="shared" si="85"/>
        <v>226</v>
      </c>
      <c r="H741" s="128">
        <f t="shared" si="88"/>
        <v>399</v>
      </c>
      <c r="I741" s="8">
        <v>741575</v>
      </c>
      <c r="J741" s="8">
        <v>741771</v>
      </c>
      <c r="K741" s="137">
        <f t="shared" si="86"/>
        <v>196</v>
      </c>
      <c r="L741" s="8">
        <v>65968</v>
      </c>
      <c r="M741" s="8">
        <v>65968</v>
      </c>
      <c r="N741" s="137">
        <f t="shared" si="89"/>
        <v>0</v>
      </c>
      <c r="O741" s="128">
        <f t="shared" si="84"/>
        <v>196</v>
      </c>
      <c r="P741" s="8">
        <v>299620</v>
      </c>
      <c r="Q741" s="8">
        <v>299620</v>
      </c>
      <c r="R741" s="128">
        <f t="shared" si="87"/>
        <v>0</v>
      </c>
      <c r="AQ741" s="8"/>
      <c r="AR741" s="8"/>
      <c r="AS741" s="8"/>
    </row>
    <row r="742" spans="1:45">
      <c r="A742" s="12">
        <v>45117</v>
      </c>
      <c r="B742" s="8">
        <v>553854</v>
      </c>
      <c r="C742" s="8">
        <v>554113</v>
      </c>
      <c r="D742" s="128">
        <f t="shared" si="90"/>
        <v>259</v>
      </c>
      <c r="E742" s="8">
        <v>144441</v>
      </c>
      <c r="F742" s="8">
        <v>144783</v>
      </c>
      <c r="G742" s="137">
        <f t="shared" si="85"/>
        <v>342</v>
      </c>
      <c r="H742" s="128">
        <f t="shared" si="88"/>
        <v>601</v>
      </c>
      <c r="I742" s="8">
        <v>741771</v>
      </c>
      <c r="J742" s="8">
        <v>741972</v>
      </c>
      <c r="K742" s="137">
        <f t="shared" si="86"/>
        <v>201</v>
      </c>
      <c r="L742" s="8">
        <v>65968</v>
      </c>
      <c r="M742" s="8">
        <v>65968</v>
      </c>
      <c r="N742" s="137">
        <f t="shared" si="89"/>
        <v>0</v>
      </c>
      <c r="O742" s="128">
        <f t="shared" ref="O742:O807" si="91">N742+K742</f>
        <v>201</v>
      </c>
      <c r="P742" s="8">
        <v>299620</v>
      </c>
      <c r="Q742" s="8">
        <v>299620</v>
      </c>
      <c r="R742" s="128">
        <f t="shared" si="87"/>
        <v>0</v>
      </c>
      <c r="AQ742" s="8"/>
      <c r="AR742" s="8"/>
      <c r="AS742" s="8"/>
    </row>
    <row r="743" spans="1:45">
      <c r="A743" s="12">
        <v>45118</v>
      </c>
      <c r="B743" s="8">
        <v>554113</v>
      </c>
      <c r="C743" s="8">
        <v>554389</v>
      </c>
      <c r="D743" s="128">
        <f t="shared" si="90"/>
        <v>276</v>
      </c>
      <c r="E743" s="8">
        <v>144783</v>
      </c>
      <c r="F743" s="8">
        <v>145113</v>
      </c>
      <c r="G743" s="137">
        <f t="shared" si="85"/>
        <v>330</v>
      </c>
      <c r="H743" s="128">
        <f t="shared" si="88"/>
        <v>606</v>
      </c>
      <c r="I743" s="8">
        <v>741972</v>
      </c>
      <c r="J743" s="8">
        <v>742189</v>
      </c>
      <c r="K743" s="137">
        <f t="shared" si="86"/>
        <v>217</v>
      </c>
      <c r="L743" s="8">
        <v>65968</v>
      </c>
      <c r="M743" s="8">
        <v>65968</v>
      </c>
      <c r="N743" s="137">
        <f t="shared" si="89"/>
        <v>0</v>
      </c>
      <c r="O743" s="128">
        <f t="shared" si="91"/>
        <v>217</v>
      </c>
      <c r="P743" s="8">
        <v>299620</v>
      </c>
      <c r="Q743" s="8">
        <v>299941</v>
      </c>
      <c r="R743" s="128">
        <f t="shared" si="87"/>
        <v>321</v>
      </c>
      <c r="AQ743" s="8"/>
      <c r="AR743" s="8"/>
      <c r="AS743" s="8"/>
    </row>
    <row r="744" spans="1:45">
      <c r="A744" s="12">
        <v>45119</v>
      </c>
      <c r="B744" s="8">
        <v>554389</v>
      </c>
      <c r="C744" s="8">
        <v>554803</v>
      </c>
      <c r="D744" s="128">
        <f t="shared" si="90"/>
        <v>414</v>
      </c>
      <c r="E744" s="8">
        <v>145113</v>
      </c>
      <c r="F744" s="8">
        <v>145746</v>
      </c>
      <c r="G744" s="137">
        <v>2</v>
      </c>
      <c r="H744" s="128">
        <f t="shared" si="88"/>
        <v>416</v>
      </c>
      <c r="I744" s="8">
        <v>742189</v>
      </c>
      <c r="J744" s="8">
        <v>742394</v>
      </c>
      <c r="K744" s="137">
        <f t="shared" si="86"/>
        <v>205</v>
      </c>
      <c r="L744" s="8">
        <v>65968</v>
      </c>
      <c r="M744" s="8">
        <v>65968</v>
      </c>
      <c r="N744" s="137">
        <f t="shared" si="89"/>
        <v>0</v>
      </c>
      <c r="O744" s="128">
        <f t="shared" si="91"/>
        <v>205</v>
      </c>
      <c r="P744" s="8">
        <v>299941</v>
      </c>
      <c r="Q744" s="8">
        <v>299941</v>
      </c>
      <c r="R744" s="128">
        <f t="shared" si="87"/>
        <v>0</v>
      </c>
      <c r="S744" s="101"/>
      <c r="AQ744" s="8"/>
      <c r="AR744" s="8"/>
      <c r="AS744" s="8"/>
    </row>
    <row r="745" spans="1:45">
      <c r="A745" s="12">
        <v>45120</v>
      </c>
      <c r="B745" s="8">
        <v>554803</v>
      </c>
      <c r="C745" s="8">
        <v>554986</v>
      </c>
      <c r="D745" s="128">
        <f t="shared" si="90"/>
        <v>183</v>
      </c>
      <c r="E745" s="8">
        <v>145746</v>
      </c>
      <c r="F745" s="8">
        <v>146260</v>
      </c>
      <c r="G745" s="137">
        <f t="shared" si="85"/>
        <v>514</v>
      </c>
      <c r="H745" s="128">
        <f t="shared" si="88"/>
        <v>697</v>
      </c>
      <c r="I745" s="8">
        <v>742394</v>
      </c>
      <c r="J745" s="8">
        <v>742597</v>
      </c>
      <c r="K745" s="137">
        <f t="shared" si="86"/>
        <v>203</v>
      </c>
      <c r="L745" s="8">
        <v>65968</v>
      </c>
      <c r="M745" s="8">
        <v>65968</v>
      </c>
      <c r="N745" s="137">
        <f t="shared" si="89"/>
        <v>0</v>
      </c>
      <c r="O745" s="128">
        <f t="shared" si="91"/>
        <v>203</v>
      </c>
      <c r="P745" s="8">
        <v>299941</v>
      </c>
      <c r="Q745" s="8">
        <v>299941</v>
      </c>
      <c r="R745" s="128">
        <f t="shared" si="87"/>
        <v>0</v>
      </c>
      <c r="AQ745" s="8"/>
      <c r="AR745" s="8"/>
      <c r="AS745" s="8"/>
    </row>
    <row r="746" spans="1:45">
      <c r="A746" s="12">
        <v>45121</v>
      </c>
      <c r="B746" s="8">
        <v>554986</v>
      </c>
      <c r="C746" s="8">
        <v>555092</v>
      </c>
      <c r="D746" s="128">
        <f t="shared" si="90"/>
        <v>106</v>
      </c>
      <c r="E746" s="8">
        <v>146260</v>
      </c>
      <c r="F746" s="8">
        <v>146580</v>
      </c>
      <c r="G746" s="137">
        <f t="shared" si="85"/>
        <v>320</v>
      </c>
      <c r="H746" s="128">
        <f t="shared" si="88"/>
        <v>426</v>
      </c>
      <c r="I746" s="8">
        <v>742597</v>
      </c>
      <c r="J746" s="8">
        <v>742682</v>
      </c>
      <c r="K746" s="137">
        <f t="shared" si="86"/>
        <v>85</v>
      </c>
      <c r="L746" s="8">
        <v>65968</v>
      </c>
      <c r="M746" s="8">
        <v>65968</v>
      </c>
      <c r="N746" s="137">
        <f t="shared" si="89"/>
        <v>0</v>
      </c>
      <c r="O746" s="128">
        <f t="shared" si="91"/>
        <v>85</v>
      </c>
      <c r="P746" s="8">
        <v>299941</v>
      </c>
      <c r="Q746" s="8">
        <v>299941</v>
      </c>
      <c r="R746" s="128">
        <f t="shared" si="87"/>
        <v>0</v>
      </c>
      <c r="AQ746" s="8"/>
      <c r="AR746" s="8"/>
      <c r="AS746" s="8"/>
    </row>
    <row r="747" spans="1:45">
      <c r="A747" s="12">
        <v>45122</v>
      </c>
      <c r="B747" s="8">
        <v>555092</v>
      </c>
      <c r="C747" s="8">
        <v>555301</v>
      </c>
      <c r="D747" s="128">
        <f t="shared" si="90"/>
        <v>209</v>
      </c>
      <c r="E747" s="8">
        <v>146580</v>
      </c>
      <c r="F747" s="8">
        <v>146850</v>
      </c>
      <c r="G747" s="137">
        <f t="shared" si="85"/>
        <v>270</v>
      </c>
      <c r="H747" s="128">
        <f t="shared" si="88"/>
        <v>479</v>
      </c>
      <c r="I747" s="8">
        <v>742682</v>
      </c>
      <c r="J747" s="8">
        <v>742863</v>
      </c>
      <c r="K747" s="137">
        <f t="shared" si="86"/>
        <v>181</v>
      </c>
      <c r="L747" s="8">
        <v>65968</v>
      </c>
      <c r="M747" s="8">
        <v>65968</v>
      </c>
      <c r="N747" s="137">
        <f t="shared" si="89"/>
        <v>0</v>
      </c>
      <c r="O747" s="128">
        <f t="shared" si="91"/>
        <v>181</v>
      </c>
      <c r="P747" s="8">
        <v>299941</v>
      </c>
      <c r="Q747" s="8">
        <v>300921</v>
      </c>
      <c r="R747" s="128">
        <f t="shared" si="87"/>
        <v>980</v>
      </c>
      <c r="AQ747" s="8"/>
      <c r="AR747" s="8"/>
      <c r="AS747" s="8"/>
    </row>
    <row r="748" spans="1:45">
      <c r="A748" s="12">
        <v>45123</v>
      </c>
      <c r="B748" s="8">
        <v>555301</v>
      </c>
      <c r="C748" s="8">
        <v>555592</v>
      </c>
      <c r="D748" s="128">
        <f t="shared" si="90"/>
        <v>291</v>
      </c>
      <c r="E748" s="8">
        <v>146850</v>
      </c>
      <c r="F748" s="8">
        <v>147014</v>
      </c>
      <c r="G748" s="137">
        <f t="shared" si="85"/>
        <v>164</v>
      </c>
      <c r="H748" s="128">
        <f t="shared" si="88"/>
        <v>455</v>
      </c>
      <c r="I748" s="8">
        <v>742863</v>
      </c>
      <c r="J748" s="8">
        <v>742977</v>
      </c>
      <c r="K748" s="137">
        <f t="shared" si="86"/>
        <v>114</v>
      </c>
      <c r="L748" s="8">
        <v>65968</v>
      </c>
      <c r="M748" s="8">
        <v>65968</v>
      </c>
      <c r="N748" s="137">
        <f t="shared" si="89"/>
        <v>0</v>
      </c>
      <c r="O748" s="128">
        <f t="shared" si="91"/>
        <v>114</v>
      </c>
      <c r="P748" s="8">
        <v>300921</v>
      </c>
      <c r="Q748" s="8">
        <v>301629</v>
      </c>
      <c r="R748" s="128">
        <f t="shared" si="87"/>
        <v>708</v>
      </c>
      <c r="AQ748" s="8"/>
      <c r="AR748" s="8"/>
      <c r="AS748" s="8"/>
    </row>
    <row r="749" spans="1:45">
      <c r="A749" s="12">
        <v>45124</v>
      </c>
      <c r="B749" s="8">
        <v>555592</v>
      </c>
      <c r="C749" s="8">
        <v>555793</v>
      </c>
      <c r="D749" s="128">
        <f t="shared" si="90"/>
        <v>201</v>
      </c>
      <c r="E749" s="8">
        <v>147014</v>
      </c>
      <c r="F749" s="8">
        <v>147425</v>
      </c>
      <c r="G749" s="137">
        <f t="shared" ref="G749:G818" si="92">F749-E749</f>
        <v>411</v>
      </c>
      <c r="H749" s="128">
        <f t="shared" si="88"/>
        <v>612</v>
      </c>
      <c r="I749" s="8">
        <v>742977</v>
      </c>
      <c r="J749" s="8">
        <v>743135</v>
      </c>
      <c r="K749" s="137">
        <f t="shared" si="86"/>
        <v>158</v>
      </c>
      <c r="L749" s="8">
        <v>65968</v>
      </c>
      <c r="M749" s="8">
        <v>65968</v>
      </c>
      <c r="N749" s="137">
        <f t="shared" si="89"/>
        <v>0</v>
      </c>
      <c r="O749" s="128">
        <f t="shared" si="91"/>
        <v>158</v>
      </c>
      <c r="P749" s="8">
        <v>301629</v>
      </c>
      <c r="Q749" s="8">
        <v>301629</v>
      </c>
      <c r="R749" s="128">
        <f t="shared" si="87"/>
        <v>0</v>
      </c>
      <c r="AQ749" s="8"/>
      <c r="AR749" s="8"/>
      <c r="AS749" s="8"/>
    </row>
    <row r="750" spans="1:45">
      <c r="A750" s="12">
        <v>45125</v>
      </c>
      <c r="B750" s="8">
        <v>555793</v>
      </c>
      <c r="C750" s="8">
        <v>555990</v>
      </c>
      <c r="D750" s="128">
        <f t="shared" si="90"/>
        <v>197</v>
      </c>
      <c r="E750" s="8">
        <v>147425</v>
      </c>
      <c r="F750" s="8">
        <v>147791</v>
      </c>
      <c r="G750" s="137">
        <f t="shared" si="92"/>
        <v>366</v>
      </c>
      <c r="H750" s="128">
        <f t="shared" si="88"/>
        <v>563</v>
      </c>
      <c r="I750" s="8">
        <v>743135</v>
      </c>
      <c r="J750" s="8">
        <v>743325</v>
      </c>
      <c r="K750" s="137">
        <f t="shared" si="86"/>
        <v>190</v>
      </c>
      <c r="L750" s="8">
        <v>65968</v>
      </c>
      <c r="M750" s="8">
        <v>65968</v>
      </c>
      <c r="N750" s="137">
        <f t="shared" si="89"/>
        <v>0</v>
      </c>
      <c r="O750" s="128">
        <f t="shared" si="91"/>
        <v>190</v>
      </c>
      <c r="P750" s="8">
        <v>301629</v>
      </c>
      <c r="Q750" s="8">
        <v>301770</v>
      </c>
      <c r="R750" s="128">
        <f t="shared" si="87"/>
        <v>141</v>
      </c>
      <c r="AQ750" s="8"/>
      <c r="AR750" s="8"/>
      <c r="AS750" s="8"/>
    </row>
    <row r="751" spans="1:45">
      <c r="A751" s="12">
        <v>45126</v>
      </c>
      <c r="B751" s="8">
        <v>555990</v>
      </c>
      <c r="C751" s="8">
        <v>556175</v>
      </c>
      <c r="D751" s="128">
        <f t="shared" si="90"/>
        <v>185</v>
      </c>
      <c r="E751" s="8">
        <v>147791</v>
      </c>
      <c r="F751" s="8">
        <v>148113</v>
      </c>
      <c r="G751" s="137">
        <f t="shared" si="92"/>
        <v>322</v>
      </c>
      <c r="H751" s="128">
        <f t="shared" si="88"/>
        <v>507</v>
      </c>
      <c r="I751" s="8">
        <v>743325</v>
      </c>
      <c r="J751" s="8">
        <v>743505</v>
      </c>
      <c r="K751" s="137">
        <f t="shared" si="86"/>
        <v>180</v>
      </c>
      <c r="L751" s="8">
        <v>19483</v>
      </c>
      <c r="M751" s="8">
        <v>19699</v>
      </c>
      <c r="N751" s="137">
        <f t="shared" si="89"/>
        <v>216</v>
      </c>
      <c r="O751" s="128">
        <f t="shared" si="91"/>
        <v>396</v>
      </c>
      <c r="P751" s="8">
        <v>301770</v>
      </c>
      <c r="Q751" s="8">
        <v>302144</v>
      </c>
      <c r="R751" s="128">
        <f t="shared" si="87"/>
        <v>374</v>
      </c>
      <c r="AQ751" s="8"/>
      <c r="AR751" s="8"/>
      <c r="AS751" s="8"/>
    </row>
    <row r="752" spans="1:45">
      <c r="A752" s="12">
        <v>45127</v>
      </c>
      <c r="B752" s="8">
        <v>556175</v>
      </c>
      <c r="C752" s="8">
        <v>556372</v>
      </c>
      <c r="D752" s="128">
        <f t="shared" si="90"/>
        <v>197</v>
      </c>
      <c r="E752" s="8">
        <v>148113</v>
      </c>
      <c r="F752" s="8">
        <v>148454</v>
      </c>
      <c r="G752" s="137">
        <f t="shared" si="92"/>
        <v>341</v>
      </c>
      <c r="H752" s="128">
        <f t="shared" si="88"/>
        <v>538</v>
      </c>
      <c r="I752" s="8">
        <v>743505</v>
      </c>
      <c r="J752" s="8">
        <v>743693</v>
      </c>
      <c r="K752" s="137">
        <f t="shared" si="86"/>
        <v>188</v>
      </c>
      <c r="L752" s="8">
        <v>19699</v>
      </c>
      <c r="M752" s="8">
        <v>19923</v>
      </c>
      <c r="N752" s="137">
        <f t="shared" si="89"/>
        <v>224</v>
      </c>
      <c r="O752" s="128">
        <f t="shared" si="91"/>
        <v>412</v>
      </c>
      <c r="P752" s="8">
        <v>302144</v>
      </c>
      <c r="Q752" s="8">
        <v>302313</v>
      </c>
      <c r="R752" s="128">
        <f t="shared" si="87"/>
        <v>169</v>
      </c>
      <c r="AQ752" s="8"/>
      <c r="AR752" s="8"/>
      <c r="AS752" s="8"/>
    </row>
    <row r="753" spans="1:45">
      <c r="A753" s="12">
        <v>45128</v>
      </c>
      <c r="B753" s="8">
        <v>556372</v>
      </c>
      <c r="C753" s="8">
        <v>556574</v>
      </c>
      <c r="D753" s="128">
        <f t="shared" si="90"/>
        <v>202</v>
      </c>
      <c r="E753" s="8">
        <v>148454</v>
      </c>
      <c r="F753" s="8">
        <v>148752</v>
      </c>
      <c r="G753" s="137">
        <f t="shared" si="92"/>
        <v>298</v>
      </c>
      <c r="H753" s="128">
        <f t="shared" si="88"/>
        <v>500</v>
      </c>
      <c r="I753" s="8">
        <v>743693</v>
      </c>
      <c r="J753" s="8">
        <v>743894</v>
      </c>
      <c r="K753" s="137">
        <f t="shared" si="86"/>
        <v>201</v>
      </c>
      <c r="L753" s="8">
        <v>19923</v>
      </c>
      <c r="M753" s="8">
        <v>20163</v>
      </c>
      <c r="N753" s="137">
        <f t="shared" si="89"/>
        <v>240</v>
      </c>
      <c r="O753" s="128">
        <f t="shared" si="91"/>
        <v>441</v>
      </c>
      <c r="P753" s="8">
        <v>302313</v>
      </c>
      <c r="Q753" s="8">
        <v>302463</v>
      </c>
      <c r="R753" s="128">
        <f t="shared" si="87"/>
        <v>150</v>
      </c>
      <c r="AQ753" s="8"/>
      <c r="AR753" s="8"/>
      <c r="AS753" s="8"/>
    </row>
    <row r="754" spans="1:45">
      <c r="A754" s="12">
        <v>45129</v>
      </c>
      <c r="B754" s="8">
        <v>556574</v>
      </c>
      <c r="C754" s="8">
        <v>556902</v>
      </c>
      <c r="D754" s="128">
        <f t="shared" si="90"/>
        <v>328</v>
      </c>
      <c r="E754" s="8">
        <v>148752</v>
      </c>
      <c r="F754" s="8">
        <v>149097</v>
      </c>
      <c r="G754" s="137">
        <f t="shared" si="92"/>
        <v>345</v>
      </c>
      <c r="H754" s="128">
        <f t="shared" si="88"/>
        <v>673</v>
      </c>
      <c r="I754" s="8">
        <v>743894</v>
      </c>
      <c r="J754" s="8">
        <v>744086</v>
      </c>
      <c r="K754" s="137">
        <f t="shared" ref="K754:K821" si="93">J754-I754</f>
        <v>192</v>
      </c>
      <c r="L754" s="8">
        <v>20163</v>
      </c>
      <c r="M754" s="8">
        <v>20465</v>
      </c>
      <c r="N754" s="137">
        <f t="shared" si="89"/>
        <v>302</v>
      </c>
      <c r="O754" s="128">
        <f t="shared" si="91"/>
        <v>494</v>
      </c>
      <c r="P754" s="8">
        <v>302463</v>
      </c>
      <c r="Q754" s="8">
        <v>302719</v>
      </c>
      <c r="R754" s="128">
        <f t="shared" si="87"/>
        <v>256</v>
      </c>
      <c r="AQ754" s="8"/>
      <c r="AR754" s="8"/>
      <c r="AS754" s="8"/>
    </row>
    <row r="755" spans="1:45">
      <c r="A755" s="12">
        <v>45130</v>
      </c>
      <c r="B755" s="8">
        <v>556902</v>
      </c>
      <c r="C755" s="8">
        <v>557070</v>
      </c>
      <c r="D755" s="128">
        <f t="shared" si="90"/>
        <v>168</v>
      </c>
      <c r="E755" s="8">
        <v>149097</v>
      </c>
      <c r="F755" s="8">
        <v>149353</v>
      </c>
      <c r="G755" s="137">
        <f t="shared" si="92"/>
        <v>256</v>
      </c>
      <c r="H755" s="128">
        <f t="shared" si="88"/>
        <v>424</v>
      </c>
      <c r="I755" s="8">
        <v>744086</v>
      </c>
      <c r="J755" s="8">
        <v>744259</v>
      </c>
      <c r="K755" s="137">
        <f t="shared" si="93"/>
        <v>173</v>
      </c>
      <c r="L755" s="8">
        <v>20465</v>
      </c>
      <c r="M755" s="8">
        <v>20677</v>
      </c>
      <c r="N755" s="137">
        <f t="shared" si="89"/>
        <v>212</v>
      </c>
      <c r="O755" s="128">
        <f t="shared" si="91"/>
        <v>385</v>
      </c>
      <c r="P755" s="8">
        <v>302719</v>
      </c>
      <c r="Q755" s="8">
        <v>302719</v>
      </c>
      <c r="R755" s="128">
        <f t="shared" si="87"/>
        <v>0</v>
      </c>
      <c r="AQ755" s="8"/>
      <c r="AR755" s="8"/>
      <c r="AS755" s="8"/>
    </row>
    <row r="756" spans="1:45">
      <c r="A756" s="12">
        <v>45131</v>
      </c>
      <c r="B756" s="8">
        <v>557070</v>
      </c>
      <c r="C756" s="8">
        <v>557291</v>
      </c>
      <c r="D756" s="128">
        <f t="shared" si="90"/>
        <v>221</v>
      </c>
      <c r="E756" s="8">
        <v>149353</v>
      </c>
      <c r="F756" s="8">
        <v>149623</v>
      </c>
      <c r="G756" s="137">
        <f t="shared" si="92"/>
        <v>270</v>
      </c>
      <c r="H756" s="128">
        <f t="shared" si="88"/>
        <v>491</v>
      </c>
      <c r="I756" s="8">
        <v>744259</v>
      </c>
      <c r="J756" s="8">
        <v>744424</v>
      </c>
      <c r="K756" s="137">
        <f t="shared" si="93"/>
        <v>165</v>
      </c>
      <c r="L756" s="8">
        <v>20677</v>
      </c>
      <c r="M756" s="8">
        <v>20914</v>
      </c>
      <c r="N756" s="137">
        <f t="shared" si="89"/>
        <v>237</v>
      </c>
      <c r="O756" s="128">
        <f t="shared" si="91"/>
        <v>402</v>
      </c>
      <c r="P756" s="8">
        <v>302719</v>
      </c>
      <c r="Q756" s="8">
        <v>303055</v>
      </c>
      <c r="R756" s="128">
        <f t="shared" si="87"/>
        <v>336</v>
      </c>
      <c r="AQ756" s="8"/>
      <c r="AR756" s="8"/>
      <c r="AS756" s="8"/>
    </row>
    <row r="757" spans="1:45">
      <c r="A757" s="12">
        <v>45132</v>
      </c>
      <c r="B757" s="8">
        <v>557291</v>
      </c>
      <c r="C757" s="8">
        <v>557596</v>
      </c>
      <c r="D757" s="128">
        <f t="shared" si="90"/>
        <v>305</v>
      </c>
      <c r="E757" s="8">
        <v>149623</v>
      </c>
      <c r="F757" s="8">
        <v>150087</v>
      </c>
      <c r="G757" s="137">
        <f t="shared" si="92"/>
        <v>464</v>
      </c>
      <c r="H757" s="128">
        <f t="shared" si="88"/>
        <v>769</v>
      </c>
      <c r="I757" s="8">
        <v>744424</v>
      </c>
      <c r="J757" s="8">
        <v>744604</v>
      </c>
      <c r="K757" s="137">
        <f t="shared" si="93"/>
        <v>180</v>
      </c>
      <c r="L757" s="8">
        <v>20914</v>
      </c>
      <c r="M757" s="8">
        <v>21212</v>
      </c>
      <c r="N757" s="137">
        <f t="shared" si="89"/>
        <v>298</v>
      </c>
      <c r="O757" s="128">
        <f t="shared" si="91"/>
        <v>478</v>
      </c>
      <c r="P757" s="8">
        <v>303055</v>
      </c>
      <c r="Q757" s="8">
        <v>303217</v>
      </c>
      <c r="R757" s="128">
        <f t="shared" si="87"/>
        <v>162</v>
      </c>
      <c r="AQ757" s="8"/>
      <c r="AR757" s="8"/>
      <c r="AS757" s="8"/>
    </row>
    <row r="758" spans="1:45">
      <c r="A758" s="12">
        <v>45133</v>
      </c>
      <c r="B758" s="8">
        <v>557596</v>
      </c>
      <c r="C758" s="8">
        <v>557891</v>
      </c>
      <c r="D758" s="128">
        <f t="shared" si="90"/>
        <v>295</v>
      </c>
      <c r="E758" s="8">
        <v>150087</v>
      </c>
      <c r="F758" s="8">
        <v>150553</v>
      </c>
      <c r="G758" s="137">
        <f t="shared" si="92"/>
        <v>466</v>
      </c>
      <c r="H758" s="128">
        <f t="shared" si="88"/>
        <v>761</v>
      </c>
      <c r="I758" s="8">
        <v>744604</v>
      </c>
      <c r="J758" s="8">
        <v>744754</v>
      </c>
      <c r="K758" s="137">
        <f t="shared" si="93"/>
        <v>150</v>
      </c>
      <c r="L758" s="8">
        <v>21212</v>
      </c>
      <c r="M758" s="8">
        <v>21499</v>
      </c>
      <c r="N758" s="137">
        <f t="shared" si="89"/>
        <v>287</v>
      </c>
      <c r="O758" s="128">
        <f t="shared" si="91"/>
        <v>437</v>
      </c>
      <c r="P758" s="8">
        <v>303217</v>
      </c>
      <c r="Q758" s="8">
        <v>303575</v>
      </c>
      <c r="R758" s="128">
        <f t="shared" si="87"/>
        <v>358</v>
      </c>
      <c r="AQ758" s="8"/>
      <c r="AR758" s="8"/>
      <c r="AS758" s="8"/>
    </row>
    <row r="759" spans="1:45">
      <c r="A759" s="12">
        <v>45134</v>
      </c>
      <c r="B759" s="8">
        <v>557891</v>
      </c>
      <c r="C759" s="8">
        <v>558275</v>
      </c>
      <c r="D759" s="128">
        <f t="shared" si="90"/>
        <v>384</v>
      </c>
      <c r="E759" s="8">
        <v>150553</v>
      </c>
      <c r="F759" s="8">
        <v>151217</v>
      </c>
      <c r="G759" s="137">
        <f t="shared" si="92"/>
        <v>664</v>
      </c>
      <c r="H759" s="128">
        <f t="shared" si="88"/>
        <v>1048</v>
      </c>
      <c r="I759" s="8">
        <v>744754</v>
      </c>
      <c r="J759" s="8">
        <v>744942</v>
      </c>
      <c r="K759" s="137">
        <f t="shared" si="93"/>
        <v>188</v>
      </c>
      <c r="L759" s="8">
        <v>21499</v>
      </c>
      <c r="M759" s="8">
        <v>21810</v>
      </c>
      <c r="N759" s="137">
        <f t="shared" si="89"/>
        <v>311</v>
      </c>
      <c r="O759" s="128">
        <f t="shared" si="91"/>
        <v>499</v>
      </c>
      <c r="P759" s="8">
        <v>303575</v>
      </c>
      <c r="Q759" s="8">
        <v>303746</v>
      </c>
      <c r="R759" s="128">
        <f t="shared" si="87"/>
        <v>171</v>
      </c>
      <c r="AQ759" s="8"/>
      <c r="AR759" s="8"/>
      <c r="AS759" s="8"/>
    </row>
    <row r="760" spans="1:45">
      <c r="A760" s="12">
        <v>45135</v>
      </c>
      <c r="B760" s="8">
        <v>558275</v>
      </c>
      <c r="C760" s="8">
        <v>558331</v>
      </c>
      <c r="D760" s="128">
        <f t="shared" si="90"/>
        <v>56</v>
      </c>
      <c r="E760" s="8">
        <v>151217</v>
      </c>
      <c r="F760" s="8">
        <v>151519</v>
      </c>
      <c r="G760" s="137">
        <f t="shared" si="92"/>
        <v>302</v>
      </c>
      <c r="H760" s="128">
        <f t="shared" si="88"/>
        <v>358</v>
      </c>
      <c r="I760" s="8">
        <v>744942</v>
      </c>
      <c r="J760" s="8">
        <v>745107</v>
      </c>
      <c r="K760" s="137">
        <f t="shared" si="93"/>
        <v>165</v>
      </c>
      <c r="L760" s="8">
        <v>21810</v>
      </c>
      <c r="M760" s="8">
        <v>22052</v>
      </c>
      <c r="N760" s="137">
        <f t="shared" si="89"/>
        <v>242</v>
      </c>
      <c r="O760" s="128">
        <f t="shared" si="91"/>
        <v>407</v>
      </c>
      <c r="P760" s="8">
        <v>303746</v>
      </c>
      <c r="Q760" s="8">
        <v>303746</v>
      </c>
      <c r="R760" s="128">
        <f t="shared" si="87"/>
        <v>0</v>
      </c>
      <c r="AQ760" s="8"/>
      <c r="AR760" s="8"/>
      <c r="AS760" s="8"/>
    </row>
    <row r="761" spans="1:45">
      <c r="A761" s="12">
        <v>45136</v>
      </c>
      <c r="B761" s="8">
        <v>558331</v>
      </c>
      <c r="C761" s="8">
        <v>558331</v>
      </c>
      <c r="D761" s="128">
        <f t="shared" si="90"/>
        <v>0</v>
      </c>
      <c r="E761" s="8">
        <v>151519</v>
      </c>
      <c r="F761" s="8">
        <v>151999</v>
      </c>
      <c r="G761" s="137">
        <f t="shared" si="92"/>
        <v>480</v>
      </c>
      <c r="H761" s="128">
        <f t="shared" si="88"/>
        <v>480</v>
      </c>
      <c r="I761" s="8">
        <v>745107</v>
      </c>
      <c r="J761" s="8">
        <v>745274</v>
      </c>
      <c r="K761" s="137">
        <f t="shared" si="93"/>
        <v>167</v>
      </c>
      <c r="L761" s="8">
        <v>22052</v>
      </c>
      <c r="M761" s="8">
        <v>22342</v>
      </c>
      <c r="N761" s="137">
        <f t="shared" si="89"/>
        <v>290</v>
      </c>
      <c r="O761" s="128">
        <f t="shared" si="91"/>
        <v>457</v>
      </c>
      <c r="P761" s="8">
        <v>303746</v>
      </c>
      <c r="Q761" s="8">
        <v>303746</v>
      </c>
      <c r="R761" s="128">
        <f>Q761-P761</f>
        <v>0</v>
      </c>
      <c r="AQ761" s="8"/>
      <c r="AR761" s="8"/>
      <c r="AS761" s="8"/>
    </row>
    <row r="762" spans="1:45">
      <c r="A762" s="12">
        <v>45137</v>
      </c>
      <c r="B762" s="8">
        <v>558331</v>
      </c>
      <c r="C762" s="8">
        <v>558331</v>
      </c>
      <c r="D762" s="128">
        <f t="shared" si="90"/>
        <v>0</v>
      </c>
      <c r="E762" s="8">
        <v>151999</v>
      </c>
      <c r="F762" s="8">
        <v>152338</v>
      </c>
      <c r="G762" s="137">
        <f t="shared" si="92"/>
        <v>339</v>
      </c>
      <c r="H762" s="128">
        <f t="shared" si="88"/>
        <v>339</v>
      </c>
      <c r="I762" s="8">
        <v>745274</v>
      </c>
      <c r="J762" s="8">
        <v>745541</v>
      </c>
      <c r="K762" s="137">
        <f t="shared" si="93"/>
        <v>267</v>
      </c>
      <c r="L762" s="8">
        <v>22342</v>
      </c>
      <c r="M762" s="8">
        <v>22627</v>
      </c>
      <c r="N762" s="137">
        <f t="shared" si="89"/>
        <v>285</v>
      </c>
      <c r="O762" s="128">
        <f t="shared" si="91"/>
        <v>552</v>
      </c>
      <c r="P762" s="8">
        <v>303746</v>
      </c>
      <c r="Q762" s="8">
        <v>303746</v>
      </c>
      <c r="R762" s="128">
        <f>Q762-P762</f>
        <v>0</v>
      </c>
      <c r="AQ762" s="8"/>
      <c r="AR762" s="8"/>
      <c r="AS762" s="8"/>
    </row>
    <row r="763" spans="1:45">
      <c r="A763" s="12">
        <v>45138</v>
      </c>
      <c r="B763" s="8">
        <v>558331</v>
      </c>
      <c r="C763" s="8">
        <v>558331</v>
      </c>
      <c r="D763" s="128">
        <f t="shared" si="90"/>
        <v>0</v>
      </c>
      <c r="E763" s="8">
        <v>152338</v>
      </c>
      <c r="F763" s="8">
        <v>152719</v>
      </c>
      <c r="G763" s="137">
        <f t="shared" si="92"/>
        <v>381</v>
      </c>
      <c r="H763" s="128">
        <f t="shared" si="88"/>
        <v>381</v>
      </c>
      <c r="I763" s="8">
        <v>745541</v>
      </c>
      <c r="J763" s="8">
        <v>745736</v>
      </c>
      <c r="K763" s="137">
        <f t="shared" si="93"/>
        <v>195</v>
      </c>
      <c r="L763" s="8">
        <v>22627</v>
      </c>
      <c r="M763" s="8">
        <v>22884</v>
      </c>
      <c r="N763" s="137">
        <f t="shared" si="89"/>
        <v>257</v>
      </c>
      <c r="O763" s="128">
        <f t="shared" si="91"/>
        <v>452</v>
      </c>
      <c r="P763" s="8">
        <v>303746</v>
      </c>
      <c r="Q763" s="8">
        <v>304036</v>
      </c>
      <c r="R763" s="128">
        <f t="shared" ref="R763:R826" si="94">Q763-P763</f>
        <v>290</v>
      </c>
      <c r="AQ763" s="8"/>
      <c r="AR763" s="8"/>
      <c r="AS763" s="8"/>
    </row>
    <row r="764" spans="1:45">
      <c r="A764" s="12">
        <v>45139</v>
      </c>
      <c r="B764" s="8">
        <v>558331</v>
      </c>
      <c r="C764" s="8">
        <v>558477</v>
      </c>
      <c r="D764" s="128">
        <f t="shared" si="90"/>
        <v>146</v>
      </c>
      <c r="E764" s="8">
        <v>152719</v>
      </c>
      <c r="F764" s="8">
        <v>153183</v>
      </c>
      <c r="G764" s="137">
        <f t="shared" si="92"/>
        <v>464</v>
      </c>
      <c r="H764" s="128">
        <f t="shared" si="88"/>
        <v>610</v>
      </c>
      <c r="I764" s="8">
        <v>745736</v>
      </c>
      <c r="J764" s="8">
        <v>745910</v>
      </c>
      <c r="K764" s="137">
        <f t="shared" si="93"/>
        <v>174</v>
      </c>
      <c r="L764" s="8">
        <v>22884</v>
      </c>
      <c r="M764" s="8">
        <v>23075</v>
      </c>
      <c r="N764" s="137">
        <f t="shared" si="89"/>
        <v>191</v>
      </c>
      <c r="O764" s="128">
        <f t="shared" si="91"/>
        <v>365</v>
      </c>
      <c r="P764" s="8">
        <v>304036</v>
      </c>
      <c r="Q764" s="8">
        <v>304177</v>
      </c>
      <c r="R764" s="128">
        <f t="shared" si="94"/>
        <v>141</v>
      </c>
      <c r="AQ764" s="8"/>
      <c r="AR764" s="8"/>
      <c r="AS764" s="8"/>
    </row>
    <row r="765" spans="1:45">
      <c r="A765" s="12">
        <v>45140</v>
      </c>
      <c r="B765" s="8">
        <v>558477</v>
      </c>
      <c r="C765" s="8">
        <v>558855</v>
      </c>
      <c r="D765" s="128">
        <f t="shared" si="90"/>
        <v>378</v>
      </c>
      <c r="E765" s="8">
        <v>153183</v>
      </c>
      <c r="F765" s="8">
        <v>153600</v>
      </c>
      <c r="G765" s="137">
        <f t="shared" si="92"/>
        <v>417</v>
      </c>
      <c r="H765" s="128">
        <f t="shared" si="88"/>
        <v>795</v>
      </c>
      <c r="I765" s="8">
        <v>745910</v>
      </c>
      <c r="J765" s="8">
        <v>746078</v>
      </c>
      <c r="K765" s="137">
        <f t="shared" si="93"/>
        <v>168</v>
      </c>
      <c r="L765" s="8">
        <v>23075</v>
      </c>
      <c r="M765" s="8">
        <v>23240</v>
      </c>
      <c r="N765" s="137">
        <f t="shared" si="89"/>
        <v>165</v>
      </c>
      <c r="O765" s="128">
        <f t="shared" si="91"/>
        <v>333</v>
      </c>
      <c r="P765" s="8">
        <v>304177</v>
      </c>
      <c r="Q765" s="8">
        <v>304273</v>
      </c>
      <c r="R765" s="128">
        <f t="shared" si="94"/>
        <v>96</v>
      </c>
      <c r="AQ765" s="8"/>
      <c r="AR765" s="8"/>
      <c r="AS765" s="8"/>
    </row>
    <row r="766" spans="1:45">
      <c r="A766" s="12">
        <v>45141</v>
      </c>
      <c r="B766" s="8">
        <v>558855</v>
      </c>
      <c r="C766" s="8">
        <v>559258</v>
      </c>
      <c r="D766" s="128">
        <f t="shared" si="90"/>
        <v>403</v>
      </c>
      <c r="E766" s="8">
        <v>153600</v>
      </c>
      <c r="F766" s="8">
        <v>154060</v>
      </c>
      <c r="G766" s="137">
        <f t="shared" si="92"/>
        <v>460</v>
      </c>
      <c r="H766" s="128">
        <f t="shared" si="88"/>
        <v>863</v>
      </c>
      <c r="I766" s="8">
        <v>746078</v>
      </c>
      <c r="J766" s="8">
        <v>746288</v>
      </c>
      <c r="K766" s="137">
        <f t="shared" si="93"/>
        <v>210</v>
      </c>
      <c r="L766" s="8">
        <v>23240</v>
      </c>
      <c r="M766" s="8">
        <v>23586</v>
      </c>
      <c r="N766" s="137">
        <f t="shared" si="89"/>
        <v>346</v>
      </c>
      <c r="O766" s="128">
        <f t="shared" si="91"/>
        <v>556</v>
      </c>
      <c r="P766" s="8">
        <v>304273</v>
      </c>
      <c r="Q766" s="8">
        <v>304559</v>
      </c>
      <c r="R766" s="128">
        <f t="shared" si="94"/>
        <v>286</v>
      </c>
      <c r="AQ766" s="8"/>
      <c r="AR766" s="8"/>
      <c r="AS766" s="8"/>
    </row>
    <row r="767" spans="1:45">
      <c r="A767" s="12">
        <v>45142</v>
      </c>
      <c r="B767" s="8">
        <v>559258</v>
      </c>
      <c r="C767" s="8">
        <v>559456</v>
      </c>
      <c r="D767" s="128">
        <f t="shared" si="90"/>
        <v>198</v>
      </c>
      <c r="E767" s="8">
        <v>154060</v>
      </c>
      <c r="F767" s="8">
        <v>154384</v>
      </c>
      <c r="G767" s="137">
        <f t="shared" si="92"/>
        <v>324</v>
      </c>
      <c r="H767" s="128">
        <f t="shared" si="88"/>
        <v>522</v>
      </c>
      <c r="I767" s="8">
        <v>746288</v>
      </c>
      <c r="J767" s="8">
        <v>746452</v>
      </c>
      <c r="K767" s="137">
        <f t="shared" si="93"/>
        <v>164</v>
      </c>
      <c r="L767" s="8">
        <v>23586</v>
      </c>
      <c r="M767" s="8">
        <v>23845</v>
      </c>
      <c r="N767" s="137">
        <f t="shared" si="89"/>
        <v>259</v>
      </c>
      <c r="O767" s="128">
        <f t="shared" si="91"/>
        <v>423</v>
      </c>
      <c r="P767" s="8">
        <v>304559</v>
      </c>
      <c r="Q767" s="8">
        <v>304559</v>
      </c>
      <c r="R767" s="128">
        <f t="shared" si="94"/>
        <v>0</v>
      </c>
      <c r="AQ767" s="8"/>
      <c r="AR767" s="8"/>
      <c r="AS767" s="8"/>
    </row>
    <row r="768" spans="1:45">
      <c r="A768" s="12">
        <v>45143</v>
      </c>
      <c r="B768" s="8">
        <v>559456</v>
      </c>
      <c r="C768" s="8">
        <v>559698</v>
      </c>
      <c r="D768" s="128">
        <f t="shared" si="90"/>
        <v>242</v>
      </c>
      <c r="E768" s="8">
        <v>154384</v>
      </c>
      <c r="F768" s="8">
        <v>154665</v>
      </c>
      <c r="G768" s="137">
        <f t="shared" si="92"/>
        <v>281</v>
      </c>
      <c r="H768" s="128">
        <f t="shared" si="88"/>
        <v>523</v>
      </c>
      <c r="I768" s="8">
        <v>746452</v>
      </c>
      <c r="J768" s="8">
        <v>746638</v>
      </c>
      <c r="K768" s="137">
        <f t="shared" si="93"/>
        <v>186</v>
      </c>
      <c r="L768" s="8">
        <v>23845</v>
      </c>
      <c r="M768" s="8">
        <v>24070</v>
      </c>
      <c r="N768" s="137">
        <f t="shared" si="89"/>
        <v>225</v>
      </c>
      <c r="O768" s="128">
        <f t="shared" si="91"/>
        <v>411</v>
      </c>
      <c r="P768" s="8">
        <v>304559</v>
      </c>
      <c r="Q768" s="8">
        <v>304559</v>
      </c>
      <c r="R768" s="128">
        <f t="shared" si="94"/>
        <v>0</v>
      </c>
      <c r="AQ768" s="8"/>
      <c r="AR768" s="8"/>
      <c r="AS768" s="8"/>
    </row>
    <row r="769" spans="1:45">
      <c r="A769" s="12">
        <v>45144</v>
      </c>
      <c r="B769" s="8">
        <v>559698</v>
      </c>
      <c r="C769" s="8">
        <v>559698</v>
      </c>
      <c r="D769" s="128">
        <f t="shared" si="90"/>
        <v>0</v>
      </c>
      <c r="E769" s="8">
        <v>154665</v>
      </c>
      <c r="F769" s="8">
        <v>154665</v>
      </c>
      <c r="G769" s="137">
        <f t="shared" si="92"/>
        <v>0</v>
      </c>
      <c r="H769" s="128">
        <f t="shared" ref="H769:H832" si="95">D769+G769</f>
        <v>0</v>
      </c>
      <c r="I769" s="8">
        <v>746638</v>
      </c>
      <c r="J769" s="8">
        <v>746871</v>
      </c>
      <c r="K769" s="137">
        <f t="shared" si="93"/>
        <v>233</v>
      </c>
      <c r="L769" s="8">
        <v>24070</v>
      </c>
      <c r="M769" s="8">
        <v>24070</v>
      </c>
      <c r="N769" s="137">
        <f t="shared" si="89"/>
        <v>0</v>
      </c>
      <c r="O769" s="128">
        <f t="shared" si="91"/>
        <v>233</v>
      </c>
      <c r="P769" s="8">
        <v>304559</v>
      </c>
      <c r="Q769" s="8">
        <v>304559</v>
      </c>
      <c r="R769" s="128">
        <f t="shared" si="94"/>
        <v>0</v>
      </c>
      <c r="AQ769" s="8"/>
      <c r="AR769" s="8"/>
      <c r="AS769" s="8"/>
    </row>
    <row r="770" spans="1:45">
      <c r="A770" s="12">
        <v>45145</v>
      </c>
      <c r="B770" s="8">
        <v>559698</v>
      </c>
      <c r="C770" s="8">
        <v>559976</v>
      </c>
      <c r="D770" s="128">
        <f t="shared" si="90"/>
        <v>278</v>
      </c>
      <c r="E770" s="8">
        <v>154665</v>
      </c>
      <c r="F770" s="8">
        <v>155069</v>
      </c>
      <c r="G770" s="137">
        <f t="shared" si="92"/>
        <v>404</v>
      </c>
      <c r="H770" s="128">
        <f t="shared" si="95"/>
        <v>682</v>
      </c>
      <c r="I770" s="8">
        <v>746871</v>
      </c>
      <c r="J770" s="8">
        <v>747069</v>
      </c>
      <c r="K770" s="137">
        <f t="shared" si="93"/>
        <v>198</v>
      </c>
      <c r="L770" s="8">
        <v>24070</v>
      </c>
      <c r="M770" s="8">
        <v>24373</v>
      </c>
      <c r="N770" s="137">
        <f t="shared" si="89"/>
        <v>303</v>
      </c>
      <c r="O770" s="128">
        <f t="shared" si="91"/>
        <v>501</v>
      </c>
      <c r="P770" s="8">
        <v>304559</v>
      </c>
      <c r="Q770" s="8">
        <v>304559</v>
      </c>
      <c r="R770" s="128">
        <f t="shared" si="94"/>
        <v>0</v>
      </c>
      <c r="AQ770" s="8"/>
      <c r="AR770" s="8"/>
      <c r="AS770" s="8"/>
    </row>
    <row r="771" spans="1:45">
      <c r="A771" s="12">
        <v>45146</v>
      </c>
      <c r="B771" s="8">
        <v>559976</v>
      </c>
      <c r="C771" s="8">
        <v>560341</v>
      </c>
      <c r="D771" s="128">
        <f t="shared" si="90"/>
        <v>365</v>
      </c>
      <c r="E771" s="8">
        <v>155069</v>
      </c>
      <c r="F771" s="8">
        <v>155469</v>
      </c>
      <c r="G771" s="137">
        <f t="shared" si="92"/>
        <v>400</v>
      </c>
      <c r="H771" s="128">
        <f t="shared" si="95"/>
        <v>765</v>
      </c>
      <c r="I771" s="8">
        <v>747069</v>
      </c>
      <c r="J771" s="8">
        <v>747269</v>
      </c>
      <c r="K771" s="137">
        <f t="shared" si="93"/>
        <v>200</v>
      </c>
      <c r="L771" s="8">
        <v>24373</v>
      </c>
      <c r="M771" s="8">
        <v>24622</v>
      </c>
      <c r="N771" s="137">
        <f t="shared" si="89"/>
        <v>249</v>
      </c>
      <c r="O771" s="128">
        <f t="shared" si="91"/>
        <v>449</v>
      </c>
      <c r="P771" s="8">
        <v>304559</v>
      </c>
      <c r="Q771" s="8">
        <v>304559</v>
      </c>
      <c r="R771" s="128">
        <f t="shared" si="94"/>
        <v>0</v>
      </c>
      <c r="AQ771" s="8"/>
      <c r="AR771" s="8"/>
      <c r="AS771" s="8"/>
    </row>
    <row r="772" spans="1:45">
      <c r="A772" s="12">
        <v>45147</v>
      </c>
      <c r="B772" s="8">
        <v>560341</v>
      </c>
      <c r="C772" s="8">
        <v>560639</v>
      </c>
      <c r="D772" s="128">
        <f t="shared" si="90"/>
        <v>298</v>
      </c>
      <c r="E772" s="8">
        <v>155469</v>
      </c>
      <c r="F772" s="8">
        <v>155886</v>
      </c>
      <c r="G772" s="137">
        <f t="shared" si="92"/>
        <v>417</v>
      </c>
      <c r="H772" s="128">
        <f t="shared" si="95"/>
        <v>715</v>
      </c>
      <c r="I772" s="8">
        <v>747269</v>
      </c>
      <c r="J772" s="8">
        <v>747423</v>
      </c>
      <c r="K772" s="137">
        <f t="shared" si="93"/>
        <v>154</v>
      </c>
      <c r="L772" s="8">
        <v>24622</v>
      </c>
      <c r="M772" s="8">
        <v>24881</v>
      </c>
      <c r="N772" s="137">
        <f t="shared" si="89"/>
        <v>259</v>
      </c>
      <c r="O772" s="128">
        <f t="shared" si="91"/>
        <v>413</v>
      </c>
      <c r="P772" s="8">
        <v>304559</v>
      </c>
      <c r="Q772" s="8">
        <v>304559</v>
      </c>
      <c r="R772" s="128">
        <f t="shared" si="94"/>
        <v>0</v>
      </c>
      <c r="AQ772" s="8"/>
      <c r="AR772" s="8"/>
      <c r="AS772" s="8"/>
    </row>
    <row r="773" spans="1:45">
      <c r="A773" s="12">
        <v>45148</v>
      </c>
      <c r="B773" s="8">
        <v>560639</v>
      </c>
      <c r="C773" s="8">
        <v>560864</v>
      </c>
      <c r="D773" s="128">
        <f t="shared" si="90"/>
        <v>225</v>
      </c>
      <c r="E773" s="8">
        <v>155886</v>
      </c>
      <c r="F773" s="8">
        <v>156258</v>
      </c>
      <c r="G773" s="137">
        <f t="shared" si="92"/>
        <v>372</v>
      </c>
      <c r="H773" s="128">
        <f t="shared" si="95"/>
        <v>597</v>
      </c>
      <c r="I773" s="8">
        <v>747423</v>
      </c>
      <c r="J773" s="8">
        <v>747585</v>
      </c>
      <c r="K773" s="137">
        <f t="shared" si="93"/>
        <v>162</v>
      </c>
      <c r="L773" s="8">
        <v>24881</v>
      </c>
      <c r="M773" s="8">
        <v>25125</v>
      </c>
      <c r="N773" s="137">
        <f t="shared" si="89"/>
        <v>244</v>
      </c>
      <c r="O773" s="128">
        <f t="shared" si="91"/>
        <v>406</v>
      </c>
      <c r="P773" s="8">
        <v>304559</v>
      </c>
      <c r="Q773" s="8">
        <v>304559</v>
      </c>
      <c r="R773" s="128">
        <f t="shared" si="94"/>
        <v>0</v>
      </c>
      <c r="AQ773" s="8"/>
      <c r="AR773" s="8"/>
      <c r="AS773" s="8"/>
    </row>
    <row r="774" spans="1:45">
      <c r="A774" s="12">
        <v>45149</v>
      </c>
      <c r="B774" s="8">
        <v>560864</v>
      </c>
      <c r="C774" s="8">
        <v>561152</v>
      </c>
      <c r="D774" s="128">
        <f t="shared" si="90"/>
        <v>288</v>
      </c>
      <c r="E774" s="8">
        <v>156258</v>
      </c>
      <c r="F774" s="8">
        <v>156668</v>
      </c>
      <c r="G774" s="137">
        <f t="shared" si="92"/>
        <v>410</v>
      </c>
      <c r="H774" s="128">
        <f t="shared" si="95"/>
        <v>698</v>
      </c>
      <c r="I774" s="8">
        <v>747585</v>
      </c>
      <c r="J774" s="8">
        <v>747724</v>
      </c>
      <c r="K774" s="137">
        <f t="shared" si="93"/>
        <v>139</v>
      </c>
      <c r="L774" s="8">
        <v>25125</v>
      </c>
      <c r="M774" s="8">
        <v>25205</v>
      </c>
      <c r="N774" s="137">
        <f t="shared" si="89"/>
        <v>80</v>
      </c>
      <c r="O774" s="128">
        <f t="shared" si="91"/>
        <v>219</v>
      </c>
      <c r="P774" s="8">
        <v>304559</v>
      </c>
      <c r="Q774" s="8">
        <v>304559</v>
      </c>
      <c r="R774" s="128">
        <f t="shared" si="94"/>
        <v>0</v>
      </c>
      <c r="AQ774" s="8"/>
      <c r="AR774" s="8"/>
      <c r="AS774" s="8"/>
    </row>
    <row r="775" spans="1:45">
      <c r="A775" s="12">
        <v>45150</v>
      </c>
      <c r="B775" s="8">
        <v>561152</v>
      </c>
      <c r="C775" s="8">
        <v>561327</v>
      </c>
      <c r="D775" s="128">
        <f t="shared" si="90"/>
        <v>175</v>
      </c>
      <c r="E775" s="8">
        <v>156668</v>
      </c>
      <c r="F775" s="8">
        <v>156898</v>
      </c>
      <c r="G775" s="137">
        <f t="shared" si="92"/>
        <v>230</v>
      </c>
      <c r="H775" s="128">
        <f t="shared" si="95"/>
        <v>405</v>
      </c>
      <c r="I775" s="8">
        <v>747724</v>
      </c>
      <c r="J775" s="8">
        <v>747946</v>
      </c>
      <c r="K775" s="137">
        <f t="shared" si="93"/>
        <v>222</v>
      </c>
      <c r="L775" s="8">
        <v>25205</v>
      </c>
      <c r="M775" s="8">
        <v>25205</v>
      </c>
      <c r="N775" s="137">
        <f t="shared" si="89"/>
        <v>0</v>
      </c>
      <c r="O775" s="128">
        <f t="shared" si="91"/>
        <v>222</v>
      </c>
      <c r="P775" s="8">
        <v>304559</v>
      </c>
      <c r="Q775" s="8">
        <v>305313</v>
      </c>
      <c r="R775" s="128">
        <f t="shared" si="94"/>
        <v>754</v>
      </c>
      <c r="AQ775" s="8"/>
      <c r="AR775" s="8"/>
      <c r="AS775" s="8"/>
    </row>
    <row r="776" spans="1:45">
      <c r="A776" s="12">
        <v>45151</v>
      </c>
      <c r="B776" s="8">
        <v>561327</v>
      </c>
      <c r="C776" s="8">
        <v>561545</v>
      </c>
      <c r="D776" s="128">
        <f t="shared" si="90"/>
        <v>218</v>
      </c>
      <c r="E776" s="8">
        <v>156898</v>
      </c>
      <c r="F776" s="8">
        <v>157148</v>
      </c>
      <c r="G776" s="137">
        <f t="shared" si="92"/>
        <v>250</v>
      </c>
      <c r="H776" s="128">
        <f t="shared" si="95"/>
        <v>468</v>
      </c>
      <c r="I776" s="8">
        <v>747946</v>
      </c>
      <c r="J776" s="8">
        <v>748118</v>
      </c>
      <c r="K776" s="137">
        <f t="shared" si="93"/>
        <v>172</v>
      </c>
      <c r="L776" s="8">
        <v>25205</v>
      </c>
      <c r="M776" s="8">
        <v>25205</v>
      </c>
      <c r="N776" s="137">
        <f t="shared" ref="N776:N839" si="96">M776-L776</f>
        <v>0</v>
      </c>
      <c r="O776" s="128">
        <f t="shared" si="91"/>
        <v>172</v>
      </c>
      <c r="P776" s="8">
        <v>305313</v>
      </c>
      <c r="Q776" s="8">
        <v>305792</v>
      </c>
      <c r="R776" s="128">
        <f t="shared" si="94"/>
        <v>479</v>
      </c>
      <c r="AQ776" s="8"/>
      <c r="AR776" s="8"/>
      <c r="AS776" s="8"/>
    </row>
    <row r="777" spans="1:45">
      <c r="A777" s="12">
        <v>45152</v>
      </c>
      <c r="B777" s="8">
        <v>561545</v>
      </c>
      <c r="C777" s="8">
        <v>561806</v>
      </c>
      <c r="D777" s="128">
        <f t="shared" si="90"/>
        <v>261</v>
      </c>
      <c r="E777" s="8">
        <v>157148</v>
      </c>
      <c r="F777" s="8">
        <v>157447</v>
      </c>
      <c r="G777" s="137">
        <f t="shared" si="92"/>
        <v>299</v>
      </c>
      <c r="H777" s="128">
        <f t="shared" si="95"/>
        <v>560</v>
      </c>
      <c r="I777" s="8">
        <v>748118</v>
      </c>
      <c r="J777" s="8">
        <v>748118</v>
      </c>
      <c r="K777" s="137">
        <f t="shared" si="93"/>
        <v>0</v>
      </c>
      <c r="L777" s="8">
        <v>25205</v>
      </c>
      <c r="M777" s="8">
        <v>25205</v>
      </c>
      <c r="N777" s="137">
        <f t="shared" si="96"/>
        <v>0</v>
      </c>
      <c r="O777" s="128">
        <f t="shared" si="91"/>
        <v>0</v>
      </c>
      <c r="P777" s="8">
        <v>305792</v>
      </c>
      <c r="Q777" s="8">
        <v>306516</v>
      </c>
      <c r="R777" s="128">
        <f t="shared" si="94"/>
        <v>724</v>
      </c>
      <c r="AQ777" s="8"/>
      <c r="AR777" s="8"/>
      <c r="AS777" s="8"/>
    </row>
    <row r="778" spans="1:45">
      <c r="A778" s="12">
        <v>45153</v>
      </c>
      <c r="B778" s="8">
        <v>561806</v>
      </c>
      <c r="C778" s="8">
        <v>561882</v>
      </c>
      <c r="D778" s="128">
        <f t="shared" si="90"/>
        <v>76</v>
      </c>
      <c r="E778" s="8">
        <v>157447</v>
      </c>
      <c r="F778" s="8">
        <v>157774</v>
      </c>
      <c r="G778" s="137">
        <f t="shared" si="92"/>
        <v>327</v>
      </c>
      <c r="H778" s="128">
        <f t="shared" si="95"/>
        <v>403</v>
      </c>
      <c r="I778" s="8">
        <v>748118</v>
      </c>
      <c r="J778" s="8">
        <v>748362</v>
      </c>
      <c r="K778" s="137">
        <f t="shared" si="93"/>
        <v>244</v>
      </c>
      <c r="L778" s="8">
        <v>25205</v>
      </c>
      <c r="M778" s="8">
        <v>25205</v>
      </c>
      <c r="N778" s="137">
        <f t="shared" si="96"/>
        <v>0</v>
      </c>
      <c r="O778" s="128">
        <f t="shared" si="91"/>
        <v>244</v>
      </c>
      <c r="P778" s="8">
        <v>306516</v>
      </c>
      <c r="Q778" s="8">
        <v>307192</v>
      </c>
      <c r="R778" s="128">
        <f t="shared" si="94"/>
        <v>676</v>
      </c>
      <c r="AQ778" s="8"/>
      <c r="AR778" s="8"/>
      <c r="AS778" s="8"/>
    </row>
    <row r="779" spans="1:45">
      <c r="A779" s="12">
        <v>45154</v>
      </c>
      <c r="B779" s="8">
        <v>561882</v>
      </c>
      <c r="C779" s="8">
        <v>562081</v>
      </c>
      <c r="D779" s="128">
        <f t="shared" si="90"/>
        <v>199</v>
      </c>
      <c r="E779" s="8">
        <v>157774</v>
      </c>
      <c r="F779" s="8">
        <v>158150</v>
      </c>
      <c r="G779" s="137">
        <f t="shared" si="92"/>
        <v>376</v>
      </c>
      <c r="H779" s="128">
        <f t="shared" si="95"/>
        <v>575</v>
      </c>
      <c r="I779" s="8">
        <v>748362</v>
      </c>
      <c r="J779" s="8">
        <v>748665</v>
      </c>
      <c r="K779" s="137">
        <f t="shared" si="93"/>
        <v>303</v>
      </c>
      <c r="L779" s="8">
        <v>25205</v>
      </c>
      <c r="M779" s="8">
        <v>25205</v>
      </c>
      <c r="N779" s="137">
        <f t="shared" si="96"/>
        <v>0</v>
      </c>
      <c r="O779" s="128">
        <f t="shared" si="91"/>
        <v>303</v>
      </c>
      <c r="P779" s="8">
        <v>307192</v>
      </c>
      <c r="Q779" s="8">
        <v>307546</v>
      </c>
      <c r="R779" s="128">
        <f t="shared" si="94"/>
        <v>354</v>
      </c>
      <c r="AQ779" s="8"/>
      <c r="AR779" s="8"/>
      <c r="AS779" s="8"/>
    </row>
    <row r="780" spans="1:45">
      <c r="A780" s="12">
        <v>45155</v>
      </c>
      <c r="B780" s="8">
        <v>562081</v>
      </c>
      <c r="C780" s="8">
        <v>562482</v>
      </c>
      <c r="D780" s="128">
        <f t="shared" si="90"/>
        <v>401</v>
      </c>
      <c r="E780" s="8">
        <v>158150</v>
      </c>
      <c r="F780" s="8">
        <v>158547</v>
      </c>
      <c r="G780" s="137">
        <f t="shared" si="92"/>
        <v>397</v>
      </c>
      <c r="H780" s="128">
        <f t="shared" si="95"/>
        <v>798</v>
      </c>
      <c r="I780" s="8">
        <v>748665</v>
      </c>
      <c r="J780" s="8">
        <v>748840</v>
      </c>
      <c r="K780" s="137">
        <f t="shared" si="93"/>
        <v>175</v>
      </c>
      <c r="L780" s="8">
        <v>25205</v>
      </c>
      <c r="M780" s="8">
        <v>25205</v>
      </c>
      <c r="N780" s="137">
        <f t="shared" si="96"/>
        <v>0</v>
      </c>
      <c r="O780" s="128">
        <f t="shared" si="91"/>
        <v>175</v>
      </c>
      <c r="P780" s="8">
        <v>307546</v>
      </c>
      <c r="Q780" s="8">
        <v>307546</v>
      </c>
      <c r="R780" s="128">
        <f t="shared" si="94"/>
        <v>0</v>
      </c>
      <c r="AQ780" s="8"/>
      <c r="AR780" s="8"/>
      <c r="AS780" s="8"/>
    </row>
    <row r="781" spans="1:45">
      <c r="A781" s="12">
        <v>45156</v>
      </c>
      <c r="B781" s="8">
        <v>562482</v>
      </c>
      <c r="C781" s="8">
        <v>562880</v>
      </c>
      <c r="D781" s="128">
        <f t="shared" si="90"/>
        <v>398</v>
      </c>
      <c r="E781" s="8">
        <v>158547</v>
      </c>
      <c r="F781" s="8">
        <v>159014</v>
      </c>
      <c r="G781" s="137">
        <f t="shared" si="92"/>
        <v>467</v>
      </c>
      <c r="H781" s="128">
        <f t="shared" si="95"/>
        <v>865</v>
      </c>
      <c r="I781" s="8">
        <v>748840</v>
      </c>
      <c r="J781" s="8">
        <v>748840</v>
      </c>
      <c r="K781" s="137">
        <f t="shared" si="93"/>
        <v>0</v>
      </c>
      <c r="L781" s="8">
        <v>25205</v>
      </c>
      <c r="M781" s="8">
        <v>25205</v>
      </c>
      <c r="N781" s="137">
        <f t="shared" si="96"/>
        <v>0</v>
      </c>
      <c r="O781" s="128">
        <f t="shared" si="91"/>
        <v>0</v>
      </c>
      <c r="P781" s="8">
        <v>307546</v>
      </c>
      <c r="Q781" s="8">
        <v>307546</v>
      </c>
      <c r="R781" s="128">
        <f t="shared" si="94"/>
        <v>0</v>
      </c>
      <c r="AQ781" s="8"/>
      <c r="AR781" s="8"/>
      <c r="AS781" s="8"/>
    </row>
    <row r="782" spans="1:45">
      <c r="A782" s="12">
        <v>45157</v>
      </c>
      <c r="B782" s="8">
        <v>562880</v>
      </c>
      <c r="C782" s="8">
        <v>563225</v>
      </c>
      <c r="D782" s="128">
        <f t="shared" si="90"/>
        <v>345</v>
      </c>
      <c r="E782" s="8">
        <v>159014</v>
      </c>
      <c r="F782" s="8">
        <v>159397</v>
      </c>
      <c r="G782" s="137">
        <f t="shared" si="92"/>
        <v>383</v>
      </c>
      <c r="H782" s="128">
        <f t="shared" si="95"/>
        <v>728</v>
      </c>
      <c r="I782" s="8">
        <v>748840</v>
      </c>
      <c r="J782" s="8">
        <v>748990</v>
      </c>
      <c r="K782" s="137">
        <f t="shared" si="93"/>
        <v>150</v>
      </c>
      <c r="L782" s="8">
        <v>25205</v>
      </c>
      <c r="M782" s="8">
        <v>25205</v>
      </c>
      <c r="N782" s="137">
        <f t="shared" si="96"/>
        <v>0</v>
      </c>
      <c r="O782" s="128">
        <f t="shared" si="91"/>
        <v>150</v>
      </c>
      <c r="P782" s="8">
        <v>307546</v>
      </c>
      <c r="Q782" s="8">
        <v>307546</v>
      </c>
      <c r="R782" s="128">
        <f t="shared" si="94"/>
        <v>0</v>
      </c>
      <c r="AQ782" s="8"/>
      <c r="AR782" s="8"/>
      <c r="AS782" s="8"/>
    </row>
    <row r="783" spans="1:45">
      <c r="A783" s="12">
        <v>45158</v>
      </c>
      <c r="B783" s="8">
        <v>562880</v>
      </c>
      <c r="C783" s="8">
        <v>563225</v>
      </c>
      <c r="D783" s="128">
        <f t="shared" si="90"/>
        <v>345</v>
      </c>
      <c r="E783" s="8">
        <v>159014</v>
      </c>
      <c r="F783" s="8">
        <v>159727</v>
      </c>
      <c r="G783" s="137">
        <f t="shared" si="92"/>
        <v>713</v>
      </c>
      <c r="H783" s="128">
        <f t="shared" si="95"/>
        <v>1058</v>
      </c>
      <c r="I783" s="8">
        <v>748990</v>
      </c>
      <c r="J783" s="8">
        <v>749089</v>
      </c>
      <c r="K783" s="137">
        <f t="shared" si="93"/>
        <v>99</v>
      </c>
      <c r="L783" s="8">
        <v>25205</v>
      </c>
      <c r="M783" s="8">
        <v>25205</v>
      </c>
      <c r="N783" s="137">
        <f t="shared" si="96"/>
        <v>0</v>
      </c>
      <c r="O783" s="128">
        <f t="shared" si="91"/>
        <v>99</v>
      </c>
      <c r="P783" s="8">
        <v>307546</v>
      </c>
      <c r="Q783" s="8">
        <v>307546</v>
      </c>
      <c r="R783" s="128">
        <f t="shared" si="94"/>
        <v>0</v>
      </c>
      <c r="AQ783" s="8"/>
      <c r="AR783" s="8"/>
      <c r="AS783" s="8"/>
    </row>
    <row r="784" spans="1:45">
      <c r="A784" s="12">
        <v>45159</v>
      </c>
      <c r="B784" s="8">
        <v>563225</v>
      </c>
      <c r="C784" s="8">
        <v>563602</v>
      </c>
      <c r="D784" s="128">
        <f t="shared" si="90"/>
        <v>377</v>
      </c>
      <c r="E784" s="8">
        <v>159727</v>
      </c>
      <c r="F784" s="8">
        <v>160104</v>
      </c>
      <c r="G784" s="137">
        <f t="shared" si="92"/>
        <v>377</v>
      </c>
      <c r="H784" s="128">
        <f t="shared" si="95"/>
        <v>754</v>
      </c>
      <c r="I784" s="8">
        <v>749089</v>
      </c>
      <c r="J784" s="8">
        <v>749263</v>
      </c>
      <c r="K784" s="137">
        <f t="shared" si="93"/>
        <v>174</v>
      </c>
      <c r="L784" s="8">
        <v>25205</v>
      </c>
      <c r="M784" s="8">
        <v>25205</v>
      </c>
      <c r="N784" s="137">
        <f t="shared" si="96"/>
        <v>0</v>
      </c>
      <c r="O784" s="128">
        <f t="shared" si="91"/>
        <v>174</v>
      </c>
      <c r="P784" s="8">
        <v>307546</v>
      </c>
      <c r="Q784" s="8">
        <v>307546</v>
      </c>
      <c r="R784" s="128">
        <f t="shared" si="94"/>
        <v>0</v>
      </c>
      <c r="AQ784" s="8"/>
      <c r="AR784" s="8"/>
      <c r="AS784" s="8"/>
    </row>
    <row r="785" spans="1:45">
      <c r="A785" s="12">
        <v>45160</v>
      </c>
      <c r="B785" s="8">
        <v>563602</v>
      </c>
      <c r="C785" s="8">
        <v>563917</v>
      </c>
      <c r="D785" s="128">
        <f t="shared" si="90"/>
        <v>315</v>
      </c>
      <c r="E785" s="8">
        <v>160104</v>
      </c>
      <c r="F785" s="8">
        <v>160415</v>
      </c>
      <c r="G785" s="137">
        <f t="shared" si="92"/>
        <v>311</v>
      </c>
      <c r="H785" s="128">
        <f t="shared" si="95"/>
        <v>626</v>
      </c>
      <c r="I785" s="8">
        <v>749263</v>
      </c>
      <c r="J785" s="8">
        <v>749431</v>
      </c>
      <c r="K785" s="137">
        <f t="shared" si="93"/>
        <v>168</v>
      </c>
      <c r="L785" s="8">
        <v>25205</v>
      </c>
      <c r="M785" s="8">
        <v>25205</v>
      </c>
      <c r="N785" s="137">
        <f t="shared" si="96"/>
        <v>0</v>
      </c>
      <c r="O785" s="128">
        <f t="shared" si="91"/>
        <v>168</v>
      </c>
      <c r="P785" s="8">
        <v>307546</v>
      </c>
      <c r="Q785" s="8">
        <v>307546</v>
      </c>
      <c r="R785" s="128">
        <f t="shared" si="94"/>
        <v>0</v>
      </c>
      <c r="AQ785" s="8"/>
      <c r="AR785" s="8"/>
      <c r="AS785" s="8"/>
    </row>
    <row r="786" spans="1:45">
      <c r="A786" s="12">
        <v>45161</v>
      </c>
      <c r="B786" s="8">
        <v>563917</v>
      </c>
      <c r="C786" s="8">
        <v>564424</v>
      </c>
      <c r="D786" s="128">
        <f t="shared" si="90"/>
        <v>507</v>
      </c>
      <c r="E786" s="8">
        <v>160415</v>
      </c>
      <c r="F786" s="8">
        <v>160769</v>
      </c>
      <c r="G786" s="137">
        <f t="shared" si="92"/>
        <v>354</v>
      </c>
      <c r="H786" s="128">
        <f t="shared" si="95"/>
        <v>861</v>
      </c>
      <c r="I786" s="8">
        <v>749431</v>
      </c>
      <c r="J786" s="8">
        <v>749620</v>
      </c>
      <c r="K786" s="137">
        <f t="shared" si="93"/>
        <v>189</v>
      </c>
      <c r="L786" s="8">
        <v>25205</v>
      </c>
      <c r="M786" s="8">
        <v>25205</v>
      </c>
      <c r="N786" s="137">
        <f t="shared" si="96"/>
        <v>0</v>
      </c>
      <c r="O786" s="128">
        <f t="shared" si="91"/>
        <v>189</v>
      </c>
      <c r="P786" s="8">
        <v>307546</v>
      </c>
      <c r="Q786" s="8">
        <v>307546</v>
      </c>
      <c r="R786" s="128">
        <f t="shared" si="94"/>
        <v>0</v>
      </c>
      <c r="AQ786" s="8"/>
      <c r="AR786" s="8"/>
      <c r="AS786" s="8"/>
    </row>
    <row r="787" spans="1:45">
      <c r="A787" s="12">
        <v>45162</v>
      </c>
      <c r="B787" s="8">
        <v>564424</v>
      </c>
      <c r="C787" s="8">
        <v>564424</v>
      </c>
      <c r="D787" s="128">
        <f t="shared" si="90"/>
        <v>0</v>
      </c>
      <c r="E787" s="8">
        <v>160769</v>
      </c>
      <c r="F787" s="8">
        <v>161137</v>
      </c>
      <c r="G787" s="137">
        <f t="shared" si="92"/>
        <v>368</v>
      </c>
      <c r="H787" s="128">
        <f t="shared" si="95"/>
        <v>368</v>
      </c>
      <c r="I787" s="8">
        <v>749620</v>
      </c>
      <c r="J787" s="8">
        <v>749780</v>
      </c>
      <c r="K787" s="137">
        <f t="shared" si="93"/>
        <v>160</v>
      </c>
      <c r="L787" s="8">
        <v>25205</v>
      </c>
      <c r="M787" s="8">
        <v>25205</v>
      </c>
      <c r="N787" s="137">
        <f t="shared" si="96"/>
        <v>0</v>
      </c>
      <c r="O787" s="128">
        <f t="shared" si="91"/>
        <v>160</v>
      </c>
      <c r="P787" s="8">
        <v>307546</v>
      </c>
      <c r="Q787" s="8">
        <v>307546</v>
      </c>
      <c r="R787" s="128">
        <f t="shared" si="94"/>
        <v>0</v>
      </c>
      <c r="AQ787" s="8"/>
      <c r="AR787" s="8"/>
      <c r="AS787" s="8"/>
    </row>
    <row r="788" spans="1:45">
      <c r="A788" s="12">
        <v>45163</v>
      </c>
      <c r="B788" s="8">
        <v>564424</v>
      </c>
      <c r="C788" s="8">
        <v>564424</v>
      </c>
      <c r="D788" s="128">
        <f t="shared" si="90"/>
        <v>0</v>
      </c>
      <c r="E788" s="8">
        <v>161137</v>
      </c>
      <c r="F788" s="8">
        <v>161492</v>
      </c>
      <c r="G788" s="137">
        <f t="shared" si="92"/>
        <v>355</v>
      </c>
      <c r="H788" s="128">
        <f t="shared" si="95"/>
        <v>355</v>
      </c>
      <c r="I788" s="8">
        <v>749780</v>
      </c>
      <c r="J788" s="8">
        <v>749954</v>
      </c>
      <c r="K788" s="137">
        <f t="shared" si="93"/>
        <v>174</v>
      </c>
      <c r="L788" s="8">
        <v>25205</v>
      </c>
      <c r="M788" s="8">
        <v>25205</v>
      </c>
      <c r="N788" s="137">
        <f t="shared" si="96"/>
        <v>0</v>
      </c>
      <c r="O788" s="128">
        <f t="shared" si="91"/>
        <v>174</v>
      </c>
      <c r="P788" s="8">
        <v>307546</v>
      </c>
      <c r="Q788" s="8">
        <v>307546</v>
      </c>
      <c r="R788" s="128">
        <f t="shared" si="94"/>
        <v>0</v>
      </c>
      <c r="AQ788" s="8"/>
      <c r="AR788" s="8"/>
      <c r="AS788" s="8"/>
    </row>
    <row r="789" spans="1:45">
      <c r="A789" s="12">
        <v>45164</v>
      </c>
      <c r="B789" s="8">
        <v>564424</v>
      </c>
      <c r="C789" s="8">
        <v>564424</v>
      </c>
      <c r="D789" s="128">
        <f t="shared" si="90"/>
        <v>0</v>
      </c>
      <c r="E789" s="8">
        <v>161492</v>
      </c>
      <c r="F789" s="8">
        <v>161841</v>
      </c>
      <c r="G789" s="137">
        <f t="shared" si="92"/>
        <v>349</v>
      </c>
      <c r="H789" s="128">
        <f t="shared" si="95"/>
        <v>349</v>
      </c>
      <c r="I789" s="8">
        <v>749954</v>
      </c>
      <c r="J789" s="8">
        <v>750262</v>
      </c>
      <c r="K789" s="137">
        <f t="shared" si="93"/>
        <v>308</v>
      </c>
      <c r="L789" s="8">
        <v>25205</v>
      </c>
      <c r="M789" s="8">
        <v>25205</v>
      </c>
      <c r="N789" s="137">
        <f t="shared" si="96"/>
        <v>0</v>
      </c>
      <c r="O789" s="128">
        <f t="shared" si="91"/>
        <v>308</v>
      </c>
      <c r="P789" s="8">
        <v>307546</v>
      </c>
      <c r="Q789" s="8">
        <v>307546</v>
      </c>
      <c r="R789" s="128">
        <f t="shared" si="94"/>
        <v>0</v>
      </c>
      <c r="AQ789" s="8"/>
      <c r="AR789" s="8"/>
      <c r="AS789" s="8"/>
    </row>
    <row r="790" spans="1:45">
      <c r="A790" s="12">
        <v>45165</v>
      </c>
      <c r="B790" s="8">
        <v>564424</v>
      </c>
      <c r="C790" s="8">
        <v>564424</v>
      </c>
      <c r="D790" s="128">
        <f t="shared" si="90"/>
        <v>0</v>
      </c>
      <c r="E790" s="8">
        <v>161841</v>
      </c>
      <c r="F790" s="8">
        <v>162148</v>
      </c>
      <c r="G790" s="137">
        <f t="shared" si="92"/>
        <v>307</v>
      </c>
      <c r="H790" s="128">
        <f t="shared" si="95"/>
        <v>307</v>
      </c>
      <c r="I790" s="8">
        <v>750262</v>
      </c>
      <c r="J790" s="8">
        <v>750455</v>
      </c>
      <c r="K790" s="137">
        <f t="shared" si="93"/>
        <v>193</v>
      </c>
      <c r="L790" s="8">
        <v>25205</v>
      </c>
      <c r="M790" s="8">
        <v>25205</v>
      </c>
      <c r="N790" s="137">
        <f t="shared" si="96"/>
        <v>0</v>
      </c>
      <c r="O790" s="128">
        <f t="shared" si="91"/>
        <v>193</v>
      </c>
      <c r="P790" s="8">
        <v>307546</v>
      </c>
      <c r="Q790" s="8">
        <v>307546</v>
      </c>
      <c r="R790" s="128">
        <f t="shared" si="94"/>
        <v>0</v>
      </c>
      <c r="AQ790" s="8"/>
      <c r="AR790" s="8"/>
      <c r="AS790" s="8"/>
    </row>
    <row r="791" spans="1:45">
      <c r="A791" s="12">
        <v>45166</v>
      </c>
      <c r="B791" s="8">
        <v>564424</v>
      </c>
      <c r="C791" s="8">
        <v>564637</v>
      </c>
      <c r="D791" s="128">
        <f t="shared" si="90"/>
        <v>213</v>
      </c>
      <c r="E791" s="8">
        <v>162148</v>
      </c>
      <c r="F791" s="8">
        <v>162516</v>
      </c>
      <c r="G791" s="137">
        <f t="shared" si="92"/>
        <v>368</v>
      </c>
      <c r="H791" s="128">
        <f t="shared" si="95"/>
        <v>581</v>
      </c>
      <c r="I791" s="8">
        <v>750455</v>
      </c>
      <c r="J791" s="8">
        <v>750754</v>
      </c>
      <c r="K791" s="137">
        <f t="shared" si="93"/>
        <v>299</v>
      </c>
      <c r="L791" s="8">
        <v>25205</v>
      </c>
      <c r="M791" s="8">
        <v>25205</v>
      </c>
      <c r="N791" s="137">
        <f t="shared" si="96"/>
        <v>0</v>
      </c>
      <c r="O791" s="128">
        <f t="shared" si="91"/>
        <v>299</v>
      </c>
      <c r="P791" s="8">
        <v>307546</v>
      </c>
      <c r="Q791" s="8">
        <v>308309</v>
      </c>
      <c r="R791" s="128">
        <f t="shared" si="94"/>
        <v>763</v>
      </c>
      <c r="AQ791" s="8"/>
      <c r="AR791" s="8"/>
      <c r="AS791" s="8"/>
    </row>
    <row r="792" spans="1:45">
      <c r="A792" s="12">
        <v>45167</v>
      </c>
      <c r="B792" s="8">
        <v>564637</v>
      </c>
      <c r="C792" s="8">
        <v>564927</v>
      </c>
      <c r="D792" s="128">
        <f t="shared" si="90"/>
        <v>290</v>
      </c>
      <c r="E792" s="8">
        <v>162516</v>
      </c>
      <c r="F792" s="8">
        <v>162790</v>
      </c>
      <c r="G792" s="137">
        <f t="shared" si="92"/>
        <v>274</v>
      </c>
      <c r="H792" s="128">
        <f t="shared" si="95"/>
        <v>564</v>
      </c>
      <c r="I792" s="8">
        <v>750754</v>
      </c>
      <c r="J792" s="8">
        <v>751022</v>
      </c>
      <c r="K792" s="137">
        <f t="shared" si="93"/>
        <v>268</v>
      </c>
      <c r="L792" s="8">
        <v>25205</v>
      </c>
      <c r="M792" s="8">
        <v>25205</v>
      </c>
      <c r="N792" s="137">
        <f t="shared" si="96"/>
        <v>0</v>
      </c>
      <c r="O792" s="128">
        <f t="shared" si="91"/>
        <v>268</v>
      </c>
      <c r="P792" s="8">
        <v>308309</v>
      </c>
      <c r="Q792" s="8">
        <v>308961</v>
      </c>
      <c r="R792" s="128">
        <f t="shared" si="94"/>
        <v>652</v>
      </c>
      <c r="AQ792" s="8"/>
      <c r="AR792" s="8"/>
      <c r="AS792" s="8"/>
    </row>
    <row r="793" spans="1:45">
      <c r="A793" s="12">
        <v>45168</v>
      </c>
      <c r="B793" s="8">
        <v>564927</v>
      </c>
      <c r="C793" s="8">
        <v>565176</v>
      </c>
      <c r="D793" s="128">
        <f t="shared" si="90"/>
        <v>249</v>
      </c>
      <c r="E793" s="8">
        <v>162790</v>
      </c>
      <c r="F793" s="8">
        <v>163086</v>
      </c>
      <c r="G793" s="137">
        <f t="shared" si="92"/>
        <v>296</v>
      </c>
      <c r="H793" s="128">
        <f t="shared" si="95"/>
        <v>545</v>
      </c>
      <c r="I793" s="8">
        <v>751022</v>
      </c>
      <c r="J793" s="8">
        <v>751330</v>
      </c>
      <c r="K793" s="137">
        <f t="shared" si="93"/>
        <v>308</v>
      </c>
      <c r="L793" s="8">
        <v>25205</v>
      </c>
      <c r="M793" s="8">
        <v>25205</v>
      </c>
      <c r="N793" s="137">
        <f t="shared" si="96"/>
        <v>0</v>
      </c>
      <c r="O793" s="128">
        <f t="shared" si="91"/>
        <v>308</v>
      </c>
      <c r="P793" s="8">
        <v>308961</v>
      </c>
      <c r="Q793" s="8">
        <v>309126</v>
      </c>
      <c r="R793" s="128">
        <f t="shared" si="94"/>
        <v>165</v>
      </c>
      <c r="AQ793" s="8"/>
      <c r="AR793" s="8"/>
      <c r="AS793" s="8"/>
    </row>
    <row r="794" spans="1:45">
      <c r="A794" s="12">
        <v>45169</v>
      </c>
      <c r="B794" s="8">
        <v>565176</v>
      </c>
      <c r="C794" s="8">
        <v>565413</v>
      </c>
      <c r="D794" s="128">
        <f t="shared" si="90"/>
        <v>237</v>
      </c>
      <c r="E794" s="8">
        <v>163086</v>
      </c>
      <c r="F794" s="8">
        <v>163328</v>
      </c>
      <c r="G794" s="137">
        <f t="shared" si="92"/>
        <v>242</v>
      </c>
      <c r="H794" s="128">
        <f t="shared" si="95"/>
        <v>479</v>
      </c>
      <c r="I794" s="8">
        <v>751330</v>
      </c>
      <c r="J794" s="8">
        <v>751571</v>
      </c>
      <c r="K794" s="137">
        <f t="shared" si="93"/>
        <v>241</v>
      </c>
      <c r="L794" s="8">
        <v>25205</v>
      </c>
      <c r="M794" s="8">
        <v>25205</v>
      </c>
      <c r="N794" s="137">
        <f t="shared" si="96"/>
        <v>0</v>
      </c>
      <c r="O794" s="128">
        <f t="shared" si="91"/>
        <v>241</v>
      </c>
      <c r="P794" s="8">
        <v>309126</v>
      </c>
      <c r="Q794" s="8">
        <v>309126</v>
      </c>
      <c r="R794" s="128">
        <f t="shared" si="94"/>
        <v>0</v>
      </c>
      <c r="AQ794" s="8"/>
      <c r="AR794" s="8"/>
      <c r="AS794" s="8"/>
    </row>
    <row r="795" spans="1:45">
      <c r="A795" s="12">
        <v>45170</v>
      </c>
      <c r="B795" s="8">
        <v>565413</v>
      </c>
      <c r="C795" s="8">
        <v>565779</v>
      </c>
      <c r="D795" s="128">
        <f t="shared" si="90"/>
        <v>366</v>
      </c>
      <c r="E795" s="8">
        <v>163328</v>
      </c>
      <c r="F795" s="8">
        <v>163679</v>
      </c>
      <c r="G795" s="137">
        <f t="shared" si="92"/>
        <v>351</v>
      </c>
      <c r="H795" s="128">
        <f t="shared" si="95"/>
        <v>717</v>
      </c>
      <c r="I795" s="8">
        <v>751571</v>
      </c>
      <c r="J795" s="8">
        <v>751753</v>
      </c>
      <c r="K795" s="137">
        <f t="shared" si="93"/>
        <v>182</v>
      </c>
      <c r="L795" s="8">
        <v>25205</v>
      </c>
      <c r="M795" s="8">
        <v>25205</v>
      </c>
      <c r="N795" s="137">
        <f t="shared" si="96"/>
        <v>0</v>
      </c>
      <c r="O795" s="128">
        <f t="shared" si="91"/>
        <v>182</v>
      </c>
      <c r="P795" s="8">
        <v>309126</v>
      </c>
      <c r="Q795" s="8">
        <v>309126</v>
      </c>
      <c r="R795" s="128">
        <f t="shared" si="94"/>
        <v>0</v>
      </c>
      <c r="AQ795" s="8"/>
      <c r="AR795" s="8"/>
      <c r="AS795" s="8"/>
    </row>
    <row r="796" spans="1:45">
      <c r="A796" s="12">
        <v>45171</v>
      </c>
      <c r="B796" s="8">
        <v>565779</v>
      </c>
      <c r="C796" s="8">
        <v>566118</v>
      </c>
      <c r="D796" s="128">
        <f t="shared" si="90"/>
        <v>339</v>
      </c>
      <c r="E796" s="8">
        <v>163679</v>
      </c>
      <c r="F796" s="8">
        <v>164109</v>
      </c>
      <c r="G796" s="137">
        <f t="shared" si="92"/>
        <v>430</v>
      </c>
      <c r="H796" s="128">
        <f t="shared" si="95"/>
        <v>769</v>
      </c>
      <c r="I796" s="8">
        <v>751753</v>
      </c>
      <c r="J796" s="8">
        <v>752000</v>
      </c>
      <c r="K796" s="137">
        <f t="shared" si="93"/>
        <v>247</v>
      </c>
      <c r="L796" s="8">
        <v>25205</v>
      </c>
      <c r="M796" s="8">
        <v>25205</v>
      </c>
      <c r="N796" s="137">
        <f t="shared" si="96"/>
        <v>0</v>
      </c>
      <c r="O796" s="128">
        <f t="shared" si="91"/>
        <v>247</v>
      </c>
      <c r="P796" s="8">
        <v>309126</v>
      </c>
      <c r="Q796" s="8">
        <v>309126</v>
      </c>
      <c r="R796" s="128">
        <f t="shared" si="94"/>
        <v>0</v>
      </c>
      <c r="AQ796" s="8"/>
      <c r="AR796" s="8"/>
      <c r="AS796" s="8"/>
    </row>
    <row r="797" spans="1:45">
      <c r="A797" s="12">
        <v>45172</v>
      </c>
      <c r="B797" s="8">
        <v>566118</v>
      </c>
      <c r="C797" s="8">
        <v>566366</v>
      </c>
      <c r="D797" s="128">
        <f t="shared" si="90"/>
        <v>248</v>
      </c>
      <c r="E797" s="8">
        <v>164109</v>
      </c>
      <c r="F797" s="8">
        <v>164258</v>
      </c>
      <c r="G797" s="137">
        <f t="shared" si="92"/>
        <v>149</v>
      </c>
      <c r="H797" s="128">
        <f t="shared" si="95"/>
        <v>397</v>
      </c>
      <c r="I797" s="8">
        <v>752000</v>
      </c>
      <c r="J797" s="8">
        <v>752239</v>
      </c>
      <c r="K797" s="137">
        <f t="shared" si="93"/>
        <v>239</v>
      </c>
      <c r="L797" s="8">
        <v>25205</v>
      </c>
      <c r="M797" s="8">
        <v>25205</v>
      </c>
      <c r="N797" s="137">
        <f t="shared" si="96"/>
        <v>0</v>
      </c>
      <c r="O797" s="128">
        <f t="shared" si="91"/>
        <v>239</v>
      </c>
      <c r="P797" s="8">
        <v>309126</v>
      </c>
      <c r="Q797" s="8">
        <v>309126</v>
      </c>
      <c r="R797" s="128">
        <f t="shared" si="94"/>
        <v>0</v>
      </c>
      <c r="AQ797" s="8"/>
      <c r="AR797" s="8"/>
      <c r="AS797" s="8"/>
    </row>
    <row r="798" spans="1:45">
      <c r="A798" s="12">
        <v>45173</v>
      </c>
      <c r="B798" s="8">
        <v>566366</v>
      </c>
      <c r="C798" s="8">
        <v>566635</v>
      </c>
      <c r="D798" s="128">
        <f t="shared" si="90"/>
        <v>269</v>
      </c>
      <c r="E798" s="8">
        <v>164258</v>
      </c>
      <c r="F798" s="8">
        <v>164258</v>
      </c>
      <c r="G798" s="137">
        <f>F798-E798</f>
        <v>0</v>
      </c>
      <c r="H798" s="128">
        <f t="shared" si="95"/>
        <v>269</v>
      </c>
      <c r="I798" s="8">
        <v>752239</v>
      </c>
      <c r="J798" s="8">
        <v>752461</v>
      </c>
      <c r="K798" s="137">
        <f t="shared" si="93"/>
        <v>222</v>
      </c>
      <c r="L798" s="8">
        <v>25205</v>
      </c>
      <c r="M798" s="8">
        <v>25205</v>
      </c>
      <c r="N798" s="137">
        <f t="shared" si="96"/>
        <v>0</v>
      </c>
      <c r="O798" s="128">
        <f t="shared" si="91"/>
        <v>222</v>
      </c>
      <c r="P798" s="8">
        <v>309126</v>
      </c>
      <c r="Q798" s="8">
        <v>309126</v>
      </c>
      <c r="R798" s="128">
        <f t="shared" si="94"/>
        <v>0</v>
      </c>
      <c r="AQ798" s="8"/>
      <c r="AR798" s="8"/>
      <c r="AS798" s="8"/>
    </row>
    <row r="799" spans="1:45">
      <c r="A799" s="12">
        <v>45174</v>
      </c>
      <c r="B799" s="8">
        <v>566635</v>
      </c>
      <c r="C799" s="8">
        <v>566923</v>
      </c>
      <c r="D799" s="128">
        <f t="shared" ref="D799:D863" si="97">C799-B799</f>
        <v>288</v>
      </c>
      <c r="E799" s="8">
        <v>164258</v>
      </c>
      <c r="F799" s="8">
        <v>164582</v>
      </c>
      <c r="G799" s="137">
        <f t="shared" si="92"/>
        <v>324</v>
      </c>
      <c r="H799" s="128">
        <f t="shared" si="95"/>
        <v>612</v>
      </c>
      <c r="I799" s="8">
        <v>752461</v>
      </c>
      <c r="J799" s="8">
        <v>752684</v>
      </c>
      <c r="K799" s="137">
        <f t="shared" si="93"/>
        <v>223</v>
      </c>
      <c r="L799" s="8">
        <v>25205</v>
      </c>
      <c r="M799" s="8">
        <v>25205</v>
      </c>
      <c r="N799" s="137">
        <f t="shared" si="96"/>
        <v>0</v>
      </c>
      <c r="O799" s="128">
        <f t="shared" si="91"/>
        <v>223</v>
      </c>
      <c r="P799" s="8">
        <v>309126</v>
      </c>
      <c r="Q799" s="8">
        <v>309578</v>
      </c>
      <c r="R799" s="128">
        <f t="shared" si="94"/>
        <v>452</v>
      </c>
      <c r="AQ799" s="8"/>
      <c r="AR799" s="8"/>
      <c r="AS799" s="8"/>
    </row>
    <row r="800" spans="1:45">
      <c r="A800" s="12">
        <v>45175</v>
      </c>
      <c r="B800" s="8">
        <v>566923</v>
      </c>
      <c r="C800" s="8">
        <v>567168</v>
      </c>
      <c r="D800" s="128">
        <f t="shared" si="97"/>
        <v>245</v>
      </c>
      <c r="E800" s="8">
        <v>164582</v>
      </c>
      <c r="F800" s="8">
        <v>164892</v>
      </c>
      <c r="G800" s="137">
        <f t="shared" si="92"/>
        <v>310</v>
      </c>
      <c r="H800" s="128">
        <f t="shared" si="95"/>
        <v>555</v>
      </c>
      <c r="I800" s="8">
        <v>752684</v>
      </c>
      <c r="J800" s="8">
        <v>752846</v>
      </c>
      <c r="K800" s="137">
        <f t="shared" si="93"/>
        <v>162</v>
      </c>
      <c r="L800" s="8">
        <v>25205</v>
      </c>
      <c r="M800" s="8">
        <v>25205</v>
      </c>
      <c r="N800" s="137">
        <f t="shared" si="96"/>
        <v>0</v>
      </c>
      <c r="O800" s="128">
        <f t="shared" si="91"/>
        <v>162</v>
      </c>
      <c r="P800" s="8">
        <v>309578</v>
      </c>
      <c r="Q800" s="8">
        <v>310262</v>
      </c>
      <c r="R800" s="128">
        <f t="shared" si="94"/>
        <v>684</v>
      </c>
      <c r="AQ800" s="8"/>
      <c r="AR800" s="8"/>
      <c r="AS800" s="8"/>
    </row>
    <row r="801" spans="1:45">
      <c r="A801" s="12">
        <v>45176</v>
      </c>
      <c r="B801" s="8">
        <v>567168</v>
      </c>
      <c r="C801" s="8">
        <v>567422</v>
      </c>
      <c r="D801" s="128">
        <f t="shared" si="97"/>
        <v>254</v>
      </c>
      <c r="E801" s="8">
        <v>164892</v>
      </c>
      <c r="F801" s="8">
        <v>165190</v>
      </c>
      <c r="G801" s="137">
        <f t="shared" si="92"/>
        <v>298</v>
      </c>
      <c r="H801" s="128">
        <f t="shared" si="95"/>
        <v>552</v>
      </c>
      <c r="I801" s="8">
        <v>752846</v>
      </c>
      <c r="J801" s="8">
        <v>752989</v>
      </c>
      <c r="K801" s="137">
        <f t="shared" si="93"/>
        <v>143</v>
      </c>
      <c r="L801" s="8">
        <v>25205</v>
      </c>
      <c r="M801" s="8">
        <v>25205</v>
      </c>
      <c r="N801" s="137">
        <f t="shared" si="96"/>
        <v>0</v>
      </c>
      <c r="O801" s="128">
        <f t="shared" si="91"/>
        <v>143</v>
      </c>
      <c r="P801" s="8">
        <v>310262</v>
      </c>
      <c r="Q801" s="8">
        <v>310546</v>
      </c>
      <c r="R801" s="128">
        <f t="shared" si="94"/>
        <v>284</v>
      </c>
      <c r="AQ801" s="8"/>
      <c r="AR801" s="8"/>
      <c r="AS801" s="8"/>
    </row>
    <row r="802" spans="1:45">
      <c r="A802" s="12">
        <v>45177</v>
      </c>
      <c r="B802" s="8">
        <v>567422</v>
      </c>
      <c r="C802" s="8">
        <v>567663</v>
      </c>
      <c r="D802" s="128">
        <f t="shared" si="97"/>
        <v>241</v>
      </c>
      <c r="E802" s="8">
        <v>165190</v>
      </c>
      <c r="F802" s="8">
        <v>165421</v>
      </c>
      <c r="G802" s="137">
        <f t="shared" si="92"/>
        <v>231</v>
      </c>
      <c r="H802" s="128">
        <f t="shared" si="95"/>
        <v>472</v>
      </c>
      <c r="I802" s="8">
        <v>752989</v>
      </c>
      <c r="J802" s="8">
        <v>753125</v>
      </c>
      <c r="K802" s="137">
        <f t="shared" si="93"/>
        <v>136</v>
      </c>
      <c r="L802" s="8">
        <v>25205</v>
      </c>
      <c r="M802" s="8">
        <v>25205</v>
      </c>
      <c r="N802" s="137">
        <f t="shared" si="96"/>
        <v>0</v>
      </c>
      <c r="O802" s="128">
        <f t="shared" si="91"/>
        <v>136</v>
      </c>
      <c r="P802" s="8">
        <v>310546</v>
      </c>
      <c r="Q802" s="8">
        <v>310851</v>
      </c>
      <c r="R802" s="128">
        <f t="shared" si="94"/>
        <v>305</v>
      </c>
      <c r="AQ802" s="8"/>
      <c r="AR802" s="8"/>
      <c r="AS802" s="8"/>
    </row>
    <row r="803" spans="1:45">
      <c r="A803" s="12">
        <v>45178</v>
      </c>
      <c r="B803" s="8">
        <v>567663</v>
      </c>
      <c r="C803" s="8">
        <v>567920</v>
      </c>
      <c r="D803" s="128">
        <f t="shared" si="97"/>
        <v>257</v>
      </c>
      <c r="E803" s="8">
        <v>165421</v>
      </c>
      <c r="F803" s="8">
        <v>165751</v>
      </c>
      <c r="G803" s="137">
        <f t="shared" si="92"/>
        <v>330</v>
      </c>
      <c r="H803" s="128">
        <f t="shared" si="95"/>
        <v>587</v>
      </c>
      <c r="I803" s="8">
        <v>753125</v>
      </c>
      <c r="J803" s="8">
        <v>753340</v>
      </c>
      <c r="K803" s="137">
        <f t="shared" si="93"/>
        <v>215</v>
      </c>
      <c r="L803" s="8">
        <v>25205</v>
      </c>
      <c r="M803" s="8">
        <v>25205</v>
      </c>
      <c r="N803" s="137">
        <f t="shared" si="96"/>
        <v>0</v>
      </c>
      <c r="O803" s="128">
        <f t="shared" si="91"/>
        <v>215</v>
      </c>
      <c r="P803" s="8">
        <v>310851</v>
      </c>
      <c r="Q803" s="8">
        <v>310947</v>
      </c>
      <c r="R803" s="128">
        <f t="shared" si="94"/>
        <v>96</v>
      </c>
      <c r="AQ803" s="8"/>
      <c r="AR803" s="8"/>
      <c r="AS803" s="8"/>
    </row>
    <row r="804" spans="1:45">
      <c r="A804" s="12">
        <v>45179</v>
      </c>
      <c r="B804" s="8">
        <v>567920</v>
      </c>
      <c r="C804" s="8">
        <v>568211</v>
      </c>
      <c r="D804" s="128">
        <f t="shared" si="97"/>
        <v>291</v>
      </c>
      <c r="E804" s="8">
        <v>165751</v>
      </c>
      <c r="F804" s="8">
        <v>166040</v>
      </c>
      <c r="G804" s="137">
        <f t="shared" si="92"/>
        <v>289</v>
      </c>
      <c r="H804" s="128">
        <f t="shared" si="95"/>
        <v>580</v>
      </c>
      <c r="I804" s="8">
        <v>753340</v>
      </c>
      <c r="J804" s="8">
        <v>753598</v>
      </c>
      <c r="K804" s="137">
        <f t="shared" si="93"/>
        <v>258</v>
      </c>
      <c r="L804" s="8">
        <v>25205</v>
      </c>
      <c r="M804" s="8">
        <v>25205</v>
      </c>
      <c r="N804" s="137">
        <f t="shared" si="96"/>
        <v>0</v>
      </c>
      <c r="O804" s="128">
        <f t="shared" si="91"/>
        <v>258</v>
      </c>
      <c r="P804" s="8">
        <v>310947</v>
      </c>
      <c r="Q804" s="8">
        <v>310947</v>
      </c>
      <c r="R804" s="128">
        <f t="shared" si="94"/>
        <v>0</v>
      </c>
      <c r="AQ804" s="8"/>
      <c r="AR804" s="8"/>
      <c r="AS804" s="8"/>
    </row>
    <row r="805" spans="1:45">
      <c r="A805" s="12">
        <v>45180</v>
      </c>
      <c r="B805" s="8">
        <v>568211</v>
      </c>
      <c r="C805" s="8">
        <v>568497</v>
      </c>
      <c r="D805" s="128">
        <f t="shared" si="97"/>
        <v>286</v>
      </c>
      <c r="E805" s="8">
        <v>166040</v>
      </c>
      <c r="F805" s="8">
        <v>166337</v>
      </c>
      <c r="G805" s="137">
        <f t="shared" si="92"/>
        <v>297</v>
      </c>
      <c r="H805" s="128">
        <f t="shared" si="95"/>
        <v>583</v>
      </c>
      <c r="I805" s="8">
        <v>753598</v>
      </c>
      <c r="J805" s="8">
        <v>753811</v>
      </c>
      <c r="K805" s="137">
        <f t="shared" si="93"/>
        <v>213</v>
      </c>
      <c r="L805" s="8">
        <v>25205</v>
      </c>
      <c r="M805" s="8">
        <v>25205</v>
      </c>
      <c r="N805" s="137">
        <f t="shared" si="96"/>
        <v>0</v>
      </c>
      <c r="O805" s="128">
        <f t="shared" si="91"/>
        <v>213</v>
      </c>
      <c r="P805" s="8">
        <v>310947</v>
      </c>
      <c r="Q805" s="8">
        <v>311459</v>
      </c>
      <c r="R805" s="128">
        <f t="shared" si="94"/>
        <v>512</v>
      </c>
      <c r="AQ805" s="8"/>
      <c r="AR805" s="8"/>
      <c r="AS805" s="8"/>
    </row>
    <row r="806" spans="1:45">
      <c r="A806" s="12">
        <v>45181</v>
      </c>
      <c r="B806" s="8">
        <v>568497</v>
      </c>
      <c r="C806" s="8">
        <v>568782</v>
      </c>
      <c r="D806" s="128">
        <f t="shared" si="97"/>
        <v>285</v>
      </c>
      <c r="E806" s="8">
        <v>166337</v>
      </c>
      <c r="F806" s="8">
        <v>166534</v>
      </c>
      <c r="G806" s="137">
        <f t="shared" si="92"/>
        <v>197</v>
      </c>
      <c r="H806" s="128">
        <f t="shared" si="95"/>
        <v>482</v>
      </c>
      <c r="I806" s="8">
        <v>753811</v>
      </c>
      <c r="J806" s="8">
        <v>753998</v>
      </c>
      <c r="K806" s="137">
        <f t="shared" si="93"/>
        <v>187</v>
      </c>
      <c r="L806" s="8">
        <v>25205</v>
      </c>
      <c r="M806" s="8">
        <v>25205</v>
      </c>
      <c r="N806" s="137">
        <f t="shared" si="96"/>
        <v>0</v>
      </c>
      <c r="O806" s="128">
        <f t="shared" si="91"/>
        <v>187</v>
      </c>
      <c r="P806" s="8">
        <v>311459</v>
      </c>
      <c r="Q806" s="8">
        <v>312222</v>
      </c>
      <c r="R806" s="128">
        <f t="shared" si="94"/>
        <v>763</v>
      </c>
      <c r="AQ806" s="8"/>
      <c r="AR806" s="8"/>
      <c r="AS806" s="8"/>
    </row>
    <row r="807" spans="1:45">
      <c r="A807" s="12">
        <v>45182</v>
      </c>
      <c r="B807" s="8">
        <v>568782</v>
      </c>
      <c r="C807" s="8">
        <v>569069</v>
      </c>
      <c r="D807" s="128">
        <f t="shared" si="97"/>
        <v>287</v>
      </c>
      <c r="E807" s="8">
        <v>166534</v>
      </c>
      <c r="F807" s="8">
        <v>166842</v>
      </c>
      <c r="G807" s="137">
        <f t="shared" si="92"/>
        <v>308</v>
      </c>
      <c r="H807" s="128">
        <f t="shared" si="95"/>
        <v>595</v>
      </c>
      <c r="I807" s="8">
        <v>753998</v>
      </c>
      <c r="J807" s="8">
        <v>754241</v>
      </c>
      <c r="K807" s="137">
        <f t="shared" si="93"/>
        <v>243</v>
      </c>
      <c r="L807" s="8">
        <v>25205</v>
      </c>
      <c r="M807" s="8">
        <v>25205</v>
      </c>
      <c r="N807" s="137">
        <f t="shared" si="96"/>
        <v>0</v>
      </c>
      <c r="O807" s="128">
        <f t="shared" si="91"/>
        <v>243</v>
      </c>
      <c r="P807" s="8">
        <v>312222</v>
      </c>
      <c r="Q807" s="8">
        <v>312595</v>
      </c>
      <c r="R807" s="128">
        <f t="shared" si="94"/>
        <v>373</v>
      </c>
      <c r="AQ807" s="8"/>
      <c r="AR807" s="8"/>
      <c r="AS807" s="8"/>
    </row>
    <row r="808" spans="1:45">
      <c r="A808" s="12">
        <v>45183</v>
      </c>
      <c r="B808" s="8">
        <v>569069</v>
      </c>
      <c r="C808" s="8">
        <v>569357</v>
      </c>
      <c r="D808" s="128">
        <f t="shared" si="97"/>
        <v>288</v>
      </c>
      <c r="E808" s="8">
        <v>166842</v>
      </c>
      <c r="F808" s="8">
        <v>167171</v>
      </c>
      <c r="G808" s="137">
        <f t="shared" si="92"/>
        <v>329</v>
      </c>
      <c r="H808" s="128">
        <f t="shared" si="95"/>
        <v>617</v>
      </c>
      <c r="I808" s="8">
        <v>754241</v>
      </c>
      <c r="J808" s="8">
        <v>754376</v>
      </c>
      <c r="K808" s="137">
        <f t="shared" si="93"/>
        <v>135</v>
      </c>
      <c r="L808" s="8">
        <v>25205</v>
      </c>
      <c r="M808" s="8">
        <v>25205</v>
      </c>
      <c r="N808" s="137">
        <f t="shared" si="96"/>
        <v>0</v>
      </c>
      <c r="O808" s="128">
        <f t="shared" ref="O808:O871" si="98">N808+K808</f>
        <v>135</v>
      </c>
      <c r="P808" s="8">
        <v>312595</v>
      </c>
      <c r="Q808" s="8">
        <v>312595</v>
      </c>
      <c r="R808" s="128">
        <f t="shared" si="94"/>
        <v>0</v>
      </c>
      <c r="AQ808" s="8"/>
      <c r="AR808" s="8"/>
      <c r="AS808" s="8"/>
    </row>
    <row r="809" spans="1:45">
      <c r="A809" s="12">
        <v>45184</v>
      </c>
      <c r="B809" s="8">
        <f>C808</f>
        <v>569357</v>
      </c>
      <c r="C809" s="8">
        <v>569497</v>
      </c>
      <c r="D809" s="128">
        <f t="shared" si="97"/>
        <v>140</v>
      </c>
      <c r="E809" s="8">
        <f>F808</f>
        <v>167171</v>
      </c>
      <c r="F809" s="8">
        <v>167332</v>
      </c>
      <c r="G809" s="137">
        <f t="shared" si="92"/>
        <v>161</v>
      </c>
      <c r="H809" s="128">
        <f t="shared" si="95"/>
        <v>301</v>
      </c>
      <c r="I809" s="8">
        <v>754376</v>
      </c>
      <c r="J809" s="8">
        <v>754542</v>
      </c>
      <c r="K809" s="137">
        <f t="shared" si="93"/>
        <v>166</v>
      </c>
      <c r="L809" s="8">
        <v>25205</v>
      </c>
      <c r="M809" s="8">
        <v>25205</v>
      </c>
      <c r="N809" s="137">
        <f t="shared" si="96"/>
        <v>0</v>
      </c>
      <c r="O809" s="128">
        <f t="shared" si="98"/>
        <v>166</v>
      </c>
      <c r="P809" s="8">
        <f>Q808</f>
        <v>312595</v>
      </c>
      <c r="Q809" s="8">
        <v>312595</v>
      </c>
      <c r="R809" s="128">
        <f t="shared" si="94"/>
        <v>0</v>
      </c>
      <c r="AQ809" s="8"/>
      <c r="AR809" s="8"/>
      <c r="AS809" s="8"/>
    </row>
    <row r="810" spans="1:45">
      <c r="A810" s="12">
        <v>45185</v>
      </c>
      <c r="B810" s="8">
        <f t="shared" ref="B810:B873" si="99">C809</f>
        <v>569497</v>
      </c>
      <c r="C810" s="8">
        <v>569660</v>
      </c>
      <c r="D810" s="128">
        <f t="shared" si="97"/>
        <v>163</v>
      </c>
      <c r="E810" s="8">
        <f t="shared" ref="E810:E873" si="100">F809</f>
        <v>167332</v>
      </c>
      <c r="F810" s="8">
        <v>167566</v>
      </c>
      <c r="G810" s="137">
        <f t="shared" si="92"/>
        <v>234</v>
      </c>
      <c r="H810" s="128">
        <f t="shared" si="95"/>
        <v>397</v>
      </c>
      <c r="I810" s="8">
        <v>754542</v>
      </c>
      <c r="J810" s="8">
        <v>754714</v>
      </c>
      <c r="K810" s="137">
        <f t="shared" si="93"/>
        <v>172</v>
      </c>
      <c r="L810" s="8">
        <v>25205</v>
      </c>
      <c r="M810" s="8">
        <v>25205</v>
      </c>
      <c r="N810" s="137">
        <f t="shared" si="96"/>
        <v>0</v>
      </c>
      <c r="O810" s="128">
        <f t="shared" si="98"/>
        <v>172</v>
      </c>
      <c r="P810" s="8">
        <f t="shared" ref="P810:P873" si="101">Q809</f>
        <v>312595</v>
      </c>
      <c r="Q810" s="8">
        <v>312595</v>
      </c>
      <c r="R810" s="128">
        <f t="shared" si="94"/>
        <v>0</v>
      </c>
      <c r="AQ810" s="8"/>
      <c r="AR810" s="8"/>
      <c r="AS810" s="8"/>
    </row>
    <row r="811" spans="1:45">
      <c r="A811" s="12">
        <v>45186</v>
      </c>
      <c r="B811" s="8">
        <f t="shared" si="99"/>
        <v>569660</v>
      </c>
      <c r="C811" s="8">
        <v>569991</v>
      </c>
      <c r="D811" s="128">
        <f t="shared" si="97"/>
        <v>331</v>
      </c>
      <c r="E811" s="8">
        <f t="shared" si="100"/>
        <v>167566</v>
      </c>
      <c r="F811" s="8">
        <v>167942</v>
      </c>
      <c r="G811" s="137">
        <f t="shared" si="92"/>
        <v>376</v>
      </c>
      <c r="H811" s="128">
        <f t="shared" si="95"/>
        <v>707</v>
      </c>
      <c r="I811" s="8">
        <v>754714</v>
      </c>
      <c r="J811" s="8">
        <v>754890</v>
      </c>
      <c r="K811" s="137">
        <f t="shared" si="93"/>
        <v>176</v>
      </c>
      <c r="L811" s="8">
        <v>25205</v>
      </c>
      <c r="M811" s="8">
        <v>25205</v>
      </c>
      <c r="N811" s="137">
        <f t="shared" si="96"/>
        <v>0</v>
      </c>
      <c r="O811" s="128">
        <f t="shared" si="98"/>
        <v>176</v>
      </c>
      <c r="P811" s="8">
        <f t="shared" si="101"/>
        <v>312595</v>
      </c>
      <c r="Q811" s="8">
        <v>312595</v>
      </c>
      <c r="R811" s="128">
        <f t="shared" si="94"/>
        <v>0</v>
      </c>
      <c r="AQ811" s="8"/>
      <c r="AR811" s="8"/>
      <c r="AS811" s="8"/>
    </row>
    <row r="812" spans="1:45">
      <c r="A812" s="12">
        <v>45187</v>
      </c>
      <c r="B812" s="8">
        <f t="shared" si="99"/>
        <v>569991</v>
      </c>
      <c r="C812" s="8">
        <v>570568</v>
      </c>
      <c r="D812" s="128">
        <f t="shared" si="97"/>
        <v>577</v>
      </c>
      <c r="E812" s="8">
        <f t="shared" si="100"/>
        <v>167942</v>
      </c>
      <c r="F812" s="8">
        <v>168518</v>
      </c>
      <c r="G812" s="137">
        <f t="shared" si="92"/>
        <v>576</v>
      </c>
      <c r="H812" s="128">
        <f t="shared" si="95"/>
        <v>1153</v>
      </c>
      <c r="I812" s="8">
        <v>754890</v>
      </c>
      <c r="J812" s="8">
        <v>755073</v>
      </c>
      <c r="K812" s="137">
        <f t="shared" si="93"/>
        <v>183</v>
      </c>
      <c r="L812" s="8">
        <v>25205</v>
      </c>
      <c r="M812" s="8">
        <v>25205</v>
      </c>
      <c r="N812" s="137">
        <f t="shared" si="96"/>
        <v>0</v>
      </c>
      <c r="O812" s="128">
        <f t="shared" si="98"/>
        <v>183</v>
      </c>
      <c r="P812" s="8">
        <f t="shared" si="101"/>
        <v>312595</v>
      </c>
      <c r="Q812" s="8">
        <v>312595</v>
      </c>
      <c r="R812" s="128">
        <f t="shared" si="94"/>
        <v>0</v>
      </c>
      <c r="AQ812" s="8"/>
      <c r="AR812" s="8"/>
      <c r="AS812" s="8"/>
    </row>
    <row r="813" spans="1:45">
      <c r="A813" s="12">
        <v>45188</v>
      </c>
      <c r="B813" s="8">
        <f t="shared" si="99"/>
        <v>570568</v>
      </c>
      <c r="C813" s="8">
        <v>570812</v>
      </c>
      <c r="D813" s="128">
        <f t="shared" si="97"/>
        <v>244</v>
      </c>
      <c r="E813" s="8">
        <f t="shared" si="100"/>
        <v>168518</v>
      </c>
      <c r="F813" s="8">
        <v>168787</v>
      </c>
      <c r="G813" s="137">
        <f t="shared" si="92"/>
        <v>269</v>
      </c>
      <c r="H813" s="128">
        <f t="shared" si="95"/>
        <v>513</v>
      </c>
      <c r="I813" s="8">
        <f>J812</f>
        <v>755073</v>
      </c>
      <c r="J813" s="8">
        <v>755290</v>
      </c>
      <c r="K813" s="137">
        <f t="shared" si="93"/>
        <v>217</v>
      </c>
      <c r="L813" s="8">
        <f>M812</f>
        <v>25205</v>
      </c>
      <c r="M813" s="8">
        <v>25205</v>
      </c>
      <c r="N813" s="137">
        <f t="shared" si="96"/>
        <v>0</v>
      </c>
      <c r="O813" s="128">
        <f t="shared" si="98"/>
        <v>217</v>
      </c>
      <c r="P813" s="8">
        <f t="shared" si="101"/>
        <v>312595</v>
      </c>
      <c r="Q813" s="8">
        <v>312595</v>
      </c>
      <c r="R813" s="128">
        <f t="shared" si="94"/>
        <v>0</v>
      </c>
      <c r="AQ813" s="8"/>
      <c r="AR813" s="8"/>
      <c r="AS813" s="8"/>
    </row>
    <row r="814" spans="1:45">
      <c r="A814" s="12">
        <v>45189</v>
      </c>
      <c r="B814" s="8">
        <f t="shared" si="99"/>
        <v>570812</v>
      </c>
      <c r="C814" s="8">
        <v>570875</v>
      </c>
      <c r="D814" s="128">
        <f t="shared" si="97"/>
        <v>63</v>
      </c>
      <c r="E814" s="8">
        <f t="shared" si="100"/>
        <v>168787</v>
      </c>
      <c r="F814" s="8">
        <v>169051</v>
      </c>
      <c r="G814" s="137">
        <f t="shared" si="92"/>
        <v>264</v>
      </c>
      <c r="H814" s="128">
        <f t="shared" si="95"/>
        <v>327</v>
      </c>
      <c r="I814" s="8">
        <f t="shared" ref="I814:I877" si="102">J813</f>
        <v>755290</v>
      </c>
      <c r="J814" s="8">
        <v>755456</v>
      </c>
      <c r="K814" s="137">
        <f t="shared" si="93"/>
        <v>166</v>
      </c>
      <c r="L814" s="8">
        <f t="shared" ref="L814:L877" si="103">M813</f>
        <v>25205</v>
      </c>
      <c r="M814" s="8">
        <v>25205</v>
      </c>
      <c r="N814" s="137">
        <f t="shared" si="96"/>
        <v>0</v>
      </c>
      <c r="O814" s="128">
        <f t="shared" si="98"/>
        <v>166</v>
      </c>
      <c r="P814" s="8">
        <f t="shared" si="101"/>
        <v>312595</v>
      </c>
      <c r="Q814" s="8">
        <v>312595</v>
      </c>
      <c r="R814" s="128">
        <f t="shared" si="94"/>
        <v>0</v>
      </c>
      <c r="AQ814" s="8"/>
      <c r="AR814" s="8"/>
      <c r="AS814" s="8"/>
    </row>
    <row r="815" spans="1:45">
      <c r="A815" s="12">
        <v>45190</v>
      </c>
      <c r="B815" s="8">
        <f t="shared" si="99"/>
        <v>570875</v>
      </c>
      <c r="C815" s="8">
        <v>571320</v>
      </c>
      <c r="D815" s="128">
        <f t="shared" si="97"/>
        <v>445</v>
      </c>
      <c r="E815" s="8">
        <f t="shared" si="100"/>
        <v>169051</v>
      </c>
      <c r="F815" s="8">
        <v>169356</v>
      </c>
      <c r="G815" s="137">
        <f t="shared" si="92"/>
        <v>305</v>
      </c>
      <c r="H815" s="128">
        <f t="shared" si="95"/>
        <v>750</v>
      </c>
      <c r="I815" s="8">
        <f t="shared" si="102"/>
        <v>755456</v>
      </c>
      <c r="J815" s="8">
        <v>755640</v>
      </c>
      <c r="K815" s="137">
        <f t="shared" si="93"/>
        <v>184</v>
      </c>
      <c r="L815" s="8">
        <f t="shared" si="103"/>
        <v>25205</v>
      </c>
      <c r="M815" s="8">
        <v>25205</v>
      </c>
      <c r="N815" s="137">
        <f t="shared" si="96"/>
        <v>0</v>
      </c>
      <c r="O815" s="128">
        <f t="shared" si="98"/>
        <v>184</v>
      </c>
      <c r="P815" s="8">
        <f t="shared" si="101"/>
        <v>312595</v>
      </c>
      <c r="Q815" s="8">
        <v>312595</v>
      </c>
      <c r="R815" s="128">
        <f>Q815-P815</f>
        <v>0</v>
      </c>
      <c r="AQ815" s="8"/>
      <c r="AR815" s="8"/>
      <c r="AS815" s="8"/>
    </row>
    <row r="816" spans="1:45">
      <c r="A816" s="12">
        <v>45191</v>
      </c>
      <c r="B816" s="8">
        <f t="shared" si="99"/>
        <v>571320</v>
      </c>
      <c r="C816" s="8">
        <v>571591</v>
      </c>
      <c r="D816" s="128">
        <f t="shared" si="97"/>
        <v>271</v>
      </c>
      <c r="E816" s="8">
        <f t="shared" si="100"/>
        <v>169356</v>
      </c>
      <c r="F816" s="8">
        <v>169617</v>
      </c>
      <c r="G816" s="137">
        <f t="shared" si="92"/>
        <v>261</v>
      </c>
      <c r="H816" s="128">
        <f t="shared" si="95"/>
        <v>532</v>
      </c>
      <c r="I816" s="8">
        <f t="shared" si="102"/>
        <v>755640</v>
      </c>
      <c r="J816" s="8">
        <v>755817</v>
      </c>
      <c r="K816" s="137">
        <f t="shared" si="93"/>
        <v>177</v>
      </c>
      <c r="L816" s="8">
        <f t="shared" si="103"/>
        <v>25205</v>
      </c>
      <c r="M816" s="8">
        <v>25205</v>
      </c>
      <c r="N816" s="137">
        <f t="shared" si="96"/>
        <v>0</v>
      </c>
      <c r="O816" s="128">
        <f t="shared" si="98"/>
        <v>177</v>
      </c>
      <c r="P816" s="8">
        <f t="shared" si="101"/>
        <v>312595</v>
      </c>
      <c r="Q816" s="8">
        <v>312995</v>
      </c>
      <c r="R816" s="128">
        <f t="shared" si="94"/>
        <v>400</v>
      </c>
      <c r="AQ816" s="8"/>
      <c r="AR816" s="8"/>
      <c r="AS816" s="8"/>
    </row>
    <row r="817" spans="1:45">
      <c r="A817" s="12">
        <v>45192</v>
      </c>
      <c r="B817" s="8">
        <f t="shared" si="99"/>
        <v>571591</v>
      </c>
      <c r="C817" s="8">
        <v>571916</v>
      </c>
      <c r="D817" s="128">
        <f t="shared" si="97"/>
        <v>325</v>
      </c>
      <c r="E817" s="8">
        <f t="shared" si="100"/>
        <v>169617</v>
      </c>
      <c r="F817" s="8">
        <v>169860</v>
      </c>
      <c r="G817" s="137">
        <f t="shared" si="92"/>
        <v>243</v>
      </c>
      <c r="H817" s="128">
        <f t="shared" si="95"/>
        <v>568</v>
      </c>
      <c r="I817" s="8">
        <f t="shared" si="102"/>
        <v>755817</v>
      </c>
      <c r="J817" s="8">
        <v>755993</v>
      </c>
      <c r="K817" s="137">
        <f t="shared" si="93"/>
        <v>176</v>
      </c>
      <c r="L817" s="8">
        <f t="shared" si="103"/>
        <v>25205</v>
      </c>
      <c r="M817" s="8">
        <v>25205</v>
      </c>
      <c r="N817" s="137">
        <f t="shared" si="96"/>
        <v>0</v>
      </c>
      <c r="O817" s="128">
        <f t="shared" si="98"/>
        <v>176</v>
      </c>
      <c r="P817" s="8">
        <f t="shared" si="101"/>
        <v>312995</v>
      </c>
      <c r="Q817" s="8">
        <v>313722</v>
      </c>
      <c r="R817" s="128">
        <f t="shared" si="94"/>
        <v>727</v>
      </c>
      <c r="AQ817" s="8"/>
      <c r="AR817" s="8"/>
      <c r="AS817" s="8"/>
    </row>
    <row r="818" spans="1:45">
      <c r="A818" s="12">
        <v>45193</v>
      </c>
      <c r="B818" s="8">
        <f t="shared" si="99"/>
        <v>571916</v>
      </c>
      <c r="C818" s="8">
        <v>572185</v>
      </c>
      <c r="D818" s="128">
        <f t="shared" si="97"/>
        <v>269</v>
      </c>
      <c r="E818" s="8">
        <f t="shared" si="100"/>
        <v>169860</v>
      </c>
      <c r="F818" s="8">
        <v>170097</v>
      </c>
      <c r="G818" s="137">
        <f t="shared" si="92"/>
        <v>237</v>
      </c>
      <c r="H818" s="128">
        <f t="shared" si="95"/>
        <v>506</v>
      </c>
      <c r="I818" s="8">
        <f t="shared" si="102"/>
        <v>755993</v>
      </c>
      <c r="J818" s="8">
        <v>756236</v>
      </c>
      <c r="K818" s="137">
        <f t="shared" si="93"/>
        <v>243</v>
      </c>
      <c r="L818" s="8">
        <f t="shared" si="103"/>
        <v>25205</v>
      </c>
      <c r="M818" s="8">
        <v>25205</v>
      </c>
      <c r="N818" s="137">
        <f t="shared" si="96"/>
        <v>0</v>
      </c>
      <c r="O818" s="128">
        <f t="shared" si="98"/>
        <v>243</v>
      </c>
      <c r="P818" s="8">
        <f t="shared" si="101"/>
        <v>313722</v>
      </c>
      <c r="Q818" s="8">
        <v>314364</v>
      </c>
      <c r="R818" s="128">
        <f t="shared" si="94"/>
        <v>642</v>
      </c>
      <c r="AQ818" s="8"/>
      <c r="AR818" s="8"/>
      <c r="AS818" s="8"/>
    </row>
    <row r="819" spans="1:45">
      <c r="A819" s="12">
        <v>45194</v>
      </c>
      <c r="B819" s="8">
        <f t="shared" si="99"/>
        <v>572185</v>
      </c>
      <c r="C819" s="8">
        <v>572434</v>
      </c>
      <c r="D819" s="128">
        <f t="shared" si="97"/>
        <v>249</v>
      </c>
      <c r="E819" s="8">
        <f t="shared" si="100"/>
        <v>170097</v>
      </c>
      <c r="F819" s="8">
        <v>170351</v>
      </c>
      <c r="G819" s="137">
        <f t="shared" ref="G819:G882" si="104">F819-E819</f>
        <v>254</v>
      </c>
      <c r="H819" s="128">
        <f t="shared" si="95"/>
        <v>503</v>
      </c>
      <c r="I819" s="8">
        <f t="shared" si="102"/>
        <v>756236</v>
      </c>
      <c r="J819" s="8">
        <v>756295</v>
      </c>
      <c r="K819" s="137">
        <f t="shared" si="93"/>
        <v>59</v>
      </c>
      <c r="L819" s="8">
        <f t="shared" si="103"/>
        <v>25205</v>
      </c>
      <c r="M819" s="8">
        <v>25205</v>
      </c>
      <c r="N819" s="137">
        <f t="shared" si="96"/>
        <v>0</v>
      </c>
      <c r="O819" s="128">
        <f t="shared" si="98"/>
        <v>59</v>
      </c>
      <c r="P819" s="8">
        <f t="shared" si="101"/>
        <v>314364</v>
      </c>
      <c r="Q819" s="8">
        <v>315063</v>
      </c>
      <c r="R819" s="128">
        <f t="shared" si="94"/>
        <v>699</v>
      </c>
      <c r="AQ819" s="8"/>
      <c r="AR819" s="8"/>
      <c r="AS819" s="8"/>
    </row>
    <row r="820" spans="1:45">
      <c r="A820" s="12">
        <v>45195</v>
      </c>
      <c r="B820" s="8">
        <f t="shared" si="99"/>
        <v>572434</v>
      </c>
      <c r="C820" s="8">
        <v>572695</v>
      </c>
      <c r="D820" s="128">
        <f t="shared" si="97"/>
        <v>261</v>
      </c>
      <c r="E820" s="8">
        <f t="shared" si="100"/>
        <v>170351</v>
      </c>
      <c r="F820" s="8">
        <v>170679</v>
      </c>
      <c r="G820" s="137">
        <f t="shared" si="104"/>
        <v>328</v>
      </c>
      <c r="H820" s="128">
        <f t="shared" si="95"/>
        <v>589</v>
      </c>
      <c r="I820" s="8">
        <f t="shared" si="102"/>
        <v>756295</v>
      </c>
      <c r="J820" s="8">
        <v>756458</v>
      </c>
      <c r="K820" s="137">
        <f t="shared" si="93"/>
        <v>163</v>
      </c>
      <c r="L820" s="8">
        <f t="shared" si="103"/>
        <v>25205</v>
      </c>
      <c r="M820" s="8">
        <v>25205</v>
      </c>
      <c r="N820" s="137">
        <f t="shared" si="96"/>
        <v>0</v>
      </c>
      <c r="O820" s="128">
        <f t="shared" si="98"/>
        <v>163</v>
      </c>
      <c r="P820" s="8">
        <f t="shared" si="101"/>
        <v>315063</v>
      </c>
      <c r="Q820" s="8">
        <v>315389</v>
      </c>
      <c r="R820" s="128">
        <f t="shared" si="94"/>
        <v>326</v>
      </c>
      <c r="AQ820" s="8"/>
      <c r="AR820" s="8"/>
      <c r="AS820" s="8"/>
    </row>
    <row r="821" spans="1:45">
      <c r="A821" s="12">
        <v>45196</v>
      </c>
      <c r="B821" s="8">
        <f t="shared" si="99"/>
        <v>572695</v>
      </c>
      <c r="C821" s="8">
        <v>572951</v>
      </c>
      <c r="D821" s="128">
        <f t="shared" si="97"/>
        <v>256</v>
      </c>
      <c r="E821" s="8">
        <f t="shared" si="100"/>
        <v>170679</v>
      </c>
      <c r="F821" s="8">
        <v>170936</v>
      </c>
      <c r="G821" s="137">
        <f t="shared" si="104"/>
        <v>257</v>
      </c>
      <c r="H821" s="128">
        <f t="shared" si="95"/>
        <v>513</v>
      </c>
      <c r="I821" s="8">
        <f t="shared" si="102"/>
        <v>756458</v>
      </c>
      <c r="J821" s="8">
        <v>756559</v>
      </c>
      <c r="K821" s="137">
        <f t="shared" si="93"/>
        <v>101</v>
      </c>
      <c r="L821" s="8">
        <f t="shared" si="103"/>
        <v>25205</v>
      </c>
      <c r="M821" s="8">
        <v>25205</v>
      </c>
      <c r="N821" s="137">
        <f t="shared" si="96"/>
        <v>0</v>
      </c>
      <c r="O821" s="128">
        <f t="shared" si="98"/>
        <v>101</v>
      </c>
      <c r="P821" s="8">
        <f t="shared" si="101"/>
        <v>315389</v>
      </c>
      <c r="Q821" s="8">
        <v>316099</v>
      </c>
      <c r="R821" s="128">
        <f t="shared" si="94"/>
        <v>710</v>
      </c>
      <c r="AQ821" s="8"/>
      <c r="AR821" s="8"/>
      <c r="AS821" s="8"/>
    </row>
    <row r="822" spans="1:45">
      <c r="A822" s="12">
        <v>45197</v>
      </c>
      <c r="B822" s="8">
        <f t="shared" si="99"/>
        <v>572951</v>
      </c>
      <c r="C822" s="8">
        <v>573238</v>
      </c>
      <c r="D822" s="128">
        <f t="shared" si="97"/>
        <v>287</v>
      </c>
      <c r="E822" s="8">
        <f t="shared" si="100"/>
        <v>170936</v>
      </c>
      <c r="F822" s="8">
        <v>171198</v>
      </c>
      <c r="G822" s="137">
        <f t="shared" si="104"/>
        <v>262</v>
      </c>
      <c r="H822" s="128">
        <f t="shared" si="95"/>
        <v>549</v>
      </c>
      <c r="I822" s="8">
        <f t="shared" si="102"/>
        <v>756559</v>
      </c>
      <c r="J822" s="8">
        <v>756745</v>
      </c>
      <c r="K822" s="137">
        <f t="shared" ref="K822:K885" si="105">J822-I822</f>
        <v>186</v>
      </c>
      <c r="L822" s="8">
        <f t="shared" si="103"/>
        <v>25205</v>
      </c>
      <c r="M822" s="8">
        <v>25205</v>
      </c>
      <c r="N822" s="137">
        <f t="shared" si="96"/>
        <v>0</v>
      </c>
      <c r="O822" s="128">
        <f t="shared" si="98"/>
        <v>186</v>
      </c>
      <c r="P822" s="8">
        <f t="shared" si="101"/>
        <v>316099</v>
      </c>
      <c r="Q822" s="8">
        <v>316451</v>
      </c>
      <c r="R822" s="128">
        <f t="shared" si="94"/>
        <v>352</v>
      </c>
      <c r="AQ822" s="8"/>
      <c r="AR822" s="8"/>
      <c r="AS822" s="8"/>
    </row>
    <row r="823" spans="1:45">
      <c r="A823" s="12">
        <v>45198</v>
      </c>
      <c r="B823" s="8">
        <f t="shared" si="99"/>
        <v>573238</v>
      </c>
      <c r="C823" s="8">
        <v>573500</v>
      </c>
      <c r="D823" s="128">
        <f t="shared" si="97"/>
        <v>262</v>
      </c>
      <c r="E823" s="8">
        <f t="shared" si="100"/>
        <v>171198</v>
      </c>
      <c r="F823" s="8">
        <v>171536</v>
      </c>
      <c r="G823" s="137">
        <f t="shared" si="104"/>
        <v>338</v>
      </c>
      <c r="H823" s="128">
        <f t="shared" si="95"/>
        <v>600</v>
      </c>
      <c r="I823" s="8">
        <f t="shared" si="102"/>
        <v>756745</v>
      </c>
      <c r="J823" s="8">
        <v>756877</v>
      </c>
      <c r="K823" s="137">
        <f t="shared" si="105"/>
        <v>132</v>
      </c>
      <c r="L823" s="8">
        <f t="shared" si="103"/>
        <v>25205</v>
      </c>
      <c r="M823" s="8">
        <v>25205</v>
      </c>
      <c r="N823" s="137">
        <f t="shared" si="96"/>
        <v>0</v>
      </c>
      <c r="O823" s="128">
        <f t="shared" si="98"/>
        <v>132</v>
      </c>
      <c r="P823" s="8">
        <f t="shared" si="101"/>
        <v>316451</v>
      </c>
      <c r="Q823" s="8">
        <v>316451</v>
      </c>
      <c r="R823" s="128">
        <f t="shared" si="94"/>
        <v>0</v>
      </c>
      <c r="AQ823" s="8"/>
      <c r="AR823" s="8"/>
      <c r="AS823" s="8"/>
    </row>
    <row r="824" spans="1:45">
      <c r="A824" s="12">
        <v>45199</v>
      </c>
      <c r="B824" s="8">
        <f t="shared" si="99"/>
        <v>573500</v>
      </c>
      <c r="C824" s="8">
        <v>573745</v>
      </c>
      <c r="D824" s="128">
        <f t="shared" si="97"/>
        <v>245</v>
      </c>
      <c r="E824" s="8">
        <f t="shared" si="100"/>
        <v>171536</v>
      </c>
      <c r="F824" s="8">
        <v>171889</v>
      </c>
      <c r="G824" s="137">
        <f t="shared" si="104"/>
        <v>353</v>
      </c>
      <c r="H824" s="128">
        <f t="shared" si="95"/>
        <v>598</v>
      </c>
      <c r="I824" s="8">
        <f t="shared" si="102"/>
        <v>756877</v>
      </c>
      <c r="J824" s="8">
        <v>757037</v>
      </c>
      <c r="K824" s="137">
        <f t="shared" si="105"/>
        <v>160</v>
      </c>
      <c r="L824" s="8">
        <f t="shared" si="103"/>
        <v>25205</v>
      </c>
      <c r="M824" s="8">
        <v>25205</v>
      </c>
      <c r="N824" s="137">
        <f t="shared" si="96"/>
        <v>0</v>
      </c>
      <c r="O824" s="128">
        <f t="shared" si="98"/>
        <v>160</v>
      </c>
      <c r="P824" s="8">
        <f t="shared" si="101"/>
        <v>316451</v>
      </c>
      <c r="Q824" s="8">
        <v>316451</v>
      </c>
      <c r="R824" s="128">
        <f t="shared" si="94"/>
        <v>0</v>
      </c>
      <c r="AQ824" s="8"/>
      <c r="AR824" s="8"/>
      <c r="AS824" s="8"/>
    </row>
    <row r="825" spans="1:45">
      <c r="A825" s="12">
        <v>45200</v>
      </c>
      <c r="B825" s="8">
        <f t="shared" si="99"/>
        <v>573745</v>
      </c>
      <c r="C825" s="8">
        <v>574095</v>
      </c>
      <c r="D825" s="128">
        <f t="shared" si="97"/>
        <v>350</v>
      </c>
      <c r="E825" s="8">
        <f t="shared" si="100"/>
        <v>171889</v>
      </c>
      <c r="F825" s="8">
        <v>172203</v>
      </c>
      <c r="G825" s="137">
        <f t="shared" si="104"/>
        <v>314</v>
      </c>
      <c r="H825" s="128">
        <f t="shared" si="95"/>
        <v>664</v>
      </c>
      <c r="I825" s="8">
        <f t="shared" si="102"/>
        <v>757037</v>
      </c>
      <c r="J825" s="8">
        <v>757177</v>
      </c>
      <c r="K825" s="137">
        <f t="shared" si="105"/>
        <v>140</v>
      </c>
      <c r="L825" s="8">
        <f t="shared" si="103"/>
        <v>25205</v>
      </c>
      <c r="M825" s="8">
        <v>25205</v>
      </c>
      <c r="N825" s="137">
        <f t="shared" si="96"/>
        <v>0</v>
      </c>
      <c r="O825" s="128">
        <f t="shared" si="98"/>
        <v>140</v>
      </c>
      <c r="P825" s="8">
        <f t="shared" si="101"/>
        <v>316451</v>
      </c>
      <c r="Q825" s="8">
        <v>316451</v>
      </c>
      <c r="R825" s="128">
        <f t="shared" si="94"/>
        <v>0</v>
      </c>
      <c r="AQ825" s="8"/>
      <c r="AR825" s="8"/>
      <c r="AS825" s="8"/>
    </row>
    <row r="826" spans="1:45">
      <c r="A826" s="12">
        <v>45201</v>
      </c>
      <c r="B826" s="8">
        <f t="shared" si="99"/>
        <v>574095</v>
      </c>
      <c r="C826" s="8">
        <v>574399</v>
      </c>
      <c r="D826" s="128">
        <f t="shared" si="97"/>
        <v>304</v>
      </c>
      <c r="E826" s="8">
        <f t="shared" si="100"/>
        <v>172203</v>
      </c>
      <c r="F826" s="8">
        <v>172571</v>
      </c>
      <c r="G826" s="137">
        <f t="shared" si="104"/>
        <v>368</v>
      </c>
      <c r="H826" s="128">
        <f t="shared" si="95"/>
        <v>672</v>
      </c>
      <c r="I826" s="8">
        <f t="shared" si="102"/>
        <v>757177</v>
      </c>
      <c r="J826" s="8">
        <v>757277</v>
      </c>
      <c r="K826" s="137">
        <f t="shared" si="105"/>
        <v>100</v>
      </c>
      <c r="L826" s="8">
        <f t="shared" si="103"/>
        <v>25205</v>
      </c>
      <c r="M826" s="8">
        <v>25205</v>
      </c>
      <c r="N826" s="137">
        <f t="shared" si="96"/>
        <v>0</v>
      </c>
      <c r="O826" s="128">
        <f t="shared" si="98"/>
        <v>100</v>
      </c>
      <c r="P826" s="8">
        <f t="shared" si="101"/>
        <v>316451</v>
      </c>
      <c r="Q826" s="8">
        <v>316451</v>
      </c>
      <c r="R826" s="128">
        <f t="shared" si="94"/>
        <v>0</v>
      </c>
      <c r="AQ826" s="8"/>
      <c r="AR826" s="8"/>
      <c r="AS826" s="8"/>
    </row>
    <row r="827" spans="1:45">
      <c r="A827" s="12">
        <v>45202</v>
      </c>
      <c r="B827" s="8">
        <f t="shared" si="99"/>
        <v>574399</v>
      </c>
      <c r="C827" s="8">
        <v>574696</v>
      </c>
      <c r="D827" s="128">
        <f t="shared" si="97"/>
        <v>297</v>
      </c>
      <c r="E827" s="8">
        <f t="shared" si="100"/>
        <v>172571</v>
      </c>
      <c r="F827" s="8">
        <v>172897</v>
      </c>
      <c r="G827" s="137">
        <f t="shared" si="104"/>
        <v>326</v>
      </c>
      <c r="H827" s="128">
        <f t="shared" si="95"/>
        <v>623</v>
      </c>
      <c r="I827" s="8">
        <f t="shared" si="102"/>
        <v>757277</v>
      </c>
      <c r="J827" s="8">
        <v>757465</v>
      </c>
      <c r="K827" s="137">
        <f t="shared" si="105"/>
        <v>188</v>
      </c>
      <c r="L827" s="8">
        <f t="shared" si="103"/>
        <v>25205</v>
      </c>
      <c r="M827" s="8">
        <v>25205</v>
      </c>
      <c r="N827" s="137">
        <f t="shared" si="96"/>
        <v>0</v>
      </c>
      <c r="O827" s="128">
        <f t="shared" si="98"/>
        <v>188</v>
      </c>
      <c r="P827" s="8">
        <f t="shared" si="101"/>
        <v>316451</v>
      </c>
      <c r="Q827" s="8">
        <v>316451</v>
      </c>
      <c r="R827" s="128">
        <f t="shared" ref="R827:R845" si="106">Q827-P827</f>
        <v>0</v>
      </c>
      <c r="AQ827" s="8"/>
      <c r="AR827" s="8"/>
      <c r="AS827" s="8"/>
    </row>
    <row r="828" spans="1:45">
      <c r="A828" s="12">
        <v>45203</v>
      </c>
      <c r="B828" s="8">
        <f t="shared" si="99"/>
        <v>574696</v>
      </c>
      <c r="C828" s="8">
        <v>574906</v>
      </c>
      <c r="D828" s="128">
        <f t="shared" si="97"/>
        <v>210</v>
      </c>
      <c r="E828" s="8">
        <f t="shared" si="100"/>
        <v>172897</v>
      </c>
      <c r="F828" s="8">
        <v>173128</v>
      </c>
      <c r="G828" s="137">
        <f t="shared" si="104"/>
        <v>231</v>
      </c>
      <c r="H828" s="128">
        <f t="shared" si="95"/>
        <v>441</v>
      </c>
      <c r="I828" s="8">
        <f t="shared" si="102"/>
        <v>757465</v>
      </c>
      <c r="J828" s="8">
        <v>757616</v>
      </c>
      <c r="K828" s="137">
        <f t="shared" si="105"/>
        <v>151</v>
      </c>
      <c r="L828" s="8">
        <f t="shared" si="103"/>
        <v>25205</v>
      </c>
      <c r="M828" s="8">
        <v>25205</v>
      </c>
      <c r="N828" s="137">
        <f t="shared" si="96"/>
        <v>0</v>
      </c>
      <c r="O828" s="128">
        <f t="shared" si="98"/>
        <v>151</v>
      </c>
      <c r="P828" s="8">
        <f t="shared" si="101"/>
        <v>316451</v>
      </c>
      <c r="Q828" s="8">
        <v>316451</v>
      </c>
      <c r="R828" s="128">
        <f t="shared" si="106"/>
        <v>0</v>
      </c>
      <c r="AQ828" s="8"/>
      <c r="AR828" s="8"/>
      <c r="AS828" s="8"/>
    </row>
    <row r="829" spans="1:45">
      <c r="A829" s="12">
        <v>45204</v>
      </c>
      <c r="B829" s="8">
        <f t="shared" si="99"/>
        <v>574906</v>
      </c>
      <c r="C829" s="8">
        <v>575177</v>
      </c>
      <c r="D829" s="128">
        <f t="shared" si="97"/>
        <v>271</v>
      </c>
      <c r="E829" s="8">
        <f t="shared" si="100"/>
        <v>173128</v>
      </c>
      <c r="F829" s="8">
        <v>173445</v>
      </c>
      <c r="G829" s="137">
        <f t="shared" si="104"/>
        <v>317</v>
      </c>
      <c r="H829" s="128">
        <f t="shared" si="95"/>
        <v>588</v>
      </c>
      <c r="I829" s="8">
        <f t="shared" si="102"/>
        <v>757616</v>
      </c>
      <c r="J829" s="8">
        <v>757802</v>
      </c>
      <c r="K829" s="137">
        <f t="shared" si="105"/>
        <v>186</v>
      </c>
      <c r="L829" s="8">
        <f t="shared" si="103"/>
        <v>25205</v>
      </c>
      <c r="M829" s="8">
        <v>25205</v>
      </c>
      <c r="N829" s="137">
        <f t="shared" si="96"/>
        <v>0</v>
      </c>
      <c r="O829" s="128">
        <f t="shared" si="98"/>
        <v>186</v>
      </c>
      <c r="P829" s="8">
        <f t="shared" si="101"/>
        <v>316451</v>
      </c>
      <c r="Q829" s="8">
        <v>316451</v>
      </c>
      <c r="R829" s="128">
        <f t="shared" si="106"/>
        <v>0</v>
      </c>
      <c r="AQ829" s="8"/>
      <c r="AR829" s="8"/>
      <c r="AS829" s="8"/>
    </row>
    <row r="830" spans="1:45">
      <c r="A830" s="12">
        <v>45205</v>
      </c>
      <c r="B830" s="8">
        <f t="shared" si="99"/>
        <v>575177</v>
      </c>
      <c r="C830" s="8">
        <v>575453</v>
      </c>
      <c r="D830" s="128">
        <f t="shared" si="97"/>
        <v>276</v>
      </c>
      <c r="E830" s="8">
        <f t="shared" si="100"/>
        <v>173445</v>
      </c>
      <c r="F830" s="8">
        <v>173804</v>
      </c>
      <c r="G830" s="137">
        <f t="shared" si="104"/>
        <v>359</v>
      </c>
      <c r="H830" s="128">
        <f t="shared" si="95"/>
        <v>635</v>
      </c>
      <c r="I830" s="8">
        <f t="shared" si="102"/>
        <v>757802</v>
      </c>
      <c r="J830" s="8">
        <v>758169</v>
      </c>
      <c r="K830" s="137">
        <f t="shared" si="105"/>
        <v>367</v>
      </c>
      <c r="L830" s="8">
        <f t="shared" si="103"/>
        <v>25205</v>
      </c>
      <c r="M830" s="8">
        <v>25205</v>
      </c>
      <c r="N830" s="137">
        <f t="shared" si="96"/>
        <v>0</v>
      </c>
      <c r="O830" s="128">
        <f t="shared" si="98"/>
        <v>367</v>
      </c>
      <c r="P830" s="8">
        <f t="shared" si="101"/>
        <v>316451</v>
      </c>
      <c r="Q830" s="8">
        <v>316451</v>
      </c>
      <c r="R830" s="128">
        <f t="shared" si="106"/>
        <v>0</v>
      </c>
      <c r="AQ830" s="8"/>
      <c r="AR830" s="8"/>
      <c r="AS830" s="8"/>
    </row>
    <row r="831" spans="1:45">
      <c r="A831" s="12">
        <v>45206</v>
      </c>
      <c r="B831" s="8">
        <f t="shared" si="99"/>
        <v>575453</v>
      </c>
      <c r="C831" s="8">
        <v>575811</v>
      </c>
      <c r="D831" s="128">
        <f t="shared" si="97"/>
        <v>358</v>
      </c>
      <c r="E831" s="8">
        <f t="shared" si="100"/>
        <v>173804</v>
      </c>
      <c r="F831" s="8">
        <v>174183</v>
      </c>
      <c r="G831" s="137">
        <f t="shared" si="104"/>
        <v>379</v>
      </c>
      <c r="H831" s="128">
        <f t="shared" si="95"/>
        <v>737</v>
      </c>
      <c r="I831" s="8">
        <f t="shared" si="102"/>
        <v>758169</v>
      </c>
      <c r="J831" s="8">
        <v>758350</v>
      </c>
      <c r="K831" s="137">
        <f t="shared" si="105"/>
        <v>181</v>
      </c>
      <c r="L831" s="8">
        <f t="shared" si="103"/>
        <v>25205</v>
      </c>
      <c r="M831" s="8">
        <v>25205</v>
      </c>
      <c r="N831" s="137">
        <f t="shared" si="96"/>
        <v>0</v>
      </c>
      <c r="O831" s="128">
        <f t="shared" si="98"/>
        <v>181</v>
      </c>
      <c r="P831" s="8">
        <f t="shared" si="101"/>
        <v>316451</v>
      </c>
      <c r="Q831" s="8">
        <v>316451</v>
      </c>
      <c r="R831" s="128">
        <f t="shared" si="106"/>
        <v>0</v>
      </c>
      <c r="AQ831" s="8"/>
      <c r="AR831" s="8"/>
      <c r="AS831" s="8"/>
    </row>
    <row r="832" spans="1:45">
      <c r="A832" s="12">
        <v>45207</v>
      </c>
      <c r="B832" s="8">
        <f t="shared" si="99"/>
        <v>575811</v>
      </c>
      <c r="C832" s="8">
        <v>576073</v>
      </c>
      <c r="D832" s="128">
        <f t="shared" si="97"/>
        <v>262</v>
      </c>
      <c r="E832" s="8">
        <f t="shared" si="100"/>
        <v>174183</v>
      </c>
      <c r="F832" s="8">
        <v>174450</v>
      </c>
      <c r="G832" s="137">
        <f t="shared" si="104"/>
        <v>267</v>
      </c>
      <c r="H832" s="128">
        <f t="shared" si="95"/>
        <v>529</v>
      </c>
      <c r="I832" s="8">
        <f t="shared" si="102"/>
        <v>758350</v>
      </c>
      <c r="J832" s="8">
        <v>758533</v>
      </c>
      <c r="K832" s="137">
        <f t="shared" si="105"/>
        <v>183</v>
      </c>
      <c r="L832" s="8">
        <f t="shared" si="103"/>
        <v>25205</v>
      </c>
      <c r="M832" s="8">
        <v>25205</v>
      </c>
      <c r="N832" s="137">
        <f t="shared" si="96"/>
        <v>0</v>
      </c>
      <c r="O832" s="128">
        <f t="shared" si="98"/>
        <v>183</v>
      </c>
      <c r="P832" s="8">
        <f t="shared" si="101"/>
        <v>316451</v>
      </c>
      <c r="Q832" s="8">
        <v>316451</v>
      </c>
      <c r="R832" s="128">
        <f t="shared" si="106"/>
        <v>0</v>
      </c>
      <c r="AQ832" s="8"/>
      <c r="AR832" s="8"/>
      <c r="AS832" s="8"/>
    </row>
    <row r="833" spans="1:45">
      <c r="A833" s="12">
        <v>45208</v>
      </c>
      <c r="B833" s="8">
        <f t="shared" si="99"/>
        <v>576073</v>
      </c>
      <c r="C833" s="8">
        <v>576302</v>
      </c>
      <c r="D833" s="128">
        <f t="shared" si="97"/>
        <v>229</v>
      </c>
      <c r="E833" s="8">
        <f t="shared" si="100"/>
        <v>174450</v>
      </c>
      <c r="F833" s="8">
        <v>174719</v>
      </c>
      <c r="G833" s="137">
        <f t="shared" si="104"/>
        <v>269</v>
      </c>
      <c r="H833" s="128">
        <f t="shared" ref="H833:H896" si="107">D833+G833</f>
        <v>498</v>
      </c>
      <c r="I833" s="8">
        <f t="shared" si="102"/>
        <v>758533</v>
      </c>
      <c r="J833" s="8">
        <v>758714</v>
      </c>
      <c r="K833" s="137">
        <f t="shared" si="105"/>
        <v>181</v>
      </c>
      <c r="L833" s="8">
        <f t="shared" si="103"/>
        <v>25205</v>
      </c>
      <c r="M833" s="8">
        <v>25205</v>
      </c>
      <c r="N833" s="137">
        <f t="shared" si="96"/>
        <v>0</v>
      </c>
      <c r="O833" s="128">
        <f t="shared" si="98"/>
        <v>181</v>
      </c>
      <c r="P833" s="8">
        <f t="shared" si="101"/>
        <v>316451</v>
      </c>
      <c r="Q833" s="8">
        <v>316451</v>
      </c>
      <c r="R833" s="128">
        <f t="shared" si="106"/>
        <v>0</v>
      </c>
      <c r="AQ833" s="8"/>
      <c r="AR833" s="8"/>
      <c r="AS833" s="8"/>
    </row>
    <row r="834" spans="1:45">
      <c r="A834" s="12">
        <v>45209</v>
      </c>
      <c r="B834" s="8">
        <f t="shared" si="99"/>
        <v>576302</v>
      </c>
      <c r="C834" s="8">
        <v>576571</v>
      </c>
      <c r="D834" s="128">
        <f t="shared" si="97"/>
        <v>269</v>
      </c>
      <c r="E834" s="8">
        <f t="shared" si="100"/>
        <v>174719</v>
      </c>
      <c r="F834" s="8">
        <v>175078</v>
      </c>
      <c r="G834" s="137">
        <f t="shared" si="104"/>
        <v>359</v>
      </c>
      <c r="H834" s="128">
        <f t="shared" si="107"/>
        <v>628</v>
      </c>
      <c r="I834" s="8">
        <f t="shared" si="102"/>
        <v>758714</v>
      </c>
      <c r="J834" s="8">
        <v>758901</v>
      </c>
      <c r="K834" s="137">
        <f t="shared" si="105"/>
        <v>187</v>
      </c>
      <c r="L834" s="8">
        <f t="shared" si="103"/>
        <v>25205</v>
      </c>
      <c r="M834" s="8">
        <v>25205</v>
      </c>
      <c r="N834" s="137">
        <f t="shared" si="96"/>
        <v>0</v>
      </c>
      <c r="O834" s="128">
        <f t="shared" si="98"/>
        <v>187</v>
      </c>
      <c r="P834" s="8">
        <f t="shared" si="101"/>
        <v>316451</v>
      </c>
      <c r="Q834" s="8">
        <v>316451</v>
      </c>
      <c r="R834" s="128">
        <f t="shared" si="106"/>
        <v>0</v>
      </c>
      <c r="AQ834" s="8"/>
      <c r="AR834" s="8"/>
      <c r="AS834" s="8"/>
    </row>
    <row r="835" spans="1:45">
      <c r="A835" s="12">
        <v>45210</v>
      </c>
      <c r="B835" s="8">
        <f t="shared" si="99"/>
        <v>576571</v>
      </c>
      <c r="C835" s="8">
        <v>576749</v>
      </c>
      <c r="D835" s="128">
        <f t="shared" si="97"/>
        <v>178</v>
      </c>
      <c r="E835" s="8">
        <f t="shared" si="100"/>
        <v>175078</v>
      </c>
      <c r="F835" s="8">
        <v>175308</v>
      </c>
      <c r="G835" s="137">
        <f t="shared" si="104"/>
        <v>230</v>
      </c>
      <c r="H835" s="128">
        <f t="shared" si="107"/>
        <v>408</v>
      </c>
      <c r="I835" s="8">
        <f t="shared" si="102"/>
        <v>758901</v>
      </c>
      <c r="J835" s="8">
        <v>759075</v>
      </c>
      <c r="K835" s="137">
        <f t="shared" si="105"/>
        <v>174</v>
      </c>
      <c r="L835" s="8">
        <f t="shared" si="103"/>
        <v>25205</v>
      </c>
      <c r="M835" s="8">
        <v>25205</v>
      </c>
      <c r="N835" s="137">
        <f t="shared" si="96"/>
        <v>0</v>
      </c>
      <c r="O835" s="128">
        <f t="shared" si="98"/>
        <v>174</v>
      </c>
      <c r="P835" s="8">
        <f t="shared" si="101"/>
        <v>316451</v>
      </c>
      <c r="Q835" s="8">
        <v>316451</v>
      </c>
      <c r="R835" s="128">
        <f t="shared" si="106"/>
        <v>0</v>
      </c>
      <c r="AQ835" s="8"/>
      <c r="AR835" s="8"/>
      <c r="AS835" s="8"/>
    </row>
    <row r="836" spans="1:45">
      <c r="A836" s="12">
        <v>45211</v>
      </c>
      <c r="B836" s="8">
        <f t="shared" si="99"/>
        <v>576749</v>
      </c>
      <c r="C836" s="8">
        <v>576970</v>
      </c>
      <c r="D836" s="128">
        <f t="shared" si="97"/>
        <v>221</v>
      </c>
      <c r="E836" s="8">
        <f t="shared" si="100"/>
        <v>175308</v>
      </c>
      <c r="F836" s="8">
        <v>175602</v>
      </c>
      <c r="G836" s="137">
        <f t="shared" si="104"/>
        <v>294</v>
      </c>
      <c r="H836" s="128">
        <f t="shared" si="107"/>
        <v>515</v>
      </c>
      <c r="I836" s="8">
        <f>J835</f>
        <v>759075</v>
      </c>
      <c r="J836" s="8">
        <v>759218</v>
      </c>
      <c r="K836" s="137">
        <f t="shared" si="105"/>
        <v>143</v>
      </c>
      <c r="L836" s="8">
        <f t="shared" si="103"/>
        <v>25205</v>
      </c>
      <c r="M836" s="8">
        <v>25205</v>
      </c>
      <c r="N836" s="137">
        <f t="shared" si="96"/>
        <v>0</v>
      </c>
      <c r="O836" s="128">
        <f t="shared" si="98"/>
        <v>143</v>
      </c>
      <c r="P836" s="8">
        <f t="shared" si="101"/>
        <v>316451</v>
      </c>
      <c r="Q836" s="8">
        <v>316451</v>
      </c>
      <c r="R836" s="128">
        <f t="shared" si="106"/>
        <v>0</v>
      </c>
      <c r="AQ836" s="8"/>
      <c r="AR836" s="8"/>
      <c r="AS836" s="8"/>
    </row>
    <row r="837" spans="1:45">
      <c r="A837" s="12">
        <v>45212</v>
      </c>
      <c r="B837" s="8">
        <f t="shared" si="99"/>
        <v>576970</v>
      </c>
      <c r="C837" s="8">
        <v>577222</v>
      </c>
      <c r="D837" s="128">
        <f t="shared" si="97"/>
        <v>252</v>
      </c>
      <c r="E837" s="8">
        <f t="shared" si="100"/>
        <v>175602</v>
      </c>
      <c r="F837" s="8">
        <v>175885</v>
      </c>
      <c r="G837" s="137">
        <f t="shared" si="104"/>
        <v>283</v>
      </c>
      <c r="H837" s="128">
        <f t="shared" si="107"/>
        <v>535</v>
      </c>
      <c r="I837" s="8">
        <f t="shared" si="102"/>
        <v>759218</v>
      </c>
      <c r="J837" s="8">
        <v>759353</v>
      </c>
      <c r="K837" s="137">
        <f t="shared" si="105"/>
        <v>135</v>
      </c>
      <c r="L837" s="8">
        <f t="shared" si="103"/>
        <v>25205</v>
      </c>
      <c r="M837" s="8">
        <v>25205</v>
      </c>
      <c r="N837" s="137">
        <f t="shared" si="96"/>
        <v>0</v>
      </c>
      <c r="O837" s="128">
        <f t="shared" si="98"/>
        <v>135</v>
      </c>
      <c r="P837" s="8">
        <f t="shared" si="101"/>
        <v>316451</v>
      </c>
      <c r="Q837" s="8">
        <v>316451</v>
      </c>
      <c r="R837" s="128">
        <f t="shared" si="106"/>
        <v>0</v>
      </c>
      <c r="AQ837" s="8"/>
      <c r="AR837" s="8"/>
      <c r="AS837" s="8"/>
    </row>
    <row r="838" spans="1:45">
      <c r="A838" s="12">
        <v>45213</v>
      </c>
      <c r="B838" s="8">
        <f t="shared" si="99"/>
        <v>577222</v>
      </c>
      <c r="C838" s="8">
        <v>577472</v>
      </c>
      <c r="D838" s="128">
        <f t="shared" si="97"/>
        <v>250</v>
      </c>
      <c r="E838" s="8">
        <f t="shared" si="100"/>
        <v>175885</v>
      </c>
      <c r="F838" s="8">
        <v>176069</v>
      </c>
      <c r="G838" s="137">
        <f t="shared" si="104"/>
        <v>184</v>
      </c>
      <c r="H838" s="128">
        <f t="shared" si="107"/>
        <v>434</v>
      </c>
      <c r="I838" s="8">
        <f t="shared" si="102"/>
        <v>759353</v>
      </c>
      <c r="J838" s="8">
        <v>759509</v>
      </c>
      <c r="K838" s="137">
        <f t="shared" si="105"/>
        <v>156</v>
      </c>
      <c r="L838" s="8">
        <f t="shared" si="103"/>
        <v>25205</v>
      </c>
      <c r="M838" s="8">
        <v>25205</v>
      </c>
      <c r="N838" s="137">
        <f t="shared" si="96"/>
        <v>0</v>
      </c>
      <c r="O838" s="128">
        <f t="shared" si="98"/>
        <v>156</v>
      </c>
      <c r="P838" s="8">
        <f t="shared" si="101"/>
        <v>316451</v>
      </c>
      <c r="Q838" s="8">
        <v>316451</v>
      </c>
      <c r="R838" s="128">
        <f t="shared" si="106"/>
        <v>0</v>
      </c>
      <c r="AQ838" s="8"/>
      <c r="AR838" s="8"/>
      <c r="AS838" s="8"/>
    </row>
    <row r="839" spans="1:45">
      <c r="A839" s="12">
        <v>45214</v>
      </c>
      <c r="B839" s="8">
        <f t="shared" si="99"/>
        <v>577472</v>
      </c>
      <c r="C839" s="8">
        <v>577690</v>
      </c>
      <c r="D839" s="128">
        <f t="shared" si="97"/>
        <v>218</v>
      </c>
      <c r="E839" s="8">
        <f t="shared" si="100"/>
        <v>176069</v>
      </c>
      <c r="F839" s="8">
        <v>176138</v>
      </c>
      <c r="G839" s="137">
        <f t="shared" si="104"/>
        <v>69</v>
      </c>
      <c r="H839" s="128">
        <f t="shared" si="107"/>
        <v>287</v>
      </c>
      <c r="I839" s="8">
        <f t="shared" si="102"/>
        <v>759509</v>
      </c>
      <c r="J839" s="8">
        <v>759687</v>
      </c>
      <c r="K839" s="137">
        <f t="shared" si="105"/>
        <v>178</v>
      </c>
      <c r="L839" s="8">
        <f t="shared" si="103"/>
        <v>25205</v>
      </c>
      <c r="M839" s="8">
        <v>25205</v>
      </c>
      <c r="N839" s="137">
        <f t="shared" si="96"/>
        <v>0</v>
      </c>
      <c r="O839" s="128">
        <f t="shared" si="98"/>
        <v>178</v>
      </c>
      <c r="P839" s="8">
        <f t="shared" si="101"/>
        <v>316451</v>
      </c>
      <c r="Q839" s="8">
        <v>317442</v>
      </c>
      <c r="R839" s="128">
        <f t="shared" si="106"/>
        <v>991</v>
      </c>
      <c r="AQ839" s="8"/>
      <c r="AR839" s="8"/>
      <c r="AS839" s="8"/>
    </row>
    <row r="840" spans="1:45">
      <c r="A840" s="12">
        <v>45215</v>
      </c>
      <c r="B840" s="8">
        <f t="shared" si="99"/>
        <v>577690</v>
      </c>
      <c r="C840" s="8">
        <v>577869</v>
      </c>
      <c r="D840" s="128">
        <f t="shared" si="97"/>
        <v>179</v>
      </c>
      <c r="E840" s="8">
        <f t="shared" si="100"/>
        <v>176138</v>
      </c>
      <c r="F840" s="8">
        <v>176478</v>
      </c>
      <c r="G840" s="137">
        <f t="shared" si="104"/>
        <v>340</v>
      </c>
      <c r="H840" s="128">
        <f t="shared" si="107"/>
        <v>519</v>
      </c>
      <c r="I840" s="8">
        <f t="shared" si="102"/>
        <v>759687</v>
      </c>
      <c r="J840" s="8">
        <v>759828</v>
      </c>
      <c r="K840" s="137">
        <f t="shared" si="105"/>
        <v>141</v>
      </c>
      <c r="L840" s="8">
        <f t="shared" si="103"/>
        <v>25205</v>
      </c>
      <c r="M840" s="8">
        <v>25205</v>
      </c>
      <c r="N840" s="137">
        <f t="shared" ref="N840:N903" si="108">M840-L840</f>
        <v>0</v>
      </c>
      <c r="O840" s="128">
        <f t="shared" si="98"/>
        <v>141</v>
      </c>
      <c r="P840" s="8">
        <f t="shared" si="101"/>
        <v>317442</v>
      </c>
      <c r="Q840" s="8">
        <v>317442</v>
      </c>
      <c r="R840" s="128">
        <f t="shared" si="106"/>
        <v>0</v>
      </c>
      <c r="AQ840" s="8"/>
      <c r="AR840" s="8"/>
      <c r="AS840" s="8"/>
    </row>
    <row r="841" spans="1:45">
      <c r="A841" s="12">
        <v>45216</v>
      </c>
      <c r="B841" s="8">
        <f t="shared" si="99"/>
        <v>577869</v>
      </c>
      <c r="C841" s="8">
        <v>578121</v>
      </c>
      <c r="D841" s="128">
        <f>C841-B841</f>
        <v>252</v>
      </c>
      <c r="E841" s="8">
        <f t="shared" si="100"/>
        <v>176478</v>
      </c>
      <c r="F841" s="8">
        <v>176819</v>
      </c>
      <c r="G841" s="137">
        <f>F841-E841</f>
        <v>341</v>
      </c>
      <c r="H841" s="128">
        <f t="shared" si="107"/>
        <v>593</v>
      </c>
      <c r="I841" s="8">
        <f t="shared" si="102"/>
        <v>759828</v>
      </c>
      <c r="J841" s="8">
        <v>760005</v>
      </c>
      <c r="K841" s="137">
        <f>J841-I841</f>
        <v>177</v>
      </c>
      <c r="L841" s="8">
        <f t="shared" si="103"/>
        <v>25205</v>
      </c>
      <c r="M841" s="8">
        <v>25205</v>
      </c>
      <c r="N841" s="137">
        <f>M841-L841</f>
        <v>0</v>
      </c>
      <c r="O841" s="128">
        <f>N841+K841</f>
        <v>177</v>
      </c>
      <c r="P841" s="8">
        <f t="shared" si="101"/>
        <v>317442</v>
      </c>
      <c r="Q841" s="8">
        <v>317442</v>
      </c>
      <c r="R841" s="128">
        <f t="shared" si="106"/>
        <v>0</v>
      </c>
      <c r="AQ841" s="8"/>
      <c r="AR841" s="8"/>
      <c r="AS841" s="8"/>
    </row>
    <row r="842" spans="1:45">
      <c r="A842" s="12">
        <v>45217</v>
      </c>
      <c r="B842" s="8">
        <f t="shared" si="99"/>
        <v>578121</v>
      </c>
      <c r="C842" s="8">
        <v>578305</v>
      </c>
      <c r="D842" s="128">
        <f t="shared" si="97"/>
        <v>184</v>
      </c>
      <c r="E842" s="8">
        <f t="shared" si="100"/>
        <v>176819</v>
      </c>
      <c r="F842" s="8">
        <v>177043</v>
      </c>
      <c r="G842" s="137">
        <f t="shared" si="104"/>
        <v>224</v>
      </c>
      <c r="H842" s="128">
        <f t="shared" si="107"/>
        <v>408</v>
      </c>
      <c r="I842" s="8">
        <f t="shared" si="102"/>
        <v>760005</v>
      </c>
      <c r="J842" s="8">
        <v>760140</v>
      </c>
      <c r="K842" s="137">
        <f t="shared" si="105"/>
        <v>135</v>
      </c>
      <c r="L842" s="8">
        <f t="shared" si="103"/>
        <v>25205</v>
      </c>
      <c r="M842" s="8">
        <v>25205</v>
      </c>
      <c r="N842" s="137">
        <f t="shared" si="108"/>
        <v>0</v>
      </c>
      <c r="O842" s="128">
        <f t="shared" si="98"/>
        <v>135</v>
      </c>
      <c r="P842" s="8">
        <f t="shared" si="101"/>
        <v>317442</v>
      </c>
      <c r="Q842" s="8">
        <v>318044</v>
      </c>
      <c r="R842" s="128">
        <f>Q842-P842</f>
        <v>602</v>
      </c>
      <c r="AQ842" s="8"/>
      <c r="AR842" s="8"/>
      <c r="AS842" s="8"/>
    </row>
    <row r="843" spans="1:45">
      <c r="A843" s="12">
        <v>45218</v>
      </c>
      <c r="B843" s="8">
        <f t="shared" si="99"/>
        <v>578305</v>
      </c>
      <c r="C843" s="8">
        <v>578569</v>
      </c>
      <c r="D843" s="128">
        <f t="shared" si="97"/>
        <v>264</v>
      </c>
      <c r="E843" s="8">
        <f t="shared" si="100"/>
        <v>177043</v>
      </c>
      <c r="F843" s="8">
        <v>177435</v>
      </c>
      <c r="G843" s="137">
        <f t="shared" si="104"/>
        <v>392</v>
      </c>
      <c r="H843" s="128">
        <f t="shared" si="107"/>
        <v>656</v>
      </c>
      <c r="I843" s="8">
        <f t="shared" si="102"/>
        <v>760140</v>
      </c>
      <c r="J843" s="8">
        <v>760285</v>
      </c>
      <c r="K843" s="137">
        <f t="shared" si="105"/>
        <v>145</v>
      </c>
      <c r="L843" s="8">
        <f t="shared" si="103"/>
        <v>25205</v>
      </c>
      <c r="M843" s="8">
        <v>25205</v>
      </c>
      <c r="N843" s="137">
        <f t="shared" si="108"/>
        <v>0</v>
      </c>
      <c r="O843" s="128">
        <f t="shared" si="98"/>
        <v>145</v>
      </c>
      <c r="P843" s="8">
        <f t="shared" si="101"/>
        <v>318044</v>
      </c>
      <c r="Q843" s="8">
        <v>318044</v>
      </c>
      <c r="R843" s="128">
        <f t="shared" si="106"/>
        <v>0</v>
      </c>
      <c r="AQ843" s="8"/>
      <c r="AR843" s="8"/>
      <c r="AS843" s="8"/>
    </row>
    <row r="844" spans="1:45">
      <c r="A844" s="12">
        <v>45219</v>
      </c>
      <c r="B844" s="8">
        <f t="shared" si="99"/>
        <v>578569</v>
      </c>
      <c r="C844" s="8">
        <v>578841</v>
      </c>
      <c r="D844" s="128">
        <f t="shared" si="97"/>
        <v>272</v>
      </c>
      <c r="E844" s="8">
        <f t="shared" si="100"/>
        <v>177435</v>
      </c>
      <c r="F844" s="8">
        <v>177619</v>
      </c>
      <c r="G844" s="137">
        <f t="shared" si="104"/>
        <v>184</v>
      </c>
      <c r="H844" s="128">
        <f t="shared" si="107"/>
        <v>456</v>
      </c>
      <c r="I844" s="8">
        <f t="shared" si="102"/>
        <v>760285</v>
      </c>
      <c r="J844" s="8">
        <v>760462</v>
      </c>
      <c r="K844" s="137">
        <f t="shared" si="105"/>
        <v>177</v>
      </c>
      <c r="L844" s="8">
        <f t="shared" si="103"/>
        <v>25205</v>
      </c>
      <c r="M844" s="8">
        <v>25205</v>
      </c>
      <c r="N844" s="137">
        <f t="shared" si="108"/>
        <v>0</v>
      </c>
      <c r="O844" s="128">
        <f t="shared" si="98"/>
        <v>177</v>
      </c>
      <c r="P844" s="8">
        <f t="shared" si="101"/>
        <v>318044</v>
      </c>
      <c r="Q844" s="8">
        <v>318044</v>
      </c>
      <c r="R844" s="128">
        <f t="shared" si="106"/>
        <v>0</v>
      </c>
      <c r="AQ844" s="8"/>
      <c r="AR844" s="8"/>
      <c r="AS844" s="8"/>
    </row>
    <row r="845" spans="1:45">
      <c r="A845" s="12">
        <v>45220</v>
      </c>
      <c r="B845" s="8">
        <f t="shared" si="99"/>
        <v>578841</v>
      </c>
      <c r="C845" s="8">
        <v>579109</v>
      </c>
      <c r="D845" s="128">
        <f t="shared" si="97"/>
        <v>268</v>
      </c>
      <c r="E845" s="8">
        <f t="shared" si="100"/>
        <v>177619</v>
      </c>
      <c r="F845" s="8">
        <v>177830</v>
      </c>
      <c r="G845" s="137">
        <f t="shared" si="104"/>
        <v>211</v>
      </c>
      <c r="H845" s="128">
        <f t="shared" si="107"/>
        <v>479</v>
      </c>
      <c r="I845" s="8">
        <f t="shared" si="102"/>
        <v>760462</v>
      </c>
      <c r="J845" s="8">
        <v>760626</v>
      </c>
      <c r="K845" s="137">
        <f t="shared" si="105"/>
        <v>164</v>
      </c>
      <c r="L845" s="8">
        <f t="shared" si="103"/>
        <v>25205</v>
      </c>
      <c r="M845" s="8">
        <v>25205</v>
      </c>
      <c r="N845" s="137">
        <f t="shared" si="108"/>
        <v>0</v>
      </c>
      <c r="O845" s="128">
        <f t="shared" si="98"/>
        <v>164</v>
      </c>
      <c r="P845" s="8">
        <f t="shared" si="101"/>
        <v>318044</v>
      </c>
      <c r="Q845" s="8">
        <v>318489</v>
      </c>
      <c r="R845" s="128">
        <f t="shared" si="106"/>
        <v>445</v>
      </c>
      <c r="AQ845" s="8"/>
      <c r="AR845" s="8"/>
      <c r="AS845" s="8"/>
    </row>
    <row r="846" spans="1:45">
      <c r="A846" s="12">
        <v>45221</v>
      </c>
      <c r="B846" s="8">
        <f t="shared" si="99"/>
        <v>579109</v>
      </c>
      <c r="C846" s="8">
        <v>579315</v>
      </c>
      <c r="D846" s="128">
        <f t="shared" si="97"/>
        <v>206</v>
      </c>
      <c r="E846" s="8">
        <f t="shared" si="100"/>
        <v>177830</v>
      </c>
      <c r="F846" s="8">
        <v>177902</v>
      </c>
      <c r="G846" s="137">
        <f t="shared" si="104"/>
        <v>72</v>
      </c>
      <c r="H846" s="128">
        <f t="shared" si="107"/>
        <v>278</v>
      </c>
      <c r="I846" s="8">
        <f t="shared" si="102"/>
        <v>760626</v>
      </c>
      <c r="J846" s="8">
        <v>760807</v>
      </c>
      <c r="K846" s="137">
        <f t="shared" si="105"/>
        <v>181</v>
      </c>
      <c r="L846" s="8">
        <f t="shared" si="103"/>
        <v>25205</v>
      </c>
      <c r="M846" s="8">
        <v>25205</v>
      </c>
      <c r="N846" s="137">
        <f t="shared" si="108"/>
        <v>0</v>
      </c>
      <c r="O846" s="128">
        <f t="shared" si="98"/>
        <v>181</v>
      </c>
      <c r="P846" s="8">
        <f t="shared" si="101"/>
        <v>318489</v>
      </c>
      <c r="Q846" s="8">
        <v>319455</v>
      </c>
      <c r="R846" s="128">
        <f>Q846-P846</f>
        <v>966</v>
      </c>
      <c r="AQ846" s="8"/>
      <c r="AR846" s="8"/>
      <c r="AS846" s="8"/>
    </row>
    <row r="847" spans="1:45">
      <c r="A847" s="12">
        <v>45222</v>
      </c>
      <c r="B847" s="8">
        <f t="shared" si="99"/>
        <v>579315</v>
      </c>
      <c r="C847" s="8">
        <v>579600</v>
      </c>
      <c r="D847" s="128">
        <f t="shared" si="97"/>
        <v>285</v>
      </c>
      <c r="E847" s="8">
        <f t="shared" si="100"/>
        <v>177902</v>
      </c>
      <c r="F847" s="8">
        <v>178131</v>
      </c>
      <c r="G847" s="137">
        <f t="shared" si="104"/>
        <v>229</v>
      </c>
      <c r="H847" s="128">
        <f t="shared" si="107"/>
        <v>514</v>
      </c>
      <c r="I847" s="8">
        <f t="shared" si="102"/>
        <v>760807</v>
      </c>
      <c r="J847" s="8">
        <v>760954</v>
      </c>
      <c r="K847" s="137">
        <f t="shared" si="105"/>
        <v>147</v>
      </c>
      <c r="L847" s="8">
        <f t="shared" si="103"/>
        <v>25205</v>
      </c>
      <c r="M847" s="8">
        <v>25205</v>
      </c>
      <c r="N847" s="137">
        <f t="shared" si="108"/>
        <v>0</v>
      </c>
      <c r="O847" s="128">
        <f t="shared" si="98"/>
        <v>147</v>
      </c>
      <c r="P847" s="8">
        <f>Q846</f>
        <v>319455</v>
      </c>
      <c r="Q847" s="8">
        <v>319812</v>
      </c>
      <c r="R847" s="128">
        <f>Q847-P847</f>
        <v>357</v>
      </c>
      <c r="AQ847" s="8"/>
      <c r="AR847" s="8"/>
      <c r="AS847" s="8"/>
    </row>
    <row r="848" spans="1:45">
      <c r="A848" s="12">
        <v>45223</v>
      </c>
      <c r="B848" s="8">
        <f t="shared" si="99"/>
        <v>579600</v>
      </c>
      <c r="C848" s="8">
        <v>579854</v>
      </c>
      <c r="D848" s="128">
        <f t="shared" si="97"/>
        <v>254</v>
      </c>
      <c r="E848" s="8">
        <f t="shared" si="100"/>
        <v>178131</v>
      </c>
      <c r="F848" s="8">
        <v>178398</v>
      </c>
      <c r="G848" s="137">
        <f t="shared" si="104"/>
        <v>267</v>
      </c>
      <c r="H848" s="128">
        <f t="shared" si="107"/>
        <v>521</v>
      </c>
      <c r="I848" s="8">
        <f t="shared" si="102"/>
        <v>760954</v>
      </c>
      <c r="J848" s="8">
        <v>761057</v>
      </c>
      <c r="K848" s="137">
        <f t="shared" si="105"/>
        <v>103</v>
      </c>
      <c r="L848" s="8">
        <f t="shared" si="103"/>
        <v>25205</v>
      </c>
      <c r="M848" s="8">
        <v>25205</v>
      </c>
      <c r="N848" s="137">
        <f t="shared" si="108"/>
        <v>0</v>
      </c>
      <c r="O848" s="128">
        <f t="shared" si="98"/>
        <v>103</v>
      </c>
      <c r="P848" s="8">
        <f>Q847</f>
        <v>319812</v>
      </c>
      <c r="Q848" s="8">
        <v>320118</v>
      </c>
      <c r="R848" s="128">
        <f t="shared" ref="R848:R911" si="109">Q848-P848</f>
        <v>306</v>
      </c>
      <c r="AQ848" s="8"/>
      <c r="AR848" s="8"/>
      <c r="AS848" s="8"/>
    </row>
    <row r="849" spans="1:45">
      <c r="A849" s="12">
        <v>45224</v>
      </c>
      <c r="B849" s="8">
        <f t="shared" si="99"/>
        <v>579854</v>
      </c>
      <c r="C849" s="8">
        <v>580141</v>
      </c>
      <c r="D849" s="128">
        <f t="shared" si="97"/>
        <v>287</v>
      </c>
      <c r="E849" s="8">
        <f t="shared" si="100"/>
        <v>178398</v>
      </c>
      <c r="F849" s="8">
        <v>178755</v>
      </c>
      <c r="G849" s="137">
        <f t="shared" si="104"/>
        <v>357</v>
      </c>
      <c r="H849" s="128">
        <f t="shared" si="107"/>
        <v>644</v>
      </c>
      <c r="I849" s="8">
        <f t="shared" si="102"/>
        <v>761057</v>
      </c>
      <c r="J849" s="8">
        <v>761218</v>
      </c>
      <c r="K849" s="137">
        <f t="shared" si="105"/>
        <v>161</v>
      </c>
      <c r="L849" s="8">
        <f t="shared" si="103"/>
        <v>25205</v>
      </c>
      <c r="M849" s="8">
        <v>25205</v>
      </c>
      <c r="N849" s="137">
        <f t="shared" si="108"/>
        <v>0</v>
      </c>
      <c r="O849" s="128">
        <f t="shared" si="98"/>
        <v>161</v>
      </c>
      <c r="P849" s="8">
        <f t="shared" si="101"/>
        <v>320118</v>
      </c>
      <c r="Q849" s="8">
        <v>320118</v>
      </c>
      <c r="R849" s="128">
        <f t="shared" si="109"/>
        <v>0</v>
      </c>
      <c r="AQ849" s="8"/>
      <c r="AR849" s="8"/>
      <c r="AS849" s="8"/>
    </row>
    <row r="850" spans="1:45">
      <c r="A850" s="12">
        <v>45225</v>
      </c>
      <c r="B850" s="8">
        <f t="shared" si="99"/>
        <v>580141</v>
      </c>
      <c r="C850" s="8">
        <v>580438</v>
      </c>
      <c r="D850" s="128">
        <f t="shared" si="97"/>
        <v>297</v>
      </c>
      <c r="E850" s="8">
        <f t="shared" si="100"/>
        <v>178755</v>
      </c>
      <c r="F850" s="8">
        <v>179091</v>
      </c>
      <c r="G850" s="137">
        <f t="shared" si="104"/>
        <v>336</v>
      </c>
      <c r="H850" s="128">
        <f t="shared" si="107"/>
        <v>633</v>
      </c>
      <c r="I850" s="8">
        <f>J849</f>
        <v>761218</v>
      </c>
      <c r="J850" s="8">
        <v>761409</v>
      </c>
      <c r="K850" s="137">
        <f t="shared" si="105"/>
        <v>191</v>
      </c>
      <c r="L850" s="8">
        <f t="shared" si="103"/>
        <v>25205</v>
      </c>
      <c r="M850" s="8">
        <v>25205</v>
      </c>
      <c r="N850" s="137">
        <f t="shared" si="108"/>
        <v>0</v>
      </c>
      <c r="O850" s="128">
        <f t="shared" si="98"/>
        <v>191</v>
      </c>
      <c r="P850" s="8">
        <f t="shared" si="101"/>
        <v>320118</v>
      </c>
      <c r="Q850" s="8">
        <v>320118</v>
      </c>
      <c r="R850" s="128">
        <f t="shared" si="109"/>
        <v>0</v>
      </c>
      <c r="AQ850" s="8"/>
      <c r="AR850" s="8"/>
      <c r="AS850" s="8"/>
    </row>
    <row r="851" spans="1:45">
      <c r="A851" s="12">
        <v>45226</v>
      </c>
      <c r="B851" s="8">
        <f t="shared" si="99"/>
        <v>580438</v>
      </c>
      <c r="C851" s="8">
        <v>580726</v>
      </c>
      <c r="D851" s="128">
        <f t="shared" si="97"/>
        <v>288</v>
      </c>
      <c r="E851" s="8">
        <f t="shared" si="100"/>
        <v>179091</v>
      </c>
      <c r="F851" s="8">
        <v>179419</v>
      </c>
      <c r="G851" s="137">
        <f t="shared" si="104"/>
        <v>328</v>
      </c>
      <c r="H851" s="128">
        <f t="shared" si="107"/>
        <v>616</v>
      </c>
      <c r="I851" s="8">
        <f>J850</f>
        <v>761409</v>
      </c>
      <c r="J851" s="8">
        <v>761564</v>
      </c>
      <c r="K851" s="137">
        <f t="shared" si="105"/>
        <v>155</v>
      </c>
      <c r="L851" s="8">
        <f t="shared" si="103"/>
        <v>25205</v>
      </c>
      <c r="M851" s="8">
        <v>25205</v>
      </c>
      <c r="N851" s="137">
        <f t="shared" si="108"/>
        <v>0</v>
      </c>
      <c r="O851" s="128">
        <f t="shared" si="98"/>
        <v>155</v>
      </c>
      <c r="P851" s="8">
        <f t="shared" si="101"/>
        <v>320118</v>
      </c>
      <c r="Q851" s="8">
        <v>320118</v>
      </c>
      <c r="R851" s="128">
        <f t="shared" si="109"/>
        <v>0</v>
      </c>
      <c r="AQ851" s="8"/>
      <c r="AR851" s="8"/>
      <c r="AS851" s="8"/>
    </row>
    <row r="852" spans="1:45">
      <c r="A852" s="12">
        <v>45227</v>
      </c>
      <c r="B852" s="8">
        <f t="shared" si="99"/>
        <v>580726</v>
      </c>
      <c r="C852" s="8">
        <v>580946</v>
      </c>
      <c r="D852" s="128">
        <f t="shared" si="97"/>
        <v>220</v>
      </c>
      <c r="E852" s="8">
        <f t="shared" si="100"/>
        <v>179419</v>
      </c>
      <c r="F852" s="8">
        <v>179537</v>
      </c>
      <c r="G852" s="137">
        <f t="shared" si="104"/>
        <v>118</v>
      </c>
      <c r="H852" s="128">
        <f t="shared" si="107"/>
        <v>338</v>
      </c>
      <c r="I852" s="8">
        <f t="shared" si="102"/>
        <v>761564</v>
      </c>
      <c r="J852" s="8">
        <v>761732</v>
      </c>
      <c r="K852" s="137">
        <f t="shared" si="105"/>
        <v>168</v>
      </c>
      <c r="L852" s="8">
        <f t="shared" si="103"/>
        <v>25205</v>
      </c>
      <c r="M852" s="8">
        <v>25205</v>
      </c>
      <c r="N852" s="137">
        <f t="shared" si="108"/>
        <v>0</v>
      </c>
      <c r="O852" s="128">
        <f t="shared" si="98"/>
        <v>168</v>
      </c>
      <c r="P852" s="8">
        <f t="shared" si="101"/>
        <v>320118</v>
      </c>
      <c r="Q852" s="8">
        <v>320118</v>
      </c>
      <c r="R852" s="128">
        <f t="shared" si="109"/>
        <v>0</v>
      </c>
      <c r="AQ852" s="8"/>
      <c r="AR852" s="8"/>
      <c r="AS852" s="8"/>
    </row>
    <row r="853" spans="1:45">
      <c r="A853" s="12">
        <v>45228</v>
      </c>
      <c r="B853" s="8">
        <f t="shared" si="99"/>
        <v>580946</v>
      </c>
      <c r="C853" s="8">
        <v>581163</v>
      </c>
      <c r="D853" s="128">
        <f t="shared" si="97"/>
        <v>217</v>
      </c>
      <c r="E853" s="8">
        <f t="shared" si="100"/>
        <v>179537</v>
      </c>
      <c r="F853" s="8">
        <v>179758</v>
      </c>
      <c r="G853" s="137">
        <f t="shared" si="104"/>
        <v>221</v>
      </c>
      <c r="H853" s="128">
        <f t="shared" si="107"/>
        <v>438</v>
      </c>
      <c r="I853" s="8">
        <f t="shared" si="102"/>
        <v>761732</v>
      </c>
      <c r="J853" s="8">
        <v>761884</v>
      </c>
      <c r="K853" s="137">
        <f t="shared" si="105"/>
        <v>152</v>
      </c>
      <c r="L853" s="8">
        <f t="shared" si="103"/>
        <v>25205</v>
      </c>
      <c r="M853" s="8">
        <v>25205</v>
      </c>
      <c r="N853" s="137">
        <f t="shared" si="108"/>
        <v>0</v>
      </c>
      <c r="O853" s="128">
        <f t="shared" si="98"/>
        <v>152</v>
      </c>
      <c r="P853" s="8">
        <f t="shared" si="101"/>
        <v>320118</v>
      </c>
      <c r="Q853" s="8">
        <v>320118</v>
      </c>
      <c r="R853" s="128">
        <f t="shared" si="109"/>
        <v>0</v>
      </c>
      <c r="AQ853" s="8"/>
      <c r="AR853" s="8"/>
      <c r="AS853" s="8"/>
    </row>
    <row r="854" spans="1:45">
      <c r="A854" s="12">
        <v>45229</v>
      </c>
      <c r="B854" s="8">
        <f t="shared" si="99"/>
        <v>581163</v>
      </c>
      <c r="C854" s="8">
        <v>581503</v>
      </c>
      <c r="D854" s="128">
        <f t="shared" si="97"/>
        <v>340</v>
      </c>
      <c r="E854" s="8">
        <f t="shared" si="100"/>
        <v>179758</v>
      </c>
      <c r="F854" s="8">
        <v>180048</v>
      </c>
      <c r="G854" s="137">
        <f t="shared" si="104"/>
        <v>290</v>
      </c>
      <c r="H854" s="128">
        <f t="shared" si="107"/>
        <v>630</v>
      </c>
      <c r="I854" s="8">
        <f t="shared" si="102"/>
        <v>761884</v>
      </c>
      <c r="J854" s="8">
        <v>762039</v>
      </c>
      <c r="K854" s="137">
        <f t="shared" si="105"/>
        <v>155</v>
      </c>
      <c r="L854" s="8">
        <f t="shared" si="103"/>
        <v>25205</v>
      </c>
      <c r="M854" s="8">
        <v>25205</v>
      </c>
      <c r="N854" s="137">
        <f t="shared" si="108"/>
        <v>0</v>
      </c>
      <c r="O854" s="128">
        <f t="shared" si="98"/>
        <v>155</v>
      </c>
      <c r="P854" s="8">
        <f t="shared" si="101"/>
        <v>320118</v>
      </c>
      <c r="Q854" s="8">
        <v>320118</v>
      </c>
      <c r="R854" s="128">
        <f t="shared" si="109"/>
        <v>0</v>
      </c>
      <c r="AQ854" s="8"/>
      <c r="AR854" s="8"/>
      <c r="AS854" s="8"/>
    </row>
    <row r="855" spans="1:45">
      <c r="A855" s="12">
        <v>45230</v>
      </c>
      <c r="B855" s="8">
        <f t="shared" si="99"/>
        <v>581503</v>
      </c>
      <c r="C855" s="8">
        <v>581769</v>
      </c>
      <c r="D855" s="128">
        <f t="shared" si="97"/>
        <v>266</v>
      </c>
      <c r="E855" s="8">
        <f t="shared" si="100"/>
        <v>180048</v>
      </c>
      <c r="F855" s="8">
        <v>180127</v>
      </c>
      <c r="G855" s="137">
        <f t="shared" si="104"/>
        <v>79</v>
      </c>
      <c r="H855" s="128">
        <f t="shared" si="107"/>
        <v>345</v>
      </c>
      <c r="I855" s="8">
        <f t="shared" si="102"/>
        <v>762039</v>
      </c>
      <c r="J855" s="8">
        <v>762217</v>
      </c>
      <c r="K855" s="137">
        <f t="shared" si="105"/>
        <v>178</v>
      </c>
      <c r="L855" s="8">
        <f t="shared" si="103"/>
        <v>25205</v>
      </c>
      <c r="M855" s="8">
        <v>25205</v>
      </c>
      <c r="N855" s="137">
        <f t="shared" si="108"/>
        <v>0</v>
      </c>
      <c r="O855" s="128">
        <f t="shared" si="98"/>
        <v>178</v>
      </c>
      <c r="P855" s="8">
        <f t="shared" si="101"/>
        <v>320118</v>
      </c>
      <c r="Q855" s="8">
        <v>320118</v>
      </c>
      <c r="R855" s="128">
        <f t="shared" si="109"/>
        <v>0</v>
      </c>
      <c r="AQ855" s="8"/>
      <c r="AR855" s="8"/>
      <c r="AS855" s="8"/>
    </row>
    <row r="856" spans="1:45">
      <c r="A856" s="12">
        <v>45231</v>
      </c>
      <c r="B856" s="8">
        <f t="shared" si="99"/>
        <v>581769</v>
      </c>
      <c r="C856" s="8">
        <v>581969</v>
      </c>
      <c r="D856" s="128">
        <f t="shared" si="97"/>
        <v>200</v>
      </c>
      <c r="E856" s="8">
        <f t="shared" si="100"/>
        <v>180127</v>
      </c>
      <c r="F856" s="8">
        <v>180167</v>
      </c>
      <c r="G856" s="137">
        <f t="shared" si="104"/>
        <v>40</v>
      </c>
      <c r="H856" s="128">
        <f t="shared" si="107"/>
        <v>240</v>
      </c>
      <c r="I856" s="8">
        <f t="shared" si="102"/>
        <v>762217</v>
      </c>
      <c r="J856" s="8">
        <v>762356</v>
      </c>
      <c r="K856" s="137">
        <f t="shared" si="105"/>
        <v>139</v>
      </c>
      <c r="L856" s="8">
        <f t="shared" si="103"/>
        <v>25205</v>
      </c>
      <c r="M856" s="8">
        <v>25205</v>
      </c>
      <c r="N856" s="137">
        <f t="shared" si="108"/>
        <v>0</v>
      </c>
      <c r="O856" s="128">
        <f t="shared" si="98"/>
        <v>139</v>
      </c>
      <c r="P856" s="8">
        <f t="shared" si="101"/>
        <v>320118</v>
      </c>
      <c r="Q856" s="8">
        <v>320118</v>
      </c>
      <c r="R856" s="128">
        <f t="shared" si="109"/>
        <v>0</v>
      </c>
      <c r="AQ856" s="8"/>
      <c r="AR856" s="8"/>
      <c r="AS856" s="8"/>
    </row>
    <row r="857" spans="1:45">
      <c r="A857" s="12">
        <v>45232</v>
      </c>
      <c r="B857" s="8">
        <f t="shared" si="99"/>
        <v>581969</v>
      </c>
      <c r="C857" s="8">
        <v>582196</v>
      </c>
      <c r="D857" s="128">
        <f t="shared" si="97"/>
        <v>227</v>
      </c>
      <c r="E857" s="8">
        <f t="shared" si="100"/>
        <v>180167</v>
      </c>
      <c r="F857" s="8">
        <v>180428</v>
      </c>
      <c r="G857" s="137">
        <f t="shared" si="104"/>
        <v>261</v>
      </c>
      <c r="H857" s="128">
        <f t="shared" si="107"/>
        <v>488</v>
      </c>
      <c r="I857" s="8">
        <f t="shared" si="102"/>
        <v>762356</v>
      </c>
      <c r="J857" s="8">
        <v>762523</v>
      </c>
      <c r="K857" s="137">
        <f t="shared" si="105"/>
        <v>167</v>
      </c>
      <c r="L857" s="8">
        <f t="shared" si="103"/>
        <v>25205</v>
      </c>
      <c r="M857" s="8">
        <v>25205</v>
      </c>
      <c r="N857" s="137">
        <f t="shared" si="108"/>
        <v>0</v>
      </c>
      <c r="O857" s="128">
        <f t="shared" si="98"/>
        <v>167</v>
      </c>
      <c r="P857" s="8">
        <f t="shared" si="101"/>
        <v>320118</v>
      </c>
      <c r="Q857" s="8">
        <v>321719</v>
      </c>
      <c r="R857" s="128">
        <f t="shared" si="109"/>
        <v>1601</v>
      </c>
      <c r="AQ857" s="8"/>
      <c r="AR857" s="8"/>
      <c r="AS857" s="8"/>
    </row>
    <row r="858" spans="1:45">
      <c r="A858" s="12">
        <v>45233</v>
      </c>
      <c r="B858" s="8">
        <f t="shared" si="99"/>
        <v>582196</v>
      </c>
      <c r="C858" s="8">
        <v>582434</v>
      </c>
      <c r="D858" s="128">
        <f t="shared" si="97"/>
        <v>238</v>
      </c>
      <c r="E858" s="8">
        <f t="shared" si="100"/>
        <v>180428</v>
      </c>
      <c r="F858" s="8">
        <v>180633</v>
      </c>
      <c r="G858" s="137">
        <f t="shared" si="104"/>
        <v>205</v>
      </c>
      <c r="H858" s="128">
        <f t="shared" si="107"/>
        <v>443</v>
      </c>
      <c r="I858" s="8">
        <f t="shared" si="102"/>
        <v>762523</v>
      </c>
      <c r="J858" s="8">
        <v>762696</v>
      </c>
      <c r="K858" s="137">
        <f t="shared" si="105"/>
        <v>173</v>
      </c>
      <c r="L858" s="8">
        <f t="shared" si="103"/>
        <v>25205</v>
      </c>
      <c r="M858" s="8">
        <v>25205</v>
      </c>
      <c r="N858" s="137">
        <f t="shared" si="108"/>
        <v>0</v>
      </c>
      <c r="O858" s="128">
        <f t="shared" si="98"/>
        <v>173</v>
      </c>
      <c r="P858" s="8">
        <f t="shared" si="101"/>
        <v>321719</v>
      </c>
      <c r="Q858" s="8">
        <v>322013</v>
      </c>
      <c r="R858" s="128">
        <f t="shared" si="109"/>
        <v>294</v>
      </c>
      <c r="AQ858" s="8"/>
      <c r="AR858" s="8"/>
      <c r="AS858" s="8"/>
    </row>
    <row r="859" spans="1:45">
      <c r="A859" s="12">
        <v>45234</v>
      </c>
      <c r="B859" s="8">
        <f t="shared" si="99"/>
        <v>582434</v>
      </c>
      <c r="C859" s="8">
        <v>582679</v>
      </c>
      <c r="D859" s="128">
        <f t="shared" si="97"/>
        <v>245</v>
      </c>
      <c r="E859" s="8">
        <f t="shared" si="100"/>
        <v>180633</v>
      </c>
      <c r="F859" s="8">
        <v>180827</v>
      </c>
      <c r="G859" s="137">
        <f t="shared" si="104"/>
        <v>194</v>
      </c>
      <c r="H859" s="128">
        <f t="shared" si="107"/>
        <v>439</v>
      </c>
      <c r="I859" s="8">
        <f t="shared" si="102"/>
        <v>762696</v>
      </c>
      <c r="J859" s="8">
        <v>762864</v>
      </c>
      <c r="K859" s="137">
        <f t="shared" si="105"/>
        <v>168</v>
      </c>
      <c r="L859" s="8">
        <f t="shared" si="103"/>
        <v>25205</v>
      </c>
      <c r="M859" s="8">
        <v>25205</v>
      </c>
      <c r="N859" s="137">
        <f t="shared" si="108"/>
        <v>0</v>
      </c>
      <c r="O859" s="128">
        <f t="shared" si="98"/>
        <v>168</v>
      </c>
      <c r="P859" s="8">
        <f t="shared" si="101"/>
        <v>322013</v>
      </c>
      <c r="Q859" s="8">
        <v>322284</v>
      </c>
      <c r="R859" s="128">
        <f t="shared" si="109"/>
        <v>271</v>
      </c>
      <c r="AQ859" s="8"/>
      <c r="AR859" s="8"/>
      <c r="AS859" s="8"/>
    </row>
    <row r="860" spans="1:45">
      <c r="A860" s="12">
        <v>45235</v>
      </c>
      <c r="B860" s="8">
        <f t="shared" si="99"/>
        <v>582679</v>
      </c>
      <c r="C860" s="8">
        <v>582905</v>
      </c>
      <c r="D860" s="128">
        <f t="shared" si="97"/>
        <v>226</v>
      </c>
      <c r="E860" s="8">
        <f t="shared" si="100"/>
        <v>180827</v>
      </c>
      <c r="F860" s="8">
        <v>181038</v>
      </c>
      <c r="G860" s="137">
        <f t="shared" si="104"/>
        <v>211</v>
      </c>
      <c r="H860" s="128">
        <f t="shared" si="107"/>
        <v>437</v>
      </c>
      <c r="I860" s="8">
        <f t="shared" si="102"/>
        <v>762864</v>
      </c>
      <c r="J860" s="8">
        <v>763020</v>
      </c>
      <c r="K860" s="137">
        <f t="shared" si="105"/>
        <v>156</v>
      </c>
      <c r="L860" s="8">
        <f t="shared" si="103"/>
        <v>25205</v>
      </c>
      <c r="M860" s="8">
        <v>25205</v>
      </c>
      <c r="N860" s="137">
        <f t="shared" si="108"/>
        <v>0</v>
      </c>
      <c r="O860" s="128">
        <f t="shared" si="98"/>
        <v>156</v>
      </c>
      <c r="P860" s="8">
        <f t="shared" si="101"/>
        <v>322284</v>
      </c>
      <c r="Q860" s="8">
        <v>322663</v>
      </c>
      <c r="R860" s="128">
        <f t="shared" si="109"/>
        <v>379</v>
      </c>
      <c r="AQ860" s="8"/>
      <c r="AR860" s="8"/>
      <c r="AS860" s="8"/>
    </row>
    <row r="861" spans="1:45">
      <c r="A861" s="12">
        <v>45236</v>
      </c>
      <c r="B861" s="8">
        <f t="shared" si="99"/>
        <v>582905</v>
      </c>
      <c r="C861" s="8">
        <v>583001</v>
      </c>
      <c r="D861" s="128">
        <f t="shared" si="97"/>
        <v>96</v>
      </c>
      <c r="E861" s="8">
        <f t="shared" si="100"/>
        <v>181038</v>
      </c>
      <c r="F861" s="8">
        <v>181079</v>
      </c>
      <c r="G861" s="137">
        <f t="shared" si="104"/>
        <v>41</v>
      </c>
      <c r="H861" s="128">
        <f t="shared" si="107"/>
        <v>137</v>
      </c>
      <c r="I861" s="8">
        <f t="shared" si="102"/>
        <v>763020</v>
      </c>
      <c r="J861" s="8">
        <v>763164</v>
      </c>
      <c r="K861" s="137">
        <f t="shared" si="105"/>
        <v>144</v>
      </c>
      <c r="L861" s="8">
        <f t="shared" si="103"/>
        <v>25205</v>
      </c>
      <c r="M861" s="8">
        <v>25205</v>
      </c>
      <c r="N861" s="137">
        <f t="shared" si="108"/>
        <v>0</v>
      </c>
      <c r="O861" s="128">
        <f t="shared" si="98"/>
        <v>144</v>
      </c>
      <c r="P861" s="8">
        <f t="shared" si="101"/>
        <v>322663</v>
      </c>
      <c r="Q861" s="8">
        <v>322663</v>
      </c>
      <c r="R861" s="128">
        <f t="shared" si="109"/>
        <v>0</v>
      </c>
      <c r="AQ861" s="8"/>
      <c r="AR861" s="8"/>
      <c r="AS861" s="8"/>
    </row>
    <row r="862" spans="1:45">
      <c r="A862" s="12">
        <v>45237</v>
      </c>
      <c r="B862" s="8">
        <f t="shared" si="99"/>
        <v>583001</v>
      </c>
      <c r="C862" s="8">
        <v>583219</v>
      </c>
      <c r="D862" s="128">
        <f t="shared" si="97"/>
        <v>218</v>
      </c>
      <c r="E862" s="8">
        <f t="shared" si="100"/>
        <v>181079</v>
      </c>
      <c r="F862" s="8">
        <v>181253</v>
      </c>
      <c r="G862" s="137">
        <f t="shared" si="104"/>
        <v>174</v>
      </c>
      <c r="H862" s="128">
        <f t="shared" si="107"/>
        <v>392</v>
      </c>
      <c r="I862" s="8">
        <f t="shared" si="102"/>
        <v>763164</v>
      </c>
      <c r="J862" s="8">
        <v>763274</v>
      </c>
      <c r="K862" s="137">
        <f t="shared" si="105"/>
        <v>110</v>
      </c>
      <c r="L862" s="8">
        <f t="shared" si="103"/>
        <v>25205</v>
      </c>
      <c r="M862" s="8">
        <v>25205</v>
      </c>
      <c r="N862" s="137">
        <f t="shared" si="108"/>
        <v>0</v>
      </c>
      <c r="O862" s="128">
        <f t="shared" si="98"/>
        <v>110</v>
      </c>
      <c r="P862" s="8">
        <f t="shared" si="101"/>
        <v>322663</v>
      </c>
      <c r="Q862" s="8">
        <v>323007</v>
      </c>
      <c r="R862" s="128">
        <f t="shared" si="109"/>
        <v>344</v>
      </c>
      <c r="AQ862" s="8"/>
      <c r="AR862" s="8"/>
      <c r="AS862" s="8"/>
    </row>
    <row r="863" spans="1:45">
      <c r="A863" s="12">
        <v>45238</v>
      </c>
      <c r="B863" s="8">
        <f t="shared" si="99"/>
        <v>583219</v>
      </c>
      <c r="C863" s="8">
        <v>583517</v>
      </c>
      <c r="D863" s="128">
        <f t="shared" si="97"/>
        <v>298</v>
      </c>
      <c r="E863" s="8">
        <f t="shared" si="100"/>
        <v>181253</v>
      </c>
      <c r="F863" s="8">
        <v>181640</v>
      </c>
      <c r="G863" s="137">
        <f t="shared" si="104"/>
        <v>387</v>
      </c>
      <c r="H863" s="128">
        <f t="shared" si="107"/>
        <v>685</v>
      </c>
      <c r="I863" s="8">
        <f t="shared" si="102"/>
        <v>763274</v>
      </c>
      <c r="J863" s="8">
        <v>763426</v>
      </c>
      <c r="K863" s="137">
        <f t="shared" si="105"/>
        <v>152</v>
      </c>
      <c r="L863" s="8">
        <f t="shared" si="103"/>
        <v>25205</v>
      </c>
      <c r="M863" s="8">
        <v>25205</v>
      </c>
      <c r="N863" s="137">
        <f t="shared" si="108"/>
        <v>0</v>
      </c>
      <c r="O863" s="128">
        <f t="shared" si="98"/>
        <v>152</v>
      </c>
      <c r="P863" s="8">
        <f t="shared" si="101"/>
        <v>323007</v>
      </c>
      <c r="Q863" s="8">
        <v>323007</v>
      </c>
      <c r="R863" s="128">
        <f t="shared" si="109"/>
        <v>0</v>
      </c>
      <c r="AQ863" s="8"/>
      <c r="AR863" s="8"/>
      <c r="AS863" s="8"/>
    </row>
    <row r="864" spans="1:45">
      <c r="A864" s="12">
        <v>45239</v>
      </c>
      <c r="B864" s="8">
        <f t="shared" si="99"/>
        <v>583517</v>
      </c>
      <c r="C864" s="8">
        <v>583789</v>
      </c>
      <c r="D864" s="128">
        <f t="shared" ref="D864:D927" si="110">C864-B864</f>
        <v>272</v>
      </c>
      <c r="E864" s="8">
        <f t="shared" si="100"/>
        <v>181640</v>
      </c>
      <c r="F864" s="8">
        <v>181927</v>
      </c>
      <c r="G864" s="137">
        <f t="shared" si="104"/>
        <v>287</v>
      </c>
      <c r="H864" s="128">
        <f t="shared" si="107"/>
        <v>559</v>
      </c>
      <c r="I864" s="8">
        <f t="shared" si="102"/>
        <v>763426</v>
      </c>
      <c r="J864" s="8">
        <v>763626</v>
      </c>
      <c r="K864" s="137">
        <f t="shared" si="105"/>
        <v>200</v>
      </c>
      <c r="L864" s="8">
        <v>0</v>
      </c>
      <c r="M864" s="8">
        <v>128</v>
      </c>
      <c r="N864" s="137">
        <f t="shared" si="108"/>
        <v>128</v>
      </c>
      <c r="O864" s="128">
        <f t="shared" si="98"/>
        <v>328</v>
      </c>
      <c r="P864" s="8">
        <f t="shared" si="101"/>
        <v>323007</v>
      </c>
      <c r="Q864" s="8">
        <v>323482</v>
      </c>
      <c r="R864" s="128">
        <f t="shared" si="109"/>
        <v>475</v>
      </c>
      <c r="AQ864" s="8"/>
      <c r="AR864" s="8"/>
      <c r="AS864" s="8"/>
    </row>
    <row r="865" spans="1:45">
      <c r="A865" s="12">
        <v>45240</v>
      </c>
      <c r="B865" s="8">
        <f t="shared" si="99"/>
        <v>583789</v>
      </c>
      <c r="C865" s="8">
        <v>584064</v>
      </c>
      <c r="D865" s="128">
        <f t="shared" si="110"/>
        <v>275</v>
      </c>
      <c r="E865" s="8">
        <f t="shared" si="100"/>
        <v>181927</v>
      </c>
      <c r="F865" s="8">
        <v>182207</v>
      </c>
      <c r="G865" s="137">
        <f t="shared" si="104"/>
        <v>280</v>
      </c>
      <c r="H865" s="128">
        <f t="shared" si="107"/>
        <v>555</v>
      </c>
      <c r="I865" s="8">
        <f t="shared" si="102"/>
        <v>763626</v>
      </c>
      <c r="J865" s="8">
        <v>763773</v>
      </c>
      <c r="K865" s="137">
        <f t="shared" si="105"/>
        <v>147</v>
      </c>
      <c r="L865" s="8">
        <f t="shared" si="103"/>
        <v>128</v>
      </c>
      <c r="M865" s="8">
        <v>349</v>
      </c>
      <c r="N865" s="137">
        <f t="shared" si="108"/>
        <v>221</v>
      </c>
      <c r="O865" s="128">
        <f t="shared" si="98"/>
        <v>368</v>
      </c>
      <c r="P865" s="8">
        <f t="shared" si="101"/>
        <v>323482</v>
      </c>
      <c r="Q865" s="8">
        <v>323482</v>
      </c>
      <c r="R865" s="128">
        <f t="shared" si="109"/>
        <v>0</v>
      </c>
      <c r="AQ865" s="8"/>
      <c r="AR865" s="8"/>
      <c r="AS865" s="8"/>
    </row>
    <row r="866" spans="1:45">
      <c r="A866" s="12">
        <v>45241</v>
      </c>
      <c r="B866" s="8">
        <f t="shared" si="99"/>
        <v>584064</v>
      </c>
      <c r="C866" s="8">
        <v>584342</v>
      </c>
      <c r="D866" s="128">
        <f t="shared" si="110"/>
        <v>278</v>
      </c>
      <c r="E866" s="8">
        <f t="shared" si="100"/>
        <v>182207</v>
      </c>
      <c r="F866" s="8">
        <v>182469</v>
      </c>
      <c r="G866" s="137">
        <f t="shared" si="104"/>
        <v>262</v>
      </c>
      <c r="H866" s="128">
        <f t="shared" si="107"/>
        <v>540</v>
      </c>
      <c r="I866" s="8">
        <f t="shared" si="102"/>
        <v>763773</v>
      </c>
      <c r="J866" s="8">
        <v>763929</v>
      </c>
      <c r="K866" s="137">
        <f t="shared" si="105"/>
        <v>156</v>
      </c>
      <c r="L866" s="8">
        <f t="shared" si="103"/>
        <v>349</v>
      </c>
      <c r="M866" s="8">
        <v>569</v>
      </c>
      <c r="N866" s="137">
        <f t="shared" si="108"/>
        <v>220</v>
      </c>
      <c r="O866" s="128">
        <f t="shared" si="98"/>
        <v>376</v>
      </c>
      <c r="P866" s="8">
        <f t="shared" si="101"/>
        <v>323482</v>
      </c>
      <c r="Q866" s="8">
        <v>323482</v>
      </c>
      <c r="R866" s="128">
        <f t="shared" si="109"/>
        <v>0</v>
      </c>
      <c r="AQ866" s="8"/>
      <c r="AR866" s="8"/>
      <c r="AS866" s="8"/>
    </row>
    <row r="867" spans="1:45">
      <c r="A867" s="12">
        <v>45242</v>
      </c>
      <c r="B867" s="8">
        <f t="shared" si="99"/>
        <v>584342</v>
      </c>
      <c r="C867" s="8">
        <v>584580</v>
      </c>
      <c r="D867" s="128">
        <f t="shared" si="110"/>
        <v>238</v>
      </c>
      <c r="E867" s="8">
        <f t="shared" si="100"/>
        <v>182469</v>
      </c>
      <c r="F867" s="8">
        <v>182690</v>
      </c>
      <c r="G867" s="137">
        <f t="shared" si="104"/>
        <v>221</v>
      </c>
      <c r="H867" s="128">
        <f t="shared" si="107"/>
        <v>459</v>
      </c>
      <c r="I867" s="8">
        <f t="shared" si="102"/>
        <v>763929</v>
      </c>
      <c r="J867" s="8">
        <v>764073</v>
      </c>
      <c r="K867" s="137">
        <f t="shared" si="105"/>
        <v>144</v>
      </c>
      <c r="L867" s="8">
        <f t="shared" si="103"/>
        <v>569</v>
      </c>
      <c r="M867" s="8">
        <v>781</v>
      </c>
      <c r="N867" s="137">
        <f t="shared" si="108"/>
        <v>212</v>
      </c>
      <c r="O867" s="128">
        <f t="shared" si="98"/>
        <v>356</v>
      </c>
      <c r="P867" s="8">
        <f t="shared" si="101"/>
        <v>323482</v>
      </c>
      <c r="Q867" s="8">
        <v>323482</v>
      </c>
      <c r="R867" s="128">
        <f t="shared" si="109"/>
        <v>0</v>
      </c>
      <c r="AQ867" s="8"/>
      <c r="AR867" s="8"/>
      <c r="AS867" s="8"/>
    </row>
    <row r="868" spans="1:45">
      <c r="A868" s="12">
        <v>45243</v>
      </c>
      <c r="B868" s="8">
        <f t="shared" si="99"/>
        <v>584580</v>
      </c>
      <c r="C868" s="8">
        <v>584879</v>
      </c>
      <c r="D868" s="128">
        <f t="shared" si="110"/>
        <v>299</v>
      </c>
      <c r="E868" s="8">
        <f t="shared" si="100"/>
        <v>182690</v>
      </c>
      <c r="F868" s="8">
        <v>182970</v>
      </c>
      <c r="G868" s="137">
        <f t="shared" si="104"/>
        <v>280</v>
      </c>
      <c r="H868" s="128">
        <f t="shared" si="107"/>
        <v>579</v>
      </c>
      <c r="I868" s="8">
        <f t="shared" si="102"/>
        <v>764073</v>
      </c>
      <c r="J868" s="8">
        <v>764228</v>
      </c>
      <c r="K868" s="137">
        <f t="shared" si="105"/>
        <v>155</v>
      </c>
      <c r="L868" s="8">
        <f t="shared" si="103"/>
        <v>781</v>
      </c>
      <c r="M868" s="8">
        <v>1062</v>
      </c>
      <c r="N868" s="137">
        <f t="shared" si="108"/>
        <v>281</v>
      </c>
      <c r="O868" s="128">
        <f t="shared" si="98"/>
        <v>436</v>
      </c>
      <c r="P868" s="8">
        <f t="shared" si="101"/>
        <v>323482</v>
      </c>
      <c r="Q868" s="8">
        <v>323482</v>
      </c>
      <c r="R868" s="128">
        <f t="shared" si="109"/>
        <v>0</v>
      </c>
      <c r="AQ868" s="8"/>
      <c r="AR868" s="8"/>
      <c r="AS868" s="8"/>
    </row>
    <row r="869" spans="1:45">
      <c r="A869" s="12">
        <v>45244</v>
      </c>
      <c r="B869" s="8">
        <f t="shared" si="99"/>
        <v>584879</v>
      </c>
      <c r="C869" s="8">
        <v>585143</v>
      </c>
      <c r="D869" s="128">
        <f t="shared" si="110"/>
        <v>264</v>
      </c>
      <c r="E869" s="8">
        <f t="shared" si="100"/>
        <v>182970</v>
      </c>
      <c r="F869" s="8">
        <v>183256</v>
      </c>
      <c r="G869" s="137">
        <f t="shared" si="104"/>
        <v>286</v>
      </c>
      <c r="H869" s="128">
        <f t="shared" si="107"/>
        <v>550</v>
      </c>
      <c r="I869" s="8">
        <f t="shared" si="102"/>
        <v>764228</v>
      </c>
      <c r="J869" s="8">
        <v>764426</v>
      </c>
      <c r="K869" s="137">
        <f t="shared" si="105"/>
        <v>198</v>
      </c>
      <c r="L869" s="8">
        <f t="shared" si="103"/>
        <v>1062</v>
      </c>
      <c r="M869" s="8">
        <v>1243</v>
      </c>
      <c r="N869" s="137">
        <f t="shared" si="108"/>
        <v>181</v>
      </c>
      <c r="O869" s="128">
        <f t="shared" si="98"/>
        <v>379</v>
      </c>
      <c r="P869" s="8">
        <f t="shared" si="101"/>
        <v>323482</v>
      </c>
      <c r="Q869" s="8">
        <v>323482</v>
      </c>
      <c r="R869" s="128">
        <f t="shared" si="109"/>
        <v>0</v>
      </c>
      <c r="AQ869" s="8"/>
      <c r="AR869" s="8"/>
      <c r="AS869" s="8"/>
    </row>
    <row r="870" spans="1:45">
      <c r="A870" s="12">
        <v>45245</v>
      </c>
      <c r="B870" s="8">
        <f t="shared" si="99"/>
        <v>585143</v>
      </c>
      <c r="C870" s="8">
        <v>585414</v>
      </c>
      <c r="D870" s="128">
        <f t="shared" si="110"/>
        <v>271</v>
      </c>
      <c r="E870" s="8">
        <f t="shared" si="100"/>
        <v>183256</v>
      </c>
      <c r="F870" s="8">
        <v>183516</v>
      </c>
      <c r="G870" s="137">
        <f t="shared" si="104"/>
        <v>260</v>
      </c>
      <c r="H870" s="128">
        <f t="shared" si="107"/>
        <v>531</v>
      </c>
      <c r="I870" s="8">
        <f t="shared" si="102"/>
        <v>764426</v>
      </c>
      <c r="J870" s="8">
        <v>764599</v>
      </c>
      <c r="K870" s="137">
        <f t="shared" si="105"/>
        <v>173</v>
      </c>
      <c r="L870" s="8">
        <f t="shared" si="103"/>
        <v>1243</v>
      </c>
      <c r="M870" s="8">
        <v>1460</v>
      </c>
      <c r="N870" s="137">
        <f t="shared" si="108"/>
        <v>217</v>
      </c>
      <c r="O870" s="128">
        <f t="shared" si="98"/>
        <v>390</v>
      </c>
      <c r="P870" s="8">
        <f t="shared" si="101"/>
        <v>323482</v>
      </c>
      <c r="Q870" s="8">
        <v>323482</v>
      </c>
      <c r="R870" s="128">
        <f t="shared" si="109"/>
        <v>0</v>
      </c>
      <c r="AQ870" s="8"/>
      <c r="AR870" s="8"/>
      <c r="AS870" s="8"/>
    </row>
    <row r="871" spans="1:45">
      <c r="A871" s="12">
        <v>45246</v>
      </c>
      <c r="B871" s="8">
        <f t="shared" si="99"/>
        <v>585414</v>
      </c>
      <c r="C871" s="8">
        <v>585696</v>
      </c>
      <c r="D871" s="128">
        <f t="shared" si="110"/>
        <v>282</v>
      </c>
      <c r="E871" s="8">
        <f t="shared" si="100"/>
        <v>183516</v>
      </c>
      <c r="F871" s="8">
        <v>183743</v>
      </c>
      <c r="G871" s="137">
        <f t="shared" si="104"/>
        <v>227</v>
      </c>
      <c r="H871" s="128">
        <f t="shared" si="107"/>
        <v>509</v>
      </c>
      <c r="I871" s="8">
        <f t="shared" si="102"/>
        <v>764599</v>
      </c>
      <c r="J871" s="8">
        <v>764718</v>
      </c>
      <c r="K871" s="137">
        <f t="shared" si="105"/>
        <v>119</v>
      </c>
      <c r="L871" s="8">
        <f t="shared" si="103"/>
        <v>1460</v>
      </c>
      <c r="M871" s="8">
        <v>1680</v>
      </c>
      <c r="N871" s="137">
        <f t="shared" si="108"/>
        <v>220</v>
      </c>
      <c r="O871" s="128">
        <f t="shared" si="98"/>
        <v>339</v>
      </c>
      <c r="P871" s="8">
        <f t="shared" si="101"/>
        <v>323482</v>
      </c>
      <c r="Q871" s="8">
        <v>323482</v>
      </c>
      <c r="R871" s="128">
        <f t="shared" si="109"/>
        <v>0</v>
      </c>
      <c r="AQ871" s="8"/>
      <c r="AR871" s="8"/>
      <c r="AS871" s="8"/>
    </row>
    <row r="872" spans="1:45">
      <c r="A872" s="12">
        <v>45247</v>
      </c>
      <c r="B872" s="8">
        <f t="shared" si="99"/>
        <v>585696</v>
      </c>
      <c r="C872" s="8">
        <v>586000</v>
      </c>
      <c r="D872" s="128">
        <f t="shared" si="110"/>
        <v>304</v>
      </c>
      <c r="E872" s="8">
        <f t="shared" si="100"/>
        <v>183743</v>
      </c>
      <c r="F872" s="8">
        <v>184037</v>
      </c>
      <c r="G872" s="137">
        <f t="shared" si="104"/>
        <v>294</v>
      </c>
      <c r="H872" s="128">
        <f t="shared" si="107"/>
        <v>598</v>
      </c>
      <c r="I872" s="8">
        <f t="shared" si="102"/>
        <v>764718</v>
      </c>
      <c r="J872" s="8">
        <v>764924</v>
      </c>
      <c r="K872" s="137">
        <f t="shared" si="105"/>
        <v>206</v>
      </c>
      <c r="L872" s="8">
        <f t="shared" si="103"/>
        <v>1680</v>
      </c>
      <c r="M872" s="8">
        <v>1918</v>
      </c>
      <c r="N872" s="137">
        <f t="shared" si="108"/>
        <v>238</v>
      </c>
      <c r="O872" s="128">
        <f t="shared" ref="O872:O935" si="111">N872+K872</f>
        <v>444</v>
      </c>
      <c r="P872" s="8">
        <f t="shared" si="101"/>
        <v>323482</v>
      </c>
      <c r="Q872" s="8">
        <v>324659</v>
      </c>
      <c r="R872" s="128">
        <f t="shared" si="109"/>
        <v>1177</v>
      </c>
      <c r="AQ872" s="8"/>
      <c r="AR872" s="8"/>
      <c r="AS872" s="8"/>
    </row>
    <row r="873" spans="1:45">
      <c r="A873" s="12">
        <v>45248</v>
      </c>
      <c r="B873" s="8">
        <f t="shared" si="99"/>
        <v>586000</v>
      </c>
      <c r="C873" s="8">
        <v>586274</v>
      </c>
      <c r="D873" s="128">
        <f t="shared" si="110"/>
        <v>274</v>
      </c>
      <c r="E873" s="8">
        <f t="shared" si="100"/>
        <v>184037</v>
      </c>
      <c r="F873" s="8">
        <v>184391</v>
      </c>
      <c r="G873" s="137">
        <f t="shared" si="104"/>
        <v>354</v>
      </c>
      <c r="H873" s="128">
        <f t="shared" si="107"/>
        <v>628</v>
      </c>
      <c r="I873" s="8">
        <f t="shared" si="102"/>
        <v>764924</v>
      </c>
      <c r="J873" s="8">
        <v>765156</v>
      </c>
      <c r="K873" s="137">
        <f t="shared" si="105"/>
        <v>232</v>
      </c>
      <c r="L873" s="8">
        <f t="shared" si="103"/>
        <v>1918</v>
      </c>
      <c r="M873" s="8">
        <v>2149</v>
      </c>
      <c r="N873" s="137">
        <f t="shared" si="108"/>
        <v>231</v>
      </c>
      <c r="O873" s="128">
        <f t="shared" si="111"/>
        <v>463</v>
      </c>
      <c r="P873" s="8">
        <f t="shared" si="101"/>
        <v>324659</v>
      </c>
      <c r="Q873" s="8">
        <v>324659</v>
      </c>
      <c r="R873" s="128">
        <f t="shared" si="109"/>
        <v>0</v>
      </c>
      <c r="AQ873" s="8"/>
      <c r="AR873" s="8"/>
      <c r="AS873" s="8"/>
    </row>
    <row r="874" spans="1:45">
      <c r="A874" s="12">
        <v>45249</v>
      </c>
      <c r="B874" s="8">
        <f t="shared" ref="B874:B937" si="112">C873</f>
        <v>586274</v>
      </c>
      <c r="C874" s="8">
        <v>586549</v>
      </c>
      <c r="D874" s="128">
        <f t="shared" si="110"/>
        <v>275</v>
      </c>
      <c r="E874" s="8">
        <f t="shared" ref="E874:E937" si="113">F873</f>
        <v>184391</v>
      </c>
      <c r="F874" s="8">
        <v>184746</v>
      </c>
      <c r="G874" s="137">
        <f t="shared" si="104"/>
        <v>355</v>
      </c>
      <c r="H874" s="128">
        <f t="shared" si="107"/>
        <v>630</v>
      </c>
      <c r="I874" s="8">
        <f t="shared" si="102"/>
        <v>765156</v>
      </c>
      <c r="J874" s="8">
        <v>765332</v>
      </c>
      <c r="K874" s="137">
        <f t="shared" si="105"/>
        <v>176</v>
      </c>
      <c r="L874" s="8">
        <f t="shared" si="103"/>
        <v>2149</v>
      </c>
      <c r="M874" s="8">
        <v>2340</v>
      </c>
      <c r="N874" s="137">
        <f t="shared" si="108"/>
        <v>191</v>
      </c>
      <c r="O874" s="128">
        <f t="shared" si="111"/>
        <v>367</v>
      </c>
      <c r="P874" s="8">
        <f t="shared" ref="P874:P937" si="114">Q873</f>
        <v>324659</v>
      </c>
      <c r="Q874" s="8">
        <v>324659</v>
      </c>
      <c r="R874" s="128">
        <f t="shared" si="109"/>
        <v>0</v>
      </c>
      <c r="AQ874" s="8"/>
      <c r="AR874" s="8"/>
      <c r="AS874" s="8"/>
    </row>
    <row r="875" spans="1:45">
      <c r="A875" s="12">
        <v>45250</v>
      </c>
      <c r="B875" s="8">
        <f t="shared" si="112"/>
        <v>586549</v>
      </c>
      <c r="C875" s="8">
        <v>586837</v>
      </c>
      <c r="D875" s="128">
        <f t="shared" si="110"/>
        <v>288</v>
      </c>
      <c r="E875" s="8">
        <f t="shared" si="113"/>
        <v>184746</v>
      </c>
      <c r="F875" s="8">
        <v>185136</v>
      </c>
      <c r="G875" s="137">
        <f t="shared" si="104"/>
        <v>390</v>
      </c>
      <c r="H875" s="128">
        <f t="shared" si="107"/>
        <v>678</v>
      </c>
      <c r="I875" s="8">
        <f t="shared" si="102"/>
        <v>765332</v>
      </c>
      <c r="J875" s="8">
        <v>765515</v>
      </c>
      <c r="K875" s="137">
        <f t="shared" si="105"/>
        <v>183</v>
      </c>
      <c r="L875" s="8">
        <f t="shared" si="103"/>
        <v>2340</v>
      </c>
      <c r="M875" s="8">
        <v>2570</v>
      </c>
      <c r="N875" s="137">
        <f t="shared" si="108"/>
        <v>230</v>
      </c>
      <c r="O875" s="128">
        <f t="shared" si="111"/>
        <v>413</v>
      </c>
      <c r="P875" s="8">
        <f t="shared" si="114"/>
        <v>324659</v>
      </c>
      <c r="Q875" s="8">
        <v>324659</v>
      </c>
      <c r="R875" s="128">
        <f t="shared" si="109"/>
        <v>0</v>
      </c>
      <c r="AQ875" s="8"/>
      <c r="AR875" s="8"/>
      <c r="AS875" s="8"/>
    </row>
    <row r="876" spans="1:45">
      <c r="A876" s="12">
        <v>45251</v>
      </c>
      <c r="B876" s="8">
        <f t="shared" si="112"/>
        <v>586837</v>
      </c>
      <c r="C876" s="8">
        <v>587111</v>
      </c>
      <c r="D876" s="128">
        <f t="shared" si="110"/>
        <v>274</v>
      </c>
      <c r="E876" s="8">
        <f t="shared" si="113"/>
        <v>185136</v>
      </c>
      <c r="F876" s="8">
        <v>185498</v>
      </c>
      <c r="G876" s="137">
        <f t="shared" si="104"/>
        <v>362</v>
      </c>
      <c r="H876" s="128">
        <f t="shared" si="107"/>
        <v>636</v>
      </c>
      <c r="I876" s="8">
        <f t="shared" si="102"/>
        <v>765515</v>
      </c>
      <c r="J876" s="8">
        <v>765709</v>
      </c>
      <c r="K876" s="137">
        <f t="shared" si="105"/>
        <v>194</v>
      </c>
      <c r="L876" s="8">
        <f t="shared" si="103"/>
        <v>2570</v>
      </c>
      <c r="M876" s="8">
        <v>2572</v>
      </c>
      <c r="N876" s="137">
        <f t="shared" si="108"/>
        <v>2</v>
      </c>
      <c r="O876" s="128">
        <f t="shared" si="111"/>
        <v>196</v>
      </c>
      <c r="P876" s="8">
        <f t="shared" si="114"/>
        <v>324659</v>
      </c>
      <c r="Q876" s="8">
        <v>324659</v>
      </c>
      <c r="R876" s="128">
        <f t="shared" si="109"/>
        <v>0</v>
      </c>
      <c r="AQ876" s="8"/>
      <c r="AR876" s="8"/>
      <c r="AS876" s="8"/>
    </row>
    <row r="877" spans="1:45">
      <c r="A877" s="12">
        <v>45252</v>
      </c>
      <c r="B877" s="8">
        <f t="shared" si="112"/>
        <v>587111</v>
      </c>
      <c r="C877" s="8">
        <v>587416</v>
      </c>
      <c r="D877" s="128">
        <f t="shared" si="110"/>
        <v>305</v>
      </c>
      <c r="E877" s="8">
        <f t="shared" si="113"/>
        <v>185498</v>
      </c>
      <c r="F877" s="8">
        <v>185983</v>
      </c>
      <c r="G877" s="137">
        <f t="shared" si="104"/>
        <v>485</v>
      </c>
      <c r="H877" s="128">
        <f t="shared" si="107"/>
        <v>790</v>
      </c>
      <c r="I877" s="8">
        <f t="shared" si="102"/>
        <v>765709</v>
      </c>
      <c r="J877" s="8">
        <v>765896</v>
      </c>
      <c r="K877" s="137">
        <f t="shared" si="105"/>
        <v>187</v>
      </c>
      <c r="L877" s="8">
        <f t="shared" si="103"/>
        <v>2572</v>
      </c>
      <c r="M877" s="8">
        <v>3017</v>
      </c>
      <c r="N877" s="137">
        <f t="shared" si="108"/>
        <v>445</v>
      </c>
      <c r="O877" s="128">
        <f t="shared" si="111"/>
        <v>632</v>
      </c>
      <c r="P877" s="8">
        <f t="shared" si="114"/>
        <v>324659</v>
      </c>
      <c r="Q877" s="8">
        <v>324659</v>
      </c>
      <c r="R877" s="128">
        <f t="shared" si="109"/>
        <v>0</v>
      </c>
      <c r="AQ877" s="8"/>
      <c r="AR877" s="8"/>
      <c r="AS877" s="8"/>
    </row>
    <row r="878" spans="1:45">
      <c r="A878" s="12">
        <v>45253</v>
      </c>
      <c r="B878" s="8">
        <f t="shared" si="112"/>
        <v>587416</v>
      </c>
      <c r="C878" s="8">
        <v>587711</v>
      </c>
      <c r="D878" s="128">
        <f t="shared" si="110"/>
        <v>295</v>
      </c>
      <c r="E878" s="8">
        <f t="shared" si="113"/>
        <v>185983</v>
      </c>
      <c r="F878" s="8">
        <v>186384</v>
      </c>
      <c r="G878" s="137">
        <f t="shared" si="104"/>
        <v>401</v>
      </c>
      <c r="H878" s="128">
        <f t="shared" si="107"/>
        <v>696</v>
      </c>
      <c r="I878" s="8">
        <f t="shared" ref="I878:I941" si="115">J877</f>
        <v>765896</v>
      </c>
      <c r="J878" s="8">
        <v>766067</v>
      </c>
      <c r="K878" s="137">
        <f t="shared" si="105"/>
        <v>171</v>
      </c>
      <c r="L878" s="8">
        <f t="shared" ref="L878:L941" si="116">M877</f>
        <v>3017</v>
      </c>
      <c r="M878" s="8">
        <v>3248</v>
      </c>
      <c r="N878" s="137">
        <f t="shared" si="108"/>
        <v>231</v>
      </c>
      <c r="O878" s="128">
        <f t="shared" si="111"/>
        <v>402</v>
      </c>
      <c r="P878" s="8">
        <f t="shared" si="114"/>
        <v>324659</v>
      </c>
      <c r="Q878" s="8">
        <v>324659</v>
      </c>
      <c r="R878" s="128">
        <f t="shared" si="109"/>
        <v>0</v>
      </c>
      <c r="AQ878" s="8"/>
      <c r="AR878" s="8"/>
      <c r="AS878" s="8"/>
    </row>
    <row r="879" spans="1:45">
      <c r="A879" s="12">
        <v>45254</v>
      </c>
      <c r="B879" s="8">
        <f t="shared" si="112"/>
        <v>587711</v>
      </c>
      <c r="C879" s="8">
        <v>588024</v>
      </c>
      <c r="D879" s="128">
        <f t="shared" si="110"/>
        <v>313</v>
      </c>
      <c r="E879" s="8">
        <f t="shared" si="113"/>
        <v>186384</v>
      </c>
      <c r="F879" s="8">
        <v>186788</v>
      </c>
      <c r="G879" s="137">
        <f t="shared" si="104"/>
        <v>404</v>
      </c>
      <c r="H879" s="128">
        <f t="shared" si="107"/>
        <v>717</v>
      </c>
      <c r="I879" s="8">
        <f t="shared" si="115"/>
        <v>766067</v>
      </c>
      <c r="J879" s="8">
        <v>766215</v>
      </c>
      <c r="K879" s="137">
        <f t="shared" si="105"/>
        <v>148</v>
      </c>
      <c r="L879" s="8">
        <f t="shared" si="116"/>
        <v>3248</v>
      </c>
      <c r="M879" s="8">
        <v>3526</v>
      </c>
      <c r="N879" s="137">
        <f t="shared" si="108"/>
        <v>278</v>
      </c>
      <c r="O879" s="128">
        <f t="shared" si="111"/>
        <v>426</v>
      </c>
      <c r="P879" s="8">
        <f t="shared" si="114"/>
        <v>324659</v>
      </c>
      <c r="Q879" s="8">
        <v>324659</v>
      </c>
      <c r="R879" s="128">
        <f t="shared" si="109"/>
        <v>0</v>
      </c>
      <c r="AQ879" s="8"/>
      <c r="AR879" s="8"/>
      <c r="AS879" s="8"/>
    </row>
    <row r="880" spans="1:45">
      <c r="A880" s="12">
        <v>45255</v>
      </c>
      <c r="B880" s="8">
        <f t="shared" si="112"/>
        <v>588024</v>
      </c>
      <c r="C880" s="8">
        <v>588203</v>
      </c>
      <c r="D880" s="128">
        <f t="shared" si="110"/>
        <v>179</v>
      </c>
      <c r="E880" s="8">
        <f t="shared" si="113"/>
        <v>186788</v>
      </c>
      <c r="F880" s="8">
        <v>186981</v>
      </c>
      <c r="G880" s="137">
        <f t="shared" si="104"/>
        <v>193</v>
      </c>
      <c r="H880" s="128">
        <f t="shared" si="107"/>
        <v>372</v>
      </c>
      <c r="I880" s="8">
        <f t="shared" si="115"/>
        <v>766215</v>
      </c>
      <c r="J880" s="8">
        <v>766368</v>
      </c>
      <c r="K880" s="137">
        <f t="shared" si="105"/>
        <v>153</v>
      </c>
      <c r="L880" s="8">
        <f t="shared" si="116"/>
        <v>3526</v>
      </c>
      <c r="M880" s="8">
        <v>3671</v>
      </c>
      <c r="N880" s="137">
        <f t="shared" si="108"/>
        <v>145</v>
      </c>
      <c r="O880" s="128">
        <f t="shared" si="111"/>
        <v>298</v>
      </c>
      <c r="P880" s="8">
        <f t="shared" si="114"/>
        <v>324659</v>
      </c>
      <c r="Q880" s="8">
        <v>325076</v>
      </c>
      <c r="R880" s="128">
        <f t="shared" si="109"/>
        <v>417</v>
      </c>
      <c r="AQ880" s="8"/>
      <c r="AR880" s="8"/>
      <c r="AS880" s="8"/>
    </row>
    <row r="881" spans="1:45">
      <c r="A881" s="12">
        <v>45256</v>
      </c>
      <c r="B881" s="8">
        <f t="shared" si="112"/>
        <v>588203</v>
      </c>
      <c r="C881" s="8">
        <v>588216</v>
      </c>
      <c r="D881" s="128">
        <f t="shared" si="110"/>
        <v>13</v>
      </c>
      <c r="E881" s="8">
        <f t="shared" si="113"/>
        <v>186981</v>
      </c>
      <c r="F881" s="8">
        <v>186981</v>
      </c>
      <c r="G881" s="137">
        <f t="shared" si="104"/>
        <v>0</v>
      </c>
      <c r="H881" s="128">
        <f t="shared" si="107"/>
        <v>13</v>
      </c>
      <c r="I881" s="8">
        <f t="shared" si="115"/>
        <v>766368</v>
      </c>
      <c r="J881" s="8">
        <v>766537</v>
      </c>
      <c r="K881" s="137">
        <f t="shared" si="105"/>
        <v>169</v>
      </c>
      <c r="L881" s="8">
        <f t="shared" si="116"/>
        <v>3671</v>
      </c>
      <c r="M881" s="8">
        <v>3793</v>
      </c>
      <c r="N881" s="137">
        <f t="shared" si="108"/>
        <v>122</v>
      </c>
      <c r="O881" s="128">
        <f t="shared" si="111"/>
        <v>291</v>
      </c>
      <c r="P881" s="8">
        <f t="shared" si="114"/>
        <v>325076</v>
      </c>
      <c r="Q881" s="8">
        <v>325076</v>
      </c>
      <c r="R881" s="128">
        <f t="shared" si="109"/>
        <v>0</v>
      </c>
      <c r="AQ881" s="8"/>
      <c r="AR881" s="8"/>
      <c r="AS881" s="8"/>
    </row>
    <row r="882" spans="1:45">
      <c r="A882" s="12">
        <v>45257</v>
      </c>
      <c r="B882" s="8">
        <f t="shared" si="112"/>
        <v>588216</v>
      </c>
      <c r="C882" s="8">
        <v>588449</v>
      </c>
      <c r="D882" s="128">
        <f t="shared" si="110"/>
        <v>233</v>
      </c>
      <c r="E882" s="8">
        <f t="shared" si="113"/>
        <v>186981</v>
      </c>
      <c r="F882" s="8">
        <v>187150</v>
      </c>
      <c r="G882" s="137">
        <f t="shared" si="104"/>
        <v>169</v>
      </c>
      <c r="H882" s="128">
        <f t="shared" si="107"/>
        <v>402</v>
      </c>
      <c r="I882" s="8">
        <f t="shared" si="115"/>
        <v>766537</v>
      </c>
      <c r="J882" s="8">
        <v>766677</v>
      </c>
      <c r="K882" s="137">
        <f t="shared" si="105"/>
        <v>140</v>
      </c>
      <c r="L882" s="8">
        <f t="shared" si="116"/>
        <v>3793</v>
      </c>
      <c r="M882" s="8">
        <v>3984</v>
      </c>
      <c r="N882" s="137">
        <f t="shared" si="108"/>
        <v>191</v>
      </c>
      <c r="O882" s="128">
        <f t="shared" si="111"/>
        <v>331</v>
      </c>
      <c r="P882" s="8">
        <f t="shared" si="114"/>
        <v>325076</v>
      </c>
      <c r="Q882" s="8">
        <v>325379</v>
      </c>
      <c r="R882" s="128">
        <f t="shared" si="109"/>
        <v>303</v>
      </c>
      <c r="AQ882" s="8"/>
      <c r="AR882" s="8"/>
      <c r="AS882" s="8"/>
    </row>
    <row r="883" spans="1:45">
      <c r="A883" s="12">
        <v>45258</v>
      </c>
      <c r="B883" s="8">
        <f t="shared" si="112"/>
        <v>588449</v>
      </c>
      <c r="C883" s="8">
        <v>588751</v>
      </c>
      <c r="D883" s="128">
        <f t="shared" si="110"/>
        <v>302</v>
      </c>
      <c r="E883" s="8">
        <f t="shared" si="113"/>
        <v>187150</v>
      </c>
      <c r="F883" s="8">
        <v>187447</v>
      </c>
      <c r="G883" s="137">
        <f t="shared" ref="G883:G946" si="117">F883-E883</f>
        <v>297</v>
      </c>
      <c r="H883" s="128">
        <f t="shared" si="107"/>
        <v>599</v>
      </c>
      <c r="I883" s="8">
        <f t="shared" si="115"/>
        <v>766677</v>
      </c>
      <c r="J883" s="8">
        <v>766874</v>
      </c>
      <c r="K883" s="137">
        <f t="shared" si="105"/>
        <v>197</v>
      </c>
      <c r="L883" s="8">
        <f t="shared" si="116"/>
        <v>3984</v>
      </c>
      <c r="M883" s="8">
        <v>4212</v>
      </c>
      <c r="N883" s="137">
        <f t="shared" si="108"/>
        <v>228</v>
      </c>
      <c r="O883" s="128">
        <f t="shared" si="111"/>
        <v>425</v>
      </c>
      <c r="P883" s="8">
        <f t="shared" si="114"/>
        <v>325379</v>
      </c>
      <c r="Q883" s="8">
        <v>325605</v>
      </c>
      <c r="R883" s="128">
        <f t="shared" si="109"/>
        <v>226</v>
      </c>
      <c r="AQ883" s="8"/>
      <c r="AR883" s="8"/>
      <c r="AS883" s="8"/>
    </row>
    <row r="884" spans="1:45">
      <c r="A884" s="12">
        <v>45259</v>
      </c>
      <c r="B884" s="8">
        <f t="shared" si="112"/>
        <v>588751</v>
      </c>
      <c r="C884" s="8">
        <v>589087</v>
      </c>
      <c r="D884" s="128">
        <f t="shared" si="110"/>
        <v>336</v>
      </c>
      <c r="E884" s="8">
        <f t="shared" si="113"/>
        <v>187447</v>
      </c>
      <c r="F884" s="8">
        <v>187841</v>
      </c>
      <c r="G884" s="137">
        <f t="shared" si="117"/>
        <v>394</v>
      </c>
      <c r="H884" s="128">
        <f t="shared" si="107"/>
        <v>730</v>
      </c>
      <c r="I884" s="8">
        <f t="shared" si="115"/>
        <v>766874</v>
      </c>
      <c r="J884" s="8">
        <v>767082</v>
      </c>
      <c r="K884" s="137">
        <f t="shared" si="105"/>
        <v>208</v>
      </c>
      <c r="L884" s="8">
        <f t="shared" si="116"/>
        <v>4212</v>
      </c>
      <c r="M884" s="8">
        <v>4457</v>
      </c>
      <c r="N884" s="137">
        <f t="shared" si="108"/>
        <v>245</v>
      </c>
      <c r="O884" s="128">
        <f t="shared" si="111"/>
        <v>453</v>
      </c>
      <c r="P884" s="8">
        <f t="shared" si="114"/>
        <v>325605</v>
      </c>
      <c r="Q884" s="8">
        <v>325605</v>
      </c>
      <c r="R884" s="128">
        <f t="shared" si="109"/>
        <v>0</v>
      </c>
      <c r="AQ884" s="8"/>
      <c r="AR884" s="8"/>
      <c r="AS884" s="8"/>
    </row>
    <row r="885" spans="1:45">
      <c r="A885" s="12">
        <v>45260</v>
      </c>
      <c r="B885" s="8">
        <f t="shared" si="112"/>
        <v>589087</v>
      </c>
      <c r="C885" s="8">
        <v>589456</v>
      </c>
      <c r="D885" s="128">
        <f t="shared" si="110"/>
        <v>369</v>
      </c>
      <c r="E885" s="8">
        <f t="shared" si="113"/>
        <v>187841</v>
      </c>
      <c r="F885" s="8">
        <v>188183</v>
      </c>
      <c r="G885" s="137">
        <f t="shared" si="117"/>
        <v>342</v>
      </c>
      <c r="H885" s="128">
        <f t="shared" si="107"/>
        <v>711</v>
      </c>
      <c r="I885" s="8">
        <f t="shared" si="115"/>
        <v>767082</v>
      </c>
      <c r="J885" s="8">
        <v>767284</v>
      </c>
      <c r="K885" s="137">
        <f t="shared" si="105"/>
        <v>202</v>
      </c>
      <c r="L885" s="8">
        <f t="shared" si="116"/>
        <v>4457</v>
      </c>
      <c r="M885" s="8">
        <v>4600</v>
      </c>
      <c r="N885" s="137">
        <f t="shared" si="108"/>
        <v>143</v>
      </c>
      <c r="O885" s="128">
        <f t="shared" si="111"/>
        <v>345</v>
      </c>
      <c r="P885" s="8">
        <f t="shared" si="114"/>
        <v>325605</v>
      </c>
      <c r="Q885" s="8">
        <v>325605</v>
      </c>
      <c r="R885" s="128">
        <f t="shared" si="109"/>
        <v>0</v>
      </c>
      <c r="AQ885" s="8"/>
      <c r="AR885" s="8"/>
      <c r="AS885" s="8"/>
    </row>
    <row r="886" spans="1:45">
      <c r="A886" s="12">
        <v>45261</v>
      </c>
      <c r="B886" s="8">
        <f t="shared" si="112"/>
        <v>589456</v>
      </c>
      <c r="C886" s="8">
        <v>589760</v>
      </c>
      <c r="D886" s="128">
        <f t="shared" si="110"/>
        <v>304</v>
      </c>
      <c r="E886" s="8">
        <f t="shared" si="113"/>
        <v>188183</v>
      </c>
      <c r="F886" s="8">
        <v>188407</v>
      </c>
      <c r="G886" s="137">
        <f t="shared" si="117"/>
        <v>224</v>
      </c>
      <c r="H886" s="128">
        <f t="shared" si="107"/>
        <v>528</v>
      </c>
      <c r="I886" s="8">
        <f t="shared" si="115"/>
        <v>767284</v>
      </c>
      <c r="J886" s="8">
        <v>767428</v>
      </c>
      <c r="K886" s="137">
        <f t="shared" ref="K886:K949" si="118">J886-I886</f>
        <v>144</v>
      </c>
      <c r="L886" s="8">
        <f t="shared" si="116"/>
        <v>4600</v>
      </c>
      <c r="M886" s="8">
        <v>4930</v>
      </c>
      <c r="N886" s="137">
        <f t="shared" si="108"/>
        <v>330</v>
      </c>
      <c r="O886" s="128">
        <f t="shared" si="111"/>
        <v>474</v>
      </c>
      <c r="P886" s="8">
        <f t="shared" si="114"/>
        <v>325605</v>
      </c>
      <c r="Q886" s="8">
        <v>325605</v>
      </c>
      <c r="R886" s="128">
        <f t="shared" si="109"/>
        <v>0</v>
      </c>
      <c r="AQ886" s="8"/>
      <c r="AR886" s="8"/>
      <c r="AS886" s="8"/>
    </row>
    <row r="887" spans="1:45">
      <c r="A887" s="12">
        <v>45262</v>
      </c>
      <c r="B887" s="8">
        <f t="shared" si="112"/>
        <v>589760</v>
      </c>
      <c r="C887" s="8">
        <v>590103</v>
      </c>
      <c r="D887" s="128">
        <f t="shared" si="110"/>
        <v>343</v>
      </c>
      <c r="E887" s="8">
        <f t="shared" si="113"/>
        <v>188407</v>
      </c>
      <c r="F887" s="8">
        <v>188706</v>
      </c>
      <c r="G887" s="137">
        <f t="shared" si="117"/>
        <v>299</v>
      </c>
      <c r="H887" s="128">
        <f t="shared" si="107"/>
        <v>642</v>
      </c>
      <c r="I887" s="8">
        <f t="shared" si="115"/>
        <v>767428</v>
      </c>
      <c r="J887" s="8">
        <v>767555</v>
      </c>
      <c r="K887" s="137">
        <f t="shared" si="118"/>
        <v>127</v>
      </c>
      <c r="L887" s="8">
        <f t="shared" si="116"/>
        <v>4930</v>
      </c>
      <c r="M887" s="8">
        <v>4930</v>
      </c>
      <c r="N887" s="137">
        <f t="shared" si="108"/>
        <v>0</v>
      </c>
      <c r="O887" s="128">
        <f t="shared" si="111"/>
        <v>127</v>
      </c>
      <c r="P887" s="8">
        <f t="shared" si="114"/>
        <v>325605</v>
      </c>
      <c r="Q887" s="8">
        <v>325605</v>
      </c>
      <c r="R887" s="128">
        <f t="shared" si="109"/>
        <v>0</v>
      </c>
      <c r="AQ887" s="8"/>
      <c r="AR887" s="8"/>
      <c r="AS887" s="8"/>
    </row>
    <row r="888" spans="1:45">
      <c r="A888" s="12">
        <v>45263</v>
      </c>
      <c r="B888" s="8">
        <f t="shared" si="112"/>
        <v>590103</v>
      </c>
      <c r="C888" s="8">
        <v>590424</v>
      </c>
      <c r="D888" s="128">
        <f t="shared" si="110"/>
        <v>321</v>
      </c>
      <c r="E888" s="8">
        <f t="shared" si="113"/>
        <v>188706</v>
      </c>
      <c r="F888" s="8">
        <v>188988</v>
      </c>
      <c r="G888" s="137">
        <f t="shared" si="117"/>
        <v>282</v>
      </c>
      <c r="H888" s="128">
        <f t="shared" si="107"/>
        <v>603</v>
      </c>
      <c r="I888" s="8">
        <f t="shared" si="115"/>
        <v>767555</v>
      </c>
      <c r="J888" s="8">
        <v>767785</v>
      </c>
      <c r="K888" s="137">
        <f t="shared" si="118"/>
        <v>230</v>
      </c>
      <c r="L888" s="8">
        <f t="shared" si="116"/>
        <v>4930</v>
      </c>
      <c r="M888" s="8">
        <v>4930</v>
      </c>
      <c r="N888" s="137">
        <f t="shared" si="108"/>
        <v>0</v>
      </c>
      <c r="O888" s="128">
        <f t="shared" si="111"/>
        <v>230</v>
      </c>
      <c r="P888" s="8">
        <f t="shared" si="114"/>
        <v>325605</v>
      </c>
      <c r="Q888" s="8">
        <v>325605</v>
      </c>
      <c r="R888" s="128">
        <f t="shared" si="109"/>
        <v>0</v>
      </c>
      <c r="AQ888" s="8"/>
      <c r="AR888" s="8"/>
      <c r="AS888" s="8"/>
    </row>
    <row r="889" spans="1:45">
      <c r="A889" s="12">
        <v>45264</v>
      </c>
      <c r="B889" s="8">
        <f t="shared" si="112"/>
        <v>590424</v>
      </c>
      <c r="C889" s="8">
        <v>590715</v>
      </c>
      <c r="D889" s="128">
        <f t="shared" si="110"/>
        <v>291</v>
      </c>
      <c r="E889" s="8">
        <f t="shared" si="113"/>
        <v>188988</v>
      </c>
      <c r="F889" s="8">
        <v>189206</v>
      </c>
      <c r="G889" s="137">
        <f t="shared" si="117"/>
        <v>218</v>
      </c>
      <c r="H889" s="128">
        <f t="shared" si="107"/>
        <v>509</v>
      </c>
      <c r="I889" s="8">
        <f t="shared" si="115"/>
        <v>767785</v>
      </c>
      <c r="J889" s="8">
        <v>768000</v>
      </c>
      <c r="K889" s="137">
        <f t="shared" si="118"/>
        <v>215</v>
      </c>
      <c r="L889" s="8">
        <f t="shared" si="116"/>
        <v>4930</v>
      </c>
      <c r="M889" s="8">
        <v>4930</v>
      </c>
      <c r="N889" s="137">
        <f t="shared" si="108"/>
        <v>0</v>
      </c>
      <c r="O889" s="128">
        <f t="shared" si="111"/>
        <v>215</v>
      </c>
      <c r="P889" s="8">
        <f t="shared" si="114"/>
        <v>325605</v>
      </c>
      <c r="Q889" s="8">
        <v>325605</v>
      </c>
      <c r="R889" s="128">
        <f t="shared" si="109"/>
        <v>0</v>
      </c>
      <c r="AQ889" s="8"/>
      <c r="AR889" s="8"/>
      <c r="AS889" s="8"/>
    </row>
    <row r="890" spans="1:45">
      <c r="A890" s="12">
        <v>45265</v>
      </c>
      <c r="B890" s="8">
        <f t="shared" si="112"/>
        <v>590715</v>
      </c>
      <c r="C890" s="8">
        <v>591045</v>
      </c>
      <c r="D890" s="128">
        <f t="shared" si="110"/>
        <v>330</v>
      </c>
      <c r="E890" s="8">
        <f t="shared" si="113"/>
        <v>189206</v>
      </c>
      <c r="F890" s="8">
        <v>189566</v>
      </c>
      <c r="G890" s="137">
        <f t="shared" si="117"/>
        <v>360</v>
      </c>
      <c r="H890" s="128">
        <f t="shared" si="107"/>
        <v>690</v>
      </c>
      <c r="I890" s="8">
        <f t="shared" si="115"/>
        <v>768000</v>
      </c>
      <c r="J890" s="8">
        <v>768172</v>
      </c>
      <c r="K890" s="137">
        <f t="shared" si="118"/>
        <v>172</v>
      </c>
      <c r="L890" s="8">
        <f t="shared" si="116"/>
        <v>4930</v>
      </c>
      <c r="M890" s="8">
        <v>4930</v>
      </c>
      <c r="N890" s="137">
        <f t="shared" si="108"/>
        <v>0</v>
      </c>
      <c r="O890" s="128">
        <f t="shared" si="111"/>
        <v>172</v>
      </c>
      <c r="P890" s="8">
        <f t="shared" si="114"/>
        <v>325605</v>
      </c>
      <c r="Q890" s="8">
        <v>325605</v>
      </c>
      <c r="R890" s="128">
        <f t="shared" si="109"/>
        <v>0</v>
      </c>
      <c r="AQ890" s="8"/>
      <c r="AR890" s="8"/>
      <c r="AS890" s="8"/>
    </row>
    <row r="891" spans="1:45">
      <c r="A891" s="12">
        <v>45266</v>
      </c>
      <c r="B891" s="8">
        <f t="shared" si="112"/>
        <v>591045</v>
      </c>
      <c r="C891" s="8">
        <v>591435</v>
      </c>
      <c r="D891" s="128">
        <f t="shared" si="110"/>
        <v>390</v>
      </c>
      <c r="E891" s="8">
        <f t="shared" si="113"/>
        <v>189566</v>
      </c>
      <c r="F891" s="8">
        <v>189906</v>
      </c>
      <c r="G891" s="137">
        <f t="shared" si="117"/>
        <v>340</v>
      </c>
      <c r="H891" s="128">
        <f t="shared" si="107"/>
        <v>730</v>
      </c>
      <c r="I891" s="8">
        <f t="shared" si="115"/>
        <v>768172</v>
      </c>
      <c r="J891" s="8">
        <v>768320</v>
      </c>
      <c r="K891" s="137">
        <f t="shared" si="118"/>
        <v>148</v>
      </c>
      <c r="L891" s="8">
        <f t="shared" si="116"/>
        <v>4930</v>
      </c>
      <c r="M891" s="8">
        <v>4930</v>
      </c>
      <c r="N891" s="137">
        <f t="shared" si="108"/>
        <v>0</v>
      </c>
      <c r="O891" s="128">
        <f t="shared" si="111"/>
        <v>148</v>
      </c>
      <c r="P891" s="8">
        <f t="shared" si="114"/>
        <v>325605</v>
      </c>
      <c r="Q891" s="8">
        <v>325605</v>
      </c>
      <c r="R891" s="128">
        <f t="shared" si="109"/>
        <v>0</v>
      </c>
      <c r="AQ891" s="8"/>
      <c r="AR891" s="8"/>
      <c r="AS891" s="8"/>
    </row>
    <row r="892" spans="1:45">
      <c r="A892" s="12">
        <v>45267</v>
      </c>
      <c r="B892" s="8">
        <f t="shared" si="112"/>
        <v>591435</v>
      </c>
      <c r="C892" s="8">
        <v>591805</v>
      </c>
      <c r="D892" s="128">
        <f t="shared" si="110"/>
        <v>370</v>
      </c>
      <c r="E892" s="8">
        <f t="shared" si="113"/>
        <v>189906</v>
      </c>
      <c r="F892" s="8">
        <v>190275</v>
      </c>
      <c r="G892" s="137">
        <f t="shared" si="117"/>
        <v>369</v>
      </c>
      <c r="H892" s="128">
        <f t="shared" si="107"/>
        <v>739</v>
      </c>
      <c r="I892" s="8">
        <f t="shared" si="115"/>
        <v>768320</v>
      </c>
      <c r="J892" s="8">
        <v>768528</v>
      </c>
      <c r="K892" s="137">
        <f t="shared" si="118"/>
        <v>208</v>
      </c>
      <c r="L892" s="8">
        <f t="shared" si="116"/>
        <v>4930</v>
      </c>
      <c r="M892" s="8">
        <v>4930</v>
      </c>
      <c r="N892" s="137">
        <f t="shared" si="108"/>
        <v>0</v>
      </c>
      <c r="O892" s="128">
        <f t="shared" si="111"/>
        <v>208</v>
      </c>
      <c r="P892" s="8">
        <f t="shared" si="114"/>
        <v>325605</v>
      </c>
      <c r="Q892" s="8">
        <v>325605</v>
      </c>
      <c r="R892" s="128">
        <f t="shared" si="109"/>
        <v>0</v>
      </c>
      <c r="AQ892" s="8"/>
      <c r="AR892" s="8"/>
      <c r="AS892" s="8"/>
    </row>
    <row r="893" spans="1:45">
      <c r="A893" s="12">
        <v>45268</v>
      </c>
      <c r="B893" s="8">
        <f t="shared" si="112"/>
        <v>591805</v>
      </c>
      <c r="C893" s="8">
        <v>592110</v>
      </c>
      <c r="D893" s="128">
        <f t="shared" si="110"/>
        <v>305</v>
      </c>
      <c r="E893" s="8">
        <f t="shared" si="113"/>
        <v>190275</v>
      </c>
      <c r="F893" s="8">
        <v>190488</v>
      </c>
      <c r="G893" s="137">
        <f t="shared" si="117"/>
        <v>213</v>
      </c>
      <c r="H893" s="128">
        <f t="shared" si="107"/>
        <v>518</v>
      </c>
      <c r="I893" s="8">
        <f t="shared" si="115"/>
        <v>768528</v>
      </c>
      <c r="J893" s="8">
        <v>768707</v>
      </c>
      <c r="K893" s="137">
        <f t="shared" si="118"/>
        <v>179</v>
      </c>
      <c r="L893" s="8">
        <f t="shared" si="116"/>
        <v>4930</v>
      </c>
      <c r="M893" s="8">
        <v>4930</v>
      </c>
      <c r="N893" s="137">
        <f t="shared" si="108"/>
        <v>0</v>
      </c>
      <c r="O893" s="128">
        <f t="shared" si="111"/>
        <v>179</v>
      </c>
      <c r="P893" s="8">
        <f t="shared" si="114"/>
        <v>325605</v>
      </c>
      <c r="Q893" s="8">
        <v>325605</v>
      </c>
      <c r="R893" s="128">
        <f t="shared" si="109"/>
        <v>0</v>
      </c>
      <c r="AQ893" s="8"/>
      <c r="AR893" s="8"/>
      <c r="AS893" s="8"/>
    </row>
    <row r="894" spans="1:45">
      <c r="A894" s="12">
        <v>45269</v>
      </c>
      <c r="B894" s="8">
        <f t="shared" si="112"/>
        <v>592110</v>
      </c>
      <c r="C894" s="8">
        <v>592532</v>
      </c>
      <c r="D894" s="128">
        <f t="shared" si="110"/>
        <v>422</v>
      </c>
      <c r="E894" s="8">
        <f t="shared" si="113"/>
        <v>190488</v>
      </c>
      <c r="F894" s="8">
        <v>190805</v>
      </c>
      <c r="G894" s="137">
        <f t="shared" si="117"/>
        <v>317</v>
      </c>
      <c r="H894" s="128">
        <f t="shared" si="107"/>
        <v>739</v>
      </c>
      <c r="I894" s="8">
        <f t="shared" si="115"/>
        <v>768707</v>
      </c>
      <c r="J894" s="8">
        <v>768881</v>
      </c>
      <c r="K894" s="137">
        <f t="shared" si="118"/>
        <v>174</v>
      </c>
      <c r="L894" s="8">
        <f t="shared" si="116"/>
        <v>4930</v>
      </c>
      <c r="M894" s="8">
        <v>4930</v>
      </c>
      <c r="N894" s="137">
        <f t="shared" si="108"/>
        <v>0</v>
      </c>
      <c r="O894" s="128">
        <f t="shared" si="111"/>
        <v>174</v>
      </c>
      <c r="P894" s="8">
        <f t="shared" si="114"/>
        <v>325605</v>
      </c>
      <c r="Q894" s="8">
        <v>325605</v>
      </c>
      <c r="R894" s="128">
        <f t="shared" si="109"/>
        <v>0</v>
      </c>
      <c r="AQ894" s="8"/>
      <c r="AR894" s="8"/>
      <c r="AS894" s="8"/>
    </row>
    <row r="895" spans="1:45">
      <c r="A895" s="12">
        <v>45270</v>
      </c>
      <c r="B895" s="8">
        <f t="shared" si="112"/>
        <v>592532</v>
      </c>
      <c r="C895" s="8">
        <v>592763</v>
      </c>
      <c r="D895" s="128">
        <f t="shared" si="110"/>
        <v>231</v>
      </c>
      <c r="E895" s="8">
        <f t="shared" si="113"/>
        <v>190805</v>
      </c>
      <c r="F895" s="8">
        <v>191055</v>
      </c>
      <c r="G895" s="137">
        <f t="shared" si="117"/>
        <v>250</v>
      </c>
      <c r="H895" s="128">
        <f t="shared" si="107"/>
        <v>481</v>
      </c>
      <c r="I895" s="8">
        <f t="shared" si="115"/>
        <v>768881</v>
      </c>
      <c r="J895" s="8">
        <v>769050</v>
      </c>
      <c r="K895" s="137">
        <f t="shared" si="118"/>
        <v>169</v>
      </c>
      <c r="L895" s="8">
        <f t="shared" si="116"/>
        <v>4930</v>
      </c>
      <c r="M895" s="8">
        <v>4930</v>
      </c>
      <c r="N895" s="137">
        <f t="shared" si="108"/>
        <v>0</v>
      </c>
      <c r="O895" s="128">
        <f t="shared" si="111"/>
        <v>169</v>
      </c>
      <c r="P895" s="8">
        <f t="shared" si="114"/>
        <v>325605</v>
      </c>
      <c r="Q895" s="8">
        <v>325605</v>
      </c>
      <c r="R895" s="128">
        <f t="shared" si="109"/>
        <v>0</v>
      </c>
      <c r="AQ895" s="8"/>
      <c r="AR895" s="8"/>
      <c r="AS895" s="8"/>
    </row>
    <row r="896" spans="1:45">
      <c r="A896" s="12">
        <v>45271</v>
      </c>
      <c r="B896" s="8">
        <f t="shared" si="112"/>
        <v>592763</v>
      </c>
      <c r="C896" s="8">
        <v>593136</v>
      </c>
      <c r="D896" s="128">
        <f t="shared" si="110"/>
        <v>373</v>
      </c>
      <c r="E896" s="8">
        <f t="shared" si="113"/>
        <v>191055</v>
      </c>
      <c r="F896" s="8">
        <v>191503</v>
      </c>
      <c r="G896" s="137">
        <f t="shared" si="117"/>
        <v>448</v>
      </c>
      <c r="H896" s="128">
        <f t="shared" si="107"/>
        <v>821</v>
      </c>
      <c r="I896" s="8">
        <f t="shared" si="115"/>
        <v>769050</v>
      </c>
      <c r="J896" s="8">
        <v>769163</v>
      </c>
      <c r="K896" s="137">
        <f t="shared" si="118"/>
        <v>113</v>
      </c>
      <c r="L896" s="8">
        <f t="shared" si="116"/>
        <v>4930</v>
      </c>
      <c r="M896" s="8">
        <v>4930</v>
      </c>
      <c r="N896" s="137">
        <f t="shared" si="108"/>
        <v>0</v>
      </c>
      <c r="O896" s="128">
        <f t="shared" si="111"/>
        <v>113</v>
      </c>
      <c r="P896" s="8">
        <f t="shared" si="114"/>
        <v>325605</v>
      </c>
      <c r="Q896" s="8">
        <v>325605</v>
      </c>
      <c r="R896" s="128">
        <f t="shared" si="109"/>
        <v>0</v>
      </c>
      <c r="AQ896" s="8"/>
      <c r="AR896" s="8"/>
      <c r="AS896" s="8"/>
    </row>
    <row r="897" spans="1:45">
      <c r="A897" s="12">
        <v>45272</v>
      </c>
      <c r="B897" s="8">
        <f t="shared" si="112"/>
        <v>593136</v>
      </c>
      <c r="C897" s="8">
        <v>593436</v>
      </c>
      <c r="D897" s="128">
        <f t="shared" si="110"/>
        <v>300</v>
      </c>
      <c r="E897" s="8">
        <f t="shared" si="113"/>
        <v>191503</v>
      </c>
      <c r="F897" s="8">
        <v>191848</v>
      </c>
      <c r="G897" s="137">
        <f t="shared" si="117"/>
        <v>345</v>
      </c>
      <c r="H897" s="128">
        <f t="shared" ref="H897:H960" si="119">D897+G897</f>
        <v>645</v>
      </c>
      <c r="I897" s="8">
        <f t="shared" si="115"/>
        <v>769163</v>
      </c>
      <c r="J897" s="8">
        <v>769347</v>
      </c>
      <c r="K897" s="137">
        <f t="shared" si="118"/>
        <v>184</v>
      </c>
      <c r="L897" s="8">
        <f t="shared" si="116"/>
        <v>4930</v>
      </c>
      <c r="M897" s="8">
        <v>4930</v>
      </c>
      <c r="N897" s="137">
        <f t="shared" si="108"/>
        <v>0</v>
      </c>
      <c r="O897" s="128">
        <f t="shared" si="111"/>
        <v>184</v>
      </c>
      <c r="P897" s="8">
        <f t="shared" si="114"/>
        <v>325605</v>
      </c>
      <c r="Q897" s="8">
        <v>325605</v>
      </c>
      <c r="R897" s="128">
        <f t="shared" si="109"/>
        <v>0</v>
      </c>
      <c r="AQ897" s="8"/>
      <c r="AR897" s="8"/>
      <c r="AS897" s="8"/>
    </row>
    <row r="898" spans="1:45">
      <c r="A898" s="12">
        <v>45273</v>
      </c>
      <c r="B898" s="8">
        <f t="shared" si="112"/>
        <v>593436</v>
      </c>
      <c r="C898" s="8">
        <v>593708</v>
      </c>
      <c r="D898" s="128">
        <f t="shared" si="110"/>
        <v>272</v>
      </c>
      <c r="E898" s="8">
        <f t="shared" si="113"/>
        <v>191848</v>
      </c>
      <c r="F898" s="8">
        <v>192148</v>
      </c>
      <c r="G898" s="137">
        <f t="shared" si="117"/>
        <v>300</v>
      </c>
      <c r="H898" s="128">
        <f t="shared" si="119"/>
        <v>572</v>
      </c>
      <c r="I898" s="8">
        <f t="shared" si="115"/>
        <v>769347</v>
      </c>
      <c r="J898" s="8">
        <v>769465</v>
      </c>
      <c r="K898" s="137">
        <f t="shared" si="118"/>
        <v>118</v>
      </c>
      <c r="L898" s="8">
        <f t="shared" si="116"/>
        <v>4930</v>
      </c>
      <c r="M898" s="8">
        <v>4930</v>
      </c>
      <c r="N898" s="137">
        <f t="shared" si="108"/>
        <v>0</v>
      </c>
      <c r="O898" s="128">
        <f t="shared" si="111"/>
        <v>118</v>
      </c>
      <c r="P898" s="8">
        <f t="shared" si="114"/>
        <v>325605</v>
      </c>
      <c r="Q898" s="8">
        <v>325605</v>
      </c>
      <c r="R898" s="128">
        <f t="shared" si="109"/>
        <v>0</v>
      </c>
      <c r="AQ898" s="8"/>
      <c r="AR898" s="8"/>
      <c r="AS898" s="8"/>
    </row>
    <row r="899" spans="1:45">
      <c r="A899" s="12">
        <v>45274</v>
      </c>
      <c r="B899" s="8">
        <f t="shared" si="112"/>
        <v>593708</v>
      </c>
      <c r="C899" s="8">
        <v>594061</v>
      </c>
      <c r="D899" s="128">
        <f t="shared" si="110"/>
        <v>353</v>
      </c>
      <c r="E899" s="8">
        <f t="shared" si="113"/>
        <v>192148</v>
      </c>
      <c r="F899" s="8">
        <v>192594</v>
      </c>
      <c r="G899" s="137">
        <f t="shared" si="117"/>
        <v>446</v>
      </c>
      <c r="H899" s="128">
        <f t="shared" si="119"/>
        <v>799</v>
      </c>
      <c r="I899" s="8">
        <f t="shared" si="115"/>
        <v>769465</v>
      </c>
      <c r="J899" s="8">
        <v>769651</v>
      </c>
      <c r="K899" s="137">
        <f t="shared" si="118"/>
        <v>186</v>
      </c>
      <c r="L899" s="8">
        <f t="shared" si="116"/>
        <v>4930</v>
      </c>
      <c r="M899" s="8">
        <v>4930</v>
      </c>
      <c r="N899" s="137">
        <f t="shared" si="108"/>
        <v>0</v>
      </c>
      <c r="O899" s="128">
        <f t="shared" si="111"/>
        <v>186</v>
      </c>
      <c r="P899" s="8">
        <f t="shared" si="114"/>
        <v>325605</v>
      </c>
      <c r="Q899" s="8">
        <v>325605</v>
      </c>
      <c r="R899" s="128">
        <f t="shared" si="109"/>
        <v>0</v>
      </c>
      <c r="AQ899" s="8"/>
      <c r="AR899" s="8"/>
      <c r="AS899" s="8"/>
    </row>
    <row r="900" spans="1:45">
      <c r="A900" s="12">
        <v>45275</v>
      </c>
      <c r="B900" s="8">
        <f t="shared" si="112"/>
        <v>594061</v>
      </c>
      <c r="C900" s="8">
        <v>594458</v>
      </c>
      <c r="D900" s="128">
        <f t="shared" si="110"/>
        <v>397</v>
      </c>
      <c r="E900" s="8">
        <f t="shared" si="113"/>
        <v>192594</v>
      </c>
      <c r="F900" s="8">
        <v>192990</v>
      </c>
      <c r="G900" s="137">
        <f t="shared" si="117"/>
        <v>396</v>
      </c>
      <c r="H900" s="128">
        <f t="shared" si="119"/>
        <v>793</v>
      </c>
      <c r="I900" s="8">
        <f t="shared" si="115"/>
        <v>769651</v>
      </c>
      <c r="J900" s="8">
        <v>769790</v>
      </c>
      <c r="K900" s="137">
        <f t="shared" si="118"/>
        <v>139</v>
      </c>
      <c r="L900" s="8">
        <f t="shared" si="116"/>
        <v>4930</v>
      </c>
      <c r="M900" s="8">
        <v>4930</v>
      </c>
      <c r="N900" s="137">
        <f t="shared" si="108"/>
        <v>0</v>
      </c>
      <c r="O900" s="128">
        <f t="shared" si="111"/>
        <v>139</v>
      </c>
      <c r="P900" s="8">
        <f t="shared" si="114"/>
        <v>325605</v>
      </c>
      <c r="Q900" s="8">
        <v>325605</v>
      </c>
      <c r="R900" s="128">
        <f t="shared" si="109"/>
        <v>0</v>
      </c>
      <c r="AQ900" s="8"/>
      <c r="AR900" s="8"/>
      <c r="AS900" s="8"/>
    </row>
    <row r="901" spans="1:45">
      <c r="A901" s="12">
        <v>45276</v>
      </c>
      <c r="B901" s="8">
        <f t="shared" si="112"/>
        <v>594458</v>
      </c>
      <c r="C901" s="8">
        <v>594725</v>
      </c>
      <c r="D901" s="128">
        <f t="shared" si="110"/>
        <v>267</v>
      </c>
      <c r="E901" s="8">
        <f t="shared" si="113"/>
        <v>192990</v>
      </c>
      <c r="F901" s="8">
        <v>193340</v>
      </c>
      <c r="G901" s="137">
        <f t="shared" si="117"/>
        <v>350</v>
      </c>
      <c r="H901" s="128">
        <f t="shared" si="119"/>
        <v>617</v>
      </c>
      <c r="I901" s="8">
        <f t="shared" si="115"/>
        <v>769790</v>
      </c>
      <c r="J901" s="8">
        <v>769947</v>
      </c>
      <c r="K901" s="137">
        <f t="shared" si="118"/>
        <v>157</v>
      </c>
      <c r="L901" s="8">
        <f t="shared" si="116"/>
        <v>4930</v>
      </c>
      <c r="M901" s="8">
        <v>4930</v>
      </c>
      <c r="N901" s="137">
        <f t="shared" si="108"/>
        <v>0</v>
      </c>
      <c r="O901" s="128">
        <f t="shared" si="111"/>
        <v>157</v>
      </c>
      <c r="P901" s="8">
        <f t="shared" si="114"/>
        <v>325605</v>
      </c>
      <c r="Q901" s="8">
        <v>325605</v>
      </c>
      <c r="R901" s="128">
        <f t="shared" si="109"/>
        <v>0</v>
      </c>
      <c r="AQ901" s="8"/>
      <c r="AR901" s="8"/>
      <c r="AS901" s="8"/>
    </row>
    <row r="902" spans="1:45">
      <c r="A902" s="12">
        <v>45277</v>
      </c>
      <c r="B902" s="8">
        <f t="shared" si="112"/>
        <v>594725</v>
      </c>
      <c r="C902" s="8">
        <v>595067</v>
      </c>
      <c r="D902" s="128">
        <f t="shared" si="110"/>
        <v>342</v>
      </c>
      <c r="E902" s="8">
        <f t="shared" si="113"/>
        <v>193340</v>
      </c>
      <c r="F902" s="8">
        <v>193618</v>
      </c>
      <c r="G902" s="137">
        <f t="shared" si="117"/>
        <v>278</v>
      </c>
      <c r="H902" s="128">
        <f t="shared" si="119"/>
        <v>620</v>
      </c>
      <c r="I902" s="8">
        <f t="shared" si="115"/>
        <v>769947</v>
      </c>
      <c r="J902" s="8">
        <v>770149</v>
      </c>
      <c r="K902" s="137">
        <f t="shared" si="118"/>
        <v>202</v>
      </c>
      <c r="L902" s="8">
        <f t="shared" si="116"/>
        <v>4930</v>
      </c>
      <c r="M902" s="8">
        <v>4930</v>
      </c>
      <c r="N902" s="137">
        <f t="shared" si="108"/>
        <v>0</v>
      </c>
      <c r="O902" s="128">
        <f t="shared" si="111"/>
        <v>202</v>
      </c>
      <c r="P902" s="8">
        <f t="shared" si="114"/>
        <v>325605</v>
      </c>
      <c r="Q902" s="8">
        <v>325605</v>
      </c>
      <c r="R902" s="128">
        <f t="shared" si="109"/>
        <v>0</v>
      </c>
      <c r="AQ902" s="8"/>
      <c r="AR902" s="8"/>
      <c r="AS902" s="8"/>
    </row>
    <row r="903" spans="1:45">
      <c r="A903" s="12">
        <v>45278</v>
      </c>
      <c r="B903" s="8">
        <f t="shared" si="112"/>
        <v>595067</v>
      </c>
      <c r="C903" s="8">
        <v>595369</v>
      </c>
      <c r="D903" s="128">
        <f t="shared" si="110"/>
        <v>302</v>
      </c>
      <c r="E903" s="8">
        <f t="shared" si="113"/>
        <v>193618</v>
      </c>
      <c r="F903" s="8">
        <v>193978</v>
      </c>
      <c r="G903" s="137">
        <f t="shared" si="117"/>
        <v>360</v>
      </c>
      <c r="H903" s="128">
        <f t="shared" si="119"/>
        <v>662</v>
      </c>
      <c r="I903" s="8">
        <f t="shared" si="115"/>
        <v>770149</v>
      </c>
      <c r="J903" s="8">
        <v>770308</v>
      </c>
      <c r="K903" s="137">
        <f t="shared" si="118"/>
        <v>159</v>
      </c>
      <c r="L903" s="8">
        <f t="shared" si="116"/>
        <v>4930</v>
      </c>
      <c r="M903" s="8">
        <v>4930</v>
      </c>
      <c r="N903" s="137">
        <f t="shared" si="108"/>
        <v>0</v>
      </c>
      <c r="O903" s="128">
        <f t="shared" si="111"/>
        <v>159</v>
      </c>
      <c r="P903" s="8">
        <f t="shared" si="114"/>
        <v>325605</v>
      </c>
      <c r="Q903" s="8">
        <v>325605</v>
      </c>
      <c r="R903" s="128">
        <f t="shared" si="109"/>
        <v>0</v>
      </c>
      <c r="AQ903" s="8"/>
      <c r="AR903" s="8"/>
      <c r="AS903" s="8"/>
    </row>
    <row r="904" spans="1:45">
      <c r="A904" s="12">
        <v>45279</v>
      </c>
      <c r="B904" s="8">
        <f t="shared" si="112"/>
        <v>595369</v>
      </c>
      <c r="C904" s="8">
        <v>595639</v>
      </c>
      <c r="D904" s="128">
        <f t="shared" si="110"/>
        <v>270</v>
      </c>
      <c r="E904" s="8">
        <f t="shared" si="113"/>
        <v>193978</v>
      </c>
      <c r="F904" s="8">
        <v>194236</v>
      </c>
      <c r="G904" s="137">
        <f t="shared" si="117"/>
        <v>258</v>
      </c>
      <c r="H904" s="128">
        <f t="shared" si="119"/>
        <v>528</v>
      </c>
      <c r="I904" s="8">
        <f t="shared" si="115"/>
        <v>770308</v>
      </c>
      <c r="J904" s="8">
        <v>770494</v>
      </c>
      <c r="K904" s="137">
        <f t="shared" si="118"/>
        <v>186</v>
      </c>
      <c r="L904" s="8">
        <f t="shared" si="116"/>
        <v>4930</v>
      </c>
      <c r="M904" s="8">
        <v>4930</v>
      </c>
      <c r="N904" s="137">
        <v>250</v>
      </c>
      <c r="O904" s="128">
        <f t="shared" si="111"/>
        <v>436</v>
      </c>
      <c r="P904" s="8">
        <f t="shared" si="114"/>
        <v>325605</v>
      </c>
      <c r="Q904" s="8">
        <v>325605</v>
      </c>
      <c r="R904" s="128">
        <f t="shared" si="109"/>
        <v>0</v>
      </c>
      <c r="AQ904" s="8"/>
      <c r="AR904" s="8"/>
      <c r="AS904" s="8"/>
    </row>
    <row r="905" spans="1:45">
      <c r="A905" s="12">
        <v>45280</v>
      </c>
      <c r="B905" s="8">
        <f t="shared" si="112"/>
        <v>595639</v>
      </c>
      <c r="C905" s="8">
        <v>595649</v>
      </c>
      <c r="D905" s="128">
        <f t="shared" si="110"/>
        <v>10</v>
      </c>
      <c r="E905" s="8">
        <f t="shared" si="113"/>
        <v>194236</v>
      </c>
      <c r="F905" s="8">
        <v>194478</v>
      </c>
      <c r="G905" s="137">
        <f t="shared" si="117"/>
        <v>242</v>
      </c>
      <c r="H905" s="128">
        <f>D905+G905</f>
        <v>252</v>
      </c>
      <c r="I905" s="8">
        <f t="shared" si="115"/>
        <v>770494</v>
      </c>
      <c r="J905" s="8">
        <v>770624</v>
      </c>
      <c r="K905" s="137">
        <f t="shared" si="118"/>
        <v>130</v>
      </c>
      <c r="L905" s="8">
        <f t="shared" si="116"/>
        <v>4930</v>
      </c>
      <c r="M905" s="8">
        <v>4930</v>
      </c>
      <c r="N905" s="137">
        <v>100</v>
      </c>
      <c r="O905" s="128">
        <f t="shared" si="111"/>
        <v>230</v>
      </c>
      <c r="P905" s="8">
        <f t="shared" si="114"/>
        <v>325605</v>
      </c>
      <c r="Q905" s="8">
        <v>326699</v>
      </c>
      <c r="R905" s="128">
        <f t="shared" si="109"/>
        <v>1094</v>
      </c>
      <c r="AQ905" s="8"/>
      <c r="AR905" s="8"/>
      <c r="AS905" s="8"/>
    </row>
    <row r="906" spans="1:45">
      <c r="A906" s="12">
        <v>45281</v>
      </c>
      <c r="B906" s="8">
        <f t="shared" si="112"/>
        <v>595649</v>
      </c>
      <c r="C906" s="8">
        <v>596272</v>
      </c>
      <c r="D906" s="128">
        <f t="shared" si="110"/>
        <v>623</v>
      </c>
      <c r="E906" s="8">
        <f t="shared" si="113"/>
        <v>194478</v>
      </c>
      <c r="F906" s="8">
        <v>194807</v>
      </c>
      <c r="G906" s="137">
        <f t="shared" si="117"/>
        <v>329</v>
      </c>
      <c r="H906" s="128">
        <f t="shared" si="119"/>
        <v>952</v>
      </c>
      <c r="I906" s="8">
        <f t="shared" si="115"/>
        <v>770624</v>
      </c>
      <c r="J906" s="8">
        <v>770806</v>
      </c>
      <c r="K906" s="137">
        <f t="shared" si="118"/>
        <v>182</v>
      </c>
      <c r="L906" s="8">
        <f t="shared" si="116"/>
        <v>4930</v>
      </c>
      <c r="M906" s="8">
        <v>4930</v>
      </c>
      <c r="N906" s="137">
        <f t="shared" ref="N906:N970" si="120">M906-L906</f>
        <v>0</v>
      </c>
      <c r="O906" s="128">
        <f t="shared" si="111"/>
        <v>182</v>
      </c>
      <c r="P906" s="8">
        <f t="shared" si="114"/>
        <v>326699</v>
      </c>
      <c r="Q906" s="8">
        <v>327067</v>
      </c>
      <c r="R906" s="128">
        <f t="shared" si="109"/>
        <v>368</v>
      </c>
      <c r="AQ906" s="8"/>
      <c r="AR906" s="8"/>
      <c r="AS906" s="8"/>
    </row>
    <row r="907" spans="1:45">
      <c r="A907" s="12">
        <v>45282</v>
      </c>
      <c r="B907" s="8">
        <f t="shared" si="112"/>
        <v>596272</v>
      </c>
      <c r="C907" s="8">
        <v>596617</v>
      </c>
      <c r="D907" s="128">
        <f t="shared" si="110"/>
        <v>345</v>
      </c>
      <c r="E907" s="8">
        <f t="shared" si="113"/>
        <v>194807</v>
      </c>
      <c r="F907" s="8">
        <v>195105</v>
      </c>
      <c r="G907" s="137">
        <f t="shared" si="117"/>
        <v>298</v>
      </c>
      <c r="H907" s="128">
        <f t="shared" si="119"/>
        <v>643</v>
      </c>
      <c r="I907" s="8">
        <f t="shared" si="115"/>
        <v>770806</v>
      </c>
      <c r="J907" s="8">
        <v>770941</v>
      </c>
      <c r="K907" s="137">
        <f t="shared" si="118"/>
        <v>135</v>
      </c>
      <c r="L907" s="8">
        <f t="shared" si="116"/>
        <v>4930</v>
      </c>
      <c r="M907" s="8">
        <v>4930</v>
      </c>
      <c r="N907" s="137">
        <f t="shared" si="120"/>
        <v>0</v>
      </c>
      <c r="O907" s="128">
        <f t="shared" si="111"/>
        <v>135</v>
      </c>
      <c r="P907" s="8">
        <f t="shared" si="114"/>
        <v>327067</v>
      </c>
      <c r="Q907" s="8">
        <v>327067</v>
      </c>
      <c r="R907" s="128">
        <f t="shared" si="109"/>
        <v>0</v>
      </c>
      <c r="AQ907" s="8"/>
      <c r="AR907" s="8"/>
      <c r="AS907" s="8"/>
    </row>
    <row r="908" spans="1:45">
      <c r="A908" s="12">
        <v>45283</v>
      </c>
      <c r="B908" s="8">
        <f t="shared" si="112"/>
        <v>596617</v>
      </c>
      <c r="C908" s="8">
        <v>597015</v>
      </c>
      <c r="D908" s="128">
        <f t="shared" si="110"/>
        <v>398</v>
      </c>
      <c r="E908" s="8">
        <f t="shared" si="113"/>
        <v>195105</v>
      </c>
      <c r="F908" s="8">
        <v>195403</v>
      </c>
      <c r="G908" s="137">
        <f t="shared" si="117"/>
        <v>298</v>
      </c>
      <c r="H908" s="128">
        <f t="shared" si="119"/>
        <v>696</v>
      </c>
      <c r="I908" s="8">
        <f t="shared" si="115"/>
        <v>770941</v>
      </c>
      <c r="J908" s="8">
        <v>771086</v>
      </c>
      <c r="K908" s="137">
        <f t="shared" si="118"/>
        <v>145</v>
      </c>
      <c r="L908" s="8">
        <f t="shared" si="116"/>
        <v>4930</v>
      </c>
      <c r="M908" s="8">
        <v>4930</v>
      </c>
      <c r="N908" s="137">
        <f t="shared" si="120"/>
        <v>0</v>
      </c>
      <c r="O908" s="128">
        <f t="shared" si="111"/>
        <v>145</v>
      </c>
      <c r="P908" s="8">
        <f t="shared" si="114"/>
        <v>327067</v>
      </c>
      <c r="Q908" s="8">
        <v>327067</v>
      </c>
      <c r="R908" s="128">
        <f t="shared" si="109"/>
        <v>0</v>
      </c>
      <c r="AQ908" s="8"/>
      <c r="AR908" s="8"/>
      <c r="AS908" s="8"/>
    </row>
    <row r="909" spans="1:45">
      <c r="A909" s="12">
        <v>45284</v>
      </c>
      <c r="B909" s="8">
        <f t="shared" si="112"/>
        <v>597015</v>
      </c>
      <c r="C909" s="8">
        <v>597268</v>
      </c>
      <c r="D909" s="128">
        <f t="shared" si="110"/>
        <v>253</v>
      </c>
      <c r="E909" s="8">
        <f t="shared" si="113"/>
        <v>195403</v>
      </c>
      <c r="F909" s="8">
        <v>195917</v>
      </c>
      <c r="G909" s="137">
        <f t="shared" si="117"/>
        <v>514</v>
      </c>
      <c r="H909" s="128">
        <f t="shared" si="119"/>
        <v>767</v>
      </c>
      <c r="I909" s="8">
        <f t="shared" si="115"/>
        <v>771086</v>
      </c>
      <c r="J909" s="8">
        <v>771265</v>
      </c>
      <c r="K909" s="137">
        <f t="shared" si="118"/>
        <v>179</v>
      </c>
      <c r="L909" s="8">
        <f t="shared" si="116"/>
        <v>4930</v>
      </c>
      <c r="M909" s="8">
        <v>4930</v>
      </c>
      <c r="N909" s="137">
        <f t="shared" si="120"/>
        <v>0</v>
      </c>
      <c r="O909" s="128">
        <f t="shared" si="111"/>
        <v>179</v>
      </c>
      <c r="P909" s="8">
        <f t="shared" si="114"/>
        <v>327067</v>
      </c>
      <c r="Q909" s="8">
        <v>327067</v>
      </c>
      <c r="R909" s="128">
        <f t="shared" si="109"/>
        <v>0</v>
      </c>
      <c r="AQ909" s="8"/>
      <c r="AR909" s="8"/>
      <c r="AS909" s="8"/>
    </row>
    <row r="910" spans="1:45">
      <c r="A910" s="12">
        <v>45285</v>
      </c>
      <c r="B910" s="8">
        <f t="shared" si="112"/>
        <v>597268</v>
      </c>
      <c r="C910" s="8">
        <v>597485</v>
      </c>
      <c r="D910" s="128">
        <f t="shared" si="110"/>
        <v>217</v>
      </c>
      <c r="E910" s="8">
        <f t="shared" si="113"/>
        <v>195917</v>
      </c>
      <c r="F910" s="8">
        <v>196243</v>
      </c>
      <c r="G910" s="137">
        <f t="shared" si="117"/>
        <v>326</v>
      </c>
      <c r="H910" s="128">
        <f t="shared" si="119"/>
        <v>543</v>
      </c>
      <c r="I910" s="8">
        <f t="shared" si="115"/>
        <v>771265</v>
      </c>
      <c r="J910" s="8">
        <v>771400</v>
      </c>
      <c r="K910" s="137">
        <f t="shared" si="118"/>
        <v>135</v>
      </c>
      <c r="L910" s="8">
        <f t="shared" si="116"/>
        <v>4930</v>
      </c>
      <c r="M910" s="8">
        <v>4930</v>
      </c>
      <c r="N910" s="137">
        <f t="shared" si="120"/>
        <v>0</v>
      </c>
      <c r="O910" s="128">
        <f t="shared" si="111"/>
        <v>135</v>
      </c>
      <c r="P910" s="8">
        <f t="shared" si="114"/>
        <v>327067</v>
      </c>
      <c r="Q910" s="8">
        <v>327067</v>
      </c>
      <c r="R910" s="128">
        <f t="shared" si="109"/>
        <v>0</v>
      </c>
      <c r="AQ910" s="8"/>
      <c r="AR910" s="8"/>
      <c r="AS910" s="8"/>
    </row>
    <row r="911" spans="1:45">
      <c r="A911" s="12">
        <v>45286</v>
      </c>
      <c r="B911" s="8">
        <f t="shared" si="112"/>
        <v>597485</v>
      </c>
      <c r="C911" s="8">
        <v>597983</v>
      </c>
      <c r="D911" s="128">
        <f t="shared" si="110"/>
        <v>498</v>
      </c>
      <c r="E911" s="8">
        <f t="shared" si="113"/>
        <v>196243</v>
      </c>
      <c r="F911" s="8">
        <v>196636</v>
      </c>
      <c r="G911" s="137">
        <f t="shared" si="117"/>
        <v>393</v>
      </c>
      <c r="H911" s="128">
        <f t="shared" si="119"/>
        <v>891</v>
      </c>
      <c r="I911" s="8">
        <f t="shared" si="115"/>
        <v>771400</v>
      </c>
      <c r="J911" s="8">
        <v>771565</v>
      </c>
      <c r="K911" s="137">
        <f t="shared" si="118"/>
        <v>165</v>
      </c>
      <c r="L911" s="8">
        <f t="shared" si="116"/>
        <v>4930</v>
      </c>
      <c r="M911" s="8">
        <v>4930</v>
      </c>
      <c r="N911" s="137">
        <f t="shared" si="120"/>
        <v>0</v>
      </c>
      <c r="O911" s="128">
        <f t="shared" si="111"/>
        <v>165</v>
      </c>
      <c r="P911" s="8">
        <f t="shared" si="114"/>
        <v>327067</v>
      </c>
      <c r="Q911" s="8">
        <v>327067</v>
      </c>
      <c r="R911" s="128">
        <f t="shared" si="109"/>
        <v>0</v>
      </c>
      <c r="AQ911" s="8"/>
      <c r="AR911" s="8"/>
      <c r="AS911" s="8"/>
    </row>
    <row r="912" spans="1:45">
      <c r="A912" s="12">
        <v>45287</v>
      </c>
      <c r="B912" s="8">
        <f t="shared" si="112"/>
        <v>597983</v>
      </c>
      <c r="C912" s="8">
        <v>598365</v>
      </c>
      <c r="D912" s="128">
        <f t="shared" si="110"/>
        <v>382</v>
      </c>
      <c r="E912" s="8">
        <f t="shared" si="113"/>
        <v>196636</v>
      </c>
      <c r="F912" s="8">
        <v>196945</v>
      </c>
      <c r="G912" s="137">
        <f t="shared" si="117"/>
        <v>309</v>
      </c>
      <c r="H912" s="128">
        <f t="shared" si="119"/>
        <v>691</v>
      </c>
      <c r="I912" s="8">
        <f t="shared" si="115"/>
        <v>771565</v>
      </c>
      <c r="J912" s="8">
        <v>771760</v>
      </c>
      <c r="K912" s="137">
        <f t="shared" si="118"/>
        <v>195</v>
      </c>
      <c r="L912" s="8">
        <f t="shared" si="116"/>
        <v>4930</v>
      </c>
      <c r="M912" s="8">
        <v>4930</v>
      </c>
      <c r="N912" s="137">
        <f t="shared" si="120"/>
        <v>0</v>
      </c>
      <c r="O912" s="128">
        <f t="shared" si="111"/>
        <v>195</v>
      </c>
      <c r="P912" s="8">
        <f t="shared" si="114"/>
        <v>327067</v>
      </c>
      <c r="Q912" s="8">
        <v>327067</v>
      </c>
      <c r="R912" s="128">
        <f t="shared" ref="R912:R916" si="121">Q912-P912</f>
        <v>0</v>
      </c>
      <c r="AQ912" s="8"/>
      <c r="AR912" s="8"/>
      <c r="AS912" s="8"/>
    </row>
    <row r="913" spans="1:45">
      <c r="A913" s="12">
        <v>45288</v>
      </c>
      <c r="B913" s="8">
        <f t="shared" si="112"/>
        <v>598365</v>
      </c>
      <c r="C913" s="8">
        <v>598475</v>
      </c>
      <c r="D913" s="128">
        <f t="shared" si="110"/>
        <v>110</v>
      </c>
      <c r="E913" s="8">
        <f t="shared" si="113"/>
        <v>196945</v>
      </c>
      <c r="F913" s="8">
        <v>197006</v>
      </c>
      <c r="G913" s="137">
        <f t="shared" si="117"/>
        <v>61</v>
      </c>
      <c r="H913" s="128">
        <f t="shared" si="119"/>
        <v>171</v>
      </c>
      <c r="I913" s="8">
        <f t="shared" si="115"/>
        <v>771760</v>
      </c>
      <c r="J913" s="8">
        <v>771893</v>
      </c>
      <c r="K913" s="137">
        <f t="shared" si="118"/>
        <v>133</v>
      </c>
      <c r="L913" s="8">
        <f t="shared" si="116"/>
        <v>4930</v>
      </c>
      <c r="M913" s="8">
        <v>4930</v>
      </c>
      <c r="N913" s="137">
        <f t="shared" si="120"/>
        <v>0</v>
      </c>
      <c r="O913" s="128">
        <f t="shared" si="111"/>
        <v>133</v>
      </c>
      <c r="P913" s="8">
        <f t="shared" si="114"/>
        <v>327067</v>
      </c>
      <c r="Q913" s="8">
        <v>327067</v>
      </c>
      <c r="R913" s="128">
        <f t="shared" si="121"/>
        <v>0</v>
      </c>
      <c r="AQ913" s="8"/>
      <c r="AR913" s="8"/>
      <c r="AS913" s="8"/>
    </row>
    <row r="914" spans="1:45">
      <c r="A914" s="12">
        <v>45289</v>
      </c>
      <c r="B914" s="8">
        <f t="shared" si="112"/>
        <v>598475</v>
      </c>
      <c r="C914" s="8">
        <v>598764</v>
      </c>
      <c r="D914" s="128">
        <f t="shared" si="110"/>
        <v>289</v>
      </c>
      <c r="E914" s="8">
        <f t="shared" si="113"/>
        <v>197006</v>
      </c>
      <c r="F914" s="8">
        <v>197335</v>
      </c>
      <c r="G914" s="137">
        <f t="shared" si="117"/>
        <v>329</v>
      </c>
      <c r="H914" s="128">
        <f t="shared" si="119"/>
        <v>618</v>
      </c>
      <c r="I914" s="8">
        <f t="shared" si="115"/>
        <v>771893</v>
      </c>
      <c r="J914" s="8">
        <v>772059</v>
      </c>
      <c r="K914" s="137">
        <f t="shared" si="118"/>
        <v>166</v>
      </c>
      <c r="L914" s="8">
        <f t="shared" si="116"/>
        <v>4930</v>
      </c>
      <c r="M914" s="8">
        <v>4930</v>
      </c>
      <c r="N914" s="137">
        <f t="shared" si="120"/>
        <v>0</v>
      </c>
      <c r="O914" s="128">
        <f t="shared" si="111"/>
        <v>166</v>
      </c>
      <c r="P914" s="8">
        <f t="shared" si="114"/>
        <v>327067</v>
      </c>
      <c r="Q914" s="8">
        <v>327941</v>
      </c>
      <c r="R914" s="128">
        <f t="shared" si="121"/>
        <v>874</v>
      </c>
      <c r="AQ914" s="8"/>
      <c r="AR914" s="8"/>
      <c r="AS914" s="8"/>
    </row>
    <row r="915" spans="1:45">
      <c r="A915" s="12">
        <v>45290</v>
      </c>
      <c r="B915" s="8">
        <f t="shared" si="112"/>
        <v>598764</v>
      </c>
      <c r="C915" s="8">
        <v>599083</v>
      </c>
      <c r="D915" s="128">
        <f t="shared" si="110"/>
        <v>319</v>
      </c>
      <c r="E915" s="8">
        <f t="shared" si="113"/>
        <v>197335</v>
      </c>
      <c r="F915" s="8">
        <v>197700</v>
      </c>
      <c r="G915" s="137">
        <f t="shared" si="117"/>
        <v>365</v>
      </c>
      <c r="H915" s="128">
        <f t="shared" si="119"/>
        <v>684</v>
      </c>
      <c r="I915" s="8">
        <f t="shared" si="115"/>
        <v>772059</v>
      </c>
      <c r="J915" s="8">
        <v>772206</v>
      </c>
      <c r="K915" s="137">
        <f t="shared" si="118"/>
        <v>147</v>
      </c>
      <c r="L915" s="8">
        <f t="shared" si="116"/>
        <v>4930</v>
      </c>
      <c r="M915" s="8">
        <v>4930</v>
      </c>
      <c r="N915" s="137">
        <f t="shared" si="120"/>
        <v>0</v>
      </c>
      <c r="O915" s="128">
        <f t="shared" si="111"/>
        <v>147</v>
      </c>
      <c r="P915" s="8">
        <f t="shared" si="114"/>
        <v>327941</v>
      </c>
      <c r="Q915" s="8">
        <v>327941</v>
      </c>
      <c r="R915" s="128">
        <f t="shared" si="121"/>
        <v>0</v>
      </c>
      <c r="AQ915" s="8"/>
      <c r="AR915" s="8"/>
      <c r="AS915" s="8"/>
    </row>
    <row r="916" spans="1:45">
      <c r="A916" s="12">
        <v>45291</v>
      </c>
      <c r="B916" s="8">
        <f t="shared" si="112"/>
        <v>599083</v>
      </c>
      <c r="C916" s="8">
        <v>599397</v>
      </c>
      <c r="D916" s="128">
        <f t="shared" si="110"/>
        <v>314</v>
      </c>
      <c r="E916" s="8">
        <f t="shared" si="113"/>
        <v>197700</v>
      </c>
      <c r="F916" s="8">
        <v>198045</v>
      </c>
      <c r="G916" s="137">
        <f t="shared" si="117"/>
        <v>345</v>
      </c>
      <c r="H916" s="128">
        <f t="shared" si="119"/>
        <v>659</v>
      </c>
      <c r="I916" s="8">
        <f t="shared" si="115"/>
        <v>772206</v>
      </c>
      <c r="J916" s="8">
        <v>772330</v>
      </c>
      <c r="K916" s="137">
        <f t="shared" si="118"/>
        <v>124</v>
      </c>
      <c r="L916" s="8">
        <f t="shared" si="116"/>
        <v>4930</v>
      </c>
      <c r="M916" s="8">
        <v>4930</v>
      </c>
      <c r="N916" s="137">
        <f t="shared" si="120"/>
        <v>0</v>
      </c>
      <c r="O916" s="128">
        <f t="shared" si="111"/>
        <v>124</v>
      </c>
      <c r="P916" s="8">
        <f t="shared" si="114"/>
        <v>327941</v>
      </c>
      <c r="Q916" s="8">
        <v>327941</v>
      </c>
      <c r="R916" s="128">
        <f t="shared" si="121"/>
        <v>0</v>
      </c>
      <c r="AQ916" s="8"/>
      <c r="AR916" s="8"/>
      <c r="AS916" s="8"/>
    </row>
    <row r="917" spans="1:45">
      <c r="A917" s="12">
        <v>45292</v>
      </c>
      <c r="B917" s="8">
        <f t="shared" si="112"/>
        <v>599397</v>
      </c>
      <c r="C917" s="8">
        <v>599786</v>
      </c>
      <c r="D917" s="128">
        <f t="shared" si="110"/>
        <v>389</v>
      </c>
      <c r="E917" s="8">
        <f t="shared" si="113"/>
        <v>198045</v>
      </c>
      <c r="F917" s="8">
        <v>198449</v>
      </c>
      <c r="G917" s="137">
        <f t="shared" si="117"/>
        <v>404</v>
      </c>
      <c r="H917" s="128">
        <f t="shared" si="119"/>
        <v>793</v>
      </c>
      <c r="I917" s="8">
        <f t="shared" si="115"/>
        <v>772330</v>
      </c>
      <c r="J917" s="8">
        <v>772490</v>
      </c>
      <c r="K917" s="137">
        <f t="shared" si="118"/>
        <v>160</v>
      </c>
      <c r="L917" s="8">
        <f t="shared" si="116"/>
        <v>4930</v>
      </c>
      <c r="M917" s="8">
        <v>4930</v>
      </c>
      <c r="N917" s="137">
        <f t="shared" si="120"/>
        <v>0</v>
      </c>
      <c r="O917" s="128">
        <f t="shared" si="111"/>
        <v>160</v>
      </c>
      <c r="P917" s="8">
        <f t="shared" si="114"/>
        <v>327941</v>
      </c>
      <c r="Q917" s="8">
        <v>329171</v>
      </c>
      <c r="R917" s="128">
        <f>Q917-P917</f>
        <v>1230</v>
      </c>
      <c r="AQ917" s="8"/>
      <c r="AR917" s="8"/>
      <c r="AS917" s="8"/>
    </row>
    <row r="918" spans="1:45">
      <c r="A918" s="12">
        <v>45293</v>
      </c>
      <c r="B918" s="8">
        <f t="shared" si="112"/>
        <v>599786</v>
      </c>
      <c r="C918" s="8">
        <v>600113</v>
      </c>
      <c r="D918" s="128">
        <f t="shared" si="110"/>
        <v>327</v>
      </c>
      <c r="E918" s="8">
        <f t="shared" si="113"/>
        <v>198449</v>
      </c>
      <c r="F918" s="8">
        <v>198825</v>
      </c>
      <c r="G918" s="137">
        <f t="shared" si="117"/>
        <v>376</v>
      </c>
      <c r="H918" s="128">
        <f t="shared" si="119"/>
        <v>703</v>
      </c>
      <c r="I918" s="8">
        <f t="shared" si="115"/>
        <v>772490</v>
      </c>
      <c r="J918" s="8">
        <v>772790</v>
      </c>
      <c r="K918" s="137">
        <f t="shared" si="118"/>
        <v>300</v>
      </c>
      <c r="L918" s="8">
        <f t="shared" si="116"/>
        <v>4930</v>
      </c>
      <c r="M918" s="8">
        <v>4930</v>
      </c>
      <c r="N918" s="137">
        <f t="shared" si="120"/>
        <v>0</v>
      </c>
      <c r="O918" s="128">
        <f t="shared" si="111"/>
        <v>300</v>
      </c>
      <c r="P918" s="8">
        <f t="shared" si="114"/>
        <v>329171</v>
      </c>
      <c r="Q918" s="8">
        <v>329171</v>
      </c>
      <c r="R918" s="128">
        <f t="shared" ref="R918:R981" si="122">Q918-P918</f>
        <v>0</v>
      </c>
      <c r="AQ918" s="8"/>
      <c r="AR918" s="8"/>
      <c r="AS918" s="8"/>
    </row>
    <row r="919" spans="1:45">
      <c r="A919" s="12">
        <v>45294</v>
      </c>
      <c r="B919" s="8">
        <f t="shared" si="112"/>
        <v>600113</v>
      </c>
      <c r="C919" s="8">
        <v>600386</v>
      </c>
      <c r="D919" s="128">
        <f t="shared" si="110"/>
        <v>273</v>
      </c>
      <c r="E919" s="8">
        <f t="shared" si="113"/>
        <v>198825</v>
      </c>
      <c r="F919" s="8">
        <v>199123</v>
      </c>
      <c r="G919" s="137">
        <f t="shared" si="117"/>
        <v>298</v>
      </c>
      <c r="H919" s="128">
        <f>D919+G919</f>
        <v>571</v>
      </c>
      <c r="I919" s="8">
        <f t="shared" si="115"/>
        <v>772790</v>
      </c>
      <c r="J919" s="8">
        <v>772859</v>
      </c>
      <c r="K919" s="137">
        <f t="shared" si="118"/>
        <v>69</v>
      </c>
      <c r="L919" s="8">
        <f t="shared" si="116"/>
        <v>4930</v>
      </c>
      <c r="M919" s="8">
        <v>4930</v>
      </c>
      <c r="N919" s="137">
        <f t="shared" si="120"/>
        <v>0</v>
      </c>
      <c r="O919" s="128">
        <f t="shared" si="111"/>
        <v>69</v>
      </c>
      <c r="P919" s="8">
        <f t="shared" si="114"/>
        <v>329171</v>
      </c>
      <c r="Q919" s="8">
        <v>329171</v>
      </c>
      <c r="R919" s="128">
        <f t="shared" si="122"/>
        <v>0</v>
      </c>
      <c r="AQ919" s="8"/>
      <c r="AR919" s="8"/>
      <c r="AS919" s="8"/>
    </row>
    <row r="920" spans="1:45">
      <c r="A920" s="12">
        <v>45295</v>
      </c>
      <c r="B920" s="8">
        <f t="shared" si="112"/>
        <v>600386</v>
      </c>
      <c r="C920" s="8">
        <v>600662</v>
      </c>
      <c r="D920" s="128">
        <f t="shared" si="110"/>
        <v>276</v>
      </c>
      <c r="E920" s="8">
        <f t="shared" si="113"/>
        <v>199123</v>
      </c>
      <c r="F920" s="8">
        <v>199462</v>
      </c>
      <c r="G920" s="137">
        <f t="shared" si="117"/>
        <v>339</v>
      </c>
      <c r="H920" s="128">
        <f t="shared" si="119"/>
        <v>615</v>
      </c>
      <c r="I920" s="8">
        <f t="shared" si="115"/>
        <v>772859</v>
      </c>
      <c r="J920" s="8">
        <v>773036</v>
      </c>
      <c r="K920" s="137">
        <f t="shared" si="118"/>
        <v>177</v>
      </c>
      <c r="L920" s="8">
        <f t="shared" si="116"/>
        <v>4930</v>
      </c>
      <c r="M920" s="8">
        <v>4930</v>
      </c>
      <c r="N920" s="137">
        <f t="shared" si="120"/>
        <v>0</v>
      </c>
      <c r="O920" s="128">
        <f t="shared" si="111"/>
        <v>177</v>
      </c>
      <c r="P920" s="8">
        <f t="shared" si="114"/>
        <v>329171</v>
      </c>
      <c r="Q920" s="8">
        <v>329171</v>
      </c>
      <c r="R920" s="128">
        <f t="shared" si="122"/>
        <v>0</v>
      </c>
      <c r="AQ920" s="8"/>
      <c r="AR920" s="8"/>
      <c r="AS920" s="8"/>
    </row>
    <row r="921" spans="1:45">
      <c r="A921" s="12">
        <v>45296</v>
      </c>
      <c r="B921" s="8">
        <f t="shared" si="112"/>
        <v>600662</v>
      </c>
      <c r="C921" s="8">
        <v>600990</v>
      </c>
      <c r="D921" s="128">
        <f t="shared" si="110"/>
        <v>328</v>
      </c>
      <c r="E921" s="8">
        <f t="shared" si="113"/>
        <v>199462</v>
      </c>
      <c r="F921" s="8">
        <v>199824</v>
      </c>
      <c r="G921" s="137">
        <f t="shared" si="117"/>
        <v>362</v>
      </c>
      <c r="H921" s="128">
        <f t="shared" si="119"/>
        <v>690</v>
      </c>
      <c r="I921" s="8">
        <f t="shared" si="115"/>
        <v>773036</v>
      </c>
      <c r="J921" s="8">
        <v>773217</v>
      </c>
      <c r="K921" s="137">
        <f t="shared" si="118"/>
        <v>181</v>
      </c>
      <c r="L921" s="8">
        <f t="shared" si="116"/>
        <v>4930</v>
      </c>
      <c r="M921" s="8">
        <v>4930</v>
      </c>
      <c r="N921" s="137">
        <f t="shared" si="120"/>
        <v>0</v>
      </c>
      <c r="O921" s="128">
        <f t="shared" si="111"/>
        <v>181</v>
      </c>
      <c r="P921" s="8">
        <f t="shared" si="114"/>
        <v>329171</v>
      </c>
      <c r="Q921" s="8">
        <v>329171</v>
      </c>
      <c r="R921" s="128">
        <f t="shared" si="122"/>
        <v>0</v>
      </c>
      <c r="AQ921" s="8"/>
      <c r="AR921" s="8"/>
      <c r="AS921" s="8"/>
    </row>
    <row r="922" spans="1:45">
      <c r="A922" s="12">
        <v>45297</v>
      </c>
      <c r="B922" s="8">
        <f t="shared" si="112"/>
        <v>600990</v>
      </c>
      <c r="C922" s="8">
        <v>601280</v>
      </c>
      <c r="D922" s="128">
        <f t="shared" si="110"/>
        <v>290</v>
      </c>
      <c r="E922" s="8">
        <f t="shared" si="113"/>
        <v>199824</v>
      </c>
      <c r="F922" s="8">
        <v>200159</v>
      </c>
      <c r="G922" s="137">
        <f t="shared" si="117"/>
        <v>335</v>
      </c>
      <c r="H922" s="128">
        <f t="shared" si="119"/>
        <v>625</v>
      </c>
      <c r="I922" s="8">
        <f t="shared" si="115"/>
        <v>773217</v>
      </c>
      <c r="J922" s="8">
        <v>773391</v>
      </c>
      <c r="K922" s="137">
        <f t="shared" si="118"/>
        <v>174</v>
      </c>
      <c r="L922" s="8">
        <f t="shared" si="116"/>
        <v>4930</v>
      </c>
      <c r="M922" s="8">
        <v>4930</v>
      </c>
      <c r="N922" s="137">
        <f t="shared" si="120"/>
        <v>0</v>
      </c>
      <c r="O922" s="128">
        <f t="shared" si="111"/>
        <v>174</v>
      </c>
      <c r="P922" s="8">
        <f t="shared" si="114"/>
        <v>329171</v>
      </c>
      <c r="Q922" s="8">
        <v>329171</v>
      </c>
      <c r="R922" s="128">
        <f t="shared" si="122"/>
        <v>0</v>
      </c>
      <c r="AQ922" s="8"/>
      <c r="AR922" s="8"/>
      <c r="AS922" s="8"/>
    </row>
    <row r="923" spans="1:45">
      <c r="A923" s="12">
        <v>45298</v>
      </c>
      <c r="B923" s="8">
        <f t="shared" si="112"/>
        <v>601280</v>
      </c>
      <c r="C923" s="8">
        <v>601551</v>
      </c>
      <c r="D923" s="128">
        <f t="shared" si="110"/>
        <v>271</v>
      </c>
      <c r="E923" s="8">
        <f t="shared" si="113"/>
        <v>200159</v>
      </c>
      <c r="F923" s="8">
        <v>200455</v>
      </c>
      <c r="G923" s="137">
        <f t="shared" si="117"/>
        <v>296</v>
      </c>
      <c r="H923" s="128">
        <f t="shared" si="119"/>
        <v>567</v>
      </c>
      <c r="I923" s="8">
        <f t="shared" si="115"/>
        <v>773391</v>
      </c>
      <c r="J923" s="8">
        <v>773575</v>
      </c>
      <c r="K923" s="137">
        <f t="shared" si="118"/>
        <v>184</v>
      </c>
      <c r="L923" s="8">
        <f t="shared" si="116"/>
        <v>4930</v>
      </c>
      <c r="M923" s="8">
        <v>4930</v>
      </c>
      <c r="N923" s="137">
        <f t="shared" si="120"/>
        <v>0</v>
      </c>
      <c r="O923" s="128">
        <f t="shared" si="111"/>
        <v>184</v>
      </c>
      <c r="P923" s="8">
        <f t="shared" si="114"/>
        <v>329171</v>
      </c>
      <c r="Q923" s="8">
        <v>329171</v>
      </c>
      <c r="R923" s="128">
        <f t="shared" si="122"/>
        <v>0</v>
      </c>
      <c r="AQ923" s="8"/>
      <c r="AR923" s="8"/>
      <c r="AS923" s="8"/>
    </row>
    <row r="924" spans="1:45">
      <c r="A924" s="12">
        <v>45299</v>
      </c>
      <c r="B924" s="8">
        <f t="shared" si="112"/>
        <v>601551</v>
      </c>
      <c r="C924" s="8">
        <v>601850</v>
      </c>
      <c r="D924" s="128">
        <f t="shared" si="110"/>
        <v>299</v>
      </c>
      <c r="E924" s="8">
        <f t="shared" si="113"/>
        <v>200455</v>
      </c>
      <c r="F924" s="8">
        <v>200797</v>
      </c>
      <c r="G924" s="137">
        <f t="shared" si="117"/>
        <v>342</v>
      </c>
      <c r="H924" s="128">
        <f t="shared" si="119"/>
        <v>641</v>
      </c>
      <c r="I924" s="8">
        <f t="shared" si="115"/>
        <v>773575</v>
      </c>
      <c r="J924" s="8">
        <v>773649</v>
      </c>
      <c r="K924" s="137">
        <f t="shared" si="118"/>
        <v>74</v>
      </c>
      <c r="L924" s="8">
        <f t="shared" si="116"/>
        <v>4930</v>
      </c>
      <c r="M924" s="8">
        <v>4930</v>
      </c>
      <c r="N924" s="137">
        <f t="shared" si="120"/>
        <v>0</v>
      </c>
      <c r="O924" s="128">
        <f t="shared" si="111"/>
        <v>74</v>
      </c>
      <c r="P924" s="8">
        <f t="shared" si="114"/>
        <v>329171</v>
      </c>
      <c r="Q924" s="8">
        <v>329171</v>
      </c>
      <c r="R924" s="128">
        <f t="shared" si="122"/>
        <v>0</v>
      </c>
      <c r="AQ924" s="8"/>
      <c r="AR924" s="8"/>
      <c r="AS924" s="8"/>
    </row>
    <row r="925" spans="1:45">
      <c r="A925" s="12">
        <v>45300</v>
      </c>
      <c r="B925" s="8">
        <f t="shared" si="112"/>
        <v>601850</v>
      </c>
      <c r="C925" s="8">
        <v>602168</v>
      </c>
      <c r="D925" s="128">
        <f t="shared" si="110"/>
        <v>318</v>
      </c>
      <c r="E925" s="8">
        <f t="shared" si="113"/>
        <v>200797</v>
      </c>
      <c r="F925" s="8">
        <v>201157</v>
      </c>
      <c r="G925" s="137">
        <f t="shared" si="117"/>
        <v>360</v>
      </c>
      <c r="H925" s="128">
        <f t="shared" si="119"/>
        <v>678</v>
      </c>
      <c r="I925" s="8">
        <f t="shared" si="115"/>
        <v>773649</v>
      </c>
      <c r="J925" s="8">
        <v>773754</v>
      </c>
      <c r="K925" s="137">
        <f t="shared" si="118"/>
        <v>105</v>
      </c>
      <c r="L925" s="8">
        <f t="shared" si="116"/>
        <v>4930</v>
      </c>
      <c r="M925" s="8">
        <v>4930</v>
      </c>
      <c r="N925" s="137">
        <f t="shared" si="120"/>
        <v>0</v>
      </c>
      <c r="O925" s="128">
        <f t="shared" si="111"/>
        <v>105</v>
      </c>
      <c r="P925" s="8">
        <f t="shared" si="114"/>
        <v>329171</v>
      </c>
      <c r="Q925" s="8">
        <v>329171</v>
      </c>
      <c r="R925" s="128">
        <f t="shared" si="122"/>
        <v>0</v>
      </c>
      <c r="AQ925" s="8"/>
      <c r="AR925" s="8"/>
      <c r="AS925" s="8"/>
    </row>
    <row r="926" spans="1:45">
      <c r="A926" s="12">
        <v>45301</v>
      </c>
      <c r="B926" s="8">
        <f t="shared" si="112"/>
        <v>602168</v>
      </c>
      <c r="C926" s="8">
        <v>602451</v>
      </c>
      <c r="D926" s="128">
        <f t="shared" si="110"/>
        <v>283</v>
      </c>
      <c r="E926" s="8">
        <f t="shared" si="113"/>
        <v>201157</v>
      </c>
      <c r="F926" s="8">
        <v>201424</v>
      </c>
      <c r="G926" s="137">
        <f t="shared" si="117"/>
        <v>267</v>
      </c>
      <c r="H926" s="128">
        <f t="shared" si="119"/>
        <v>550</v>
      </c>
      <c r="I926" s="8">
        <f t="shared" si="115"/>
        <v>773754</v>
      </c>
      <c r="J926" s="8">
        <v>773967</v>
      </c>
      <c r="K926" s="137">
        <f t="shared" si="118"/>
        <v>213</v>
      </c>
      <c r="L926" s="8">
        <f t="shared" si="116"/>
        <v>4930</v>
      </c>
      <c r="M926" s="8">
        <v>4930</v>
      </c>
      <c r="N926" s="137">
        <v>0</v>
      </c>
      <c r="O926" s="128">
        <f t="shared" si="111"/>
        <v>213</v>
      </c>
      <c r="P926" s="8">
        <f t="shared" si="114"/>
        <v>329171</v>
      </c>
      <c r="Q926" s="8">
        <v>329171</v>
      </c>
      <c r="R926" s="128">
        <f t="shared" si="122"/>
        <v>0</v>
      </c>
      <c r="AQ926" s="8"/>
      <c r="AR926" s="8"/>
      <c r="AS926" s="8"/>
    </row>
    <row r="927" spans="1:45">
      <c r="A927" s="12">
        <v>45302</v>
      </c>
      <c r="B927" s="8">
        <f t="shared" si="112"/>
        <v>602451</v>
      </c>
      <c r="C927" s="8">
        <v>602703</v>
      </c>
      <c r="D927" s="128">
        <f t="shared" si="110"/>
        <v>252</v>
      </c>
      <c r="E927" s="8">
        <f t="shared" si="113"/>
        <v>201424</v>
      </c>
      <c r="F927" s="8">
        <v>201675</v>
      </c>
      <c r="G927" s="137">
        <f t="shared" si="117"/>
        <v>251</v>
      </c>
      <c r="H927" s="128">
        <f t="shared" si="119"/>
        <v>503</v>
      </c>
      <c r="I927" s="8">
        <f t="shared" si="115"/>
        <v>773967</v>
      </c>
      <c r="J927" s="8">
        <v>774204</v>
      </c>
      <c r="K927" s="137">
        <f t="shared" si="118"/>
        <v>237</v>
      </c>
      <c r="L927" s="8">
        <f t="shared" si="116"/>
        <v>4930</v>
      </c>
      <c r="M927" s="8">
        <v>4930</v>
      </c>
      <c r="N927" s="137">
        <f t="shared" si="120"/>
        <v>0</v>
      </c>
      <c r="O927" s="128">
        <f t="shared" si="111"/>
        <v>237</v>
      </c>
      <c r="P927" s="8">
        <f t="shared" si="114"/>
        <v>329171</v>
      </c>
      <c r="Q927" s="8">
        <v>329171</v>
      </c>
      <c r="R927" s="128">
        <f t="shared" si="122"/>
        <v>0</v>
      </c>
      <c r="AQ927" s="8"/>
      <c r="AR927" s="8"/>
      <c r="AS927" s="8"/>
    </row>
    <row r="928" spans="1:45">
      <c r="A928" s="12">
        <v>45303</v>
      </c>
      <c r="B928" s="8">
        <f t="shared" si="112"/>
        <v>602703</v>
      </c>
      <c r="C928" s="8">
        <v>602993</v>
      </c>
      <c r="D928" s="128">
        <f t="shared" ref="D928:D991" si="123">C928-B928</f>
        <v>290</v>
      </c>
      <c r="E928" s="8">
        <f t="shared" si="113"/>
        <v>201675</v>
      </c>
      <c r="F928" s="8">
        <v>202047</v>
      </c>
      <c r="G928" s="137">
        <f t="shared" si="117"/>
        <v>372</v>
      </c>
      <c r="H928" s="128">
        <f t="shared" si="119"/>
        <v>662</v>
      </c>
      <c r="I928" s="8">
        <f t="shared" si="115"/>
        <v>774204</v>
      </c>
      <c r="J928" s="8">
        <v>774358</v>
      </c>
      <c r="K928" s="137">
        <f t="shared" si="118"/>
        <v>154</v>
      </c>
      <c r="L928" s="8">
        <f t="shared" si="116"/>
        <v>4930</v>
      </c>
      <c r="M928" s="8">
        <v>4930</v>
      </c>
      <c r="N928" s="137">
        <f t="shared" si="120"/>
        <v>0</v>
      </c>
      <c r="O928" s="128">
        <f t="shared" si="111"/>
        <v>154</v>
      </c>
      <c r="P928" s="8">
        <f t="shared" si="114"/>
        <v>329171</v>
      </c>
      <c r="Q928" s="8">
        <v>329171</v>
      </c>
      <c r="R928" s="128">
        <f t="shared" si="122"/>
        <v>0</v>
      </c>
      <c r="AQ928" s="8"/>
      <c r="AR928" s="8"/>
      <c r="AS928" s="8"/>
    </row>
    <row r="929" spans="1:45">
      <c r="A929" s="12">
        <v>45304</v>
      </c>
      <c r="B929" s="8">
        <f t="shared" si="112"/>
        <v>602993</v>
      </c>
      <c r="C929" s="8">
        <v>603253</v>
      </c>
      <c r="D929" s="128">
        <f t="shared" si="123"/>
        <v>260</v>
      </c>
      <c r="E929" s="8">
        <f t="shared" si="113"/>
        <v>202047</v>
      </c>
      <c r="F929" s="8">
        <v>202324</v>
      </c>
      <c r="G929" s="137">
        <f t="shared" si="117"/>
        <v>277</v>
      </c>
      <c r="H929" s="128">
        <f t="shared" si="119"/>
        <v>537</v>
      </c>
      <c r="I929" s="8">
        <f t="shared" si="115"/>
        <v>774358</v>
      </c>
      <c r="J929" s="8">
        <v>774521</v>
      </c>
      <c r="K929" s="137">
        <f t="shared" si="118"/>
        <v>163</v>
      </c>
      <c r="L929" s="8">
        <f t="shared" si="116"/>
        <v>4930</v>
      </c>
      <c r="M929" s="8">
        <v>4930</v>
      </c>
      <c r="N929" s="137">
        <f t="shared" si="120"/>
        <v>0</v>
      </c>
      <c r="O929" s="128">
        <f t="shared" si="111"/>
        <v>163</v>
      </c>
      <c r="P929" s="8">
        <f t="shared" si="114"/>
        <v>329171</v>
      </c>
      <c r="Q929" s="8">
        <v>329171</v>
      </c>
      <c r="R929" s="128">
        <f t="shared" si="122"/>
        <v>0</v>
      </c>
      <c r="AQ929" s="8"/>
      <c r="AR929" s="8"/>
      <c r="AS929" s="8"/>
    </row>
    <row r="930" spans="1:45">
      <c r="A930" s="12">
        <v>45305</v>
      </c>
      <c r="B930" s="8">
        <f t="shared" si="112"/>
        <v>603253</v>
      </c>
      <c r="C930" s="8">
        <v>603511</v>
      </c>
      <c r="D930" s="128">
        <f t="shared" si="123"/>
        <v>258</v>
      </c>
      <c r="E930" s="8">
        <f t="shared" si="113"/>
        <v>202324</v>
      </c>
      <c r="F930" s="8">
        <v>202589</v>
      </c>
      <c r="G930" s="137">
        <f t="shared" si="117"/>
        <v>265</v>
      </c>
      <c r="H930" s="128">
        <f t="shared" si="119"/>
        <v>523</v>
      </c>
      <c r="I930" s="8">
        <f t="shared" si="115"/>
        <v>774521</v>
      </c>
      <c r="J930" s="8">
        <v>774683</v>
      </c>
      <c r="K930" s="137">
        <f t="shared" si="118"/>
        <v>162</v>
      </c>
      <c r="L930" s="8">
        <f t="shared" si="116"/>
        <v>4930</v>
      </c>
      <c r="M930" s="8">
        <v>4930</v>
      </c>
      <c r="N930" s="137">
        <f t="shared" si="120"/>
        <v>0</v>
      </c>
      <c r="O930" s="128">
        <f t="shared" si="111"/>
        <v>162</v>
      </c>
      <c r="P930" s="8">
        <f t="shared" si="114"/>
        <v>329171</v>
      </c>
      <c r="Q930" s="8">
        <v>329171</v>
      </c>
      <c r="R930" s="128">
        <f t="shared" si="122"/>
        <v>0</v>
      </c>
      <c r="AQ930" s="8"/>
      <c r="AR930" s="8"/>
      <c r="AS930" s="8"/>
    </row>
    <row r="931" spans="1:45">
      <c r="A931" s="12">
        <v>45306</v>
      </c>
      <c r="B931" s="8">
        <f t="shared" si="112"/>
        <v>603511</v>
      </c>
      <c r="C931" s="8">
        <v>603758</v>
      </c>
      <c r="D931" s="128">
        <f t="shared" si="123"/>
        <v>247</v>
      </c>
      <c r="E931" s="8">
        <f t="shared" si="113"/>
        <v>202589</v>
      </c>
      <c r="F931" s="8">
        <v>202877</v>
      </c>
      <c r="G931" s="137">
        <f t="shared" si="117"/>
        <v>288</v>
      </c>
      <c r="H931" s="128">
        <f t="shared" si="119"/>
        <v>535</v>
      </c>
      <c r="I931" s="8">
        <f t="shared" si="115"/>
        <v>774683</v>
      </c>
      <c r="J931" s="8">
        <v>774835</v>
      </c>
      <c r="K931" s="137">
        <f t="shared" si="118"/>
        <v>152</v>
      </c>
      <c r="L931" s="8">
        <f t="shared" si="116"/>
        <v>4930</v>
      </c>
      <c r="M931" s="8">
        <v>4930</v>
      </c>
      <c r="N931" s="137">
        <f t="shared" si="120"/>
        <v>0</v>
      </c>
      <c r="O931" s="128">
        <f t="shared" si="111"/>
        <v>152</v>
      </c>
      <c r="P931" s="8">
        <f t="shared" si="114"/>
        <v>329171</v>
      </c>
      <c r="Q931" s="8">
        <v>329171</v>
      </c>
      <c r="R931" s="128">
        <f t="shared" si="122"/>
        <v>0</v>
      </c>
      <c r="AQ931" s="8"/>
      <c r="AR931" s="8"/>
      <c r="AS931" s="8"/>
    </row>
    <row r="932" spans="1:45">
      <c r="A932" s="12">
        <v>45307</v>
      </c>
      <c r="B932" s="8">
        <f t="shared" si="112"/>
        <v>603758</v>
      </c>
      <c r="C932" s="8">
        <v>604008</v>
      </c>
      <c r="D932" s="128">
        <f t="shared" si="123"/>
        <v>250</v>
      </c>
      <c r="E932" s="8">
        <f t="shared" si="113"/>
        <v>202877</v>
      </c>
      <c r="F932" s="8">
        <v>203129</v>
      </c>
      <c r="G932" s="137">
        <f t="shared" si="117"/>
        <v>252</v>
      </c>
      <c r="H932" s="128">
        <f t="shared" si="119"/>
        <v>502</v>
      </c>
      <c r="I932" s="8">
        <f t="shared" si="115"/>
        <v>774835</v>
      </c>
      <c r="J932" s="8">
        <v>775014</v>
      </c>
      <c r="K932" s="137">
        <f t="shared" si="118"/>
        <v>179</v>
      </c>
      <c r="L932" s="8">
        <f t="shared" si="116"/>
        <v>4930</v>
      </c>
      <c r="M932" s="8">
        <v>4930</v>
      </c>
      <c r="N932" s="137">
        <f t="shared" si="120"/>
        <v>0</v>
      </c>
      <c r="O932" s="128">
        <f t="shared" si="111"/>
        <v>179</v>
      </c>
      <c r="P932" s="8">
        <f t="shared" si="114"/>
        <v>329171</v>
      </c>
      <c r="Q932" s="8">
        <v>329171</v>
      </c>
      <c r="R932" s="128">
        <f t="shared" si="122"/>
        <v>0</v>
      </c>
      <c r="AQ932" s="8"/>
      <c r="AR932" s="8"/>
      <c r="AS932" s="8"/>
    </row>
    <row r="933" spans="1:45">
      <c r="A933" s="12">
        <v>45308</v>
      </c>
      <c r="B933" s="8">
        <f t="shared" si="112"/>
        <v>604008</v>
      </c>
      <c r="C933" s="8">
        <v>604296</v>
      </c>
      <c r="D933" s="128">
        <f t="shared" si="123"/>
        <v>288</v>
      </c>
      <c r="E933" s="8">
        <f t="shared" si="113"/>
        <v>203129</v>
      </c>
      <c r="F933" s="8">
        <v>203464</v>
      </c>
      <c r="G933" s="137">
        <f t="shared" si="117"/>
        <v>335</v>
      </c>
      <c r="H933" s="128">
        <f t="shared" si="119"/>
        <v>623</v>
      </c>
      <c r="I933" s="8">
        <f t="shared" si="115"/>
        <v>775014</v>
      </c>
      <c r="J933" s="8">
        <v>775217</v>
      </c>
      <c r="K933" s="137">
        <f t="shared" si="118"/>
        <v>203</v>
      </c>
      <c r="L933" s="8">
        <f t="shared" si="116"/>
        <v>4930</v>
      </c>
      <c r="M933" s="8">
        <v>4930</v>
      </c>
      <c r="N933" s="137">
        <f t="shared" si="120"/>
        <v>0</v>
      </c>
      <c r="O933" s="128">
        <f t="shared" si="111"/>
        <v>203</v>
      </c>
      <c r="P933" s="8">
        <f t="shared" si="114"/>
        <v>329171</v>
      </c>
      <c r="Q933" s="8">
        <v>329171</v>
      </c>
      <c r="R933" s="128">
        <f t="shared" si="122"/>
        <v>0</v>
      </c>
      <c r="AQ933" s="8"/>
      <c r="AR933" s="8"/>
      <c r="AS933" s="8"/>
    </row>
    <row r="934" spans="1:45">
      <c r="A934" s="12">
        <v>45309</v>
      </c>
      <c r="B934" s="8">
        <f t="shared" si="112"/>
        <v>604296</v>
      </c>
      <c r="C934" s="8">
        <v>604562</v>
      </c>
      <c r="D934" s="128">
        <f t="shared" si="123"/>
        <v>266</v>
      </c>
      <c r="E934" s="8">
        <f t="shared" si="113"/>
        <v>203464</v>
      </c>
      <c r="F934" s="8">
        <v>203731</v>
      </c>
      <c r="G934" s="137">
        <f t="shared" si="117"/>
        <v>267</v>
      </c>
      <c r="H934" s="128">
        <f t="shared" si="119"/>
        <v>533</v>
      </c>
      <c r="I934" s="8">
        <f t="shared" si="115"/>
        <v>775217</v>
      </c>
      <c r="J934" s="8">
        <v>775357</v>
      </c>
      <c r="K934" s="137">
        <f t="shared" si="118"/>
        <v>140</v>
      </c>
      <c r="L934" s="8">
        <f t="shared" si="116"/>
        <v>4930</v>
      </c>
      <c r="M934" s="8">
        <v>4930</v>
      </c>
      <c r="N934" s="137">
        <f t="shared" si="120"/>
        <v>0</v>
      </c>
      <c r="O934" s="128">
        <f t="shared" si="111"/>
        <v>140</v>
      </c>
      <c r="P934" s="8">
        <f t="shared" si="114"/>
        <v>329171</v>
      </c>
      <c r="Q934" s="8">
        <v>329171</v>
      </c>
      <c r="R934" s="128">
        <f t="shared" si="122"/>
        <v>0</v>
      </c>
      <c r="AQ934" s="8"/>
      <c r="AR934" s="8"/>
      <c r="AS934" s="8"/>
    </row>
    <row r="935" spans="1:45">
      <c r="A935" s="12">
        <v>45310</v>
      </c>
      <c r="B935" s="8">
        <f t="shared" si="112"/>
        <v>604562</v>
      </c>
      <c r="C935" s="8">
        <v>604893</v>
      </c>
      <c r="D935" s="128">
        <f t="shared" si="123"/>
        <v>331</v>
      </c>
      <c r="E935" s="8">
        <f t="shared" si="113"/>
        <v>203731</v>
      </c>
      <c r="F935" s="8">
        <v>204070</v>
      </c>
      <c r="G935" s="137">
        <f t="shared" si="117"/>
        <v>339</v>
      </c>
      <c r="H935" s="128">
        <f t="shared" si="119"/>
        <v>670</v>
      </c>
      <c r="I935" s="8">
        <f t="shared" si="115"/>
        <v>775357</v>
      </c>
      <c r="J935" s="8">
        <v>775537</v>
      </c>
      <c r="K935" s="137">
        <f t="shared" si="118"/>
        <v>180</v>
      </c>
      <c r="L935" s="8">
        <f t="shared" si="116"/>
        <v>4930</v>
      </c>
      <c r="M935" s="8">
        <v>4930</v>
      </c>
      <c r="N935" s="137">
        <f t="shared" si="120"/>
        <v>0</v>
      </c>
      <c r="O935" s="128">
        <f t="shared" si="111"/>
        <v>180</v>
      </c>
      <c r="P935" s="8">
        <f t="shared" si="114"/>
        <v>329171</v>
      </c>
      <c r="Q935" s="8">
        <v>329171</v>
      </c>
      <c r="R935" s="128">
        <f t="shared" si="122"/>
        <v>0</v>
      </c>
      <c r="AQ935" s="8"/>
      <c r="AR935" s="8"/>
      <c r="AS935" s="8"/>
    </row>
    <row r="936" spans="1:45">
      <c r="A936" s="12">
        <v>45311</v>
      </c>
      <c r="B936" s="8">
        <f t="shared" si="112"/>
        <v>604893</v>
      </c>
      <c r="C936" s="8">
        <v>605155</v>
      </c>
      <c r="D936" s="128">
        <f t="shared" si="123"/>
        <v>262</v>
      </c>
      <c r="E936" s="8">
        <f t="shared" si="113"/>
        <v>204070</v>
      </c>
      <c r="F936" s="8">
        <v>204340</v>
      </c>
      <c r="G936" s="137">
        <f t="shared" si="117"/>
        <v>270</v>
      </c>
      <c r="H936" s="128">
        <f t="shared" si="119"/>
        <v>532</v>
      </c>
      <c r="I936" s="8">
        <f t="shared" si="115"/>
        <v>775537</v>
      </c>
      <c r="J936" s="8">
        <v>775682</v>
      </c>
      <c r="K936" s="137">
        <f t="shared" si="118"/>
        <v>145</v>
      </c>
      <c r="L936" s="8">
        <f t="shared" si="116"/>
        <v>4930</v>
      </c>
      <c r="M936" s="8">
        <v>4930</v>
      </c>
      <c r="N936" s="137">
        <f t="shared" si="120"/>
        <v>0</v>
      </c>
      <c r="O936" s="128">
        <f t="shared" ref="O936:O999" si="124">N936+K936</f>
        <v>145</v>
      </c>
      <c r="P936" s="8">
        <f t="shared" si="114"/>
        <v>329171</v>
      </c>
      <c r="Q936" s="8">
        <v>329171</v>
      </c>
      <c r="R936" s="128">
        <f t="shared" si="122"/>
        <v>0</v>
      </c>
      <c r="AQ936" s="8"/>
      <c r="AR936" s="8"/>
      <c r="AS936" s="8"/>
    </row>
    <row r="937" spans="1:45">
      <c r="A937" s="12">
        <v>45312</v>
      </c>
      <c r="B937" s="8">
        <f t="shared" si="112"/>
        <v>605155</v>
      </c>
      <c r="C937" s="8">
        <v>605438</v>
      </c>
      <c r="D937" s="128">
        <f t="shared" si="123"/>
        <v>283</v>
      </c>
      <c r="E937" s="8">
        <f t="shared" si="113"/>
        <v>204340</v>
      </c>
      <c r="F937" s="8">
        <v>204561</v>
      </c>
      <c r="G937" s="137">
        <f t="shared" si="117"/>
        <v>221</v>
      </c>
      <c r="H937" s="128">
        <f t="shared" si="119"/>
        <v>504</v>
      </c>
      <c r="I937" s="8">
        <f t="shared" si="115"/>
        <v>775682</v>
      </c>
      <c r="J937" s="8">
        <v>775837</v>
      </c>
      <c r="K937" s="137">
        <f t="shared" si="118"/>
        <v>155</v>
      </c>
      <c r="L937" s="8">
        <f t="shared" si="116"/>
        <v>4930</v>
      </c>
      <c r="M937" s="8">
        <v>4930</v>
      </c>
      <c r="N937" s="137">
        <f t="shared" si="120"/>
        <v>0</v>
      </c>
      <c r="O937" s="128">
        <f t="shared" si="124"/>
        <v>155</v>
      </c>
      <c r="P937" s="8">
        <f t="shared" si="114"/>
        <v>329171</v>
      </c>
      <c r="Q937" s="8">
        <v>330001</v>
      </c>
      <c r="R937" s="128">
        <f t="shared" si="122"/>
        <v>830</v>
      </c>
      <c r="AQ937" s="8"/>
      <c r="AR937" s="8"/>
      <c r="AS937" s="8"/>
    </row>
    <row r="938" spans="1:45">
      <c r="A938" s="12">
        <v>45313</v>
      </c>
      <c r="B938" s="8">
        <f t="shared" ref="B938:B1001" si="125">C937</f>
        <v>605438</v>
      </c>
      <c r="C938" s="8">
        <v>605680</v>
      </c>
      <c r="D938" s="128">
        <f t="shared" si="123"/>
        <v>242</v>
      </c>
      <c r="E938" s="8">
        <f t="shared" ref="E938:E1001" si="126">F937</f>
        <v>204561</v>
      </c>
      <c r="F938" s="8">
        <v>204832</v>
      </c>
      <c r="G938" s="137">
        <f t="shared" si="117"/>
        <v>271</v>
      </c>
      <c r="H938" s="128">
        <f t="shared" si="119"/>
        <v>513</v>
      </c>
      <c r="I938" s="8">
        <f t="shared" si="115"/>
        <v>775837</v>
      </c>
      <c r="J938" s="8">
        <v>775990</v>
      </c>
      <c r="K938" s="137">
        <f t="shared" si="118"/>
        <v>153</v>
      </c>
      <c r="L938" s="8">
        <f t="shared" si="116"/>
        <v>4930</v>
      </c>
      <c r="M938" s="8">
        <v>4930</v>
      </c>
      <c r="N938" s="137">
        <v>0</v>
      </c>
      <c r="O938" s="128">
        <f t="shared" si="124"/>
        <v>153</v>
      </c>
      <c r="P938" s="8">
        <f t="shared" ref="P938:P1001" si="127">Q937</f>
        <v>330001</v>
      </c>
      <c r="Q938" s="8">
        <v>330476</v>
      </c>
      <c r="R938" s="128">
        <f t="shared" si="122"/>
        <v>475</v>
      </c>
      <c r="AQ938" s="8"/>
      <c r="AR938" s="8"/>
      <c r="AS938" s="8"/>
    </row>
    <row r="939" spans="1:45">
      <c r="A939" s="12">
        <v>45314</v>
      </c>
      <c r="B939" s="8">
        <f t="shared" si="125"/>
        <v>605680</v>
      </c>
      <c r="C939" s="8">
        <v>605963</v>
      </c>
      <c r="D939" s="128">
        <f t="shared" si="123"/>
        <v>283</v>
      </c>
      <c r="E939" s="8">
        <f t="shared" si="126"/>
        <v>204832</v>
      </c>
      <c r="F939" s="8">
        <v>205156</v>
      </c>
      <c r="G939" s="137">
        <f t="shared" si="117"/>
        <v>324</v>
      </c>
      <c r="H939" s="128">
        <f t="shared" si="119"/>
        <v>607</v>
      </c>
      <c r="I939" s="8">
        <f t="shared" si="115"/>
        <v>775990</v>
      </c>
      <c r="J939" s="8">
        <v>776210</v>
      </c>
      <c r="K939" s="137">
        <f t="shared" si="118"/>
        <v>220</v>
      </c>
      <c r="L939" s="8">
        <f t="shared" si="116"/>
        <v>4930</v>
      </c>
      <c r="M939" s="8">
        <v>4930</v>
      </c>
      <c r="N939" s="137">
        <f t="shared" si="120"/>
        <v>0</v>
      </c>
      <c r="O939" s="128">
        <f t="shared" si="124"/>
        <v>220</v>
      </c>
      <c r="P939" s="8">
        <f t="shared" si="127"/>
        <v>330476</v>
      </c>
      <c r="Q939" s="8">
        <v>330476</v>
      </c>
      <c r="R939" s="128">
        <f t="shared" si="122"/>
        <v>0</v>
      </c>
      <c r="AQ939" s="8"/>
      <c r="AR939" s="8"/>
      <c r="AS939" s="8"/>
    </row>
    <row r="940" spans="1:45">
      <c r="A940" s="12">
        <v>45315</v>
      </c>
      <c r="B940" s="8">
        <f t="shared" si="125"/>
        <v>605963</v>
      </c>
      <c r="C940" s="8">
        <v>606256</v>
      </c>
      <c r="D940" s="128">
        <f t="shared" si="123"/>
        <v>293</v>
      </c>
      <c r="E940" s="8">
        <f t="shared" si="126"/>
        <v>205156</v>
      </c>
      <c r="F940" s="8">
        <v>205475</v>
      </c>
      <c r="G940" s="137">
        <f t="shared" si="117"/>
        <v>319</v>
      </c>
      <c r="H940" s="128">
        <f t="shared" si="119"/>
        <v>612</v>
      </c>
      <c r="I940" s="8">
        <f t="shared" si="115"/>
        <v>776210</v>
      </c>
      <c r="J940" s="8">
        <v>776386</v>
      </c>
      <c r="K940" s="137">
        <f t="shared" si="118"/>
        <v>176</v>
      </c>
      <c r="L940" s="8">
        <f t="shared" si="116"/>
        <v>4930</v>
      </c>
      <c r="M940" s="8">
        <v>4930</v>
      </c>
      <c r="N940" s="137">
        <f t="shared" si="120"/>
        <v>0</v>
      </c>
      <c r="O940" s="128">
        <f t="shared" si="124"/>
        <v>176</v>
      </c>
      <c r="P940" s="8">
        <f t="shared" si="127"/>
        <v>330476</v>
      </c>
      <c r="Q940" s="8">
        <v>330476</v>
      </c>
      <c r="R940" s="128">
        <f t="shared" si="122"/>
        <v>0</v>
      </c>
      <c r="AQ940" s="8"/>
      <c r="AR940" s="8"/>
      <c r="AS940" s="8"/>
    </row>
    <row r="941" spans="1:45">
      <c r="A941" s="12">
        <v>45316</v>
      </c>
      <c r="B941" s="8">
        <f t="shared" si="125"/>
        <v>606256</v>
      </c>
      <c r="C941" s="8">
        <v>606546</v>
      </c>
      <c r="D941" s="128">
        <f t="shared" si="123"/>
        <v>290</v>
      </c>
      <c r="E941" s="8">
        <f t="shared" si="126"/>
        <v>205475</v>
      </c>
      <c r="F941" s="8">
        <v>205768</v>
      </c>
      <c r="G941" s="137">
        <f t="shared" si="117"/>
        <v>293</v>
      </c>
      <c r="H941" s="128">
        <f t="shared" si="119"/>
        <v>583</v>
      </c>
      <c r="I941" s="8">
        <f t="shared" si="115"/>
        <v>776386</v>
      </c>
      <c r="J941" s="8">
        <v>776598</v>
      </c>
      <c r="K941" s="137">
        <f t="shared" si="118"/>
        <v>212</v>
      </c>
      <c r="L941" s="8">
        <f t="shared" si="116"/>
        <v>4930</v>
      </c>
      <c r="M941" s="8">
        <v>4930</v>
      </c>
      <c r="N941" s="137">
        <f t="shared" si="120"/>
        <v>0</v>
      </c>
      <c r="O941" s="128">
        <f t="shared" si="124"/>
        <v>212</v>
      </c>
      <c r="P941" s="8">
        <f t="shared" si="127"/>
        <v>330476</v>
      </c>
      <c r="Q941" s="8">
        <v>330476</v>
      </c>
      <c r="R941" s="128">
        <f t="shared" si="122"/>
        <v>0</v>
      </c>
      <c r="AQ941" s="8"/>
      <c r="AR941" s="8"/>
      <c r="AS941" s="8"/>
    </row>
    <row r="942" spans="1:45">
      <c r="A942" s="12">
        <v>45317</v>
      </c>
      <c r="B942" s="8">
        <f t="shared" si="125"/>
        <v>606546</v>
      </c>
      <c r="C942" s="8">
        <v>606842</v>
      </c>
      <c r="D942" s="128">
        <f t="shared" si="123"/>
        <v>296</v>
      </c>
      <c r="E942" s="8">
        <f t="shared" si="126"/>
        <v>205768</v>
      </c>
      <c r="F942" s="8">
        <v>206095</v>
      </c>
      <c r="G942" s="137">
        <f t="shared" si="117"/>
        <v>327</v>
      </c>
      <c r="H942" s="128">
        <f t="shared" si="119"/>
        <v>623</v>
      </c>
      <c r="I942" s="8">
        <f t="shared" ref="I942:I1005" si="128">J941</f>
        <v>776598</v>
      </c>
      <c r="J942" s="8">
        <v>776771</v>
      </c>
      <c r="K942" s="137">
        <f t="shared" si="118"/>
        <v>173</v>
      </c>
      <c r="L942" s="8">
        <f t="shared" ref="L942:L1005" si="129">M941</f>
        <v>4930</v>
      </c>
      <c r="M942" s="8">
        <v>4930</v>
      </c>
      <c r="N942" s="137">
        <f t="shared" si="120"/>
        <v>0</v>
      </c>
      <c r="O942" s="128">
        <f t="shared" si="124"/>
        <v>173</v>
      </c>
      <c r="P942" s="8">
        <f t="shared" si="127"/>
        <v>330476</v>
      </c>
      <c r="Q942" s="8">
        <v>330476</v>
      </c>
      <c r="R942" s="128">
        <f t="shared" si="122"/>
        <v>0</v>
      </c>
      <c r="AQ942" s="8"/>
      <c r="AR942" s="8"/>
      <c r="AS942" s="8"/>
    </row>
    <row r="943" spans="1:45">
      <c r="A943" s="12">
        <v>45318</v>
      </c>
      <c r="B943" s="8">
        <f t="shared" si="125"/>
        <v>606842</v>
      </c>
      <c r="C943" s="8">
        <v>607195</v>
      </c>
      <c r="D943" s="128">
        <f t="shared" si="123"/>
        <v>353</v>
      </c>
      <c r="E943" s="8">
        <f t="shared" si="126"/>
        <v>206095</v>
      </c>
      <c r="F943" s="8">
        <v>206448</v>
      </c>
      <c r="G943" s="137">
        <f t="shared" si="117"/>
        <v>353</v>
      </c>
      <c r="H943" s="128">
        <f t="shared" si="119"/>
        <v>706</v>
      </c>
      <c r="I943" s="8">
        <f t="shared" si="128"/>
        <v>776771</v>
      </c>
      <c r="J943" s="8">
        <v>776960</v>
      </c>
      <c r="K943" s="137">
        <f t="shared" si="118"/>
        <v>189</v>
      </c>
      <c r="L943" s="8">
        <f t="shared" si="129"/>
        <v>4930</v>
      </c>
      <c r="M943" s="8">
        <v>4930</v>
      </c>
      <c r="N943" s="137">
        <f t="shared" si="120"/>
        <v>0</v>
      </c>
      <c r="O943" s="128">
        <f t="shared" si="124"/>
        <v>189</v>
      </c>
      <c r="P943" s="8">
        <f t="shared" si="127"/>
        <v>330476</v>
      </c>
      <c r="Q943" s="8">
        <v>330476</v>
      </c>
      <c r="R943" s="128">
        <f t="shared" si="122"/>
        <v>0</v>
      </c>
      <c r="AQ943" s="8"/>
      <c r="AR943" s="8"/>
      <c r="AS943" s="8"/>
    </row>
    <row r="944" spans="1:45">
      <c r="A944" s="12">
        <v>45319</v>
      </c>
      <c r="B944" s="8">
        <f t="shared" si="125"/>
        <v>607195</v>
      </c>
      <c r="C944" s="8">
        <v>607453</v>
      </c>
      <c r="D944" s="128">
        <f t="shared" si="123"/>
        <v>258</v>
      </c>
      <c r="E944" s="8">
        <f t="shared" si="126"/>
        <v>206448</v>
      </c>
      <c r="F944" s="8">
        <v>206733</v>
      </c>
      <c r="G944" s="137">
        <f t="shared" si="117"/>
        <v>285</v>
      </c>
      <c r="H944" s="128">
        <f t="shared" si="119"/>
        <v>543</v>
      </c>
      <c r="I944" s="8">
        <f t="shared" si="128"/>
        <v>776960</v>
      </c>
      <c r="J944" s="8">
        <v>777139</v>
      </c>
      <c r="K944" s="137">
        <f t="shared" si="118"/>
        <v>179</v>
      </c>
      <c r="L944" s="8">
        <f t="shared" si="129"/>
        <v>4930</v>
      </c>
      <c r="M944" s="8">
        <v>4930</v>
      </c>
      <c r="N944" s="137">
        <f t="shared" si="120"/>
        <v>0</v>
      </c>
      <c r="O944" s="128">
        <f t="shared" si="124"/>
        <v>179</v>
      </c>
      <c r="P944" s="8">
        <f t="shared" si="127"/>
        <v>330476</v>
      </c>
      <c r="Q944" s="8">
        <v>330476</v>
      </c>
      <c r="R944" s="128">
        <f t="shared" si="122"/>
        <v>0</v>
      </c>
      <c r="AQ944" s="8"/>
      <c r="AR944" s="8"/>
      <c r="AS944" s="8"/>
    </row>
    <row r="945" spans="1:45">
      <c r="A945" s="12">
        <v>45320</v>
      </c>
      <c r="B945" s="8">
        <f t="shared" si="125"/>
        <v>607453</v>
      </c>
      <c r="C945" s="8">
        <v>607745</v>
      </c>
      <c r="D945" s="128">
        <f t="shared" si="123"/>
        <v>292</v>
      </c>
      <c r="E945" s="8">
        <f t="shared" si="126"/>
        <v>206733</v>
      </c>
      <c r="F945" s="8">
        <v>207072</v>
      </c>
      <c r="G945" s="137">
        <f t="shared" si="117"/>
        <v>339</v>
      </c>
      <c r="H945" s="128">
        <f t="shared" si="119"/>
        <v>631</v>
      </c>
      <c r="I945" s="8">
        <f t="shared" si="128"/>
        <v>777139</v>
      </c>
      <c r="J945" s="8">
        <v>777345</v>
      </c>
      <c r="K945" s="137">
        <f t="shared" si="118"/>
        <v>206</v>
      </c>
      <c r="L945" s="8">
        <f t="shared" si="129"/>
        <v>4930</v>
      </c>
      <c r="M945" s="8">
        <v>4930</v>
      </c>
      <c r="N945" s="137">
        <f t="shared" si="120"/>
        <v>0</v>
      </c>
      <c r="O945" s="128">
        <f t="shared" si="124"/>
        <v>206</v>
      </c>
      <c r="P945" s="8">
        <f t="shared" si="127"/>
        <v>330476</v>
      </c>
      <c r="Q945" s="8">
        <v>330476</v>
      </c>
      <c r="R945" s="128">
        <f t="shared" si="122"/>
        <v>0</v>
      </c>
      <c r="AQ945" s="8"/>
      <c r="AR945" s="8"/>
      <c r="AS945" s="8"/>
    </row>
    <row r="946" spans="1:45">
      <c r="A946" s="12">
        <v>45321</v>
      </c>
      <c r="B946" s="8">
        <f t="shared" si="125"/>
        <v>607745</v>
      </c>
      <c r="C946" s="8">
        <v>608050</v>
      </c>
      <c r="D946" s="128">
        <f t="shared" si="123"/>
        <v>305</v>
      </c>
      <c r="E946" s="8">
        <f t="shared" si="126"/>
        <v>207072</v>
      </c>
      <c r="F946" s="8">
        <v>207355</v>
      </c>
      <c r="G946" s="137">
        <f t="shared" si="117"/>
        <v>283</v>
      </c>
      <c r="H946" s="128">
        <f t="shared" si="119"/>
        <v>588</v>
      </c>
      <c r="I946" s="8">
        <f t="shared" si="128"/>
        <v>777345</v>
      </c>
      <c r="J946" s="8">
        <v>777527</v>
      </c>
      <c r="K946" s="137">
        <f t="shared" si="118"/>
        <v>182</v>
      </c>
      <c r="L946" s="8">
        <f t="shared" si="129"/>
        <v>4930</v>
      </c>
      <c r="M946" s="8">
        <v>4930</v>
      </c>
      <c r="N946" s="137">
        <f t="shared" si="120"/>
        <v>0</v>
      </c>
      <c r="O946" s="128">
        <f t="shared" si="124"/>
        <v>182</v>
      </c>
      <c r="P946" s="8">
        <f t="shared" si="127"/>
        <v>330476</v>
      </c>
      <c r="Q946" s="8">
        <v>330476</v>
      </c>
      <c r="R946" s="128">
        <f t="shared" si="122"/>
        <v>0</v>
      </c>
      <c r="AQ946" s="8"/>
      <c r="AR946" s="8"/>
      <c r="AS946" s="8"/>
    </row>
    <row r="947" spans="1:45">
      <c r="A947" s="12">
        <v>45322</v>
      </c>
      <c r="B947" s="8">
        <f t="shared" si="125"/>
        <v>608050</v>
      </c>
      <c r="C947" s="8">
        <v>608274</v>
      </c>
      <c r="D947" s="128">
        <f t="shared" si="123"/>
        <v>224</v>
      </c>
      <c r="E947" s="8">
        <f t="shared" si="126"/>
        <v>207355</v>
      </c>
      <c r="F947" s="8">
        <v>207649</v>
      </c>
      <c r="G947" s="137">
        <f t="shared" ref="G947:G1010" si="130">F947-E947</f>
        <v>294</v>
      </c>
      <c r="H947" s="128">
        <f t="shared" si="119"/>
        <v>518</v>
      </c>
      <c r="I947" s="8">
        <f t="shared" si="128"/>
        <v>777527</v>
      </c>
      <c r="J947" s="8">
        <v>777731</v>
      </c>
      <c r="K947" s="137">
        <f t="shared" si="118"/>
        <v>204</v>
      </c>
      <c r="L947" s="8">
        <f t="shared" si="129"/>
        <v>4930</v>
      </c>
      <c r="M947" s="8">
        <v>4930</v>
      </c>
      <c r="N947" s="137">
        <f t="shared" si="120"/>
        <v>0</v>
      </c>
      <c r="O947" s="128">
        <f t="shared" si="124"/>
        <v>204</v>
      </c>
      <c r="P947" s="8">
        <f t="shared" si="127"/>
        <v>330476</v>
      </c>
      <c r="Q947" s="8">
        <v>330476</v>
      </c>
      <c r="R947" s="128">
        <f t="shared" si="122"/>
        <v>0</v>
      </c>
      <c r="AQ947" s="8"/>
      <c r="AR947" s="8"/>
      <c r="AS947" s="8"/>
    </row>
    <row r="948" spans="1:45">
      <c r="A948" s="12">
        <v>45323</v>
      </c>
      <c r="B948" s="8">
        <f t="shared" si="125"/>
        <v>608274</v>
      </c>
      <c r="C948" s="8">
        <v>608566</v>
      </c>
      <c r="D948" s="128">
        <f t="shared" si="123"/>
        <v>292</v>
      </c>
      <c r="E948" s="8">
        <f t="shared" si="126"/>
        <v>207649</v>
      </c>
      <c r="F948" s="8">
        <v>207983</v>
      </c>
      <c r="G948" s="137">
        <f t="shared" si="130"/>
        <v>334</v>
      </c>
      <c r="H948" s="128">
        <f t="shared" si="119"/>
        <v>626</v>
      </c>
      <c r="I948" s="8">
        <f t="shared" si="128"/>
        <v>777731</v>
      </c>
      <c r="J948" s="8">
        <v>777934</v>
      </c>
      <c r="K948" s="137">
        <f t="shared" si="118"/>
        <v>203</v>
      </c>
      <c r="L948" s="8">
        <f t="shared" si="129"/>
        <v>4930</v>
      </c>
      <c r="M948" s="8">
        <v>4930</v>
      </c>
      <c r="N948" s="137">
        <f t="shared" si="120"/>
        <v>0</v>
      </c>
      <c r="O948" s="128">
        <f t="shared" si="124"/>
        <v>203</v>
      </c>
      <c r="P948" s="8">
        <f t="shared" si="127"/>
        <v>330476</v>
      </c>
      <c r="Q948" s="8">
        <v>330476</v>
      </c>
      <c r="R948" s="128">
        <f t="shared" si="122"/>
        <v>0</v>
      </c>
      <c r="AQ948" s="8"/>
      <c r="AR948" s="8"/>
      <c r="AS948" s="8"/>
    </row>
    <row r="949" spans="1:45">
      <c r="A949" s="12">
        <v>45324</v>
      </c>
      <c r="B949" s="8">
        <f t="shared" si="125"/>
        <v>608566</v>
      </c>
      <c r="C949" s="8">
        <v>608928</v>
      </c>
      <c r="D949" s="128">
        <f t="shared" si="123"/>
        <v>362</v>
      </c>
      <c r="E949" s="8">
        <f t="shared" si="126"/>
        <v>207983</v>
      </c>
      <c r="F949" s="8">
        <v>208356</v>
      </c>
      <c r="G949" s="137">
        <f t="shared" si="130"/>
        <v>373</v>
      </c>
      <c r="H949" s="128">
        <f t="shared" si="119"/>
        <v>735</v>
      </c>
      <c r="I949" s="8">
        <f t="shared" si="128"/>
        <v>777934</v>
      </c>
      <c r="J949" s="8">
        <v>778074</v>
      </c>
      <c r="K949" s="137">
        <f t="shared" si="118"/>
        <v>140</v>
      </c>
      <c r="L949" s="8">
        <f t="shared" si="129"/>
        <v>4930</v>
      </c>
      <c r="M949" s="8">
        <v>4930</v>
      </c>
      <c r="N949" s="137">
        <f t="shared" si="120"/>
        <v>0</v>
      </c>
      <c r="O949" s="128">
        <f t="shared" si="124"/>
        <v>140</v>
      </c>
      <c r="P949" s="8">
        <f t="shared" si="127"/>
        <v>330476</v>
      </c>
      <c r="Q949" s="8">
        <v>330476</v>
      </c>
      <c r="R949" s="128">
        <f t="shared" si="122"/>
        <v>0</v>
      </c>
      <c r="AQ949" s="8"/>
      <c r="AR949" s="8"/>
      <c r="AS949" s="8"/>
    </row>
    <row r="950" spans="1:45">
      <c r="A950" s="12">
        <v>45325</v>
      </c>
      <c r="B950" s="8">
        <f t="shared" si="125"/>
        <v>608928</v>
      </c>
      <c r="C950" s="8">
        <v>609250</v>
      </c>
      <c r="D950" s="128">
        <f t="shared" si="123"/>
        <v>322</v>
      </c>
      <c r="E950" s="8">
        <f t="shared" si="126"/>
        <v>208356</v>
      </c>
      <c r="F950" s="8">
        <v>208698</v>
      </c>
      <c r="G950" s="137">
        <f t="shared" si="130"/>
        <v>342</v>
      </c>
      <c r="H950" s="128">
        <f t="shared" si="119"/>
        <v>664</v>
      </c>
      <c r="I950" s="8">
        <f t="shared" si="128"/>
        <v>778074</v>
      </c>
      <c r="J950" s="8">
        <v>778323</v>
      </c>
      <c r="K950" s="137">
        <f t="shared" ref="K950:K1013" si="131">J950-I950</f>
        <v>249</v>
      </c>
      <c r="L950" s="8">
        <f t="shared" si="129"/>
        <v>4930</v>
      </c>
      <c r="M950" s="8">
        <v>4930</v>
      </c>
      <c r="N950" s="137">
        <f t="shared" si="120"/>
        <v>0</v>
      </c>
      <c r="O950" s="128">
        <f t="shared" si="124"/>
        <v>249</v>
      </c>
      <c r="P950" s="8">
        <f t="shared" si="127"/>
        <v>330476</v>
      </c>
      <c r="Q950" s="8">
        <v>330476</v>
      </c>
      <c r="R950" s="128">
        <f t="shared" si="122"/>
        <v>0</v>
      </c>
      <c r="AQ950" s="8"/>
      <c r="AR950" s="8"/>
      <c r="AS950" s="8"/>
    </row>
    <row r="951" spans="1:45">
      <c r="A951" s="12">
        <v>45326</v>
      </c>
      <c r="B951" s="8">
        <f t="shared" si="125"/>
        <v>609250</v>
      </c>
      <c r="C951" s="8">
        <v>609537</v>
      </c>
      <c r="D951" s="128">
        <f t="shared" si="123"/>
        <v>287</v>
      </c>
      <c r="E951" s="8">
        <f t="shared" si="126"/>
        <v>208698</v>
      </c>
      <c r="F951" s="8">
        <v>209003</v>
      </c>
      <c r="G951" s="137">
        <f t="shared" si="130"/>
        <v>305</v>
      </c>
      <c r="H951" s="128">
        <f t="shared" si="119"/>
        <v>592</v>
      </c>
      <c r="I951" s="8">
        <f t="shared" si="128"/>
        <v>778323</v>
      </c>
      <c r="J951" s="8">
        <v>778493</v>
      </c>
      <c r="K951" s="137">
        <f t="shared" si="131"/>
        <v>170</v>
      </c>
      <c r="L951" s="8">
        <f t="shared" si="129"/>
        <v>4930</v>
      </c>
      <c r="M951" s="8">
        <v>4930</v>
      </c>
      <c r="N951" s="137">
        <f t="shared" si="120"/>
        <v>0</v>
      </c>
      <c r="O951" s="128">
        <f t="shared" si="124"/>
        <v>170</v>
      </c>
      <c r="P951" s="8">
        <f t="shared" si="127"/>
        <v>330476</v>
      </c>
      <c r="Q951" s="8">
        <v>330476</v>
      </c>
      <c r="R951" s="128">
        <f t="shared" si="122"/>
        <v>0</v>
      </c>
      <c r="AQ951" s="8"/>
      <c r="AR951" s="8"/>
      <c r="AS951" s="8"/>
    </row>
    <row r="952" spans="1:45">
      <c r="A952" s="12">
        <v>45327</v>
      </c>
      <c r="B952" s="8">
        <f t="shared" si="125"/>
        <v>609537</v>
      </c>
      <c r="C952" s="8">
        <v>609864</v>
      </c>
      <c r="D952" s="128">
        <f t="shared" si="123"/>
        <v>327</v>
      </c>
      <c r="E952" s="8">
        <f t="shared" si="126"/>
        <v>209003</v>
      </c>
      <c r="F952" s="8">
        <v>209305</v>
      </c>
      <c r="G952" s="137">
        <f t="shared" si="130"/>
        <v>302</v>
      </c>
      <c r="H952" s="128">
        <f t="shared" si="119"/>
        <v>629</v>
      </c>
      <c r="I952" s="8">
        <f t="shared" si="128"/>
        <v>778493</v>
      </c>
      <c r="J952" s="8">
        <v>778690</v>
      </c>
      <c r="K952" s="137">
        <f t="shared" si="131"/>
        <v>197</v>
      </c>
      <c r="L952" s="8">
        <f t="shared" si="129"/>
        <v>4930</v>
      </c>
      <c r="M952" s="8">
        <v>4930</v>
      </c>
      <c r="N952" s="137">
        <f t="shared" si="120"/>
        <v>0</v>
      </c>
      <c r="O952" s="128">
        <f t="shared" si="124"/>
        <v>197</v>
      </c>
      <c r="P952" s="8">
        <f t="shared" si="127"/>
        <v>330476</v>
      </c>
      <c r="Q952" s="8">
        <v>330476</v>
      </c>
      <c r="R952" s="128">
        <f t="shared" si="122"/>
        <v>0</v>
      </c>
      <c r="AQ952" s="8"/>
      <c r="AR952" s="8"/>
      <c r="AS952" s="8"/>
    </row>
    <row r="953" spans="1:45">
      <c r="A953" s="12">
        <v>45328</v>
      </c>
      <c r="B953" s="8">
        <f t="shared" si="125"/>
        <v>609864</v>
      </c>
      <c r="C953" s="8">
        <v>610152</v>
      </c>
      <c r="D953" s="128">
        <f t="shared" si="123"/>
        <v>288</v>
      </c>
      <c r="E953" s="8">
        <f t="shared" si="126"/>
        <v>209305</v>
      </c>
      <c r="F953" s="8">
        <v>209606</v>
      </c>
      <c r="G953" s="137">
        <f t="shared" si="130"/>
        <v>301</v>
      </c>
      <c r="H953" s="128">
        <f t="shared" si="119"/>
        <v>589</v>
      </c>
      <c r="I953" s="8">
        <f t="shared" si="128"/>
        <v>778690</v>
      </c>
      <c r="J953" s="8">
        <v>778877</v>
      </c>
      <c r="K953" s="137">
        <f t="shared" si="131"/>
        <v>187</v>
      </c>
      <c r="L953" s="8">
        <f t="shared" si="129"/>
        <v>4930</v>
      </c>
      <c r="M953" s="8">
        <v>4930</v>
      </c>
      <c r="N953" s="137">
        <f t="shared" si="120"/>
        <v>0</v>
      </c>
      <c r="O953" s="128">
        <f t="shared" si="124"/>
        <v>187</v>
      </c>
      <c r="P953" s="8">
        <f t="shared" si="127"/>
        <v>330476</v>
      </c>
      <c r="Q953" s="8">
        <v>330476</v>
      </c>
      <c r="R953" s="128">
        <f t="shared" si="122"/>
        <v>0</v>
      </c>
      <c r="AQ953" s="8"/>
      <c r="AR953" s="8"/>
      <c r="AS953" s="8"/>
    </row>
    <row r="954" spans="1:45">
      <c r="A954" s="12">
        <v>45329</v>
      </c>
      <c r="B954" s="8">
        <f t="shared" si="125"/>
        <v>610152</v>
      </c>
      <c r="C954" s="8">
        <v>610445</v>
      </c>
      <c r="D954" s="128">
        <f t="shared" si="123"/>
        <v>293</v>
      </c>
      <c r="E954" s="8">
        <f t="shared" si="126"/>
        <v>209606</v>
      </c>
      <c r="F954" s="8">
        <v>209949</v>
      </c>
      <c r="G954" s="137">
        <f t="shared" si="130"/>
        <v>343</v>
      </c>
      <c r="H954" s="128">
        <f t="shared" si="119"/>
        <v>636</v>
      </c>
      <c r="I954" s="8">
        <f t="shared" si="128"/>
        <v>778877</v>
      </c>
      <c r="J954" s="8">
        <v>779067</v>
      </c>
      <c r="K954" s="137">
        <f t="shared" si="131"/>
        <v>190</v>
      </c>
      <c r="L954" s="8">
        <f t="shared" si="129"/>
        <v>4930</v>
      </c>
      <c r="M954" s="8">
        <v>4930</v>
      </c>
      <c r="N954" s="137">
        <f t="shared" si="120"/>
        <v>0</v>
      </c>
      <c r="O954" s="128">
        <f t="shared" si="124"/>
        <v>190</v>
      </c>
      <c r="P954" s="8">
        <f t="shared" si="127"/>
        <v>330476</v>
      </c>
      <c r="Q954" s="8">
        <v>330476</v>
      </c>
      <c r="R954" s="128">
        <f t="shared" si="122"/>
        <v>0</v>
      </c>
      <c r="AQ954" s="8"/>
      <c r="AR954" s="8"/>
      <c r="AS954" s="8"/>
    </row>
    <row r="955" spans="1:45">
      <c r="A955" s="12">
        <v>45330</v>
      </c>
      <c r="B955" s="8">
        <f t="shared" si="125"/>
        <v>610445</v>
      </c>
      <c r="C955" s="8">
        <v>610740</v>
      </c>
      <c r="D955" s="128">
        <f t="shared" si="123"/>
        <v>295</v>
      </c>
      <c r="E955" s="8">
        <f t="shared" si="126"/>
        <v>209949</v>
      </c>
      <c r="F955" s="8">
        <v>210228</v>
      </c>
      <c r="G955" s="137">
        <f t="shared" si="130"/>
        <v>279</v>
      </c>
      <c r="H955" s="128">
        <f t="shared" si="119"/>
        <v>574</v>
      </c>
      <c r="I955" s="8">
        <f t="shared" si="128"/>
        <v>779067</v>
      </c>
      <c r="J955" s="8">
        <v>779249</v>
      </c>
      <c r="K955" s="137">
        <f t="shared" si="131"/>
        <v>182</v>
      </c>
      <c r="L955" s="8">
        <f t="shared" si="129"/>
        <v>4930</v>
      </c>
      <c r="M955" s="8">
        <v>4930</v>
      </c>
      <c r="N955" s="137">
        <f t="shared" si="120"/>
        <v>0</v>
      </c>
      <c r="O955" s="128">
        <f t="shared" si="124"/>
        <v>182</v>
      </c>
      <c r="P955" s="8">
        <f t="shared" si="127"/>
        <v>330476</v>
      </c>
      <c r="Q955" s="8">
        <v>330476</v>
      </c>
      <c r="R955" s="128">
        <f t="shared" si="122"/>
        <v>0</v>
      </c>
      <c r="AQ955" s="8"/>
      <c r="AR955" s="8"/>
      <c r="AS955" s="8"/>
    </row>
    <row r="956" spans="1:45">
      <c r="A956" s="12">
        <v>45331</v>
      </c>
      <c r="B956" s="8">
        <f t="shared" si="125"/>
        <v>610740</v>
      </c>
      <c r="C956" s="8">
        <v>611010</v>
      </c>
      <c r="D956" s="128">
        <f t="shared" si="123"/>
        <v>270</v>
      </c>
      <c r="E956" s="8">
        <f t="shared" si="126"/>
        <v>210228</v>
      </c>
      <c r="F956" s="8">
        <v>210574</v>
      </c>
      <c r="G956" s="137">
        <f t="shared" si="130"/>
        <v>346</v>
      </c>
      <c r="H956" s="128">
        <f t="shared" si="119"/>
        <v>616</v>
      </c>
      <c r="I956" s="8">
        <f t="shared" si="128"/>
        <v>779249</v>
      </c>
      <c r="J956" s="8">
        <v>779387</v>
      </c>
      <c r="K956" s="137">
        <f t="shared" si="131"/>
        <v>138</v>
      </c>
      <c r="L956" s="8">
        <f t="shared" si="129"/>
        <v>4930</v>
      </c>
      <c r="M956" s="8">
        <v>4930</v>
      </c>
      <c r="N956" s="137">
        <f t="shared" si="120"/>
        <v>0</v>
      </c>
      <c r="O956" s="128">
        <f t="shared" si="124"/>
        <v>138</v>
      </c>
      <c r="P956" s="8">
        <f t="shared" si="127"/>
        <v>330476</v>
      </c>
      <c r="Q956" s="8">
        <v>330476</v>
      </c>
      <c r="R956" s="128">
        <f t="shared" si="122"/>
        <v>0</v>
      </c>
      <c r="AQ956" s="8"/>
      <c r="AR956" s="8"/>
      <c r="AS956" s="8"/>
    </row>
    <row r="957" spans="1:45">
      <c r="A957" s="12">
        <v>45332</v>
      </c>
      <c r="B957" s="8">
        <f t="shared" si="125"/>
        <v>611010</v>
      </c>
      <c r="C957" s="8">
        <v>611291</v>
      </c>
      <c r="D957" s="128">
        <f t="shared" si="123"/>
        <v>281</v>
      </c>
      <c r="E957" s="8">
        <f t="shared" si="126"/>
        <v>210574</v>
      </c>
      <c r="F957" s="8">
        <v>210823</v>
      </c>
      <c r="G957" s="137">
        <f t="shared" si="130"/>
        <v>249</v>
      </c>
      <c r="H957" s="128">
        <f t="shared" si="119"/>
        <v>530</v>
      </c>
      <c r="I957" s="8">
        <f t="shared" si="128"/>
        <v>779387</v>
      </c>
      <c r="J957" s="8">
        <v>779613</v>
      </c>
      <c r="K957" s="137">
        <f t="shared" si="131"/>
        <v>226</v>
      </c>
      <c r="L957" s="8">
        <f t="shared" si="129"/>
        <v>4930</v>
      </c>
      <c r="M957" s="8">
        <v>4930</v>
      </c>
      <c r="N957" s="137">
        <f t="shared" si="120"/>
        <v>0</v>
      </c>
      <c r="O957" s="128">
        <f t="shared" si="124"/>
        <v>226</v>
      </c>
      <c r="P957" s="8">
        <f t="shared" si="127"/>
        <v>330476</v>
      </c>
      <c r="Q957" s="8">
        <v>330476</v>
      </c>
      <c r="R957" s="128">
        <f t="shared" si="122"/>
        <v>0</v>
      </c>
      <c r="AQ957" s="8"/>
      <c r="AR957" s="8"/>
      <c r="AS957" s="8"/>
    </row>
    <row r="958" spans="1:45">
      <c r="A958" s="12">
        <v>45333</v>
      </c>
      <c r="B958" s="8">
        <f t="shared" si="125"/>
        <v>611291</v>
      </c>
      <c r="C958" s="8">
        <v>611586</v>
      </c>
      <c r="D958" s="128">
        <f t="shared" si="123"/>
        <v>295</v>
      </c>
      <c r="E958" s="8">
        <f t="shared" si="126"/>
        <v>210823</v>
      </c>
      <c r="F958" s="8">
        <v>211097</v>
      </c>
      <c r="G958" s="137">
        <f t="shared" si="130"/>
        <v>274</v>
      </c>
      <c r="H958" s="128">
        <f t="shared" si="119"/>
        <v>569</v>
      </c>
      <c r="I958" s="8">
        <f t="shared" si="128"/>
        <v>779613</v>
      </c>
      <c r="J958" s="8">
        <v>779861</v>
      </c>
      <c r="K958" s="137">
        <f t="shared" si="131"/>
        <v>248</v>
      </c>
      <c r="L958" s="8">
        <f t="shared" si="129"/>
        <v>4930</v>
      </c>
      <c r="M958" s="8">
        <v>4930</v>
      </c>
      <c r="N958" s="137">
        <f t="shared" si="120"/>
        <v>0</v>
      </c>
      <c r="O958" s="128">
        <f t="shared" si="124"/>
        <v>248</v>
      </c>
      <c r="P958" s="8">
        <f t="shared" si="127"/>
        <v>330476</v>
      </c>
      <c r="Q958" s="8">
        <v>330476</v>
      </c>
      <c r="R958" s="128">
        <f t="shared" si="122"/>
        <v>0</v>
      </c>
      <c r="AQ958" s="8"/>
      <c r="AR958" s="8"/>
      <c r="AS958" s="8"/>
    </row>
    <row r="959" spans="1:45">
      <c r="A959" s="12">
        <v>45334</v>
      </c>
      <c r="B959" s="8">
        <f t="shared" si="125"/>
        <v>611586</v>
      </c>
      <c r="C959" s="8">
        <v>611870</v>
      </c>
      <c r="D959" s="128">
        <f t="shared" si="123"/>
        <v>284</v>
      </c>
      <c r="E959" s="8">
        <f t="shared" si="126"/>
        <v>211097</v>
      </c>
      <c r="F959" s="8">
        <v>211352</v>
      </c>
      <c r="G959" s="137">
        <f t="shared" si="130"/>
        <v>255</v>
      </c>
      <c r="H959" s="128">
        <f t="shared" si="119"/>
        <v>539</v>
      </c>
      <c r="I959" s="8">
        <f t="shared" si="128"/>
        <v>779861</v>
      </c>
      <c r="J959" s="8">
        <v>780009</v>
      </c>
      <c r="K959" s="137">
        <f t="shared" si="131"/>
        <v>148</v>
      </c>
      <c r="L959" s="8">
        <f t="shared" si="129"/>
        <v>4930</v>
      </c>
      <c r="M959" s="8">
        <v>4930</v>
      </c>
      <c r="N959" s="137">
        <f t="shared" si="120"/>
        <v>0</v>
      </c>
      <c r="O959" s="128">
        <f t="shared" si="124"/>
        <v>148</v>
      </c>
      <c r="P959" s="8">
        <f t="shared" si="127"/>
        <v>330476</v>
      </c>
      <c r="Q959" s="8">
        <v>331280</v>
      </c>
      <c r="R959" s="128">
        <f t="shared" si="122"/>
        <v>804</v>
      </c>
      <c r="AQ959" s="8"/>
      <c r="AR959" s="8"/>
      <c r="AS959" s="8"/>
    </row>
    <row r="960" spans="1:45">
      <c r="A960" s="12">
        <v>45335</v>
      </c>
      <c r="B960" s="8">
        <f t="shared" si="125"/>
        <v>611870</v>
      </c>
      <c r="C960" s="8">
        <v>612186</v>
      </c>
      <c r="D960" s="128">
        <f t="shared" si="123"/>
        <v>316</v>
      </c>
      <c r="E960" s="8">
        <f t="shared" si="126"/>
        <v>211352</v>
      </c>
      <c r="F960" s="8">
        <v>211631</v>
      </c>
      <c r="G960" s="137">
        <f t="shared" si="130"/>
        <v>279</v>
      </c>
      <c r="H960" s="128">
        <f t="shared" si="119"/>
        <v>595</v>
      </c>
      <c r="I960" s="8">
        <f t="shared" si="128"/>
        <v>780009</v>
      </c>
      <c r="J960" s="8">
        <v>780170</v>
      </c>
      <c r="K960" s="137">
        <f t="shared" si="131"/>
        <v>161</v>
      </c>
      <c r="L960" s="8">
        <f t="shared" si="129"/>
        <v>4930</v>
      </c>
      <c r="M960" s="8">
        <v>4930</v>
      </c>
      <c r="N960" s="137">
        <f t="shared" si="120"/>
        <v>0</v>
      </c>
      <c r="O960" s="128">
        <f t="shared" si="124"/>
        <v>161</v>
      </c>
      <c r="P960" s="8">
        <f t="shared" si="127"/>
        <v>331280</v>
      </c>
      <c r="Q960" s="8">
        <v>331964</v>
      </c>
      <c r="R960" s="128">
        <f t="shared" si="122"/>
        <v>684</v>
      </c>
      <c r="AQ960" s="8"/>
      <c r="AR960" s="8"/>
      <c r="AS960" s="8"/>
    </row>
    <row r="961" spans="1:45">
      <c r="A961" s="12">
        <v>45336</v>
      </c>
      <c r="B961" s="8">
        <f t="shared" si="125"/>
        <v>612186</v>
      </c>
      <c r="C961" s="8">
        <v>612460</v>
      </c>
      <c r="D961" s="128">
        <f t="shared" si="123"/>
        <v>274</v>
      </c>
      <c r="E961" s="8">
        <f t="shared" si="126"/>
        <v>211631</v>
      </c>
      <c r="F961" s="8">
        <v>211742</v>
      </c>
      <c r="G961" s="137">
        <f t="shared" si="130"/>
        <v>111</v>
      </c>
      <c r="H961" s="128">
        <f t="shared" ref="H961:H1024" si="132">D961+G961</f>
        <v>385</v>
      </c>
      <c r="I961" s="8">
        <f t="shared" si="128"/>
        <v>780170</v>
      </c>
      <c r="J961" s="8">
        <v>780364</v>
      </c>
      <c r="K961" s="137">
        <f t="shared" si="131"/>
        <v>194</v>
      </c>
      <c r="L961" s="8">
        <f t="shared" si="129"/>
        <v>4930</v>
      </c>
      <c r="M961" s="8">
        <v>4930</v>
      </c>
      <c r="N961" s="137">
        <f t="shared" si="120"/>
        <v>0</v>
      </c>
      <c r="O961" s="128">
        <f t="shared" si="124"/>
        <v>194</v>
      </c>
      <c r="P961" s="8">
        <f t="shared" si="127"/>
        <v>331964</v>
      </c>
      <c r="Q961" s="8">
        <v>332586</v>
      </c>
      <c r="R961" s="128">
        <f t="shared" si="122"/>
        <v>622</v>
      </c>
      <c r="AQ961" s="8"/>
      <c r="AR961" s="8"/>
      <c r="AS961" s="8"/>
    </row>
    <row r="962" spans="1:45">
      <c r="A962" s="12">
        <v>45337</v>
      </c>
      <c r="B962" s="8">
        <f t="shared" si="125"/>
        <v>612460</v>
      </c>
      <c r="C962" s="8">
        <v>612817</v>
      </c>
      <c r="D962" s="128">
        <f t="shared" si="123"/>
        <v>357</v>
      </c>
      <c r="E962" s="8">
        <f t="shared" si="126"/>
        <v>211742</v>
      </c>
      <c r="F962" s="8">
        <v>212177</v>
      </c>
      <c r="G962" s="137">
        <f t="shared" si="130"/>
        <v>435</v>
      </c>
      <c r="H962" s="128">
        <f t="shared" si="132"/>
        <v>792</v>
      </c>
      <c r="I962" s="8">
        <f t="shared" si="128"/>
        <v>780364</v>
      </c>
      <c r="J962" s="8">
        <v>780472</v>
      </c>
      <c r="K962" s="137">
        <f t="shared" si="131"/>
        <v>108</v>
      </c>
      <c r="L962" s="8">
        <f t="shared" si="129"/>
        <v>4930</v>
      </c>
      <c r="M962" s="8">
        <v>4930</v>
      </c>
      <c r="N962" s="137">
        <f t="shared" si="120"/>
        <v>0</v>
      </c>
      <c r="O962" s="128">
        <f t="shared" si="124"/>
        <v>108</v>
      </c>
      <c r="P962" s="8">
        <f t="shared" si="127"/>
        <v>332586</v>
      </c>
      <c r="Q962" s="8">
        <v>332586</v>
      </c>
      <c r="R962" s="128">
        <f t="shared" si="122"/>
        <v>0</v>
      </c>
      <c r="AQ962" s="8"/>
      <c r="AR962" s="8"/>
      <c r="AS962" s="8"/>
    </row>
    <row r="963" spans="1:45">
      <c r="A963" s="12">
        <v>45338</v>
      </c>
      <c r="B963" s="8">
        <f t="shared" si="125"/>
        <v>612817</v>
      </c>
      <c r="C963" s="8">
        <v>613145</v>
      </c>
      <c r="D963" s="128">
        <f t="shared" si="123"/>
        <v>328</v>
      </c>
      <c r="E963" s="8">
        <f t="shared" si="126"/>
        <v>212177</v>
      </c>
      <c r="F963" s="8">
        <v>212521</v>
      </c>
      <c r="G963" s="137">
        <f t="shared" si="130"/>
        <v>344</v>
      </c>
      <c r="H963" s="128">
        <f t="shared" si="132"/>
        <v>672</v>
      </c>
      <c r="I963" s="8">
        <f t="shared" si="128"/>
        <v>780472</v>
      </c>
      <c r="J963" s="8">
        <v>780653</v>
      </c>
      <c r="K963" s="137">
        <f t="shared" si="131"/>
        <v>181</v>
      </c>
      <c r="L963" s="8">
        <f t="shared" si="129"/>
        <v>4930</v>
      </c>
      <c r="M963" s="8">
        <v>4930</v>
      </c>
      <c r="N963" s="137">
        <f t="shared" si="120"/>
        <v>0</v>
      </c>
      <c r="O963" s="128">
        <f t="shared" si="124"/>
        <v>181</v>
      </c>
      <c r="P963" s="8">
        <f t="shared" si="127"/>
        <v>332586</v>
      </c>
      <c r="Q963" s="8">
        <v>332586</v>
      </c>
      <c r="R963" s="128">
        <f t="shared" si="122"/>
        <v>0</v>
      </c>
      <c r="AQ963" s="8"/>
      <c r="AR963" s="8"/>
      <c r="AS963" s="8"/>
    </row>
    <row r="964" spans="1:45">
      <c r="A964" s="12">
        <v>45339</v>
      </c>
      <c r="B964" s="8">
        <f t="shared" si="125"/>
        <v>613145</v>
      </c>
      <c r="C964" s="8">
        <v>613416</v>
      </c>
      <c r="D964" s="128">
        <f t="shared" si="123"/>
        <v>271</v>
      </c>
      <c r="E964" s="8">
        <f t="shared" si="126"/>
        <v>212521</v>
      </c>
      <c r="F964" s="8">
        <v>212833</v>
      </c>
      <c r="G964" s="137">
        <f t="shared" si="130"/>
        <v>312</v>
      </c>
      <c r="H964" s="128">
        <f t="shared" si="132"/>
        <v>583</v>
      </c>
      <c r="I964" s="8">
        <f t="shared" si="128"/>
        <v>780653</v>
      </c>
      <c r="J964" s="8">
        <v>780847</v>
      </c>
      <c r="K964" s="137">
        <f t="shared" si="131"/>
        <v>194</v>
      </c>
      <c r="L964" s="8">
        <f t="shared" si="129"/>
        <v>4930</v>
      </c>
      <c r="M964" s="8">
        <v>4930</v>
      </c>
      <c r="N964" s="137">
        <f t="shared" si="120"/>
        <v>0</v>
      </c>
      <c r="O964" s="128">
        <f t="shared" si="124"/>
        <v>194</v>
      </c>
      <c r="P964" s="8">
        <f t="shared" si="127"/>
        <v>332586</v>
      </c>
      <c r="Q964" s="8">
        <v>332586</v>
      </c>
      <c r="R964" s="128">
        <f t="shared" si="122"/>
        <v>0</v>
      </c>
      <c r="AQ964" s="8"/>
      <c r="AR964" s="8"/>
      <c r="AS964" s="8"/>
    </row>
    <row r="965" spans="1:45">
      <c r="A965" s="12">
        <v>45340</v>
      </c>
      <c r="B965" s="8">
        <f t="shared" si="125"/>
        <v>613416</v>
      </c>
      <c r="C965" s="8">
        <v>613811</v>
      </c>
      <c r="D965" s="128">
        <f t="shared" si="123"/>
        <v>395</v>
      </c>
      <c r="E965" s="8">
        <f t="shared" si="126"/>
        <v>212833</v>
      </c>
      <c r="F965" s="8">
        <v>213072</v>
      </c>
      <c r="G965" s="137">
        <f t="shared" si="130"/>
        <v>239</v>
      </c>
      <c r="H965" s="128">
        <f t="shared" si="132"/>
        <v>634</v>
      </c>
      <c r="I965" s="8">
        <f t="shared" si="128"/>
        <v>780847</v>
      </c>
      <c r="J965" s="8">
        <v>781035</v>
      </c>
      <c r="K965" s="137">
        <f t="shared" si="131"/>
        <v>188</v>
      </c>
      <c r="L965" s="8">
        <f t="shared" si="129"/>
        <v>4930</v>
      </c>
      <c r="M965" s="8">
        <v>4930</v>
      </c>
      <c r="N965" s="137">
        <f t="shared" si="120"/>
        <v>0</v>
      </c>
      <c r="O965" s="128">
        <f t="shared" si="124"/>
        <v>188</v>
      </c>
      <c r="P965" s="8">
        <f t="shared" si="127"/>
        <v>332586</v>
      </c>
      <c r="Q965" s="8">
        <v>332586</v>
      </c>
      <c r="R965" s="128">
        <f t="shared" si="122"/>
        <v>0</v>
      </c>
      <c r="AQ965" s="8"/>
      <c r="AR965" s="8"/>
      <c r="AS965" s="8"/>
    </row>
    <row r="966" spans="1:45">
      <c r="A966" s="12">
        <v>45341</v>
      </c>
      <c r="B966" s="8">
        <f t="shared" si="125"/>
        <v>613811</v>
      </c>
      <c r="C966" s="8">
        <v>614137</v>
      </c>
      <c r="D966" s="128">
        <f t="shared" si="123"/>
        <v>326</v>
      </c>
      <c r="E966" s="8">
        <f t="shared" si="126"/>
        <v>213072</v>
      </c>
      <c r="F966" s="8">
        <v>213374</v>
      </c>
      <c r="G966" s="137">
        <f t="shared" si="130"/>
        <v>302</v>
      </c>
      <c r="H966" s="128">
        <f t="shared" si="132"/>
        <v>628</v>
      </c>
      <c r="I966" s="8">
        <f t="shared" si="128"/>
        <v>781035</v>
      </c>
      <c r="J966" s="8">
        <v>781205</v>
      </c>
      <c r="K966" s="137">
        <f t="shared" si="131"/>
        <v>170</v>
      </c>
      <c r="L966" s="8">
        <f t="shared" si="129"/>
        <v>4930</v>
      </c>
      <c r="M966" s="8">
        <v>4930</v>
      </c>
      <c r="N966" s="137">
        <f t="shared" si="120"/>
        <v>0</v>
      </c>
      <c r="O966" s="128">
        <f t="shared" si="124"/>
        <v>170</v>
      </c>
      <c r="P966" s="8">
        <f t="shared" si="127"/>
        <v>332586</v>
      </c>
      <c r="Q966" s="8">
        <v>332586</v>
      </c>
      <c r="R966" s="128">
        <f t="shared" si="122"/>
        <v>0</v>
      </c>
      <c r="AQ966" s="8"/>
      <c r="AR966" s="8"/>
      <c r="AS966" s="8"/>
    </row>
    <row r="967" spans="1:45">
      <c r="A967" s="12">
        <v>45342</v>
      </c>
      <c r="B967" s="8">
        <f t="shared" si="125"/>
        <v>614137</v>
      </c>
      <c r="C967" s="8">
        <v>614431</v>
      </c>
      <c r="D967" s="128">
        <f t="shared" si="123"/>
        <v>294</v>
      </c>
      <c r="E967" s="8">
        <f t="shared" si="126"/>
        <v>213374</v>
      </c>
      <c r="F967" s="8">
        <v>213656</v>
      </c>
      <c r="G967" s="137">
        <f t="shared" si="130"/>
        <v>282</v>
      </c>
      <c r="H967" s="128">
        <f t="shared" si="132"/>
        <v>576</v>
      </c>
      <c r="I967" s="8">
        <f t="shared" si="128"/>
        <v>781205</v>
      </c>
      <c r="J967" s="8">
        <v>781392</v>
      </c>
      <c r="K967" s="137">
        <f t="shared" si="131"/>
        <v>187</v>
      </c>
      <c r="L967" s="8">
        <f t="shared" si="129"/>
        <v>4930</v>
      </c>
      <c r="M967" s="8">
        <v>4930</v>
      </c>
      <c r="N967" s="137">
        <f t="shared" si="120"/>
        <v>0</v>
      </c>
      <c r="O967" s="128">
        <f t="shared" si="124"/>
        <v>187</v>
      </c>
      <c r="P967" s="8">
        <f t="shared" si="127"/>
        <v>332586</v>
      </c>
      <c r="Q967" s="8">
        <v>332586</v>
      </c>
      <c r="R967" s="128">
        <f t="shared" si="122"/>
        <v>0</v>
      </c>
      <c r="AQ967" s="8"/>
      <c r="AR967" s="8"/>
      <c r="AS967" s="8"/>
    </row>
    <row r="968" spans="1:45">
      <c r="A968" s="12">
        <v>45343</v>
      </c>
      <c r="B968" s="8">
        <f t="shared" si="125"/>
        <v>614431</v>
      </c>
      <c r="C968" s="8">
        <v>614777</v>
      </c>
      <c r="D968" s="128">
        <f t="shared" si="123"/>
        <v>346</v>
      </c>
      <c r="E968" s="8">
        <f t="shared" si="126"/>
        <v>213656</v>
      </c>
      <c r="F968" s="8">
        <v>214002</v>
      </c>
      <c r="G968" s="137">
        <f t="shared" si="130"/>
        <v>346</v>
      </c>
      <c r="H968" s="128">
        <f t="shared" si="132"/>
        <v>692</v>
      </c>
      <c r="I968" s="8">
        <f t="shared" si="128"/>
        <v>781392</v>
      </c>
      <c r="J968" s="8">
        <v>781615</v>
      </c>
      <c r="K968" s="137">
        <f t="shared" si="131"/>
        <v>223</v>
      </c>
      <c r="L968" s="8">
        <f t="shared" si="129"/>
        <v>4930</v>
      </c>
      <c r="M968" s="8">
        <v>4930</v>
      </c>
      <c r="N968" s="137">
        <f t="shared" si="120"/>
        <v>0</v>
      </c>
      <c r="O968" s="128">
        <f t="shared" si="124"/>
        <v>223</v>
      </c>
      <c r="P968" s="8">
        <f t="shared" si="127"/>
        <v>332586</v>
      </c>
      <c r="Q968" s="8">
        <v>332586</v>
      </c>
      <c r="R968" s="128">
        <f t="shared" si="122"/>
        <v>0</v>
      </c>
      <c r="AQ968" s="8"/>
      <c r="AR968" s="8"/>
      <c r="AS968" s="8"/>
    </row>
    <row r="969" spans="1:45">
      <c r="A969" s="12">
        <v>45344</v>
      </c>
      <c r="B969" s="8">
        <f t="shared" si="125"/>
        <v>614777</v>
      </c>
      <c r="C969" s="8">
        <v>615107</v>
      </c>
      <c r="D969" s="128">
        <f t="shared" si="123"/>
        <v>330</v>
      </c>
      <c r="E969" s="8">
        <f t="shared" si="126"/>
        <v>214002</v>
      </c>
      <c r="F969" s="8">
        <v>214325</v>
      </c>
      <c r="G969" s="137">
        <f t="shared" si="130"/>
        <v>323</v>
      </c>
      <c r="H969" s="128">
        <f t="shared" si="132"/>
        <v>653</v>
      </c>
      <c r="I969" s="8">
        <f t="shared" si="128"/>
        <v>781615</v>
      </c>
      <c r="J969" s="8">
        <v>781806</v>
      </c>
      <c r="K969" s="137">
        <f t="shared" si="131"/>
        <v>191</v>
      </c>
      <c r="L969" s="8">
        <f t="shared" si="129"/>
        <v>4930</v>
      </c>
      <c r="M969" s="8">
        <v>4930</v>
      </c>
      <c r="N969" s="137">
        <f t="shared" si="120"/>
        <v>0</v>
      </c>
      <c r="O969" s="128">
        <f t="shared" si="124"/>
        <v>191</v>
      </c>
      <c r="P969" s="8">
        <f t="shared" si="127"/>
        <v>332586</v>
      </c>
      <c r="Q969" s="8">
        <v>332586</v>
      </c>
      <c r="R969" s="128">
        <f t="shared" si="122"/>
        <v>0</v>
      </c>
      <c r="AQ969" s="8"/>
      <c r="AR969" s="8"/>
      <c r="AS969" s="8"/>
    </row>
    <row r="970" spans="1:45">
      <c r="A970" s="12">
        <v>45345</v>
      </c>
      <c r="B970" s="8">
        <f t="shared" si="125"/>
        <v>615107</v>
      </c>
      <c r="C970" s="8">
        <v>615422</v>
      </c>
      <c r="D970" s="128">
        <f t="shared" si="123"/>
        <v>315</v>
      </c>
      <c r="E970" s="8">
        <f t="shared" si="126"/>
        <v>214325</v>
      </c>
      <c r="F970" s="8">
        <v>214602</v>
      </c>
      <c r="G970" s="137">
        <f t="shared" si="130"/>
        <v>277</v>
      </c>
      <c r="H970" s="128">
        <f t="shared" si="132"/>
        <v>592</v>
      </c>
      <c r="I970" s="8">
        <f t="shared" si="128"/>
        <v>781806</v>
      </c>
      <c r="J970" s="8">
        <v>782005</v>
      </c>
      <c r="K970" s="137">
        <f t="shared" si="131"/>
        <v>199</v>
      </c>
      <c r="L970" s="8">
        <f t="shared" si="129"/>
        <v>4930</v>
      </c>
      <c r="M970" s="8">
        <v>4930</v>
      </c>
      <c r="N970" s="137">
        <f t="shared" si="120"/>
        <v>0</v>
      </c>
      <c r="O970" s="128">
        <f t="shared" si="124"/>
        <v>199</v>
      </c>
      <c r="P970" s="8">
        <f t="shared" si="127"/>
        <v>332586</v>
      </c>
      <c r="Q970" s="8">
        <v>332586</v>
      </c>
      <c r="R970" s="128">
        <f t="shared" si="122"/>
        <v>0</v>
      </c>
      <c r="AQ970" s="8"/>
      <c r="AR970" s="8"/>
      <c r="AS970" s="8"/>
    </row>
    <row r="971" spans="1:45">
      <c r="A971" s="12">
        <v>45346</v>
      </c>
      <c r="B971" s="8">
        <f t="shared" si="125"/>
        <v>615422</v>
      </c>
      <c r="C971" s="8">
        <v>615728</v>
      </c>
      <c r="D971" s="128">
        <f t="shared" si="123"/>
        <v>306</v>
      </c>
      <c r="E971" s="8">
        <f t="shared" si="126"/>
        <v>214602</v>
      </c>
      <c r="F971" s="8">
        <v>214768</v>
      </c>
      <c r="G971" s="137">
        <f t="shared" si="130"/>
        <v>166</v>
      </c>
      <c r="H971" s="128">
        <f t="shared" si="132"/>
        <v>472</v>
      </c>
      <c r="I971" s="8">
        <f t="shared" si="128"/>
        <v>782005</v>
      </c>
      <c r="J971" s="8">
        <v>782163</v>
      </c>
      <c r="K971" s="137">
        <f t="shared" si="131"/>
        <v>158</v>
      </c>
      <c r="L971" s="8">
        <f t="shared" si="129"/>
        <v>4930</v>
      </c>
      <c r="M971" s="8">
        <v>4930</v>
      </c>
      <c r="N971" s="137">
        <f t="shared" ref="N971:N1034" si="133">M971-L971</f>
        <v>0</v>
      </c>
      <c r="O971" s="128">
        <f t="shared" si="124"/>
        <v>158</v>
      </c>
      <c r="P971" s="8">
        <f t="shared" si="127"/>
        <v>332586</v>
      </c>
      <c r="Q971" s="8">
        <v>332586</v>
      </c>
      <c r="R971" s="128">
        <f t="shared" si="122"/>
        <v>0</v>
      </c>
      <c r="AQ971" s="8"/>
      <c r="AR971" s="8"/>
      <c r="AS971" s="8"/>
    </row>
    <row r="972" spans="1:45">
      <c r="A972" s="12">
        <v>45347</v>
      </c>
      <c r="B972" s="8">
        <f t="shared" si="125"/>
        <v>615728</v>
      </c>
      <c r="C972" s="8">
        <v>616020</v>
      </c>
      <c r="D972" s="128">
        <f t="shared" si="123"/>
        <v>292</v>
      </c>
      <c r="E972" s="8">
        <f t="shared" si="126"/>
        <v>214768</v>
      </c>
      <c r="F972" s="8">
        <v>215063</v>
      </c>
      <c r="G972" s="137">
        <f t="shared" si="130"/>
        <v>295</v>
      </c>
      <c r="H972" s="128">
        <f t="shared" si="132"/>
        <v>587</v>
      </c>
      <c r="I972" s="8">
        <f t="shared" si="128"/>
        <v>782163</v>
      </c>
      <c r="J972" s="8">
        <v>782340</v>
      </c>
      <c r="K972" s="137">
        <f t="shared" si="131"/>
        <v>177</v>
      </c>
      <c r="L972" s="8">
        <f t="shared" si="129"/>
        <v>4930</v>
      </c>
      <c r="M972" s="8">
        <v>4930</v>
      </c>
      <c r="N972" s="137">
        <f t="shared" si="133"/>
        <v>0</v>
      </c>
      <c r="O972" s="128">
        <f t="shared" si="124"/>
        <v>177</v>
      </c>
      <c r="P972" s="8">
        <f t="shared" si="127"/>
        <v>332586</v>
      </c>
      <c r="Q972" s="8">
        <v>332586</v>
      </c>
      <c r="R972" s="128">
        <f t="shared" si="122"/>
        <v>0</v>
      </c>
      <c r="AQ972" s="8"/>
      <c r="AR972" s="8"/>
      <c r="AS972" s="8"/>
    </row>
    <row r="973" spans="1:45">
      <c r="A973" s="12">
        <v>45348</v>
      </c>
      <c r="B973" s="8">
        <f t="shared" si="125"/>
        <v>616020</v>
      </c>
      <c r="C973" s="8">
        <v>616312</v>
      </c>
      <c r="D973" s="128">
        <f t="shared" si="123"/>
        <v>292</v>
      </c>
      <c r="E973" s="8">
        <f t="shared" si="126"/>
        <v>215063</v>
      </c>
      <c r="F973" s="8">
        <v>215327</v>
      </c>
      <c r="G973" s="137">
        <f t="shared" si="130"/>
        <v>264</v>
      </c>
      <c r="H973" s="128">
        <f t="shared" si="132"/>
        <v>556</v>
      </c>
      <c r="I973" s="8">
        <f t="shared" si="128"/>
        <v>782340</v>
      </c>
      <c r="J973" s="8">
        <v>782536</v>
      </c>
      <c r="K973" s="137">
        <f t="shared" si="131"/>
        <v>196</v>
      </c>
      <c r="L973" s="8">
        <f t="shared" si="129"/>
        <v>4930</v>
      </c>
      <c r="M973" s="8">
        <v>4930</v>
      </c>
      <c r="N973" s="137">
        <f t="shared" si="133"/>
        <v>0</v>
      </c>
      <c r="O973" s="128">
        <f t="shared" si="124"/>
        <v>196</v>
      </c>
      <c r="P973" s="8">
        <f t="shared" si="127"/>
        <v>332586</v>
      </c>
      <c r="Q973" s="8">
        <v>332586</v>
      </c>
      <c r="R973" s="128">
        <f t="shared" si="122"/>
        <v>0</v>
      </c>
      <c r="AQ973" s="8"/>
      <c r="AR973" s="8"/>
      <c r="AS973" s="8"/>
    </row>
    <row r="974" spans="1:45">
      <c r="A974" s="12">
        <v>45349</v>
      </c>
      <c r="B974" s="8">
        <f t="shared" si="125"/>
        <v>616312</v>
      </c>
      <c r="C974" s="8">
        <v>616582</v>
      </c>
      <c r="D974" s="128">
        <f t="shared" si="123"/>
        <v>270</v>
      </c>
      <c r="E974" s="8">
        <f t="shared" si="126"/>
        <v>215327</v>
      </c>
      <c r="F974" s="8">
        <v>215497</v>
      </c>
      <c r="G974" s="137">
        <f t="shared" si="130"/>
        <v>170</v>
      </c>
      <c r="H974" s="128">
        <f t="shared" si="132"/>
        <v>440</v>
      </c>
      <c r="I974" s="8">
        <f t="shared" si="128"/>
        <v>782536</v>
      </c>
      <c r="J974" s="8">
        <v>782722</v>
      </c>
      <c r="K974" s="137">
        <f t="shared" si="131"/>
        <v>186</v>
      </c>
      <c r="L974" s="8">
        <f t="shared" si="129"/>
        <v>4930</v>
      </c>
      <c r="M974" s="8">
        <v>4930</v>
      </c>
      <c r="N974" s="137">
        <f t="shared" si="133"/>
        <v>0</v>
      </c>
      <c r="O974" s="128">
        <f t="shared" si="124"/>
        <v>186</v>
      </c>
      <c r="P974" s="8">
        <f t="shared" si="127"/>
        <v>332586</v>
      </c>
      <c r="Q974" s="8">
        <v>332586</v>
      </c>
      <c r="R974" s="128">
        <f t="shared" si="122"/>
        <v>0</v>
      </c>
      <c r="AQ974" s="8"/>
      <c r="AR974" s="8"/>
      <c r="AS974" s="8"/>
    </row>
    <row r="975" spans="1:45">
      <c r="A975" s="12">
        <v>45350</v>
      </c>
      <c r="B975" s="8">
        <f t="shared" si="125"/>
        <v>616582</v>
      </c>
      <c r="C975" s="8">
        <v>616804</v>
      </c>
      <c r="D975" s="128">
        <f t="shared" si="123"/>
        <v>222</v>
      </c>
      <c r="E975" s="8">
        <f t="shared" si="126"/>
        <v>215497</v>
      </c>
      <c r="F975" s="8">
        <v>215664</v>
      </c>
      <c r="G975" s="137">
        <f t="shared" si="130"/>
        <v>167</v>
      </c>
      <c r="H975" s="128">
        <f t="shared" si="132"/>
        <v>389</v>
      </c>
      <c r="I975" s="8">
        <f t="shared" si="128"/>
        <v>782722</v>
      </c>
      <c r="J975" s="8">
        <v>782894</v>
      </c>
      <c r="K975" s="137">
        <f t="shared" si="131"/>
        <v>172</v>
      </c>
      <c r="L975" s="8">
        <f t="shared" si="129"/>
        <v>4930</v>
      </c>
      <c r="M975" s="8">
        <v>4930</v>
      </c>
      <c r="N975" s="137">
        <f t="shared" si="133"/>
        <v>0</v>
      </c>
      <c r="O975" s="128">
        <f t="shared" si="124"/>
        <v>172</v>
      </c>
      <c r="P975" s="8">
        <f t="shared" si="127"/>
        <v>332586</v>
      </c>
      <c r="Q975" s="8">
        <v>332586</v>
      </c>
      <c r="R975" s="128">
        <f t="shared" si="122"/>
        <v>0</v>
      </c>
      <c r="AQ975" s="8"/>
      <c r="AR975" s="8"/>
      <c r="AS975" s="8"/>
    </row>
    <row r="976" spans="1:45">
      <c r="A976" s="12">
        <v>45351</v>
      </c>
      <c r="B976" s="8">
        <f t="shared" si="125"/>
        <v>616804</v>
      </c>
      <c r="C976" s="8">
        <v>617018</v>
      </c>
      <c r="D976" s="128">
        <f t="shared" si="123"/>
        <v>214</v>
      </c>
      <c r="E976" s="8">
        <f t="shared" si="126"/>
        <v>215664</v>
      </c>
      <c r="F976" s="8">
        <v>215686</v>
      </c>
      <c r="G976" s="137">
        <f t="shared" si="130"/>
        <v>22</v>
      </c>
      <c r="H976" s="128">
        <f t="shared" si="132"/>
        <v>236</v>
      </c>
      <c r="I976" s="8">
        <f t="shared" si="128"/>
        <v>782894</v>
      </c>
      <c r="J976" s="8">
        <v>783108</v>
      </c>
      <c r="K976" s="137">
        <f t="shared" si="131"/>
        <v>214</v>
      </c>
      <c r="L976" s="8">
        <f t="shared" si="129"/>
        <v>4930</v>
      </c>
      <c r="M976" s="8">
        <v>4930</v>
      </c>
      <c r="N976" s="137">
        <f t="shared" si="133"/>
        <v>0</v>
      </c>
      <c r="O976" s="128">
        <f t="shared" si="124"/>
        <v>214</v>
      </c>
      <c r="P976" s="8">
        <f t="shared" si="127"/>
        <v>332586</v>
      </c>
      <c r="Q976" s="8">
        <v>332762</v>
      </c>
      <c r="R976" s="128">
        <f t="shared" si="122"/>
        <v>176</v>
      </c>
      <c r="AQ976" s="8"/>
      <c r="AR976" s="8"/>
      <c r="AS976" s="8"/>
    </row>
    <row r="977" spans="1:45">
      <c r="A977" s="12">
        <v>45352</v>
      </c>
      <c r="B977" s="8">
        <f t="shared" si="125"/>
        <v>617018</v>
      </c>
      <c r="C977" s="8">
        <v>617255</v>
      </c>
      <c r="D977" s="128">
        <f t="shared" si="123"/>
        <v>237</v>
      </c>
      <c r="E977" s="8">
        <f t="shared" si="126"/>
        <v>215686</v>
      </c>
      <c r="F977" s="8">
        <v>215745</v>
      </c>
      <c r="G977" s="137">
        <f t="shared" si="130"/>
        <v>59</v>
      </c>
      <c r="H977" s="128">
        <f t="shared" si="132"/>
        <v>296</v>
      </c>
      <c r="I977" s="8">
        <f t="shared" si="128"/>
        <v>783108</v>
      </c>
      <c r="J977" s="8">
        <v>783305</v>
      </c>
      <c r="K977" s="137">
        <f t="shared" si="131"/>
        <v>197</v>
      </c>
      <c r="L977" s="8">
        <f t="shared" si="129"/>
        <v>4930</v>
      </c>
      <c r="M977" s="8">
        <v>4930</v>
      </c>
      <c r="N977" s="137">
        <f t="shared" si="133"/>
        <v>0</v>
      </c>
      <c r="O977" s="128">
        <f t="shared" si="124"/>
        <v>197</v>
      </c>
      <c r="P977" s="8">
        <f t="shared" si="127"/>
        <v>332762</v>
      </c>
      <c r="Q977" s="8">
        <v>333722</v>
      </c>
      <c r="R977" s="128">
        <f t="shared" si="122"/>
        <v>960</v>
      </c>
      <c r="AQ977" s="8"/>
      <c r="AR977" s="8"/>
      <c r="AS977" s="8"/>
    </row>
    <row r="978" spans="1:45">
      <c r="A978" s="12">
        <v>45353</v>
      </c>
      <c r="B978" s="8">
        <f t="shared" si="125"/>
        <v>617255</v>
      </c>
      <c r="C978" s="8">
        <v>617634</v>
      </c>
      <c r="D978" s="128">
        <f t="shared" si="123"/>
        <v>379</v>
      </c>
      <c r="E978" s="8">
        <f t="shared" si="126"/>
        <v>215745</v>
      </c>
      <c r="F978" s="8">
        <v>216054</v>
      </c>
      <c r="G978" s="137">
        <f>F978-E978</f>
        <v>309</v>
      </c>
      <c r="H978" s="128">
        <f t="shared" si="132"/>
        <v>688</v>
      </c>
      <c r="I978" s="8">
        <f t="shared" si="128"/>
        <v>783305</v>
      </c>
      <c r="J978" s="8">
        <v>783460</v>
      </c>
      <c r="K978" s="137">
        <f t="shared" si="131"/>
        <v>155</v>
      </c>
      <c r="L978" s="8">
        <f t="shared" si="129"/>
        <v>4930</v>
      </c>
      <c r="M978" s="8">
        <v>4930</v>
      </c>
      <c r="N978" s="137">
        <f t="shared" si="133"/>
        <v>0</v>
      </c>
      <c r="O978" s="128">
        <f t="shared" si="124"/>
        <v>155</v>
      </c>
      <c r="P978" s="8">
        <f t="shared" si="127"/>
        <v>333722</v>
      </c>
      <c r="Q978" s="8">
        <v>333722</v>
      </c>
      <c r="R978" s="128">
        <f t="shared" si="122"/>
        <v>0</v>
      </c>
      <c r="AQ978" s="8"/>
      <c r="AR978" s="8"/>
      <c r="AS978" s="8"/>
    </row>
    <row r="979" spans="1:45">
      <c r="A979" s="12">
        <v>45354</v>
      </c>
      <c r="B979" s="8">
        <f t="shared" si="125"/>
        <v>617634</v>
      </c>
      <c r="C979" s="8">
        <v>617909</v>
      </c>
      <c r="D979" s="128">
        <f t="shared" si="123"/>
        <v>275</v>
      </c>
      <c r="E979" s="8">
        <f>F978</f>
        <v>216054</v>
      </c>
      <c r="F979" s="8">
        <v>216188</v>
      </c>
      <c r="G979" s="137">
        <f t="shared" si="130"/>
        <v>134</v>
      </c>
      <c r="H979" s="128">
        <f t="shared" si="132"/>
        <v>409</v>
      </c>
      <c r="I979" s="8">
        <f t="shared" si="128"/>
        <v>783460</v>
      </c>
      <c r="J979" s="8">
        <v>783658</v>
      </c>
      <c r="K979" s="137">
        <f t="shared" si="131"/>
        <v>198</v>
      </c>
      <c r="L979" s="8">
        <f t="shared" si="129"/>
        <v>4930</v>
      </c>
      <c r="M979" s="8">
        <v>4930</v>
      </c>
      <c r="N979" s="137">
        <f t="shared" si="133"/>
        <v>0</v>
      </c>
      <c r="O979" s="128">
        <f t="shared" si="124"/>
        <v>198</v>
      </c>
      <c r="P979" s="8">
        <f t="shared" si="127"/>
        <v>333722</v>
      </c>
      <c r="Q979" s="8">
        <v>333722</v>
      </c>
      <c r="R979" s="128">
        <f t="shared" si="122"/>
        <v>0</v>
      </c>
      <c r="AQ979" s="8"/>
      <c r="AR979" s="8"/>
      <c r="AS979" s="8"/>
    </row>
    <row r="980" spans="1:45">
      <c r="A980" s="12">
        <v>45355</v>
      </c>
      <c r="B980" s="8">
        <f t="shared" si="125"/>
        <v>617909</v>
      </c>
      <c r="C980" s="8">
        <v>618252</v>
      </c>
      <c r="D980" s="128">
        <f t="shared" si="123"/>
        <v>343</v>
      </c>
      <c r="E980" s="8">
        <f t="shared" si="126"/>
        <v>216188</v>
      </c>
      <c r="F980" s="8">
        <v>216460</v>
      </c>
      <c r="G980" s="137">
        <f>F980-E980</f>
        <v>272</v>
      </c>
      <c r="H980" s="128">
        <f>D980+G980</f>
        <v>615</v>
      </c>
      <c r="I980" s="8">
        <f t="shared" si="128"/>
        <v>783658</v>
      </c>
      <c r="J980" s="8">
        <v>783784</v>
      </c>
      <c r="K980" s="137">
        <f t="shared" si="131"/>
        <v>126</v>
      </c>
      <c r="L980" s="8">
        <f t="shared" si="129"/>
        <v>4930</v>
      </c>
      <c r="M980" s="8">
        <v>4930</v>
      </c>
      <c r="N980" s="137">
        <v>0</v>
      </c>
      <c r="O980" s="128">
        <f t="shared" si="124"/>
        <v>126</v>
      </c>
      <c r="P980" s="8">
        <f t="shared" si="127"/>
        <v>333722</v>
      </c>
      <c r="Q980" s="8">
        <v>334296</v>
      </c>
      <c r="R980" s="128">
        <f t="shared" si="122"/>
        <v>574</v>
      </c>
      <c r="AQ980" s="8"/>
      <c r="AR980" s="8"/>
      <c r="AS980" s="8"/>
    </row>
    <row r="981" spans="1:45">
      <c r="A981" s="12">
        <v>45356</v>
      </c>
      <c r="B981" s="8">
        <f t="shared" si="125"/>
        <v>618252</v>
      </c>
      <c r="C981" s="8">
        <v>618569</v>
      </c>
      <c r="D981" s="128">
        <f t="shared" si="123"/>
        <v>317</v>
      </c>
      <c r="E981" s="8">
        <f>F980</f>
        <v>216460</v>
      </c>
      <c r="F981" s="8">
        <v>216873</v>
      </c>
      <c r="G981" s="137">
        <f t="shared" si="130"/>
        <v>413</v>
      </c>
      <c r="H981" s="128">
        <f t="shared" si="132"/>
        <v>730</v>
      </c>
      <c r="I981" s="8">
        <f t="shared" si="128"/>
        <v>783784</v>
      </c>
      <c r="J981" s="8">
        <v>783918</v>
      </c>
      <c r="K981" s="137">
        <f t="shared" si="131"/>
        <v>134</v>
      </c>
      <c r="L981" s="8">
        <f t="shared" si="129"/>
        <v>4930</v>
      </c>
      <c r="M981" s="8">
        <v>4930</v>
      </c>
      <c r="N981" s="137">
        <f t="shared" si="133"/>
        <v>0</v>
      </c>
      <c r="O981" s="128">
        <f t="shared" si="124"/>
        <v>134</v>
      </c>
      <c r="P981" s="8">
        <f t="shared" si="127"/>
        <v>334296</v>
      </c>
      <c r="Q981" s="8">
        <v>334296</v>
      </c>
      <c r="R981" s="128">
        <f t="shared" si="122"/>
        <v>0</v>
      </c>
      <c r="AQ981" s="8"/>
      <c r="AR981" s="8"/>
      <c r="AS981" s="8"/>
    </row>
    <row r="982" spans="1:45">
      <c r="A982" s="12">
        <v>45357</v>
      </c>
      <c r="B982" s="8">
        <f t="shared" si="125"/>
        <v>618569</v>
      </c>
      <c r="C982" s="8">
        <v>618862</v>
      </c>
      <c r="D982" s="128">
        <f t="shared" si="123"/>
        <v>293</v>
      </c>
      <c r="E982" s="8">
        <f t="shared" si="126"/>
        <v>216873</v>
      </c>
      <c r="F982" s="8">
        <v>217139</v>
      </c>
      <c r="G982" s="137">
        <f t="shared" si="130"/>
        <v>266</v>
      </c>
      <c r="H982" s="128">
        <f t="shared" si="132"/>
        <v>559</v>
      </c>
      <c r="I982" s="8">
        <f t="shared" si="128"/>
        <v>783918</v>
      </c>
      <c r="J982" s="8">
        <v>784127</v>
      </c>
      <c r="K982" s="137">
        <f t="shared" si="131"/>
        <v>209</v>
      </c>
      <c r="L982" s="8">
        <f t="shared" si="129"/>
        <v>4930</v>
      </c>
      <c r="M982" s="8">
        <v>4930</v>
      </c>
      <c r="N982" s="137">
        <f t="shared" si="133"/>
        <v>0</v>
      </c>
      <c r="O982" s="128">
        <f t="shared" si="124"/>
        <v>209</v>
      </c>
      <c r="P982" s="8">
        <f t="shared" si="127"/>
        <v>334296</v>
      </c>
      <c r="Q982" s="8">
        <v>334296</v>
      </c>
      <c r="R982" s="128">
        <f t="shared" ref="R982:R1045" si="134">Q982-P982</f>
        <v>0</v>
      </c>
      <c r="AQ982" s="8"/>
      <c r="AR982" s="8"/>
      <c r="AS982" s="8"/>
    </row>
    <row r="983" spans="1:45">
      <c r="A983" s="12">
        <v>45358</v>
      </c>
      <c r="B983" s="8">
        <f t="shared" si="125"/>
        <v>618862</v>
      </c>
      <c r="C983" s="8">
        <v>619231</v>
      </c>
      <c r="D983" s="128">
        <f t="shared" si="123"/>
        <v>369</v>
      </c>
      <c r="E983" s="8">
        <f t="shared" si="126"/>
        <v>217139</v>
      </c>
      <c r="F983" s="8">
        <v>217444</v>
      </c>
      <c r="G983" s="137">
        <f t="shared" si="130"/>
        <v>305</v>
      </c>
      <c r="H983" s="128">
        <f t="shared" si="132"/>
        <v>674</v>
      </c>
      <c r="I983" s="8">
        <f t="shared" si="128"/>
        <v>784127</v>
      </c>
      <c r="J983" s="8">
        <v>784336</v>
      </c>
      <c r="K983" s="137">
        <f t="shared" si="131"/>
        <v>209</v>
      </c>
      <c r="L983" s="8">
        <f t="shared" si="129"/>
        <v>4930</v>
      </c>
      <c r="M983" s="8">
        <v>4930</v>
      </c>
      <c r="N983" s="137">
        <f t="shared" si="133"/>
        <v>0</v>
      </c>
      <c r="O983" s="128">
        <f t="shared" si="124"/>
        <v>209</v>
      </c>
      <c r="P983" s="8">
        <f t="shared" si="127"/>
        <v>334296</v>
      </c>
      <c r="Q983" s="8">
        <v>334296</v>
      </c>
      <c r="R983" s="128">
        <f t="shared" si="134"/>
        <v>0</v>
      </c>
      <c r="AQ983" s="8"/>
      <c r="AR983" s="8"/>
      <c r="AS983" s="8"/>
    </row>
    <row r="984" spans="1:45">
      <c r="A984" s="12">
        <v>45359</v>
      </c>
      <c r="B984" s="8">
        <f t="shared" si="125"/>
        <v>619231</v>
      </c>
      <c r="C984" s="8">
        <v>619503</v>
      </c>
      <c r="D984" s="128">
        <f t="shared" si="123"/>
        <v>272</v>
      </c>
      <c r="E984" s="8">
        <f t="shared" si="126"/>
        <v>217444</v>
      </c>
      <c r="F984" s="8">
        <v>217799</v>
      </c>
      <c r="G984" s="137">
        <f t="shared" si="130"/>
        <v>355</v>
      </c>
      <c r="H984" s="128">
        <f t="shared" si="132"/>
        <v>627</v>
      </c>
      <c r="I984" s="8">
        <f t="shared" si="128"/>
        <v>784336</v>
      </c>
      <c r="J984" s="8">
        <v>784583</v>
      </c>
      <c r="K984" s="137">
        <f t="shared" si="131"/>
        <v>247</v>
      </c>
      <c r="L984" s="8">
        <f t="shared" si="129"/>
        <v>4930</v>
      </c>
      <c r="M984" s="8">
        <v>4930</v>
      </c>
      <c r="N984" s="137">
        <f t="shared" si="133"/>
        <v>0</v>
      </c>
      <c r="O984" s="128">
        <f t="shared" si="124"/>
        <v>247</v>
      </c>
      <c r="P984" s="8">
        <f t="shared" si="127"/>
        <v>334296</v>
      </c>
      <c r="Q984" s="8">
        <v>334296</v>
      </c>
      <c r="R984" s="128">
        <f t="shared" si="134"/>
        <v>0</v>
      </c>
      <c r="AQ984" s="8"/>
      <c r="AR984" s="8"/>
      <c r="AS984" s="8"/>
    </row>
    <row r="985" spans="1:45">
      <c r="A985" s="12">
        <v>45360</v>
      </c>
      <c r="B985" s="8">
        <f t="shared" si="125"/>
        <v>619503</v>
      </c>
      <c r="C985" s="8">
        <v>619851</v>
      </c>
      <c r="D985" s="128">
        <f t="shared" si="123"/>
        <v>348</v>
      </c>
      <c r="E985" s="8">
        <f t="shared" si="126"/>
        <v>217799</v>
      </c>
      <c r="F985" s="8">
        <v>218171</v>
      </c>
      <c r="G985" s="137">
        <f t="shared" si="130"/>
        <v>372</v>
      </c>
      <c r="H985" s="128">
        <f t="shared" si="132"/>
        <v>720</v>
      </c>
      <c r="I985" s="8">
        <f t="shared" si="128"/>
        <v>784583</v>
      </c>
      <c r="J985" s="8">
        <v>784666</v>
      </c>
      <c r="K985" s="137">
        <f t="shared" si="131"/>
        <v>83</v>
      </c>
      <c r="L985" s="8">
        <f t="shared" si="129"/>
        <v>4930</v>
      </c>
      <c r="M985" s="8">
        <v>4930</v>
      </c>
      <c r="N985" s="137">
        <f t="shared" si="133"/>
        <v>0</v>
      </c>
      <c r="O985" s="128">
        <f t="shared" si="124"/>
        <v>83</v>
      </c>
      <c r="P985" s="8">
        <f t="shared" si="127"/>
        <v>334296</v>
      </c>
      <c r="Q985" s="8">
        <v>334296</v>
      </c>
      <c r="R985" s="128">
        <f t="shared" si="134"/>
        <v>0</v>
      </c>
      <c r="AQ985" s="8"/>
      <c r="AR985" s="8"/>
      <c r="AS985" s="8"/>
    </row>
    <row r="986" spans="1:45">
      <c r="A986" s="12">
        <v>45361</v>
      </c>
      <c r="B986" s="8">
        <f t="shared" si="125"/>
        <v>619851</v>
      </c>
      <c r="C986" s="8">
        <v>620125</v>
      </c>
      <c r="D986" s="128">
        <f t="shared" si="123"/>
        <v>274</v>
      </c>
      <c r="E986" s="8">
        <f t="shared" si="126"/>
        <v>218171</v>
      </c>
      <c r="F986" s="8">
        <v>218467</v>
      </c>
      <c r="G986" s="137">
        <f t="shared" si="130"/>
        <v>296</v>
      </c>
      <c r="H986" s="128">
        <f t="shared" si="132"/>
        <v>570</v>
      </c>
      <c r="I986" s="8">
        <f t="shared" si="128"/>
        <v>784666</v>
      </c>
      <c r="J986" s="8">
        <v>784840</v>
      </c>
      <c r="K986" s="137">
        <f t="shared" si="131"/>
        <v>174</v>
      </c>
      <c r="L986" s="8">
        <f t="shared" si="129"/>
        <v>4930</v>
      </c>
      <c r="M986" s="8">
        <v>4930</v>
      </c>
      <c r="N986" s="137">
        <f t="shared" si="133"/>
        <v>0</v>
      </c>
      <c r="O986" s="128">
        <f t="shared" si="124"/>
        <v>174</v>
      </c>
      <c r="P986" s="8">
        <f t="shared" si="127"/>
        <v>334296</v>
      </c>
      <c r="Q986" s="8">
        <v>334296</v>
      </c>
      <c r="R986" s="128">
        <f t="shared" si="134"/>
        <v>0</v>
      </c>
      <c r="AQ986" s="8"/>
      <c r="AR986" s="8"/>
      <c r="AS986" s="8"/>
    </row>
    <row r="987" spans="1:45">
      <c r="A987" s="12">
        <v>45362</v>
      </c>
      <c r="B987" s="8">
        <f t="shared" si="125"/>
        <v>620125</v>
      </c>
      <c r="C987" s="8">
        <v>620445</v>
      </c>
      <c r="D987" s="128">
        <f t="shared" si="123"/>
        <v>320</v>
      </c>
      <c r="E987" s="8">
        <f t="shared" si="126"/>
        <v>218467</v>
      </c>
      <c r="F987" s="8">
        <v>218806</v>
      </c>
      <c r="G987" s="137">
        <f t="shared" si="130"/>
        <v>339</v>
      </c>
      <c r="H987" s="128">
        <f t="shared" si="132"/>
        <v>659</v>
      </c>
      <c r="I987" s="8">
        <f t="shared" si="128"/>
        <v>784840</v>
      </c>
      <c r="J987" s="8">
        <v>785025</v>
      </c>
      <c r="K987" s="137">
        <f t="shared" si="131"/>
        <v>185</v>
      </c>
      <c r="L987" s="8">
        <f t="shared" si="129"/>
        <v>4930</v>
      </c>
      <c r="M987" s="8">
        <v>4930</v>
      </c>
      <c r="N987" s="137">
        <f>M989-L987</f>
        <v>0</v>
      </c>
      <c r="O987" s="128">
        <f t="shared" si="124"/>
        <v>185</v>
      </c>
      <c r="P987" s="8">
        <f t="shared" si="127"/>
        <v>334296</v>
      </c>
      <c r="Q987" s="8">
        <v>334296</v>
      </c>
      <c r="R987" s="128">
        <f t="shared" si="134"/>
        <v>0</v>
      </c>
      <c r="AQ987" s="8"/>
      <c r="AR987" s="8"/>
      <c r="AS987" s="8"/>
    </row>
    <row r="988" spans="1:45">
      <c r="A988" s="12">
        <v>45363</v>
      </c>
      <c r="B988" s="8">
        <f t="shared" si="125"/>
        <v>620445</v>
      </c>
      <c r="C988" s="8">
        <v>620751</v>
      </c>
      <c r="D988" s="128">
        <f t="shared" si="123"/>
        <v>306</v>
      </c>
      <c r="E988" s="8">
        <f t="shared" si="126"/>
        <v>218806</v>
      </c>
      <c r="F988" s="8">
        <v>219186</v>
      </c>
      <c r="G988" s="137">
        <f t="shared" si="130"/>
        <v>380</v>
      </c>
      <c r="H988" s="128">
        <f t="shared" si="132"/>
        <v>686</v>
      </c>
      <c r="I988" s="8">
        <f t="shared" si="128"/>
        <v>785025</v>
      </c>
      <c r="J988" s="8">
        <v>785211</v>
      </c>
      <c r="K988" s="137">
        <f t="shared" si="131"/>
        <v>186</v>
      </c>
      <c r="L988" s="8">
        <f>M989</f>
        <v>4930</v>
      </c>
      <c r="M988" s="8">
        <v>4930</v>
      </c>
      <c r="N988" s="137">
        <v>0</v>
      </c>
      <c r="O988" s="128">
        <f t="shared" si="124"/>
        <v>186</v>
      </c>
      <c r="P988" s="8">
        <f t="shared" si="127"/>
        <v>334296</v>
      </c>
      <c r="Q988" s="8">
        <v>334296</v>
      </c>
      <c r="R988" s="128">
        <f t="shared" si="134"/>
        <v>0</v>
      </c>
      <c r="AQ988" s="8"/>
      <c r="AR988" s="8"/>
      <c r="AS988" s="8"/>
    </row>
    <row r="989" spans="1:45">
      <c r="A989" s="12">
        <v>45364</v>
      </c>
      <c r="B989" s="8">
        <f t="shared" si="125"/>
        <v>620751</v>
      </c>
      <c r="C989" s="8">
        <v>621075</v>
      </c>
      <c r="D989" s="128">
        <f t="shared" si="123"/>
        <v>324</v>
      </c>
      <c r="E989" s="8">
        <f t="shared" si="126"/>
        <v>219186</v>
      </c>
      <c r="F989" s="8">
        <v>219532</v>
      </c>
      <c r="G989" s="137">
        <f t="shared" si="130"/>
        <v>346</v>
      </c>
      <c r="H989" s="128">
        <f t="shared" si="132"/>
        <v>670</v>
      </c>
      <c r="I989" s="8">
        <f t="shared" si="128"/>
        <v>785211</v>
      </c>
      <c r="J989" s="8">
        <v>785406</v>
      </c>
      <c r="K989" s="137">
        <f t="shared" si="131"/>
        <v>195</v>
      </c>
      <c r="L989" s="8">
        <v>4930</v>
      </c>
      <c r="M989" s="8">
        <v>4930</v>
      </c>
      <c r="N989" s="137">
        <v>0</v>
      </c>
      <c r="O989" s="128">
        <f t="shared" si="124"/>
        <v>195</v>
      </c>
      <c r="P989" s="8">
        <f t="shared" si="127"/>
        <v>334296</v>
      </c>
      <c r="Q989" s="8">
        <v>334296</v>
      </c>
      <c r="R989" s="128">
        <f t="shared" si="134"/>
        <v>0</v>
      </c>
      <c r="AQ989" s="8"/>
      <c r="AR989" s="8"/>
      <c r="AS989" s="8"/>
    </row>
    <row r="990" spans="1:45">
      <c r="A990" s="12">
        <v>45365</v>
      </c>
      <c r="B990" s="8">
        <f t="shared" si="125"/>
        <v>621075</v>
      </c>
      <c r="C990" s="8">
        <v>621356</v>
      </c>
      <c r="D990" s="128">
        <f t="shared" si="123"/>
        <v>281</v>
      </c>
      <c r="E990" s="8">
        <f t="shared" si="126"/>
        <v>219532</v>
      </c>
      <c r="F990" s="8">
        <v>219824</v>
      </c>
      <c r="G990" s="137">
        <f t="shared" si="130"/>
        <v>292</v>
      </c>
      <c r="H990" s="128">
        <f t="shared" si="132"/>
        <v>573</v>
      </c>
      <c r="I990" s="8">
        <f t="shared" si="128"/>
        <v>785406</v>
      </c>
      <c r="J990" s="8">
        <v>785587</v>
      </c>
      <c r="K990" s="137">
        <f t="shared" si="131"/>
        <v>181</v>
      </c>
      <c r="L990" s="8">
        <v>4930</v>
      </c>
      <c r="M990" s="8">
        <v>4930</v>
      </c>
      <c r="N990" s="137">
        <f t="shared" si="133"/>
        <v>0</v>
      </c>
      <c r="O990" s="128">
        <f t="shared" si="124"/>
        <v>181</v>
      </c>
      <c r="P990" s="8">
        <f t="shared" si="127"/>
        <v>334296</v>
      </c>
      <c r="Q990" s="8">
        <v>334296</v>
      </c>
      <c r="R990" s="128">
        <f t="shared" si="134"/>
        <v>0</v>
      </c>
      <c r="AQ990" s="8"/>
      <c r="AR990" s="8"/>
      <c r="AS990" s="8"/>
    </row>
    <row r="991" spans="1:45">
      <c r="A991" s="12">
        <v>45366</v>
      </c>
      <c r="B991" s="8">
        <f t="shared" si="125"/>
        <v>621356</v>
      </c>
      <c r="C991" s="8">
        <v>621673</v>
      </c>
      <c r="D991" s="128">
        <f t="shared" si="123"/>
        <v>317</v>
      </c>
      <c r="E991" s="8">
        <f t="shared" si="126"/>
        <v>219824</v>
      </c>
      <c r="F991" s="8">
        <v>220124</v>
      </c>
      <c r="G991" s="137">
        <f t="shared" si="130"/>
        <v>300</v>
      </c>
      <c r="H991" s="128">
        <f t="shared" si="132"/>
        <v>617</v>
      </c>
      <c r="I991" s="8">
        <f t="shared" si="128"/>
        <v>785587</v>
      </c>
      <c r="J991" s="8">
        <v>785821</v>
      </c>
      <c r="K991" s="137">
        <f t="shared" si="131"/>
        <v>234</v>
      </c>
      <c r="L991" s="8">
        <f t="shared" si="129"/>
        <v>4930</v>
      </c>
      <c r="M991" s="8">
        <v>4930</v>
      </c>
      <c r="N991" s="137">
        <f t="shared" si="133"/>
        <v>0</v>
      </c>
      <c r="O991" s="128">
        <f t="shared" si="124"/>
        <v>234</v>
      </c>
      <c r="P991" s="8">
        <f t="shared" si="127"/>
        <v>334296</v>
      </c>
      <c r="Q991" s="8">
        <v>334296</v>
      </c>
      <c r="R991" s="128">
        <f t="shared" si="134"/>
        <v>0</v>
      </c>
      <c r="AQ991" s="8"/>
      <c r="AR991" s="8"/>
      <c r="AS991" s="8"/>
    </row>
    <row r="992" spans="1:45">
      <c r="A992" s="12">
        <v>45367</v>
      </c>
      <c r="B992" s="8">
        <f t="shared" si="125"/>
        <v>621673</v>
      </c>
      <c r="C992" s="8">
        <v>621985</v>
      </c>
      <c r="D992" s="128">
        <f t="shared" ref="D992:D1055" si="135">C992-B992</f>
        <v>312</v>
      </c>
      <c r="E992" s="8">
        <f t="shared" si="126"/>
        <v>220124</v>
      </c>
      <c r="F992" s="8">
        <v>220505</v>
      </c>
      <c r="G992" s="137">
        <f t="shared" si="130"/>
        <v>381</v>
      </c>
      <c r="H992" s="128">
        <f t="shared" si="132"/>
        <v>693</v>
      </c>
      <c r="I992" s="8">
        <f t="shared" si="128"/>
        <v>785821</v>
      </c>
      <c r="J992" s="8">
        <v>786014</v>
      </c>
      <c r="K992" s="137">
        <f t="shared" si="131"/>
        <v>193</v>
      </c>
      <c r="L992" s="8">
        <f t="shared" si="129"/>
        <v>4930</v>
      </c>
      <c r="M992" s="8">
        <v>4930</v>
      </c>
      <c r="N992" s="137">
        <f t="shared" si="133"/>
        <v>0</v>
      </c>
      <c r="O992" s="128">
        <f t="shared" si="124"/>
        <v>193</v>
      </c>
      <c r="P992" s="8">
        <f t="shared" si="127"/>
        <v>334296</v>
      </c>
      <c r="Q992" s="8">
        <v>334296</v>
      </c>
      <c r="R992" s="128">
        <f t="shared" si="134"/>
        <v>0</v>
      </c>
      <c r="AQ992" s="8"/>
      <c r="AR992" s="8"/>
      <c r="AS992" s="8"/>
    </row>
    <row r="993" spans="1:45">
      <c r="A993" s="12">
        <v>45368</v>
      </c>
      <c r="B993" s="8">
        <f t="shared" si="125"/>
        <v>621985</v>
      </c>
      <c r="C993" s="8">
        <v>622291</v>
      </c>
      <c r="D993" s="128">
        <f t="shared" si="135"/>
        <v>306</v>
      </c>
      <c r="E993" s="8">
        <f t="shared" si="126"/>
        <v>220505</v>
      </c>
      <c r="F993" s="8">
        <v>220738</v>
      </c>
      <c r="G993" s="137">
        <f t="shared" si="130"/>
        <v>233</v>
      </c>
      <c r="H993" s="128">
        <f t="shared" si="132"/>
        <v>539</v>
      </c>
      <c r="I993" s="8">
        <f t="shared" si="128"/>
        <v>786014</v>
      </c>
      <c r="J993" s="8">
        <v>786182</v>
      </c>
      <c r="K993" s="137">
        <f t="shared" si="131"/>
        <v>168</v>
      </c>
      <c r="L993" s="8">
        <f t="shared" si="129"/>
        <v>4930</v>
      </c>
      <c r="M993" s="8">
        <v>4930</v>
      </c>
      <c r="N993" s="137">
        <f t="shared" si="133"/>
        <v>0</v>
      </c>
      <c r="O993" s="128">
        <f t="shared" si="124"/>
        <v>168</v>
      </c>
      <c r="P993" s="8">
        <f t="shared" si="127"/>
        <v>334296</v>
      </c>
      <c r="Q993" s="8">
        <v>334296</v>
      </c>
      <c r="R993" s="128">
        <f t="shared" si="134"/>
        <v>0</v>
      </c>
      <c r="AQ993" s="8"/>
      <c r="AR993" s="8"/>
      <c r="AS993" s="8"/>
    </row>
    <row r="994" spans="1:45">
      <c r="A994" s="12">
        <v>45369</v>
      </c>
      <c r="B994" s="8">
        <f t="shared" si="125"/>
        <v>622291</v>
      </c>
      <c r="C994" s="8">
        <v>622571</v>
      </c>
      <c r="D994" s="128">
        <f t="shared" si="135"/>
        <v>280</v>
      </c>
      <c r="E994" s="8">
        <f t="shared" si="126"/>
        <v>220738</v>
      </c>
      <c r="F994" s="8">
        <v>221047</v>
      </c>
      <c r="G994" s="137">
        <f t="shared" si="130"/>
        <v>309</v>
      </c>
      <c r="H994" s="128">
        <f t="shared" si="132"/>
        <v>589</v>
      </c>
      <c r="I994" s="8">
        <f t="shared" si="128"/>
        <v>786182</v>
      </c>
      <c r="J994" s="8">
        <v>786358</v>
      </c>
      <c r="K994" s="137">
        <f t="shared" si="131"/>
        <v>176</v>
      </c>
      <c r="L994" s="8">
        <f t="shared" si="129"/>
        <v>4930</v>
      </c>
      <c r="M994" s="8">
        <v>4930</v>
      </c>
      <c r="N994" s="137">
        <f t="shared" si="133"/>
        <v>0</v>
      </c>
      <c r="O994" s="128">
        <f t="shared" si="124"/>
        <v>176</v>
      </c>
      <c r="P994" s="8">
        <f t="shared" si="127"/>
        <v>334296</v>
      </c>
      <c r="Q994" s="8">
        <v>334296</v>
      </c>
      <c r="R994" s="128">
        <f t="shared" si="134"/>
        <v>0</v>
      </c>
      <c r="AQ994" s="8"/>
      <c r="AR994" s="8"/>
      <c r="AS994" s="8"/>
    </row>
    <row r="995" spans="1:45">
      <c r="A995" s="12">
        <v>45370</v>
      </c>
      <c r="B995" s="8">
        <f t="shared" si="125"/>
        <v>622571</v>
      </c>
      <c r="C995" s="8">
        <v>622887</v>
      </c>
      <c r="D995" s="128">
        <f t="shared" si="135"/>
        <v>316</v>
      </c>
      <c r="E995" s="8">
        <f t="shared" si="126"/>
        <v>221047</v>
      </c>
      <c r="F995" s="8">
        <v>221318</v>
      </c>
      <c r="G995" s="137">
        <f t="shared" si="130"/>
        <v>271</v>
      </c>
      <c r="H995" s="128">
        <f t="shared" si="132"/>
        <v>587</v>
      </c>
      <c r="I995" s="8">
        <f t="shared" si="128"/>
        <v>786358</v>
      </c>
      <c r="J995" s="8">
        <v>786536</v>
      </c>
      <c r="K995" s="137">
        <f t="shared" si="131"/>
        <v>178</v>
      </c>
      <c r="L995" s="8">
        <f t="shared" si="129"/>
        <v>4930</v>
      </c>
      <c r="M995" s="8">
        <v>4930</v>
      </c>
      <c r="N995" s="137">
        <f>M996-L995</f>
        <v>0</v>
      </c>
      <c r="O995" s="128">
        <f t="shared" si="124"/>
        <v>178</v>
      </c>
      <c r="P995" s="8">
        <f t="shared" si="127"/>
        <v>334296</v>
      </c>
      <c r="Q995" s="8">
        <v>334296</v>
      </c>
      <c r="R995" s="128">
        <f>Q996-P995</f>
        <v>439</v>
      </c>
      <c r="AQ995" s="8"/>
      <c r="AR995" s="8"/>
      <c r="AS995" s="8"/>
    </row>
    <row r="996" spans="1:45">
      <c r="A996" s="12">
        <v>45371</v>
      </c>
      <c r="B996" s="8">
        <f t="shared" si="125"/>
        <v>622887</v>
      </c>
      <c r="C996" s="8">
        <v>623190</v>
      </c>
      <c r="D996" s="128">
        <f t="shared" si="135"/>
        <v>303</v>
      </c>
      <c r="E996" s="8">
        <f t="shared" si="126"/>
        <v>221318</v>
      </c>
      <c r="F996" s="8">
        <v>221655</v>
      </c>
      <c r="G996" s="137">
        <f t="shared" si="130"/>
        <v>337</v>
      </c>
      <c r="H996" s="128">
        <f t="shared" si="132"/>
        <v>640</v>
      </c>
      <c r="I996" s="8">
        <f t="shared" si="128"/>
        <v>786536</v>
      </c>
      <c r="J996" s="8">
        <v>786690</v>
      </c>
      <c r="K996" s="137">
        <f t="shared" si="131"/>
        <v>154</v>
      </c>
      <c r="L996" s="8">
        <f>M996</f>
        <v>4930</v>
      </c>
      <c r="M996" s="8">
        <v>4930</v>
      </c>
      <c r="N996" s="137">
        <v>0</v>
      </c>
      <c r="O996" s="128">
        <f t="shared" si="124"/>
        <v>154</v>
      </c>
      <c r="P996" s="8">
        <f>Q996</f>
        <v>334735</v>
      </c>
      <c r="Q996" s="8">
        <v>334735</v>
      </c>
      <c r="R996" s="128"/>
      <c r="AQ996" s="8"/>
      <c r="AR996" s="8"/>
      <c r="AS996" s="8"/>
    </row>
    <row r="997" spans="1:45">
      <c r="A997" s="12">
        <v>45372</v>
      </c>
      <c r="B997" s="8">
        <f t="shared" si="125"/>
        <v>623190</v>
      </c>
      <c r="C997" s="8">
        <v>623478</v>
      </c>
      <c r="D997" s="128">
        <f t="shared" si="135"/>
        <v>288</v>
      </c>
      <c r="E997" s="8">
        <f t="shared" si="126"/>
        <v>221655</v>
      </c>
      <c r="F997" s="8">
        <v>221983</v>
      </c>
      <c r="G997" s="137">
        <f t="shared" si="130"/>
        <v>328</v>
      </c>
      <c r="H997" s="128">
        <f t="shared" si="132"/>
        <v>616</v>
      </c>
      <c r="I997" s="8">
        <f t="shared" si="128"/>
        <v>786690</v>
      </c>
      <c r="J997" s="8">
        <v>786894</v>
      </c>
      <c r="K997" s="137">
        <f t="shared" si="131"/>
        <v>204</v>
      </c>
      <c r="L997" s="8">
        <v>4930</v>
      </c>
      <c r="M997" s="8">
        <v>4930</v>
      </c>
      <c r="N997" s="137">
        <f t="shared" si="133"/>
        <v>0</v>
      </c>
      <c r="O997" s="128">
        <f t="shared" si="124"/>
        <v>204</v>
      </c>
      <c r="P997" s="8">
        <v>334719</v>
      </c>
      <c r="Q997" s="8">
        <v>335056</v>
      </c>
      <c r="R997" s="128">
        <f t="shared" si="134"/>
        <v>337</v>
      </c>
      <c r="AQ997" s="8"/>
      <c r="AR997" s="8"/>
      <c r="AS997" s="8"/>
    </row>
    <row r="998" spans="1:45">
      <c r="A998" s="12">
        <v>45373</v>
      </c>
      <c r="B998" s="8">
        <f t="shared" si="125"/>
        <v>623478</v>
      </c>
      <c r="C998" s="8">
        <v>623676</v>
      </c>
      <c r="D998" s="128">
        <f t="shared" si="135"/>
        <v>198</v>
      </c>
      <c r="E998" s="8">
        <f t="shared" si="126"/>
        <v>221983</v>
      </c>
      <c r="F998" s="8">
        <v>222267</v>
      </c>
      <c r="G998" s="137">
        <f t="shared" si="130"/>
        <v>284</v>
      </c>
      <c r="H998" s="128">
        <f t="shared" si="132"/>
        <v>482</v>
      </c>
      <c r="I998" s="8">
        <f t="shared" si="128"/>
        <v>786894</v>
      </c>
      <c r="J998" s="8">
        <v>787062</v>
      </c>
      <c r="K998" s="137">
        <f t="shared" si="131"/>
        <v>168</v>
      </c>
      <c r="L998" s="8">
        <f t="shared" si="129"/>
        <v>4930</v>
      </c>
      <c r="M998" s="8">
        <v>4930</v>
      </c>
      <c r="N998" s="137">
        <f t="shared" si="133"/>
        <v>0</v>
      </c>
      <c r="O998" s="128">
        <f t="shared" si="124"/>
        <v>168</v>
      </c>
      <c r="P998" s="8">
        <v>335056</v>
      </c>
      <c r="Q998" s="8">
        <v>335512</v>
      </c>
      <c r="R998" s="128">
        <f t="shared" si="134"/>
        <v>456</v>
      </c>
      <c r="AQ998" s="8"/>
      <c r="AR998" s="8"/>
      <c r="AS998" s="8"/>
    </row>
    <row r="999" spans="1:45">
      <c r="A999" s="12">
        <v>45374</v>
      </c>
      <c r="B999" s="8">
        <f t="shared" si="125"/>
        <v>623676</v>
      </c>
      <c r="C999" s="8">
        <v>624114</v>
      </c>
      <c r="D999" s="128">
        <f t="shared" si="135"/>
        <v>438</v>
      </c>
      <c r="E999" s="8">
        <f t="shared" si="126"/>
        <v>222267</v>
      </c>
      <c r="F999" s="8">
        <v>222606</v>
      </c>
      <c r="G999" s="137">
        <f t="shared" si="130"/>
        <v>339</v>
      </c>
      <c r="H999" s="128">
        <f t="shared" si="132"/>
        <v>777</v>
      </c>
      <c r="I999" s="8">
        <f t="shared" si="128"/>
        <v>787062</v>
      </c>
      <c r="J999" s="8">
        <v>787222</v>
      </c>
      <c r="K999" s="137">
        <f t="shared" si="131"/>
        <v>160</v>
      </c>
      <c r="L999" s="8">
        <f t="shared" si="129"/>
        <v>4930</v>
      </c>
      <c r="M999" s="8">
        <v>4930</v>
      </c>
      <c r="N999" s="137">
        <f t="shared" si="133"/>
        <v>0</v>
      </c>
      <c r="O999" s="128">
        <f t="shared" si="124"/>
        <v>160</v>
      </c>
      <c r="P999" s="8">
        <f t="shared" si="127"/>
        <v>335512</v>
      </c>
      <c r="Q999" s="8">
        <v>335995</v>
      </c>
      <c r="R999" s="128">
        <f t="shared" si="134"/>
        <v>483</v>
      </c>
      <c r="AQ999" s="8"/>
      <c r="AR999" s="8"/>
      <c r="AS999" s="8"/>
    </row>
    <row r="1000" spans="1:45">
      <c r="A1000" s="12">
        <v>45375</v>
      </c>
      <c r="B1000" s="8">
        <f t="shared" si="125"/>
        <v>624114</v>
      </c>
      <c r="C1000" s="8">
        <v>624386</v>
      </c>
      <c r="D1000" s="128">
        <f t="shared" si="135"/>
        <v>272</v>
      </c>
      <c r="E1000" s="8">
        <f t="shared" si="126"/>
        <v>222606</v>
      </c>
      <c r="F1000" s="8">
        <v>222889</v>
      </c>
      <c r="G1000" s="137">
        <f t="shared" si="130"/>
        <v>283</v>
      </c>
      <c r="H1000" s="128">
        <f t="shared" si="132"/>
        <v>555</v>
      </c>
      <c r="I1000" s="8">
        <f t="shared" si="128"/>
        <v>787222</v>
      </c>
      <c r="J1000" s="8">
        <v>787361</v>
      </c>
      <c r="K1000" s="137">
        <f t="shared" si="131"/>
        <v>139</v>
      </c>
      <c r="L1000" s="8">
        <f t="shared" si="129"/>
        <v>4930</v>
      </c>
      <c r="M1000" s="8">
        <v>4930</v>
      </c>
      <c r="N1000" s="137">
        <f t="shared" si="133"/>
        <v>0</v>
      </c>
      <c r="O1000" s="128">
        <f t="shared" ref="O1000:O1063" si="136">N1000+K1000</f>
        <v>139</v>
      </c>
      <c r="P1000" s="8">
        <f t="shared" si="127"/>
        <v>335995</v>
      </c>
      <c r="Q1000" s="8">
        <v>336566</v>
      </c>
      <c r="R1000" s="128">
        <f t="shared" si="134"/>
        <v>571</v>
      </c>
      <c r="AQ1000" s="8"/>
      <c r="AR1000" s="8"/>
      <c r="AS1000" s="8"/>
    </row>
    <row r="1001" spans="1:45">
      <c r="A1001" s="12">
        <v>45376</v>
      </c>
      <c r="B1001" s="8">
        <f t="shared" si="125"/>
        <v>624386</v>
      </c>
      <c r="C1001" s="8">
        <v>624632</v>
      </c>
      <c r="D1001" s="128">
        <f t="shared" si="135"/>
        <v>246</v>
      </c>
      <c r="E1001" s="8">
        <f t="shared" si="126"/>
        <v>222889</v>
      </c>
      <c r="F1001" s="8">
        <v>223157</v>
      </c>
      <c r="G1001" s="137">
        <f t="shared" si="130"/>
        <v>268</v>
      </c>
      <c r="H1001" s="128">
        <f t="shared" si="132"/>
        <v>514</v>
      </c>
      <c r="I1001" s="8">
        <f t="shared" si="128"/>
        <v>787361</v>
      </c>
      <c r="J1001" s="8">
        <v>787595</v>
      </c>
      <c r="K1001" s="137">
        <f t="shared" si="131"/>
        <v>234</v>
      </c>
      <c r="L1001" s="8">
        <f t="shared" si="129"/>
        <v>4930</v>
      </c>
      <c r="M1001" s="8">
        <v>4930</v>
      </c>
      <c r="N1001" s="137">
        <f t="shared" si="133"/>
        <v>0</v>
      </c>
      <c r="O1001" s="128">
        <f t="shared" si="136"/>
        <v>234</v>
      </c>
      <c r="P1001" s="8">
        <f t="shared" si="127"/>
        <v>336566</v>
      </c>
      <c r="Q1001" s="8">
        <v>336566</v>
      </c>
      <c r="R1001" s="128">
        <f>Q1002-P1001</f>
        <v>0</v>
      </c>
      <c r="AQ1001" s="8"/>
      <c r="AR1001" s="8"/>
      <c r="AS1001" s="8"/>
    </row>
    <row r="1002" spans="1:45">
      <c r="A1002" s="12">
        <v>45377</v>
      </c>
      <c r="B1002" s="8">
        <f t="shared" ref="B1002:B1065" si="137">C1001</f>
        <v>624632</v>
      </c>
      <c r="C1002" s="8">
        <v>624891</v>
      </c>
      <c r="D1002" s="128">
        <f t="shared" si="135"/>
        <v>259</v>
      </c>
      <c r="E1002" s="8">
        <f t="shared" ref="E1002:E1065" si="138">F1001</f>
        <v>223157</v>
      </c>
      <c r="F1002" s="8">
        <v>223496</v>
      </c>
      <c r="G1002" s="137">
        <f t="shared" si="130"/>
        <v>339</v>
      </c>
      <c r="H1002" s="128">
        <f t="shared" si="132"/>
        <v>598</v>
      </c>
      <c r="I1002" s="8">
        <f t="shared" si="128"/>
        <v>787595</v>
      </c>
      <c r="J1002" s="8">
        <v>787682</v>
      </c>
      <c r="K1002" s="137">
        <f t="shared" si="131"/>
        <v>87</v>
      </c>
      <c r="L1002" s="8">
        <f t="shared" si="129"/>
        <v>4930</v>
      </c>
      <c r="M1002" s="8">
        <v>4930</v>
      </c>
      <c r="N1002" s="137">
        <f t="shared" si="133"/>
        <v>0</v>
      </c>
      <c r="O1002" s="128">
        <f t="shared" si="136"/>
        <v>87</v>
      </c>
      <c r="P1002" s="8">
        <f>Q1002</f>
        <v>336566</v>
      </c>
      <c r="Q1002" s="8">
        <v>336566</v>
      </c>
      <c r="R1002" s="128">
        <v>0</v>
      </c>
      <c r="AQ1002" s="8"/>
      <c r="AR1002" s="8"/>
      <c r="AS1002" s="8"/>
    </row>
    <row r="1003" spans="1:45">
      <c r="A1003" s="12">
        <v>45378</v>
      </c>
      <c r="B1003" s="8">
        <f t="shared" si="137"/>
        <v>624891</v>
      </c>
      <c r="C1003" s="8">
        <v>625184</v>
      </c>
      <c r="D1003" s="128">
        <f t="shared" si="135"/>
        <v>293</v>
      </c>
      <c r="E1003" s="8">
        <f t="shared" si="138"/>
        <v>223496</v>
      </c>
      <c r="F1003" s="8">
        <v>223790</v>
      </c>
      <c r="G1003" s="137">
        <f t="shared" si="130"/>
        <v>294</v>
      </c>
      <c r="H1003" s="128">
        <f t="shared" si="132"/>
        <v>587</v>
      </c>
      <c r="I1003" s="8">
        <f t="shared" si="128"/>
        <v>787682</v>
      </c>
      <c r="J1003" s="8">
        <v>787833</v>
      </c>
      <c r="K1003" s="137">
        <f t="shared" si="131"/>
        <v>151</v>
      </c>
      <c r="L1003" s="8">
        <f t="shared" si="129"/>
        <v>4930</v>
      </c>
      <c r="M1003" s="8">
        <v>4930</v>
      </c>
      <c r="N1003" s="137">
        <f t="shared" si="133"/>
        <v>0</v>
      </c>
      <c r="O1003" s="128">
        <f t="shared" si="136"/>
        <v>151</v>
      </c>
      <c r="P1003" s="8">
        <v>336566</v>
      </c>
      <c r="Q1003" s="8">
        <v>336566</v>
      </c>
      <c r="R1003" s="128">
        <v>0</v>
      </c>
      <c r="AQ1003" s="8"/>
      <c r="AR1003" s="8"/>
      <c r="AS1003" s="8"/>
    </row>
    <row r="1004" spans="1:45">
      <c r="A1004" s="12">
        <v>45379</v>
      </c>
      <c r="B1004" s="8">
        <f t="shared" si="137"/>
        <v>625184</v>
      </c>
      <c r="C1004" s="8">
        <v>625419</v>
      </c>
      <c r="D1004" s="128">
        <f t="shared" si="135"/>
        <v>235</v>
      </c>
      <c r="E1004" s="8">
        <f t="shared" si="138"/>
        <v>223790</v>
      </c>
      <c r="F1004" s="8">
        <v>224033</v>
      </c>
      <c r="G1004" s="137">
        <f t="shared" si="130"/>
        <v>243</v>
      </c>
      <c r="H1004" s="128">
        <f t="shared" si="132"/>
        <v>478</v>
      </c>
      <c r="I1004" s="8">
        <f t="shared" si="128"/>
        <v>787833</v>
      </c>
      <c r="J1004" s="8">
        <v>788025</v>
      </c>
      <c r="K1004" s="137">
        <f t="shared" si="131"/>
        <v>192</v>
      </c>
      <c r="L1004" s="8">
        <f t="shared" si="129"/>
        <v>4930</v>
      </c>
      <c r="M1004" s="8">
        <v>4930</v>
      </c>
      <c r="N1004" s="137">
        <f t="shared" si="133"/>
        <v>0</v>
      </c>
      <c r="O1004" s="128">
        <f t="shared" si="136"/>
        <v>192</v>
      </c>
      <c r="P1004" s="8">
        <f>Q1004</f>
        <v>336566</v>
      </c>
      <c r="Q1004" s="8">
        <v>336566</v>
      </c>
      <c r="R1004" s="128">
        <v>0</v>
      </c>
      <c r="AQ1004" s="8"/>
      <c r="AR1004" s="8"/>
      <c r="AS1004" s="8"/>
    </row>
    <row r="1005" spans="1:45">
      <c r="A1005" s="12">
        <v>45380</v>
      </c>
      <c r="B1005" s="8">
        <f t="shared" si="137"/>
        <v>625419</v>
      </c>
      <c r="C1005" s="8">
        <v>625816</v>
      </c>
      <c r="D1005" s="128">
        <f t="shared" si="135"/>
        <v>397</v>
      </c>
      <c r="E1005" s="8">
        <f t="shared" si="138"/>
        <v>224033</v>
      </c>
      <c r="F1005" s="8">
        <v>224310</v>
      </c>
      <c r="G1005" s="137">
        <f t="shared" si="130"/>
        <v>277</v>
      </c>
      <c r="H1005" s="128">
        <f t="shared" si="132"/>
        <v>674</v>
      </c>
      <c r="I1005" s="8">
        <f t="shared" si="128"/>
        <v>788025</v>
      </c>
      <c r="J1005" s="8">
        <v>788195</v>
      </c>
      <c r="K1005" s="137">
        <f t="shared" si="131"/>
        <v>170</v>
      </c>
      <c r="L1005" s="8">
        <f t="shared" si="129"/>
        <v>4930</v>
      </c>
      <c r="M1005" s="8">
        <v>4930</v>
      </c>
      <c r="N1005" s="137">
        <f t="shared" si="133"/>
        <v>0</v>
      </c>
      <c r="O1005" s="128">
        <f t="shared" si="136"/>
        <v>170</v>
      </c>
      <c r="P1005" s="8">
        <v>336566</v>
      </c>
      <c r="Q1005" s="8">
        <v>336566</v>
      </c>
      <c r="R1005" s="128">
        <v>0</v>
      </c>
      <c r="AQ1005" s="8"/>
      <c r="AR1005" s="8"/>
      <c r="AS1005" s="8"/>
    </row>
    <row r="1006" spans="1:45">
      <c r="A1006" s="12">
        <v>45381</v>
      </c>
      <c r="B1006" s="8">
        <f t="shared" si="137"/>
        <v>625816</v>
      </c>
      <c r="C1006" s="8">
        <v>626058</v>
      </c>
      <c r="D1006" s="128">
        <f t="shared" si="135"/>
        <v>242</v>
      </c>
      <c r="E1006" s="8">
        <f t="shared" si="138"/>
        <v>224310</v>
      </c>
      <c r="F1006" s="8">
        <v>224641</v>
      </c>
      <c r="G1006" s="137">
        <f t="shared" si="130"/>
        <v>331</v>
      </c>
      <c r="H1006" s="128">
        <f t="shared" si="132"/>
        <v>573</v>
      </c>
      <c r="I1006" s="8">
        <f t="shared" ref="I1006:I1025" si="139">J1005</f>
        <v>788195</v>
      </c>
      <c r="J1006" s="8">
        <v>788356</v>
      </c>
      <c r="K1006" s="137">
        <f t="shared" si="131"/>
        <v>161</v>
      </c>
      <c r="L1006" s="8">
        <f t="shared" ref="L1006:L1069" si="140">M1005</f>
        <v>4930</v>
      </c>
      <c r="M1006" s="8">
        <v>4930</v>
      </c>
      <c r="N1006" s="137">
        <f t="shared" si="133"/>
        <v>0</v>
      </c>
      <c r="O1006" s="128">
        <f t="shared" si="136"/>
        <v>161</v>
      </c>
      <c r="P1006" s="8">
        <f t="shared" ref="P1006:P1067" si="141">Q1005</f>
        <v>336566</v>
      </c>
      <c r="Q1006" s="8">
        <v>336566</v>
      </c>
      <c r="R1006" s="128">
        <f t="shared" si="134"/>
        <v>0</v>
      </c>
      <c r="AQ1006" s="8"/>
      <c r="AR1006" s="8"/>
      <c r="AS1006" s="8"/>
    </row>
    <row r="1007" spans="1:45">
      <c r="A1007" s="12">
        <v>45382</v>
      </c>
      <c r="B1007" s="8">
        <f t="shared" si="137"/>
        <v>626058</v>
      </c>
      <c r="C1007" s="8">
        <v>626298</v>
      </c>
      <c r="D1007" s="128">
        <f t="shared" si="135"/>
        <v>240</v>
      </c>
      <c r="E1007" s="8">
        <f t="shared" si="138"/>
        <v>224641</v>
      </c>
      <c r="F1007" s="8">
        <v>225008</v>
      </c>
      <c r="G1007" s="137">
        <f t="shared" si="130"/>
        <v>367</v>
      </c>
      <c r="H1007" s="128">
        <f t="shared" si="132"/>
        <v>607</v>
      </c>
      <c r="I1007" s="8">
        <f t="shared" si="139"/>
        <v>788356</v>
      </c>
      <c r="J1007" s="8">
        <v>788532</v>
      </c>
      <c r="K1007" s="137">
        <f t="shared" si="131"/>
        <v>176</v>
      </c>
      <c r="L1007" s="8">
        <f t="shared" si="140"/>
        <v>4930</v>
      </c>
      <c r="M1007" s="8">
        <v>4930</v>
      </c>
      <c r="N1007" s="137">
        <f t="shared" si="133"/>
        <v>0</v>
      </c>
      <c r="O1007" s="128">
        <f t="shared" si="136"/>
        <v>176</v>
      </c>
      <c r="P1007" s="8">
        <f t="shared" si="141"/>
        <v>336566</v>
      </c>
      <c r="Q1007" s="8">
        <v>336566</v>
      </c>
      <c r="R1007" s="128">
        <f t="shared" si="134"/>
        <v>0</v>
      </c>
      <c r="AQ1007" s="8"/>
      <c r="AR1007" s="8"/>
      <c r="AS1007" s="8"/>
    </row>
    <row r="1008" spans="1:45">
      <c r="A1008" s="12">
        <v>45383</v>
      </c>
      <c r="B1008" s="8">
        <f t="shared" si="137"/>
        <v>626298</v>
      </c>
      <c r="C1008" s="8">
        <v>626524</v>
      </c>
      <c r="D1008" s="128">
        <f t="shared" si="135"/>
        <v>226</v>
      </c>
      <c r="E1008" s="8">
        <f t="shared" si="138"/>
        <v>225008</v>
      </c>
      <c r="F1008" s="8">
        <v>225385</v>
      </c>
      <c r="G1008" s="137">
        <f t="shared" si="130"/>
        <v>377</v>
      </c>
      <c r="H1008" s="128">
        <f t="shared" si="132"/>
        <v>603</v>
      </c>
      <c r="I1008" s="8">
        <f t="shared" si="139"/>
        <v>788532</v>
      </c>
      <c r="J1008" s="8">
        <v>788712</v>
      </c>
      <c r="K1008" s="137">
        <f t="shared" si="131"/>
        <v>180</v>
      </c>
      <c r="L1008" s="8">
        <f t="shared" si="140"/>
        <v>4930</v>
      </c>
      <c r="M1008" s="8">
        <v>4930</v>
      </c>
      <c r="N1008" s="137">
        <f t="shared" si="133"/>
        <v>0</v>
      </c>
      <c r="O1008" s="128">
        <f t="shared" si="136"/>
        <v>180</v>
      </c>
      <c r="P1008" s="8">
        <f t="shared" si="141"/>
        <v>336566</v>
      </c>
      <c r="Q1008" s="8">
        <v>336566</v>
      </c>
      <c r="R1008" s="128">
        <f t="shared" si="134"/>
        <v>0</v>
      </c>
      <c r="AQ1008" s="8"/>
      <c r="AR1008" s="8"/>
      <c r="AS1008" s="8"/>
    </row>
    <row r="1009" spans="1:45">
      <c r="A1009" s="12">
        <v>45384</v>
      </c>
      <c r="B1009" s="8">
        <f t="shared" si="137"/>
        <v>626524</v>
      </c>
      <c r="C1009" s="8">
        <v>626755</v>
      </c>
      <c r="D1009" s="128">
        <f t="shared" si="135"/>
        <v>231</v>
      </c>
      <c r="E1009" s="8">
        <f t="shared" si="138"/>
        <v>225385</v>
      </c>
      <c r="F1009" s="8">
        <v>225515</v>
      </c>
      <c r="G1009" s="137">
        <f t="shared" si="130"/>
        <v>130</v>
      </c>
      <c r="H1009" s="128">
        <f t="shared" si="132"/>
        <v>361</v>
      </c>
      <c r="I1009" s="8">
        <f t="shared" si="139"/>
        <v>788712</v>
      </c>
      <c r="J1009" s="8">
        <v>788851</v>
      </c>
      <c r="K1009" s="137">
        <f t="shared" si="131"/>
        <v>139</v>
      </c>
      <c r="L1009" s="8">
        <f t="shared" si="140"/>
        <v>4930</v>
      </c>
      <c r="M1009" s="8">
        <v>4930</v>
      </c>
      <c r="N1009" s="137">
        <f t="shared" si="133"/>
        <v>0</v>
      </c>
      <c r="O1009" s="128">
        <f t="shared" si="136"/>
        <v>139</v>
      </c>
      <c r="P1009" s="8">
        <f t="shared" si="141"/>
        <v>336566</v>
      </c>
      <c r="Q1009" s="8">
        <v>336566</v>
      </c>
      <c r="R1009" s="128">
        <f t="shared" si="134"/>
        <v>0</v>
      </c>
      <c r="AQ1009" s="8"/>
      <c r="AR1009" s="8"/>
      <c r="AS1009" s="8"/>
    </row>
    <row r="1010" spans="1:45">
      <c r="A1010" s="12">
        <v>45385</v>
      </c>
      <c r="B1010" s="8">
        <f t="shared" si="137"/>
        <v>626755</v>
      </c>
      <c r="C1010" s="8">
        <v>627010</v>
      </c>
      <c r="D1010" s="128">
        <f t="shared" si="135"/>
        <v>255</v>
      </c>
      <c r="E1010" s="8">
        <f t="shared" si="138"/>
        <v>225515</v>
      </c>
      <c r="F1010" s="8">
        <v>225810</v>
      </c>
      <c r="G1010" s="137">
        <f t="shared" si="130"/>
        <v>295</v>
      </c>
      <c r="H1010" s="128">
        <f t="shared" si="132"/>
        <v>550</v>
      </c>
      <c r="I1010" s="8">
        <f t="shared" si="139"/>
        <v>788851</v>
      </c>
      <c r="J1010" s="8">
        <v>789055</v>
      </c>
      <c r="K1010" s="137">
        <f t="shared" si="131"/>
        <v>204</v>
      </c>
      <c r="L1010" s="8">
        <f t="shared" si="140"/>
        <v>4930</v>
      </c>
      <c r="M1010" s="8">
        <v>4930</v>
      </c>
      <c r="N1010" s="137">
        <f t="shared" si="133"/>
        <v>0</v>
      </c>
      <c r="O1010" s="128">
        <f t="shared" si="136"/>
        <v>204</v>
      </c>
      <c r="P1010" s="8">
        <f t="shared" si="141"/>
        <v>336566</v>
      </c>
      <c r="Q1010" s="8">
        <v>336566</v>
      </c>
      <c r="R1010" s="128">
        <f t="shared" si="134"/>
        <v>0</v>
      </c>
      <c r="AQ1010" s="8"/>
      <c r="AR1010" s="8"/>
      <c r="AS1010" s="8"/>
    </row>
    <row r="1011" spans="1:45">
      <c r="A1011" s="12">
        <v>45386</v>
      </c>
      <c r="B1011" s="8">
        <f t="shared" si="137"/>
        <v>627010</v>
      </c>
      <c r="C1011" s="8">
        <v>627250</v>
      </c>
      <c r="D1011" s="128">
        <f t="shared" si="135"/>
        <v>240</v>
      </c>
      <c r="E1011" s="8">
        <f t="shared" si="138"/>
        <v>225810</v>
      </c>
      <c r="F1011" s="8">
        <v>226070</v>
      </c>
      <c r="G1011" s="137">
        <f t="shared" ref="G1011:G1074" si="142">F1011-E1011</f>
        <v>260</v>
      </c>
      <c r="H1011" s="128">
        <f t="shared" si="132"/>
        <v>500</v>
      </c>
      <c r="I1011" s="8">
        <f t="shared" si="139"/>
        <v>789055</v>
      </c>
      <c r="J1011" s="8">
        <v>789269</v>
      </c>
      <c r="K1011" s="137">
        <f t="shared" si="131"/>
        <v>214</v>
      </c>
      <c r="L1011" s="8">
        <f t="shared" si="140"/>
        <v>4930</v>
      </c>
      <c r="M1011" s="8">
        <v>4930</v>
      </c>
      <c r="N1011" s="137">
        <f t="shared" si="133"/>
        <v>0</v>
      </c>
      <c r="O1011" s="128">
        <f t="shared" si="136"/>
        <v>214</v>
      </c>
      <c r="P1011" s="8">
        <f t="shared" si="141"/>
        <v>336566</v>
      </c>
      <c r="Q1011" s="8">
        <v>336566</v>
      </c>
      <c r="R1011" s="128">
        <f t="shared" si="134"/>
        <v>0</v>
      </c>
      <c r="AQ1011" s="8"/>
      <c r="AR1011" s="8"/>
      <c r="AS1011" s="8"/>
    </row>
    <row r="1012" spans="1:45">
      <c r="A1012" s="12">
        <v>45387</v>
      </c>
      <c r="B1012" s="8">
        <f t="shared" si="137"/>
        <v>627250</v>
      </c>
      <c r="C1012" s="8">
        <v>627533</v>
      </c>
      <c r="D1012" s="128">
        <f t="shared" si="135"/>
        <v>283</v>
      </c>
      <c r="E1012" s="8">
        <f t="shared" si="138"/>
        <v>226070</v>
      </c>
      <c r="F1012" s="8">
        <v>226413</v>
      </c>
      <c r="G1012" s="137">
        <f t="shared" si="142"/>
        <v>343</v>
      </c>
      <c r="H1012" s="128">
        <f t="shared" si="132"/>
        <v>626</v>
      </c>
      <c r="I1012" s="8">
        <f t="shared" si="139"/>
        <v>789269</v>
      </c>
      <c r="J1012" s="8">
        <v>789473</v>
      </c>
      <c r="K1012" s="137">
        <f t="shared" si="131"/>
        <v>204</v>
      </c>
      <c r="L1012" s="8">
        <f t="shared" si="140"/>
        <v>4930</v>
      </c>
      <c r="M1012" s="8">
        <v>4930</v>
      </c>
      <c r="N1012" s="137">
        <f t="shared" si="133"/>
        <v>0</v>
      </c>
      <c r="O1012" s="128">
        <f t="shared" si="136"/>
        <v>204</v>
      </c>
      <c r="P1012" s="8">
        <f t="shared" si="141"/>
        <v>336566</v>
      </c>
      <c r="Q1012" s="8">
        <v>336566</v>
      </c>
      <c r="R1012" s="128">
        <f t="shared" si="134"/>
        <v>0</v>
      </c>
      <c r="AQ1012" s="8"/>
      <c r="AR1012" s="8"/>
      <c r="AS1012" s="8"/>
    </row>
    <row r="1013" spans="1:45">
      <c r="A1013" s="12">
        <v>45388</v>
      </c>
      <c r="B1013" s="8">
        <f t="shared" si="137"/>
        <v>627533</v>
      </c>
      <c r="C1013" s="8">
        <v>627789</v>
      </c>
      <c r="D1013" s="128">
        <f t="shared" si="135"/>
        <v>256</v>
      </c>
      <c r="E1013" s="8">
        <f t="shared" si="138"/>
        <v>226413</v>
      </c>
      <c r="F1013" s="8">
        <v>226686</v>
      </c>
      <c r="G1013" s="137">
        <f t="shared" si="142"/>
        <v>273</v>
      </c>
      <c r="H1013" s="128">
        <f t="shared" si="132"/>
        <v>529</v>
      </c>
      <c r="I1013" s="8">
        <f t="shared" si="139"/>
        <v>789473</v>
      </c>
      <c r="J1013" s="8">
        <v>789646</v>
      </c>
      <c r="K1013" s="137">
        <f t="shared" si="131"/>
        <v>173</v>
      </c>
      <c r="L1013" s="8">
        <f t="shared" si="140"/>
        <v>4930</v>
      </c>
      <c r="M1013" s="8">
        <v>4930</v>
      </c>
      <c r="N1013" s="137">
        <f t="shared" si="133"/>
        <v>0</v>
      </c>
      <c r="O1013" s="128">
        <f t="shared" si="136"/>
        <v>173</v>
      </c>
      <c r="P1013" s="8">
        <f t="shared" si="141"/>
        <v>336566</v>
      </c>
      <c r="Q1013" s="8">
        <v>336566</v>
      </c>
      <c r="R1013" s="128">
        <f t="shared" si="134"/>
        <v>0</v>
      </c>
      <c r="AQ1013" s="8"/>
      <c r="AR1013" s="8"/>
      <c r="AS1013" s="8"/>
    </row>
    <row r="1014" spans="1:45">
      <c r="A1014" s="12">
        <v>45389</v>
      </c>
      <c r="B1014" s="8">
        <f t="shared" si="137"/>
        <v>627789</v>
      </c>
      <c r="C1014" s="8">
        <v>628020</v>
      </c>
      <c r="D1014" s="128">
        <f t="shared" si="135"/>
        <v>231</v>
      </c>
      <c r="E1014" s="8">
        <f t="shared" si="138"/>
        <v>226686</v>
      </c>
      <c r="F1014" s="8">
        <v>226920</v>
      </c>
      <c r="G1014" s="137">
        <f t="shared" si="142"/>
        <v>234</v>
      </c>
      <c r="H1014" s="128">
        <f t="shared" si="132"/>
        <v>465</v>
      </c>
      <c r="I1014" s="8">
        <f t="shared" si="139"/>
        <v>789646</v>
      </c>
      <c r="J1014" s="8">
        <v>789820</v>
      </c>
      <c r="K1014" s="137">
        <f t="shared" ref="K1014:K1077" si="143">J1014-I1014</f>
        <v>174</v>
      </c>
      <c r="L1014" s="8">
        <f t="shared" si="140"/>
        <v>4930</v>
      </c>
      <c r="M1014" s="8">
        <v>4930</v>
      </c>
      <c r="N1014" s="137">
        <f t="shared" si="133"/>
        <v>0</v>
      </c>
      <c r="O1014" s="128">
        <f t="shared" si="136"/>
        <v>174</v>
      </c>
      <c r="P1014" s="8">
        <f t="shared" si="141"/>
        <v>336566</v>
      </c>
      <c r="Q1014" s="8">
        <v>336566</v>
      </c>
      <c r="R1014" s="128">
        <f t="shared" si="134"/>
        <v>0</v>
      </c>
      <c r="AQ1014" s="8"/>
      <c r="AR1014" s="8"/>
      <c r="AS1014" s="8"/>
    </row>
    <row r="1015" spans="1:45">
      <c r="A1015" s="12">
        <v>45390</v>
      </c>
      <c r="B1015" s="8">
        <f t="shared" si="137"/>
        <v>628020</v>
      </c>
      <c r="C1015" s="8">
        <v>628228</v>
      </c>
      <c r="D1015" s="128">
        <f t="shared" si="135"/>
        <v>208</v>
      </c>
      <c r="E1015" s="8">
        <f t="shared" si="138"/>
        <v>226920</v>
      </c>
      <c r="F1015" s="8">
        <v>227179</v>
      </c>
      <c r="G1015" s="137">
        <f t="shared" si="142"/>
        <v>259</v>
      </c>
      <c r="H1015" s="128">
        <f t="shared" si="132"/>
        <v>467</v>
      </c>
      <c r="I1015" s="8">
        <f t="shared" si="139"/>
        <v>789820</v>
      </c>
      <c r="J1015" s="8">
        <v>790006</v>
      </c>
      <c r="K1015" s="137">
        <f t="shared" si="143"/>
        <v>186</v>
      </c>
      <c r="L1015" s="8">
        <f t="shared" si="140"/>
        <v>4930</v>
      </c>
      <c r="M1015" s="8">
        <v>4930</v>
      </c>
      <c r="N1015" s="137">
        <f t="shared" si="133"/>
        <v>0</v>
      </c>
      <c r="O1015" s="128">
        <f t="shared" si="136"/>
        <v>186</v>
      </c>
      <c r="P1015" s="8">
        <f t="shared" si="141"/>
        <v>336566</v>
      </c>
      <c r="Q1015" s="8">
        <v>336566</v>
      </c>
      <c r="R1015" s="128">
        <f t="shared" si="134"/>
        <v>0</v>
      </c>
      <c r="AQ1015" s="8"/>
      <c r="AR1015" s="8"/>
      <c r="AS1015" s="8"/>
    </row>
    <row r="1016" spans="1:45">
      <c r="A1016" s="12">
        <v>45391</v>
      </c>
      <c r="B1016" s="8">
        <f t="shared" si="137"/>
        <v>628228</v>
      </c>
      <c r="C1016" s="8">
        <v>628473</v>
      </c>
      <c r="D1016" s="128">
        <f t="shared" si="135"/>
        <v>245</v>
      </c>
      <c r="E1016" s="8">
        <f t="shared" si="138"/>
        <v>227179</v>
      </c>
      <c r="F1016" s="8">
        <v>227473</v>
      </c>
      <c r="G1016" s="137">
        <f t="shared" si="142"/>
        <v>294</v>
      </c>
      <c r="H1016" s="128">
        <f t="shared" si="132"/>
        <v>539</v>
      </c>
      <c r="I1016" s="8">
        <f t="shared" si="139"/>
        <v>790006</v>
      </c>
      <c r="J1016" s="8">
        <v>790178</v>
      </c>
      <c r="K1016" s="137">
        <f t="shared" si="143"/>
        <v>172</v>
      </c>
      <c r="L1016" s="8">
        <f t="shared" si="140"/>
        <v>4930</v>
      </c>
      <c r="M1016" s="8">
        <v>4930</v>
      </c>
      <c r="N1016" s="137">
        <f t="shared" si="133"/>
        <v>0</v>
      </c>
      <c r="O1016" s="128">
        <f t="shared" si="136"/>
        <v>172</v>
      </c>
      <c r="P1016" s="8">
        <f t="shared" si="141"/>
        <v>336566</v>
      </c>
      <c r="Q1016" s="8">
        <v>336566</v>
      </c>
      <c r="R1016" s="128">
        <f t="shared" si="134"/>
        <v>0</v>
      </c>
      <c r="AQ1016" s="8"/>
      <c r="AR1016" s="8"/>
      <c r="AS1016" s="8"/>
    </row>
    <row r="1017" spans="1:45">
      <c r="A1017" s="12">
        <v>45392</v>
      </c>
      <c r="B1017" s="8">
        <f t="shared" si="137"/>
        <v>628473</v>
      </c>
      <c r="C1017" s="8">
        <v>628700</v>
      </c>
      <c r="D1017" s="128">
        <f t="shared" si="135"/>
        <v>227</v>
      </c>
      <c r="E1017" s="8">
        <f t="shared" si="138"/>
        <v>227473</v>
      </c>
      <c r="F1017" s="8">
        <v>227745</v>
      </c>
      <c r="G1017" s="137">
        <f t="shared" si="142"/>
        <v>272</v>
      </c>
      <c r="H1017" s="128">
        <f t="shared" si="132"/>
        <v>499</v>
      </c>
      <c r="I1017" s="8">
        <f t="shared" si="139"/>
        <v>790178</v>
      </c>
      <c r="J1017" s="8">
        <v>790351</v>
      </c>
      <c r="K1017" s="137">
        <f t="shared" si="143"/>
        <v>173</v>
      </c>
      <c r="L1017" s="8">
        <f t="shared" si="140"/>
        <v>4930</v>
      </c>
      <c r="M1017" s="8">
        <v>4930</v>
      </c>
      <c r="N1017" s="137">
        <f t="shared" si="133"/>
        <v>0</v>
      </c>
      <c r="O1017" s="128">
        <f t="shared" si="136"/>
        <v>173</v>
      </c>
      <c r="P1017" s="8">
        <f t="shared" si="141"/>
        <v>336566</v>
      </c>
      <c r="Q1017" s="8">
        <v>336566</v>
      </c>
      <c r="R1017" s="128">
        <f t="shared" si="134"/>
        <v>0</v>
      </c>
      <c r="AQ1017" s="8"/>
      <c r="AR1017" s="8"/>
      <c r="AS1017" s="8"/>
    </row>
    <row r="1018" spans="1:45">
      <c r="A1018" s="12">
        <v>45393</v>
      </c>
      <c r="B1018" s="8">
        <f t="shared" si="137"/>
        <v>628700</v>
      </c>
      <c r="C1018" s="8">
        <v>628924</v>
      </c>
      <c r="D1018" s="128">
        <f t="shared" si="135"/>
        <v>224</v>
      </c>
      <c r="E1018" s="8">
        <f t="shared" si="138"/>
        <v>227745</v>
      </c>
      <c r="F1018" s="8">
        <v>228022</v>
      </c>
      <c r="G1018" s="137">
        <f t="shared" si="142"/>
        <v>277</v>
      </c>
      <c r="H1018" s="128">
        <f t="shared" si="132"/>
        <v>501</v>
      </c>
      <c r="I1018" s="8">
        <f t="shared" si="139"/>
        <v>790351</v>
      </c>
      <c r="J1018" s="8">
        <v>790532</v>
      </c>
      <c r="K1018" s="137">
        <f t="shared" si="143"/>
        <v>181</v>
      </c>
      <c r="L1018" s="8">
        <f t="shared" si="140"/>
        <v>4930</v>
      </c>
      <c r="M1018" s="8">
        <v>4930</v>
      </c>
      <c r="N1018" s="137">
        <f t="shared" si="133"/>
        <v>0</v>
      </c>
      <c r="O1018" s="128">
        <f t="shared" si="136"/>
        <v>181</v>
      </c>
      <c r="P1018" s="8">
        <f t="shared" si="141"/>
        <v>336566</v>
      </c>
      <c r="Q1018" s="8">
        <v>336566</v>
      </c>
      <c r="R1018" s="128">
        <f t="shared" si="134"/>
        <v>0</v>
      </c>
      <c r="AQ1018" s="8"/>
      <c r="AR1018" s="8"/>
      <c r="AS1018" s="8"/>
    </row>
    <row r="1019" spans="1:45">
      <c r="A1019" s="12">
        <v>45394</v>
      </c>
      <c r="B1019" s="8">
        <f t="shared" si="137"/>
        <v>628924</v>
      </c>
      <c r="C1019" s="8">
        <v>629148</v>
      </c>
      <c r="D1019" s="128">
        <f t="shared" si="135"/>
        <v>224</v>
      </c>
      <c r="E1019" s="8">
        <f t="shared" si="138"/>
        <v>228022</v>
      </c>
      <c r="F1019" s="8">
        <v>228311</v>
      </c>
      <c r="G1019" s="137">
        <f t="shared" si="142"/>
        <v>289</v>
      </c>
      <c r="H1019" s="128">
        <f t="shared" si="132"/>
        <v>513</v>
      </c>
      <c r="I1019" s="8">
        <f t="shared" si="139"/>
        <v>790532</v>
      </c>
      <c r="J1019" s="8">
        <v>790540</v>
      </c>
      <c r="K1019" s="137">
        <f t="shared" si="143"/>
        <v>8</v>
      </c>
      <c r="L1019" s="8">
        <f t="shared" si="140"/>
        <v>4930</v>
      </c>
      <c r="M1019" s="8">
        <v>4930</v>
      </c>
      <c r="N1019" s="137">
        <f t="shared" si="133"/>
        <v>0</v>
      </c>
      <c r="O1019" s="128">
        <f t="shared" si="136"/>
        <v>8</v>
      </c>
      <c r="P1019" s="8">
        <f t="shared" si="141"/>
        <v>336566</v>
      </c>
      <c r="Q1019" s="8">
        <v>336566</v>
      </c>
      <c r="R1019" s="128">
        <f t="shared" si="134"/>
        <v>0</v>
      </c>
      <c r="AQ1019" s="8"/>
      <c r="AR1019" s="8"/>
      <c r="AS1019" s="8"/>
    </row>
    <row r="1020" spans="1:45">
      <c r="A1020" s="12">
        <v>45395</v>
      </c>
      <c r="B1020" s="8">
        <f t="shared" si="137"/>
        <v>629148</v>
      </c>
      <c r="C1020" s="8">
        <v>629420</v>
      </c>
      <c r="D1020" s="128">
        <f t="shared" si="135"/>
        <v>272</v>
      </c>
      <c r="E1020" s="8">
        <f t="shared" si="138"/>
        <v>228311</v>
      </c>
      <c r="F1020" s="8">
        <v>228614</v>
      </c>
      <c r="G1020" s="137">
        <f t="shared" si="142"/>
        <v>303</v>
      </c>
      <c r="H1020" s="128">
        <f t="shared" si="132"/>
        <v>575</v>
      </c>
      <c r="I1020" s="8">
        <f t="shared" si="139"/>
        <v>790540</v>
      </c>
      <c r="J1020" s="8">
        <v>790657</v>
      </c>
      <c r="K1020" s="137">
        <f t="shared" si="143"/>
        <v>117</v>
      </c>
      <c r="L1020" s="8">
        <f t="shared" si="140"/>
        <v>4930</v>
      </c>
      <c r="M1020" s="8">
        <v>4930</v>
      </c>
      <c r="N1020" s="137">
        <f t="shared" si="133"/>
        <v>0</v>
      </c>
      <c r="O1020" s="128">
        <f t="shared" si="136"/>
        <v>117</v>
      </c>
      <c r="P1020" s="8">
        <f t="shared" si="141"/>
        <v>336566</v>
      </c>
      <c r="Q1020" s="8">
        <v>336566</v>
      </c>
      <c r="R1020" s="128">
        <f t="shared" si="134"/>
        <v>0</v>
      </c>
      <c r="AQ1020" s="8"/>
      <c r="AR1020" s="8"/>
      <c r="AS1020" s="8"/>
    </row>
    <row r="1021" spans="1:45">
      <c r="A1021" s="12">
        <v>45396</v>
      </c>
      <c r="B1021" s="8">
        <f t="shared" si="137"/>
        <v>629420</v>
      </c>
      <c r="C1021" s="8">
        <v>629611</v>
      </c>
      <c r="D1021" s="128">
        <f t="shared" si="135"/>
        <v>191</v>
      </c>
      <c r="E1021" s="8">
        <f t="shared" si="138"/>
        <v>228614</v>
      </c>
      <c r="F1021" s="8">
        <v>228859</v>
      </c>
      <c r="G1021" s="137">
        <f t="shared" si="142"/>
        <v>245</v>
      </c>
      <c r="H1021" s="128">
        <f t="shared" si="132"/>
        <v>436</v>
      </c>
      <c r="I1021" s="8">
        <f t="shared" si="139"/>
        <v>790657</v>
      </c>
      <c r="J1021" s="8">
        <v>790657</v>
      </c>
      <c r="K1021" s="137">
        <f t="shared" si="143"/>
        <v>0</v>
      </c>
      <c r="L1021" s="8">
        <f t="shared" si="140"/>
        <v>4930</v>
      </c>
      <c r="M1021" s="8">
        <v>4930</v>
      </c>
      <c r="N1021" s="137">
        <f t="shared" si="133"/>
        <v>0</v>
      </c>
      <c r="O1021" s="128">
        <f t="shared" si="136"/>
        <v>0</v>
      </c>
      <c r="P1021" s="8">
        <f t="shared" si="141"/>
        <v>336566</v>
      </c>
      <c r="Q1021" s="8">
        <v>336566</v>
      </c>
      <c r="R1021" s="128">
        <f t="shared" si="134"/>
        <v>0</v>
      </c>
      <c r="AQ1021" s="8"/>
      <c r="AR1021" s="8"/>
      <c r="AS1021" s="8"/>
    </row>
    <row r="1022" spans="1:45">
      <c r="A1022" s="12">
        <v>45397</v>
      </c>
      <c r="B1022" s="8">
        <f t="shared" si="137"/>
        <v>629611</v>
      </c>
      <c r="C1022" s="8">
        <v>629817</v>
      </c>
      <c r="D1022" s="128">
        <f t="shared" si="135"/>
        <v>206</v>
      </c>
      <c r="E1022" s="8">
        <f t="shared" si="138"/>
        <v>228859</v>
      </c>
      <c r="F1022" s="8">
        <v>229084</v>
      </c>
      <c r="G1022" s="137">
        <f t="shared" si="142"/>
        <v>225</v>
      </c>
      <c r="H1022" s="128">
        <f t="shared" si="132"/>
        <v>431</v>
      </c>
      <c r="I1022" s="8">
        <f t="shared" si="139"/>
        <v>790657</v>
      </c>
      <c r="J1022" s="8">
        <v>790757</v>
      </c>
      <c r="K1022" s="137">
        <f t="shared" si="143"/>
        <v>100</v>
      </c>
      <c r="L1022" s="8">
        <f t="shared" si="140"/>
        <v>4930</v>
      </c>
      <c r="M1022" s="8">
        <v>4930</v>
      </c>
      <c r="N1022" s="137">
        <f t="shared" si="133"/>
        <v>0</v>
      </c>
      <c r="O1022" s="128">
        <f t="shared" si="136"/>
        <v>100</v>
      </c>
      <c r="P1022" s="8">
        <f t="shared" si="141"/>
        <v>336566</v>
      </c>
      <c r="Q1022" s="8">
        <v>336566</v>
      </c>
      <c r="R1022" s="128">
        <f t="shared" si="134"/>
        <v>0</v>
      </c>
      <c r="AQ1022" s="8"/>
      <c r="AR1022" s="8"/>
      <c r="AS1022" s="8"/>
    </row>
    <row r="1023" spans="1:45">
      <c r="A1023" s="12">
        <v>45398</v>
      </c>
      <c r="B1023" s="8">
        <f t="shared" si="137"/>
        <v>629817</v>
      </c>
      <c r="C1023" s="8">
        <v>630035</v>
      </c>
      <c r="D1023" s="128">
        <f t="shared" si="135"/>
        <v>218</v>
      </c>
      <c r="E1023" s="8">
        <f t="shared" si="138"/>
        <v>229084</v>
      </c>
      <c r="F1023" s="8">
        <v>229324</v>
      </c>
      <c r="G1023" s="137">
        <f t="shared" si="142"/>
        <v>240</v>
      </c>
      <c r="H1023" s="128">
        <f t="shared" si="132"/>
        <v>458</v>
      </c>
      <c r="I1023" s="8">
        <f t="shared" si="139"/>
        <v>790757</v>
      </c>
      <c r="J1023" s="8">
        <v>790913</v>
      </c>
      <c r="K1023" s="137">
        <f t="shared" si="143"/>
        <v>156</v>
      </c>
      <c r="L1023" s="8">
        <f t="shared" si="140"/>
        <v>4930</v>
      </c>
      <c r="M1023" s="8">
        <v>4930</v>
      </c>
      <c r="N1023" s="137">
        <f t="shared" si="133"/>
        <v>0</v>
      </c>
      <c r="O1023" s="128">
        <f t="shared" si="136"/>
        <v>156</v>
      </c>
      <c r="P1023" s="8">
        <f t="shared" si="141"/>
        <v>336566</v>
      </c>
      <c r="Q1023" s="8">
        <v>336566</v>
      </c>
      <c r="R1023" s="128">
        <f t="shared" si="134"/>
        <v>0</v>
      </c>
      <c r="AQ1023" s="8"/>
      <c r="AR1023" s="8"/>
      <c r="AS1023" s="8"/>
    </row>
    <row r="1024" spans="1:45">
      <c r="A1024" s="12">
        <v>45399</v>
      </c>
      <c r="B1024" s="8">
        <f t="shared" si="137"/>
        <v>630035</v>
      </c>
      <c r="C1024" s="8">
        <v>630285</v>
      </c>
      <c r="D1024" s="128">
        <f t="shared" si="135"/>
        <v>250</v>
      </c>
      <c r="E1024" s="8">
        <f t="shared" si="138"/>
        <v>229324</v>
      </c>
      <c r="F1024" s="8">
        <v>229641</v>
      </c>
      <c r="G1024" s="137">
        <f t="shared" si="142"/>
        <v>317</v>
      </c>
      <c r="H1024" s="128">
        <f t="shared" si="132"/>
        <v>567</v>
      </c>
      <c r="I1024" s="8">
        <f t="shared" si="139"/>
        <v>790913</v>
      </c>
      <c r="J1024" s="8">
        <v>791089</v>
      </c>
      <c r="K1024" s="137">
        <f t="shared" si="143"/>
        <v>176</v>
      </c>
      <c r="L1024" s="8">
        <f t="shared" si="140"/>
        <v>4930</v>
      </c>
      <c r="M1024" s="8">
        <v>4930</v>
      </c>
      <c r="N1024" s="137">
        <f t="shared" si="133"/>
        <v>0</v>
      </c>
      <c r="O1024" s="128">
        <f t="shared" si="136"/>
        <v>176</v>
      </c>
      <c r="P1024" s="8">
        <f t="shared" si="141"/>
        <v>336566</v>
      </c>
      <c r="Q1024" s="8">
        <v>336566</v>
      </c>
      <c r="R1024" s="128">
        <f t="shared" si="134"/>
        <v>0</v>
      </c>
      <c r="AQ1024" s="8"/>
      <c r="AR1024" s="8"/>
      <c r="AS1024" s="8"/>
    </row>
    <row r="1025" spans="1:45">
      <c r="A1025" s="12">
        <v>45400</v>
      </c>
      <c r="B1025" s="8">
        <f t="shared" si="137"/>
        <v>630285</v>
      </c>
      <c r="C1025" s="8">
        <v>630527</v>
      </c>
      <c r="D1025" s="128">
        <f t="shared" si="135"/>
        <v>242</v>
      </c>
      <c r="E1025" s="8">
        <f t="shared" si="138"/>
        <v>229641</v>
      </c>
      <c r="F1025" s="8">
        <v>229937</v>
      </c>
      <c r="G1025" s="137">
        <f t="shared" si="142"/>
        <v>296</v>
      </c>
      <c r="H1025" s="128">
        <f t="shared" ref="H1025:H1088" si="144">D1025+G1025</f>
        <v>538</v>
      </c>
      <c r="I1025" s="8">
        <f t="shared" si="139"/>
        <v>791089</v>
      </c>
      <c r="J1025" s="8">
        <v>791321</v>
      </c>
      <c r="K1025" s="137">
        <f t="shared" si="143"/>
        <v>232</v>
      </c>
      <c r="L1025" s="8">
        <f t="shared" si="140"/>
        <v>4930</v>
      </c>
      <c r="M1025" s="8">
        <v>4930</v>
      </c>
      <c r="N1025" s="137">
        <f t="shared" si="133"/>
        <v>0</v>
      </c>
      <c r="O1025" s="128">
        <f t="shared" si="136"/>
        <v>232</v>
      </c>
      <c r="P1025" s="8">
        <f t="shared" si="141"/>
        <v>336566</v>
      </c>
      <c r="Q1025" s="8">
        <v>336566</v>
      </c>
      <c r="R1025" s="128">
        <f t="shared" si="134"/>
        <v>0</v>
      </c>
      <c r="AQ1025" s="8"/>
      <c r="AR1025" s="8"/>
      <c r="AS1025" s="8"/>
    </row>
    <row r="1026" spans="1:45">
      <c r="A1026" s="12">
        <v>45401</v>
      </c>
      <c r="B1026" s="8">
        <f t="shared" si="137"/>
        <v>630527</v>
      </c>
      <c r="C1026" s="8">
        <v>630781</v>
      </c>
      <c r="D1026" s="128">
        <f t="shared" si="135"/>
        <v>254</v>
      </c>
      <c r="E1026" s="8">
        <f t="shared" si="138"/>
        <v>229937</v>
      </c>
      <c r="F1026" s="8">
        <v>230223</v>
      </c>
      <c r="G1026" s="137">
        <f t="shared" si="142"/>
        <v>286</v>
      </c>
      <c r="H1026" s="128">
        <f t="shared" si="144"/>
        <v>540</v>
      </c>
      <c r="I1026" s="8">
        <f>J1025</f>
        <v>791321</v>
      </c>
      <c r="J1026" s="8">
        <v>791482</v>
      </c>
      <c r="K1026" s="137">
        <f t="shared" si="143"/>
        <v>161</v>
      </c>
      <c r="L1026" s="8">
        <f t="shared" si="140"/>
        <v>4930</v>
      </c>
      <c r="M1026" s="8">
        <v>4930</v>
      </c>
      <c r="N1026" s="137">
        <f t="shared" si="133"/>
        <v>0</v>
      </c>
      <c r="O1026" s="128">
        <f t="shared" si="136"/>
        <v>161</v>
      </c>
      <c r="P1026" s="8">
        <f t="shared" si="141"/>
        <v>336566</v>
      </c>
      <c r="Q1026" s="8">
        <v>336566</v>
      </c>
      <c r="R1026" s="128">
        <f t="shared" si="134"/>
        <v>0</v>
      </c>
      <c r="AQ1026" s="8"/>
      <c r="AR1026" s="8"/>
      <c r="AS1026" s="8"/>
    </row>
    <row r="1027" spans="1:45">
      <c r="A1027" s="12">
        <v>45402</v>
      </c>
      <c r="B1027" s="8">
        <f t="shared" si="137"/>
        <v>630781</v>
      </c>
      <c r="C1027" s="8">
        <v>631011</v>
      </c>
      <c r="D1027" s="128">
        <f t="shared" si="135"/>
        <v>230</v>
      </c>
      <c r="E1027" s="8">
        <f t="shared" si="138"/>
        <v>230223</v>
      </c>
      <c r="F1027" s="8">
        <v>230484</v>
      </c>
      <c r="G1027" s="137">
        <f t="shared" si="142"/>
        <v>261</v>
      </c>
      <c r="H1027" s="128">
        <f t="shared" si="144"/>
        <v>491</v>
      </c>
      <c r="I1027" s="8">
        <f t="shared" ref="I1027:I1090" si="145">J1026</f>
        <v>791482</v>
      </c>
      <c r="J1027" s="8">
        <v>791645</v>
      </c>
      <c r="K1027" s="137">
        <f t="shared" si="143"/>
        <v>163</v>
      </c>
      <c r="L1027" s="8">
        <f t="shared" si="140"/>
        <v>4930</v>
      </c>
      <c r="M1027" s="8">
        <v>4930</v>
      </c>
      <c r="N1027" s="137">
        <f t="shared" si="133"/>
        <v>0</v>
      </c>
      <c r="O1027" s="128">
        <f t="shared" si="136"/>
        <v>163</v>
      </c>
      <c r="P1027" s="8">
        <f t="shared" si="141"/>
        <v>336566</v>
      </c>
      <c r="Q1027" s="8">
        <v>336566</v>
      </c>
      <c r="R1027" s="128">
        <f t="shared" si="134"/>
        <v>0</v>
      </c>
      <c r="AQ1027" s="8"/>
      <c r="AR1027" s="8"/>
      <c r="AS1027" s="8"/>
    </row>
    <row r="1028" spans="1:45">
      <c r="A1028" s="12">
        <v>45403</v>
      </c>
      <c r="B1028" s="8">
        <f t="shared" si="137"/>
        <v>631011</v>
      </c>
      <c r="C1028" s="8">
        <v>631197</v>
      </c>
      <c r="D1028" s="128">
        <f t="shared" si="135"/>
        <v>186</v>
      </c>
      <c r="E1028" s="8">
        <f t="shared" si="138"/>
        <v>230484</v>
      </c>
      <c r="F1028" s="8">
        <v>230760</v>
      </c>
      <c r="G1028" s="137">
        <f t="shared" si="142"/>
        <v>276</v>
      </c>
      <c r="H1028" s="128">
        <f t="shared" si="144"/>
        <v>462</v>
      </c>
      <c r="I1028" s="8">
        <f t="shared" si="145"/>
        <v>791645</v>
      </c>
      <c r="J1028" s="8">
        <v>791813</v>
      </c>
      <c r="K1028" s="137">
        <f t="shared" si="143"/>
        <v>168</v>
      </c>
      <c r="L1028" s="8">
        <f t="shared" si="140"/>
        <v>4930</v>
      </c>
      <c r="M1028" s="8">
        <v>4930</v>
      </c>
      <c r="N1028" s="137">
        <f t="shared" si="133"/>
        <v>0</v>
      </c>
      <c r="O1028" s="128">
        <f t="shared" si="136"/>
        <v>168</v>
      </c>
      <c r="P1028" s="8">
        <f t="shared" si="141"/>
        <v>336566</v>
      </c>
      <c r="Q1028" s="8">
        <v>336566</v>
      </c>
      <c r="R1028" s="128">
        <f t="shared" si="134"/>
        <v>0</v>
      </c>
      <c r="AQ1028" s="8"/>
      <c r="AR1028" s="8"/>
      <c r="AS1028" s="8"/>
    </row>
    <row r="1029" spans="1:45">
      <c r="A1029" s="12">
        <v>45404</v>
      </c>
      <c r="B1029" s="8">
        <f t="shared" si="137"/>
        <v>631197</v>
      </c>
      <c r="C1029" s="8">
        <v>631362</v>
      </c>
      <c r="D1029" s="128">
        <f t="shared" si="135"/>
        <v>165</v>
      </c>
      <c r="E1029" s="8">
        <f t="shared" si="138"/>
        <v>230760</v>
      </c>
      <c r="F1029" s="8">
        <v>230965</v>
      </c>
      <c r="G1029" s="137">
        <f t="shared" si="142"/>
        <v>205</v>
      </c>
      <c r="H1029" s="128">
        <f t="shared" si="144"/>
        <v>370</v>
      </c>
      <c r="I1029" s="8">
        <f t="shared" si="145"/>
        <v>791813</v>
      </c>
      <c r="J1029" s="8">
        <v>792016</v>
      </c>
      <c r="K1029" s="137">
        <f t="shared" si="143"/>
        <v>203</v>
      </c>
      <c r="L1029" s="8">
        <f t="shared" si="140"/>
        <v>4930</v>
      </c>
      <c r="M1029" s="8">
        <v>4930</v>
      </c>
      <c r="N1029" s="137">
        <f t="shared" si="133"/>
        <v>0</v>
      </c>
      <c r="O1029" s="128">
        <f t="shared" si="136"/>
        <v>203</v>
      </c>
      <c r="P1029" s="8">
        <f t="shared" si="141"/>
        <v>336566</v>
      </c>
      <c r="Q1029" s="8">
        <v>336566</v>
      </c>
      <c r="R1029" s="128">
        <f t="shared" si="134"/>
        <v>0</v>
      </c>
      <c r="AQ1029" s="8"/>
      <c r="AR1029" s="8"/>
      <c r="AS1029" s="8"/>
    </row>
    <row r="1030" spans="1:45">
      <c r="A1030" s="12">
        <v>45405</v>
      </c>
      <c r="B1030" s="8">
        <f t="shared" si="137"/>
        <v>631362</v>
      </c>
      <c r="C1030" s="8">
        <v>631373</v>
      </c>
      <c r="D1030" s="128">
        <f t="shared" si="135"/>
        <v>11</v>
      </c>
      <c r="E1030" s="8">
        <f t="shared" si="138"/>
        <v>230965</v>
      </c>
      <c r="F1030" s="8">
        <v>230967</v>
      </c>
      <c r="G1030" s="137">
        <f t="shared" si="142"/>
        <v>2</v>
      </c>
      <c r="H1030" s="128">
        <f t="shared" si="144"/>
        <v>13</v>
      </c>
      <c r="I1030" s="8">
        <f t="shared" si="145"/>
        <v>792016</v>
      </c>
      <c r="J1030" s="8">
        <v>792262</v>
      </c>
      <c r="K1030" s="137">
        <f t="shared" si="143"/>
        <v>246</v>
      </c>
      <c r="L1030" s="8">
        <f t="shared" si="140"/>
        <v>4930</v>
      </c>
      <c r="M1030" s="8">
        <v>4930</v>
      </c>
      <c r="N1030" s="137">
        <f t="shared" si="133"/>
        <v>0</v>
      </c>
      <c r="O1030" s="128">
        <f t="shared" si="136"/>
        <v>246</v>
      </c>
      <c r="P1030" s="8">
        <f t="shared" si="141"/>
        <v>336566</v>
      </c>
      <c r="Q1030" s="8">
        <v>336566</v>
      </c>
      <c r="R1030" s="128">
        <f t="shared" si="134"/>
        <v>0</v>
      </c>
      <c r="AQ1030" s="8"/>
      <c r="AR1030" s="8"/>
      <c r="AS1030" s="8"/>
    </row>
    <row r="1031" spans="1:45">
      <c r="A1031" s="12">
        <v>45406</v>
      </c>
      <c r="B1031" s="8">
        <f t="shared" si="137"/>
        <v>631373</v>
      </c>
      <c r="C1031" s="8">
        <v>631478</v>
      </c>
      <c r="D1031" s="128">
        <f t="shared" si="135"/>
        <v>105</v>
      </c>
      <c r="E1031" s="8">
        <f t="shared" si="138"/>
        <v>230967</v>
      </c>
      <c r="F1031" s="8">
        <v>231051</v>
      </c>
      <c r="G1031" s="137">
        <f t="shared" si="142"/>
        <v>84</v>
      </c>
      <c r="H1031" s="128">
        <f t="shared" si="144"/>
        <v>189</v>
      </c>
      <c r="I1031" s="8">
        <f t="shared" si="145"/>
        <v>792262</v>
      </c>
      <c r="J1031" s="8">
        <v>792459</v>
      </c>
      <c r="K1031" s="137">
        <f t="shared" si="143"/>
        <v>197</v>
      </c>
      <c r="L1031" s="8">
        <f t="shared" si="140"/>
        <v>4930</v>
      </c>
      <c r="M1031" s="8">
        <v>4930</v>
      </c>
      <c r="N1031" s="137">
        <f t="shared" si="133"/>
        <v>0</v>
      </c>
      <c r="O1031" s="128">
        <f t="shared" si="136"/>
        <v>197</v>
      </c>
      <c r="P1031" s="8">
        <f t="shared" si="141"/>
        <v>336566</v>
      </c>
      <c r="Q1031" s="8">
        <v>336566</v>
      </c>
      <c r="R1031" s="128">
        <f t="shared" si="134"/>
        <v>0</v>
      </c>
      <c r="AQ1031" s="8"/>
      <c r="AR1031" s="8"/>
      <c r="AS1031" s="8"/>
    </row>
    <row r="1032" spans="1:45">
      <c r="A1032" s="12">
        <v>45407</v>
      </c>
      <c r="B1032" s="8">
        <f t="shared" si="137"/>
        <v>631478</v>
      </c>
      <c r="C1032" s="8">
        <v>631478</v>
      </c>
      <c r="D1032" s="128">
        <f t="shared" si="135"/>
        <v>0</v>
      </c>
      <c r="E1032" s="8">
        <f t="shared" si="138"/>
        <v>231051</v>
      </c>
      <c r="F1032" s="8">
        <v>231051</v>
      </c>
      <c r="G1032" s="137">
        <f t="shared" si="142"/>
        <v>0</v>
      </c>
      <c r="H1032" s="128">
        <f t="shared" si="144"/>
        <v>0</v>
      </c>
      <c r="I1032" s="8">
        <f t="shared" si="145"/>
        <v>792459</v>
      </c>
      <c r="J1032" s="8">
        <v>792579</v>
      </c>
      <c r="K1032" s="137">
        <f t="shared" si="143"/>
        <v>120</v>
      </c>
      <c r="L1032" s="8">
        <f t="shared" si="140"/>
        <v>4930</v>
      </c>
      <c r="M1032" s="8">
        <v>4930</v>
      </c>
      <c r="N1032" s="137">
        <f t="shared" si="133"/>
        <v>0</v>
      </c>
      <c r="O1032" s="128">
        <f t="shared" si="136"/>
        <v>120</v>
      </c>
      <c r="P1032" s="8">
        <f t="shared" si="141"/>
        <v>336566</v>
      </c>
      <c r="Q1032" s="8">
        <v>336566</v>
      </c>
      <c r="R1032" s="128">
        <f t="shared" si="134"/>
        <v>0</v>
      </c>
      <c r="AQ1032" s="8"/>
      <c r="AR1032" s="8"/>
      <c r="AS1032" s="8"/>
    </row>
    <row r="1033" spans="1:45">
      <c r="A1033" s="12">
        <v>45408</v>
      </c>
      <c r="B1033" s="8">
        <f t="shared" si="137"/>
        <v>631478</v>
      </c>
      <c r="C1033" s="8">
        <v>631610</v>
      </c>
      <c r="D1033" s="128">
        <f t="shared" si="135"/>
        <v>132</v>
      </c>
      <c r="E1033" s="8">
        <f t="shared" si="138"/>
        <v>231051</v>
      </c>
      <c r="F1033" s="8">
        <v>231169</v>
      </c>
      <c r="G1033" s="137">
        <f t="shared" si="142"/>
        <v>118</v>
      </c>
      <c r="H1033" s="128">
        <f t="shared" si="144"/>
        <v>250</v>
      </c>
      <c r="I1033" s="8">
        <f t="shared" si="145"/>
        <v>792579</v>
      </c>
      <c r="J1033" s="8">
        <v>792660</v>
      </c>
      <c r="K1033" s="137">
        <f t="shared" si="143"/>
        <v>81</v>
      </c>
      <c r="L1033" s="8">
        <f t="shared" si="140"/>
        <v>4930</v>
      </c>
      <c r="M1033" s="8">
        <v>4930</v>
      </c>
      <c r="N1033" s="137">
        <f t="shared" si="133"/>
        <v>0</v>
      </c>
      <c r="O1033" s="128">
        <f t="shared" si="136"/>
        <v>81</v>
      </c>
      <c r="P1033" s="8">
        <f t="shared" si="141"/>
        <v>336566</v>
      </c>
      <c r="Q1033" s="8">
        <v>336566</v>
      </c>
      <c r="R1033" s="128">
        <f t="shared" si="134"/>
        <v>0</v>
      </c>
      <c r="AQ1033" s="8"/>
      <c r="AR1033" s="8"/>
      <c r="AS1033" s="8"/>
    </row>
    <row r="1034" spans="1:45">
      <c r="A1034" s="12">
        <v>45409</v>
      </c>
      <c r="B1034" s="8">
        <f t="shared" si="137"/>
        <v>631610</v>
      </c>
      <c r="C1034" s="8">
        <v>631905</v>
      </c>
      <c r="D1034" s="128">
        <f t="shared" si="135"/>
        <v>295</v>
      </c>
      <c r="E1034" s="8">
        <f t="shared" si="138"/>
        <v>231169</v>
      </c>
      <c r="F1034" s="8">
        <v>231404</v>
      </c>
      <c r="G1034" s="137">
        <f t="shared" si="142"/>
        <v>235</v>
      </c>
      <c r="H1034" s="128">
        <f t="shared" si="144"/>
        <v>530</v>
      </c>
      <c r="I1034" s="8">
        <f t="shared" si="145"/>
        <v>792660</v>
      </c>
      <c r="J1034" s="8">
        <v>792816</v>
      </c>
      <c r="K1034" s="137">
        <f t="shared" si="143"/>
        <v>156</v>
      </c>
      <c r="L1034" s="8">
        <f t="shared" si="140"/>
        <v>4930</v>
      </c>
      <c r="M1034" s="8">
        <v>4930</v>
      </c>
      <c r="N1034" s="137">
        <f t="shared" si="133"/>
        <v>0</v>
      </c>
      <c r="O1034" s="128">
        <f t="shared" si="136"/>
        <v>156</v>
      </c>
      <c r="P1034" s="8">
        <f t="shared" si="141"/>
        <v>336566</v>
      </c>
      <c r="Q1034" s="8">
        <v>336566</v>
      </c>
      <c r="R1034" s="128">
        <f t="shared" si="134"/>
        <v>0</v>
      </c>
      <c r="AQ1034" s="8"/>
      <c r="AR1034" s="8"/>
      <c r="AS1034" s="8"/>
    </row>
    <row r="1035" spans="1:45">
      <c r="A1035" s="12">
        <v>45410</v>
      </c>
      <c r="B1035" s="8">
        <f t="shared" si="137"/>
        <v>631905</v>
      </c>
      <c r="C1035" s="8">
        <v>632129</v>
      </c>
      <c r="D1035" s="128">
        <f t="shared" si="135"/>
        <v>224</v>
      </c>
      <c r="E1035" s="8">
        <f t="shared" si="138"/>
        <v>231404</v>
      </c>
      <c r="F1035" s="8">
        <v>231638</v>
      </c>
      <c r="G1035" s="137">
        <f t="shared" si="142"/>
        <v>234</v>
      </c>
      <c r="H1035" s="128">
        <f t="shared" si="144"/>
        <v>458</v>
      </c>
      <c r="I1035" s="8">
        <f t="shared" si="145"/>
        <v>792816</v>
      </c>
      <c r="J1035" s="8">
        <v>792920</v>
      </c>
      <c r="K1035" s="137">
        <f t="shared" si="143"/>
        <v>104</v>
      </c>
      <c r="L1035" s="8">
        <f t="shared" si="140"/>
        <v>4930</v>
      </c>
      <c r="M1035" s="8">
        <v>4930</v>
      </c>
      <c r="N1035" s="137">
        <f t="shared" ref="N1035:N1098" si="146">M1035-L1035</f>
        <v>0</v>
      </c>
      <c r="O1035" s="128">
        <f t="shared" si="136"/>
        <v>104</v>
      </c>
      <c r="P1035" s="8">
        <f t="shared" si="141"/>
        <v>336566</v>
      </c>
      <c r="Q1035" s="8">
        <v>336566</v>
      </c>
      <c r="R1035" s="128">
        <f t="shared" si="134"/>
        <v>0</v>
      </c>
      <c r="AQ1035" s="8"/>
      <c r="AR1035" s="8"/>
      <c r="AS1035" s="8"/>
    </row>
    <row r="1036" spans="1:45">
      <c r="A1036" s="12">
        <v>45411</v>
      </c>
      <c r="B1036" s="8">
        <f t="shared" si="137"/>
        <v>632129</v>
      </c>
      <c r="C1036" s="8">
        <v>632284</v>
      </c>
      <c r="D1036" s="128">
        <f t="shared" si="135"/>
        <v>155</v>
      </c>
      <c r="E1036" s="8">
        <f t="shared" si="138"/>
        <v>231638</v>
      </c>
      <c r="F1036" s="8">
        <v>231792</v>
      </c>
      <c r="G1036" s="137">
        <f t="shared" si="142"/>
        <v>154</v>
      </c>
      <c r="H1036" s="128">
        <f t="shared" si="144"/>
        <v>309</v>
      </c>
      <c r="I1036" s="8">
        <f t="shared" si="145"/>
        <v>792920</v>
      </c>
      <c r="J1036" s="8">
        <v>792946</v>
      </c>
      <c r="K1036" s="137">
        <f t="shared" si="143"/>
        <v>26</v>
      </c>
      <c r="L1036" s="8">
        <f t="shared" si="140"/>
        <v>4930</v>
      </c>
      <c r="M1036" s="8">
        <v>4930</v>
      </c>
      <c r="N1036" s="137">
        <f t="shared" si="146"/>
        <v>0</v>
      </c>
      <c r="O1036" s="128">
        <f t="shared" si="136"/>
        <v>26</v>
      </c>
      <c r="P1036" s="8">
        <f t="shared" si="141"/>
        <v>336566</v>
      </c>
      <c r="Q1036" s="8">
        <v>336566</v>
      </c>
      <c r="R1036" s="128">
        <f t="shared" si="134"/>
        <v>0</v>
      </c>
      <c r="AQ1036" s="8"/>
      <c r="AR1036" s="8"/>
      <c r="AS1036" s="8"/>
    </row>
    <row r="1037" spans="1:45">
      <c r="A1037" s="12">
        <v>45412</v>
      </c>
      <c r="B1037" s="8">
        <f t="shared" si="137"/>
        <v>632284</v>
      </c>
      <c r="C1037" s="8">
        <v>632401</v>
      </c>
      <c r="D1037" s="128">
        <f t="shared" si="135"/>
        <v>117</v>
      </c>
      <c r="E1037" s="8">
        <f t="shared" si="138"/>
        <v>231792</v>
      </c>
      <c r="F1037" s="8">
        <v>231965</v>
      </c>
      <c r="G1037" s="137">
        <f t="shared" si="142"/>
        <v>173</v>
      </c>
      <c r="H1037" s="128">
        <f t="shared" si="144"/>
        <v>290</v>
      </c>
      <c r="I1037" s="8">
        <f t="shared" si="145"/>
        <v>792946</v>
      </c>
      <c r="J1037" s="8">
        <v>792957</v>
      </c>
      <c r="K1037" s="137">
        <f t="shared" si="143"/>
        <v>11</v>
      </c>
      <c r="L1037" s="8">
        <f t="shared" si="140"/>
        <v>4930</v>
      </c>
      <c r="M1037" s="8">
        <v>4930</v>
      </c>
      <c r="N1037" s="137">
        <f t="shared" si="146"/>
        <v>0</v>
      </c>
      <c r="O1037" s="128">
        <f t="shared" si="136"/>
        <v>11</v>
      </c>
      <c r="P1037" s="8">
        <f t="shared" si="141"/>
        <v>336566</v>
      </c>
      <c r="Q1037" s="8">
        <v>336566</v>
      </c>
      <c r="R1037" s="128">
        <f t="shared" si="134"/>
        <v>0</v>
      </c>
      <c r="AQ1037" s="8"/>
      <c r="AR1037" s="8"/>
      <c r="AS1037" s="8"/>
    </row>
    <row r="1038" spans="1:45">
      <c r="A1038" s="12">
        <v>45413</v>
      </c>
      <c r="B1038" s="8">
        <f t="shared" si="137"/>
        <v>632401</v>
      </c>
      <c r="C1038" s="8">
        <v>632642</v>
      </c>
      <c r="D1038" s="128">
        <f t="shared" si="135"/>
        <v>241</v>
      </c>
      <c r="E1038" s="8">
        <f t="shared" si="138"/>
        <v>231965</v>
      </c>
      <c r="F1038" s="8">
        <v>232109</v>
      </c>
      <c r="G1038" s="137">
        <f t="shared" si="142"/>
        <v>144</v>
      </c>
      <c r="H1038" s="128">
        <f t="shared" si="144"/>
        <v>385</v>
      </c>
      <c r="I1038" s="8">
        <f t="shared" si="145"/>
        <v>792957</v>
      </c>
      <c r="J1038" s="8">
        <v>793050</v>
      </c>
      <c r="K1038" s="137">
        <f t="shared" si="143"/>
        <v>93</v>
      </c>
      <c r="L1038" s="8">
        <f t="shared" si="140"/>
        <v>4930</v>
      </c>
      <c r="M1038" s="8">
        <v>4930</v>
      </c>
      <c r="N1038" s="137">
        <f t="shared" si="146"/>
        <v>0</v>
      </c>
      <c r="O1038" s="128">
        <f t="shared" si="136"/>
        <v>93</v>
      </c>
      <c r="P1038" s="8">
        <f t="shared" si="141"/>
        <v>336566</v>
      </c>
      <c r="Q1038" s="8">
        <v>336566</v>
      </c>
      <c r="R1038" s="128">
        <f t="shared" si="134"/>
        <v>0</v>
      </c>
      <c r="AQ1038" s="8"/>
      <c r="AR1038" s="8"/>
      <c r="AS1038" s="8"/>
    </row>
    <row r="1039" spans="1:45">
      <c r="A1039" s="12">
        <v>45414</v>
      </c>
      <c r="B1039" s="8">
        <f t="shared" si="137"/>
        <v>632642</v>
      </c>
      <c r="C1039" s="8">
        <v>632810</v>
      </c>
      <c r="D1039" s="128">
        <f t="shared" si="135"/>
        <v>168</v>
      </c>
      <c r="E1039" s="8">
        <f t="shared" si="138"/>
        <v>232109</v>
      </c>
      <c r="F1039" s="8">
        <v>232250</v>
      </c>
      <c r="G1039" s="137">
        <f t="shared" si="142"/>
        <v>141</v>
      </c>
      <c r="H1039" s="128">
        <f>D1039+G1039</f>
        <v>309</v>
      </c>
      <c r="I1039" s="8">
        <f t="shared" si="145"/>
        <v>793050</v>
      </c>
      <c r="J1039" s="8">
        <v>793200</v>
      </c>
      <c r="K1039" s="137">
        <f t="shared" si="143"/>
        <v>150</v>
      </c>
      <c r="L1039" s="8">
        <f t="shared" si="140"/>
        <v>4930</v>
      </c>
      <c r="M1039" s="8">
        <v>4930</v>
      </c>
      <c r="N1039" s="137">
        <f t="shared" si="146"/>
        <v>0</v>
      </c>
      <c r="O1039" s="128">
        <f t="shared" si="136"/>
        <v>150</v>
      </c>
      <c r="P1039" s="8">
        <f t="shared" si="141"/>
        <v>336566</v>
      </c>
      <c r="Q1039" s="8">
        <v>336566</v>
      </c>
      <c r="R1039" s="128">
        <f t="shared" si="134"/>
        <v>0</v>
      </c>
      <c r="AQ1039" s="8"/>
      <c r="AR1039" s="8"/>
      <c r="AS1039" s="8"/>
    </row>
    <row r="1040" spans="1:45">
      <c r="A1040" s="12">
        <v>45415</v>
      </c>
      <c r="B1040" s="8">
        <f t="shared" si="137"/>
        <v>632810</v>
      </c>
      <c r="C1040" s="8">
        <v>633021</v>
      </c>
      <c r="D1040" s="128">
        <f t="shared" si="135"/>
        <v>211</v>
      </c>
      <c r="E1040" s="8">
        <f t="shared" si="138"/>
        <v>232250</v>
      </c>
      <c r="F1040" s="8">
        <v>232430</v>
      </c>
      <c r="G1040" s="137">
        <f t="shared" si="142"/>
        <v>180</v>
      </c>
      <c r="H1040" s="128">
        <f t="shared" si="144"/>
        <v>391</v>
      </c>
      <c r="I1040" s="8">
        <f t="shared" si="145"/>
        <v>793200</v>
      </c>
      <c r="J1040" s="8">
        <v>793412</v>
      </c>
      <c r="K1040" s="137">
        <f t="shared" si="143"/>
        <v>212</v>
      </c>
      <c r="L1040" s="8">
        <f t="shared" si="140"/>
        <v>4930</v>
      </c>
      <c r="M1040" s="8">
        <v>4930</v>
      </c>
      <c r="N1040" s="137">
        <f t="shared" si="146"/>
        <v>0</v>
      </c>
      <c r="O1040" s="128">
        <f t="shared" si="136"/>
        <v>212</v>
      </c>
      <c r="P1040" s="8">
        <f t="shared" si="141"/>
        <v>336566</v>
      </c>
      <c r="Q1040" s="8">
        <v>336566</v>
      </c>
      <c r="R1040" s="128">
        <f t="shared" si="134"/>
        <v>0</v>
      </c>
      <c r="AQ1040" s="8"/>
      <c r="AR1040" s="8"/>
      <c r="AS1040" s="8"/>
    </row>
    <row r="1041" spans="1:45">
      <c r="A1041" s="12">
        <v>45416</v>
      </c>
      <c r="B1041" s="8">
        <f t="shared" si="137"/>
        <v>633021</v>
      </c>
      <c r="C1041" s="8">
        <v>633090</v>
      </c>
      <c r="D1041" s="128">
        <f t="shared" si="135"/>
        <v>69</v>
      </c>
      <c r="E1041" s="8">
        <f t="shared" si="138"/>
        <v>232430</v>
      </c>
      <c r="F1041" s="8">
        <v>232491</v>
      </c>
      <c r="G1041" s="137">
        <f t="shared" si="142"/>
        <v>61</v>
      </c>
      <c r="H1041" s="128">
        <f t="shared" si="144"/>
        <v>130</v>
      </c>
      <c r="I1041" s="8">
        <f t="shared" si="145"/>
        <v>793412</v>
      </c>
      <c r="J1041" s="8">
        <v>793469</v>
      </c>
      <c r="K1041" s="137">
        <f t="shared" si="143"/>
        <v>57</v>
      </c>
      <c r="L1041" s="8">
        <f t="shared" si="140"/>
        <v>4930</v>
      </c>
      <c r="M1041" s="8">
        <v>4930</v>
      </c>
      <c r="N1041" s="137">
        <f t="shared" si="146"/>
        <v>0</v>
      </c>
      <c r="O1041" s="128">
        <f t="shared" si="136"/>
        <v>57</v>
      </c>
      <c r="P1041" s="8">
        <f t="shared" si="141"/>
        <v>336566</v>
      </c>
      <c r="Q1041" s="8">
        <v>336566</v>
      </c>
      <c r="R1041" s="128">
        <f t="shared" si="134"/>
        <v>0</v>
      </c>
      <c r="AQ1041" s="8"/>
      <c r="AR1041" s="8"/>
      <c r="AS1041" s="8"/>
    </row>
    <row r="1042" spans="1:45">
      <c r="A1042" s="12">
        <v>45417</v>
      </c>
      <c r="B1042" s="8">
        <f t="shared" si="137"/>
        <v>633090</v>
      </c>
      <c r="C1042" s="8">
        <v>633097</v>
      </c>
      <c r="D1042" s="128">
        <f t="shared" si="135"/>
        <v>7</v>
      </c>
      <c r="E1042" s="8">
        <f t="shared" si="138"/>
        <v>232491</v>
      </c>
      <c r="F1042" s="8">
        <v>232491</v>
      </c>
      <c r="G1042" s="137">
        <f t="shared" si="142"/>
        <v>0</v>
      </c>
      <c r="H1042" s="128">
        <f t="shared" si="144"/>
        <v>7</v>
      </c>
      <c r="I1042" s="8">
        <f t="shared" si="145"/>
        <v>793469</v>
      </c>
      <c r="J1042" s="8">
        <v>793536</v>
      </c>
      <c r="K1042" s="137">
        <f t="shared" si="143"/>
        <v>67</v>
      </c>
      <c r="L1042" s="8">
        <f t="shared" si="140"/>
        <v>4930</v>
      </c>
      <c r="M1042" s="8">
        <v>4930</v>
      </c>
      <c r="N1042" s="137">
        <f t="shared" si="146"/>
        <v>0</v>
      </c>
      <c r="O1042" s="128">
        <f t="shared" si="136"/>
        <v>67</v>
      </c>
      <c r="P1042" s="8">
        <f t="shared" si="141"/>
        <v>336566</v>
      </c>
      <c r="Q1042" s="8">
        <v>336566</v>
      </c>
      <c r="R1042" s="128">
        <f t="shared" si="134"/>
        <v>0</v>
      </c>
      <c r="AQ1042" s="8"/>
      <c r="AR1042" s="8"/>
      <c r="AS1042" s="8"/>
    </row>
    <row r="1043" spans="1:45">
      <c r="A1043" s="12">
        <v>45418</v>
      </c>
      <c r="B1043" s="8">
        <f t="shared" si="137"/>
        <v>633097</v>
      </c>
      <c r="C1043" s="8">
        <v>633097</v>
      </c>
      <c r="D1043" s="128">
        <f t="shared" si="135"/>
        <v>0</v>
      </c>
      <c r="E1043" s="8">
        <f t="shared" si="138"/>
        <v>232491</v>
      </c>
      <c r="F1043" s="8">
        <v>232491</v>
      </c>
      <c r="G1043" s="137">
        <f t="shared" si="142"/>
        <v>0</v>
      </c>
      <c r="H1043" s="128">
        <f t="shared" si="144"/>
        <v>0</v>
      </c>
      <c r="I1043" s="8">
        <f t="shared" si="145"/>
        <v>793536</v>
      </c>
      <c r="J1043" s="8">
        <v>793706</v>
      </c>
      <c r="K1043" s="137">
        <f t="shared" si="143"/>
        <v>170</v>
      </c>
      <c r="L1043" s="8">
        <f t="shared" si="140"/>
        <v>4930</v>
      </c>
      <c r="M1043" s="8">
        <v>4930</v>
      </c>
      <c r="N1043" s="137">
        <f t="shared" si="146"/>
        <v>0</v>
      </c>
      <c r="O1043" s="128">
        <f t="shared" si="136"/>
        <v>170</v>
      </c>
      <c r="P1043" s="8">
        <f t="shared" si="141"/>
        <v>336566</v>
      </c>
      <c r="Q1043" s="8">
        <v>336566</v>
      </c>
      <c r="R1043" s="128">
        <f t="shared" si="134"/>
        <v>0</v>
      </c>
      <c r="AQ1043" s="8"/>
      <c r="AR1043" s="8"/>
      <c r="AS1043" s="8"/>
    </row>
    <row r="1044" spans="1:45">
      <c r="A1044" s="12">
        <v>45419</v>
      </c>
      <c r="B1044" s="8">
        <f t="shared" si="137"/>
        <v>633097</v>
      </c>
      <c r="C1044" s="8">
        <v>633332</v>
      </c>
      <c r="D1044" s="128">
        <f t="shared" si="135"/>
        <v>235</v>
      </c>
      <c r="E1044" s="8">
        <f t="shared" si="138"/>
        <v>232491</v>
      </c>
      <c r="F1044" s="8">
        <v>232654</v>
      </c>
      <c r="G1044" s="137">
        <f t="shared" si="142"/>
        <v>163</v>
      </c>
      <c r="H1044" s="128">
        <f t="shared" si="144"/>
        <v>398</v>
      </c>
      <c r="I1044" s="8">
        <f t="shared" si="145"/>
        <v>793706</v>
      </c>
      <c r="J1044" s="8">
        <v>793852</v>
      </c>
      <c r="K1044" s="137">
        <f t="shared" si="143"/>
        <v>146</v>
      </c>
      <c r="L1044" s="8">
        <f t="shared" si="140"/>
        <v>4930</v>
      </c>
      <c r="M1044" s="8">
        <v>4930</v>
      </c>
      <c r="N1044" s="137">
        <f t="shared" si="146"/>
        <v>0</v>
      </c>
      <c r="O1044" s="128">
        <f t="shared" si="136"/>
        <v>146</v>
      </c>
      <c r="P1044" s="8">
        <f t="shared" si="141"/>
        <v>336566</v>
      </c>
      <c r="Q1044" s="8">
        <v>336566</v>
      </c>
      <c r="R1044" s="128">
        <f t="shared" si="134"/>
        <v>0</v>
      </c>
      <c r="AQ1044" s="8"/>
      <c r="AR1044" s="8"/>
      <c r="AS1044" s="8"/>
    </row>
    <row r="1045" spans="1:45">
      <c r="A1045" s="12">
        <v>45420</v>
      </c>
      <c r="B1045" s="8">
        <f t="shared" si="137"/>
        <v>633332</v>
      </c>
      <c r="C1045" s="8">
        <v>633621</v>
      </c>
      <c r="D1045" s="128">
        <f t="shared" si="135"/>
        <v>289</v>
      </c>
      <c r="E1045" s="8">
        <f t="shared" si="138"/>
        <v>232654</v>
      </c>
      <c r="F1045" s="8">
        <v>232886</v>
      </c>
      <c r="G1045" s="137">
        <f t="shared" si="142"/>
        <v>232</v>
      </c>
      <c r="H1045" s="128">
        <f t="shared" si="144"/>
        <v>521</v>
      </c>
      <c r="I1045" s="8">
        <f t="shared" si="145"/>
        <v>793852</v>
      </c>
      <c r="J1045" s="8">
        <v>794060</v>
      </c>
      <c r="K1045" s="137">
        <f t="shared" si="143"/>
        <v>208</v>
      </c>
      <c r="L1045" s="8">
        <f t="shared" si="140"/>
        <v>4930</v>
      </c>
      <c r="M1045" s="8">
        <v>4930</v>
      </c>
      <c r="N1045" s="137">
        <f t="shared" si="146"/>
        <v>0</v>
      </c>
      <c r="O1045" s="128">
        <f t="shared" si="136"/>
        <v>208</v>
      </c>
      <c r="P1045" s="8">
        <f t="shared" si="141"/>
        <v>336566</v>
      </c>
      <c r="Q1045" s="8">
        <v>336566</v>
      </c>
      <c r="R1045" s="128">
        <f t="shared" si="134"/>
        <v>0</v>
      </c>
      <c r="AQ1045" s="8"/>
      <c r="AR1045" s="8"/>
      <c r="AS1045" s="8"/>
    </row>
    <row r="1046" spans="1:45">
      <c r="A1046" s="12">
        <v>45421</v>
      </c>
      <c r="B1046" s="8">
        <f t="shared" si="137"/>
        <v>633621</v>
      </c>
      <c r="C1046" s="8">
        <v>633874</v>
      </c>
      <c r="D1046" s="128">
        <f t="shared" si="135"/>
        <v>253</v>
      </c>
      <c r="E1046" s="8">
        <f t="shared" si="138"/>
        <v>232886</v>
      </c>
      <c r="F1046" s="8">
        <v>233133</v>
      </c>
      <c r="G1046" s="137">
        <f t="shared" si="142"/>
        <v>247</v>
      </c>
      <c r="H1046" s="128">
        <f t="shared" si="144"/>
        <v>500</v>
      </c>
      <c r="I1046" s="8">
        <f t="shared" si="145"/>
        <v>794060</v>
      </c>
      <c r="J1046" s="8">
        <v>794267</v>
      </c>
      <c r="K1046" s="137">
        <f t="shared" si="143"/>
        <v>207</v>
      </c>
      <c r="L1046" s="8">
        <f t="shared" si="140"/>
        <v>4930</v>
      </c>
      <c r="M1046" s="8">
        <v>4930</v>
      </c>
      <c r="N1046" s="137">
        <f t="shared" si="146"/>
        <v>0</v>
      </c>
      <c r="O1046" s="128">
        <f t="shared" si="136"/>
        <v>207</v>
      </c>
      <c r="P1046" s="8">
        <f t="shared" si="141"/>
        <v>336566</v>
      </c>
      <c r="Q1046" s="8">
        <v>336566</v>
      </c>
      <c r="R1046" s="128">
        <f t="shared" ref="R1046:R1109" si="147">Q1046-P1046</f>
        <v>0</v>
      </c>
      <c r="AQ1046" s="8"/>
      <c r="AR1046" s="8"/>
      <c r="AS1046" s="8"/>
    </row>
    <row r="1047" spans="1:45">
      <c r="A1047" s="12">
        <v>45422</v>
      </c>
      <c r="B1047" s="8">
        <f t="shared" si="137"/>
        <v>633874</v>
      </c>
      <c r="C1047" s="8">
        <v>634174</v>
      </c>
      <c r="D1047" s="128">
        <f t="shared" si="135"/>
        <v>300</v>
      </c>
      <c r="E1047" s="8">
        <f t="shared" si="138"/>
        <v>233133</v>
      </c>
      <c r="F1047" s="8">
        <v>233455</v>
      </c>
      <c r="G1047" s="137">
        <f t="shared" si="142"/>
        <v>322</v>
      </c>
      <c r="H1047" s="128">
        <f t="shared" si="144"/>
        <v>622</v>
      </c>
      <c r="I1047" s="8">
        <f t="shared" si="145"/>
        <v>794267</v>
      </c>
      <c r="J1047" s="8">
        <v>794486</v>
      </c>
      <c r="K1047" s="137">
        <f t="shared" si="143"/>
        <v>219</v>
      </c>
      <c r="L1047" s="8">
        <f t="shared" si="140"/>
        <v>4930</v>
      </c>
      <c r="M1047" s="8">
        <v>4930</v>
      </c>
      <c r="N1047" s="137">
        <f t="shared" si="146"/>
        <v>0</v>
      </c>
      <c r="O1047" s="128">
        <f t="shared" si="136"/>
        <v>219</v>
      </c>
      <c r="P1047" s="8">
        <f t="shared" si="141"/>
        <v>336566</v>
      </c>
      <c r="Q1047" s="8">
        <v>336566</v>
      </c>
      <c r="R1047" s="128">
        <f t="shared" si="147"/>
        <v>0</v>
      </c>
      <c r="AQ1047" s="8"/>
      <c r="AR1047" s="8"/>
      <c r="AS1047" s="8"/>
    </row>
    <row r="1048" spans="1:45">
      <c r="A1048" s="12">
        <v>45423</v>
      </c>
      <c r="B1048" s="8">
        <f t="shared" si="137"/>
        <v>634174</v>
      </c>
      <c r="C1048" s="8">
        <v>634336</v>
      </c>
      <c r="D1048" s="128">
        <f t="shared" si="135"/>
        <v>162</v>
      </c>
      <c r="E1048" s="8">
        <f t="shared" si="138"/>
        <v>233455</v>
      </c>
      <c r="F1048" s="8">
        <v>233600</v>
      </c>
      <c r="G1048" s="137">
        <f t="shared" si="142"/>
        <v>145</v>
      </c>
      <c r="H1048" s="128">
        <f t="shared" si="144"/>
        <v>307</v>
      </c>
      <c r="I1048" s="8">
        <f t="shared" si="145"/>
        <v>794486</v>
      </c>
      <c r="J1048" s="8">
        <v>794672</v>
      </c>
      <c r="K1048" s="137">
        <f t="shared" si="143"/>
        <v>186</v>
      </c>
      <c r="L1048" s="8">
        <f t="shared" si="140"/>
        <v>4930</v>
      </c>
      <c r="M1048" s="8">
        <v>4930</v>
      </c>
      <c r="N1048" s="137">
        <f t="shared" si="146"/>
        <v>0</v>
      </c>
      <c r="O1048" s="128">
        <f t="shared" si="136"/>
        <v>186</v>
      </c>
      <c r="P1048" s="8">
        <f t="shared" si="141"/>
        <v>336566</v>
      </c>
      <c r="Q1048" s="8">
        <v>336566</v>
      </c>
      <c r="R1048" s="128">
        <f t="shared" si="147"/>
        <v>0</v>
      </c>
      <c r="AQ1048" s="8"/>
      <c r="AR1048" s="8"/>
      <c r="AS1048" s="8"/>
    </row>
    <row r="1049" spans="1:45">
      <c r="A1049" s="12">
        <v>45424</v>
      </c>
      <c r="B1049" s="8">
        <f t="shared" si="137"/>
        <v>634336</v>
      </c>
      <c r="C1049" s="8">
        <v>634600</v>
      </c>
      <c r="D1049" s="128">
        <f t="shared" si="135"/>
        <v>264</v>
      </c>
      <c r="E1049" s="8">
        <f t="shared" si="138"/>
        <v>233600</v>
      </c>
      <c r="F1049" s="8">
        <v>233883</v>
      </c>
      <c r="G1049" s="137">
        <f t="shared" si="142"/>
        <v>283</v>
      </c>
      <c r="H1049" s="128">
        <f t="shared" si="144"/>
        <v>547</v>
      </c>
      <c r="I1049" s="8">
        <f t="shared" si="145"/>
        <v>794672</v>
      </c>
      <c r="J1049" s="8">
        <v>794856</v>
      </c>
      <c r="K1049" s="137">
        <f t="shared" si="143"/>
        <v>184</v>
      </c>
      <c r="L1049" s="8">
        <f t="shared" si="140"/>
        <v>4930</v>
      </c>
      <c r="M1049" s="8">
        <v>4930</v>
      </c>
      <c r="N1049" s="137">
        <f t="shared" si="146"/>
        <v>0</v>
      </c>
      <c r="O1049" s="128">
        <f t="shared" si="136"/>
        <v>184</v>
      </c>
      <c r="P1049" s="8">
        <f t="shared" si="141"/>
        <v>336566</v>
      </c>
      <c r="Q1049" s="8">
        <v>336566</v>
      </c>
      <c r="R1049" s="128">
        <f t="shared" si="147"/>
        <v>0</v>
      </c>
      <c r="AQ1049" s="8"/>
      <c r="AR1049" s="8"/>
      <c r="AS1049" s="8"/>
    </row>
    <row r="1050" spans="1:45">
      <c r="A1050" s="12">
        <v>45425</v>
      </c>
      <c r="B1050" s="8">
        <f t="shared" si="137"/>
        <v>634600</v>
      </c>
      <c r="C1050" s="8">
        <v>634884</v>
      </c>
      <c r="D1050" s="128">
        <f t="shared" si="135"/>
        <v>284</v>
      </c>
      <c r="E1050" s="8">
        <f t="shared" si="138"/>
        <v>233883</v>
      </c>
      <c r="F1050" s="8">
        <v>234137</v>
      </c>
      <c r="G1050" s="137">
        <f t="shared" si="142"/>
        <v>254</v>
      </c>
      <c r="H1050" s="128">
        <f t="shared" si="144"/>
        <v>538</v>
      </c>
      <c r="I1050" s="8">
        <f t="shared" si="145"/>
        <v>794856</v>
      </c>
      <c r="J1050" s="8">
        <v>794984</v>
      </c>
      <c r="K1050" s="137">
        <f t="shared" si="143"/>
        <v>128</v>
      </c>
      <c r="L1050" s="8">
        <f t="shared" si="140"/>
        <v>4930</v>
      </c>
      <c r="M1050" s="8">
        <v>4930</v>
      </c>
      <c r="N1050" s="137">
        <f t="shared" si="146"/>
        <v>0</v>
      </c>
      <c r="O1050" s="128">
        <f t="shared" si="136"/>
        <v>128</v>
      </c>
      <c r="P1050" s="8">
        <f t="shared" si="141"/>
        <v>336566</v>
      </c>
      <c r="Q1050" s="8">
        <v>336566</v>
      </c>
      <c r="R1050" s="128">
        <f t="shared" si="147"/>
        <v>0</v>
      </c>
      <c r="AQ1050" s="8"/>
      <c r="AR1050" s="8"/>
      <c r="AS1050" s="8"/>
    </row>
    <row r="1051" spans="1:45">
      <c r="A1051" s="12">
        <v>45426</v>
      </c>
      <c r="B1051" s="8">
        <f t="shared" si="137"/>
        <v>634884</v>
      </c>
      <c r="C1051" s="8">
        <v>635146</v>
      </c>
      <c r="D1051" s="128">
        <f t="shared" si="135"/>
        <v>262</v>
      </c>
      <c r="E1051" s="8">
        <f t="shared" si="138"/>
        <v>234137</v>
      </c>
      <c r="F1051" s="8">
        <v>234499</v>
      </c>
      <c r="G1051" s="137">
        <f t="shared" si="142"/>
        <v>362</v>
      </c>
      <c r="H1051" s="128">
        <f t="shared" si="144"/>
        <v>624</v>
      </c>
      <c r="I1051" s="8">
        <f t="shared" si="145"/>
        <v>794984</v>
      </c>
      <c r="J1051" s="8">
        <v>794984</v>
      </c>
      <c r="K1051" s="137">
        <f t="shared" si="143"/>
        <v>0</v>
      </c>
      <c r="L1051" s="8">
        <f t="shared" si="140"/>
        <v>4930</v>
      </c>
      <c r="M1051" s="8">
        <v>4930</v>
      </c>
      <c r="N1051" s="137">
        <f t="shared" si="146"/>
        <v>0</v>
      </c>
      <c r="O1051" s="128">
        <f t="shared" si="136"/>
        <v>0</v>
      </c>
      <c r="P1051" s="8">
        <f t="shared" si="141"/>
        <v>336566</v>
      </c>
      <c r="Q1051" s="8">
        <v>336566</v>
      </c>
      <c r="R1051" s="128">
        <f t="shared" si="147"/>
        <v>0</v>
      </c>
      <c r="AQ1051" s="8"/>
      <c r="AR1051" s="8"/>
      <c r="AS1051" s="8"/>
    </row>
    <row r="1052" spans="1:45">
      <c r="A1052" s="12">
        <v>45427</v>
      </c>
      <c r="B1052" s="8">
        <f t="shared" si="137"/>
        <v>635146</v>
      </c>
      <c r="C1052" s="8">
        <v>635342</v>
      </c>
      <c r="D1052" s="128">
        <f t="shared" si="135"/>
        <v>196</v>
      </c>
      <c r="E1052" s="8">
        <f t="shared" si="138"/>
        <v>234499</v>
      </c>
      <c r="F1052" s="8">
        <v>234799</v>
      </c>
      <c r="G1052" s="137">
        <f t="shared" si="142"/>
        <v>300</v>
      </c>
      <c r="H1052" s="128">
        <f t="shared" si="144"/>
        <v>496</v>
      </c>
      <c r="I1052" s="8">
        <f t="shared" si="145"/>
        <v>794984</v>
      </c>
      <c r="J1052" s="8">
        <v>794984</v>
      </c>
      <c r="K1052" s="137">
        <f t="shared" si="143"/>
        <v>0</v>
      </c>
      <c r="L1052" s="8">
        <f t="shared" si="140"/>
        <v>4930</v>
      </c>
      <c r="M1052" s="8">
        <v>4930</v>
      </c>
      <c r="N1052" s="137">
        <f t="shared" si="146"/>
        <v>0</v>
      </c>
      <c r="O1052" s="128">
        <f t="shared" si="136"/>
        <v>0</v>
      </c>
      <c r="P1052" s="8">
        <f t="shared" si="141"/>
        <v>336566</v>
      </c>
      <c r="Q1052" s="8">
        <v>336566</v>
      </c>
      <c r="R1052" s="128">
        <f t="shared" si="147"/>
        <v>0</v>
      </c>
      <c r="AQ1052" s="8"/>
      <c r="AR1052" s="8"/>
      <c r="AS1052" s="8"/>
    </row>
    <row r="1053" spans="1:45">
      <c r="A1053" s="12">
        <v>45428</v>
      </c>
      <c r="B1053" s="8">
        <f t="shared" si="137"/>
        <v>635342</v>
      </c>
      <c r="C1053" s="8">
        <v>635596</v>
      </c>
      <c r="D1053" s="128">
        <f t="shared" si="135"/>
        <v>254</v>
      </c>
      <c r="E1053" s="8">
        <f t="shared" si="138"/>
        <v>234799</v>
      </c>
      <c r="F1053" s="8">
        <v>235059</v>
      </c>
      <c r="G1053" s="137">
        <f t="shared" si="142"/>
        <v>260</v>
      </c>
      <c r="H1053" s="128">
        <f t="shared" si="144"/>
        <v>514</v>
      </c>
      <c r="I1053" s="8">
        <f t="shared" si="145"/>
        <v>794984</v>
      </c>
      <c r="J1053" s="8">
        <v>795099</v>
      </c>
      <c r="K1053" s="137">
        <f t="shared" si="143"/>
        <v>115</v>
      </c>
      <c r="L1053" s="8">
        <f t="shared" si="140"/>
        <v>4930</v>
      </c>
      <c r="M1053" s="8">
        <v>4930</v>
      </c>
      <c r="N1053" s="137">
        <f t="shared" si="146"/>
        <v>0</v>
      </c>
      <c r="O1053" s="128">
        <f t="shared" si="136"/>
        <v>115</v>
      </c>
      <c r="P1053" s="8">
        <f t="shared" si="141"/>
        <v>336566</v>
      </c>
      <c r="Q1053" s="8">
        <v>336566</v>
      </c>
      <c r="R1053" s="128">
        <f t="shared" si="147"/>
        <v>0</v>
      </c>
      <c r="AQ1053" s="8"/>
      <c r="AR1053" s="8"/>
      <c r="AS1053" s="8"/>
    </row>
    <row r="1054" spans="1:45">
      <c r="A1054" s="12">
        <v>45429</v>
      </c>
      <c r="B1054" s="8">
        <f t="shared" si="137"/>
        <v>635596</v>
      </c>
      <c r="C1054" s="8">
        <v>635877</v>
      </c>
      <c r="D1054" s="128">
        <f t="shared" si="135"/>
        <v>281</v>
      </c>
      <c r="E1054" s="8">
        <f t="shared" si="138"/>
        <v>235059</v>
      </c>
      <c r="F1054" s="8">
        <v>235386</v>
      </c>
      <c r="G1054" s="137">
        <f t="shared" si="142"/>
        <v>327</v>
      </c>
      <c r="H1054" s="128">
        <f t="shared" si="144"/>
        <v>608</v>
      </c>
      <c r="I1054" s="8">
        <f t="shared" si="145"/>
        <v>795099</v>
      </c>
      <c r="J1054" s="8">
        <v>795268</v>
      </c>
      <c r="K1054" s="137">
        <f t="shared" si="143"/>
        <v>169</v>
      </c>
      <c r="L1054" s="8">
        <f t="shared" si="140"/>
        <v>4930</v>
      </c>
      <c r="M1054" s="8">
        <v>4930</v>
      </c>
      <c r="N1054" s="137">
        <f t="shared" si="146"/>
        <v>0</v>
      </c>
      <c r="O1054" s="128">
        <f t="shared" si="136"/>
        <v>169</v>
      </c>
      <c r="P1054" s="8">
        <f t="shared" si="141"/>
        <v>336566</v>
      </c>
      <c r="Q1054" s="8">
        <v>336566</v>
      </c>
      <c r="R1054" s="128">
        <f t="shared" si="147"/>
        <v>0</v>
      </c>
      <c r="AQ1054" s="8"/>
      <c r="AR1054" s="8"/>
      <c r="AS1054" s="8"/>
    </row>
    <row r="1055" spans="1:45">
      <c r="A1055" s="12">
        <v>45430</v>
      </c>
      <c r="B1055" s="8">
        <f t="shared" si="137"/>
        <v>635877</v>
      </c>
      <c r="C1055" s="8">
        <v>636131</v>
      </c>
      <c r="D1055" s="128">
        <f t="shared" si="135"/>
        <v>254</v>
      </c>
      <c r="E1055" s="8">
        <f t="shared" si="138"/>
        <v>235386</v>
      </c>
      <c r="F1055" s="8">
        <v>235695</v>
      </c>
      <c r="G1055" s="137">
        <f t="shared" si="142"/>
        <v>309</v>
      </c>
      <c r="H1055" s="128">
        <f t="shared" si="144"/>
        <v>563</v>
      </c>
      <c r="I1055" s="8">
        <f t="shared" si="145"/>
        <v>795268</v>
      </c>
      <c r="J1055" s="8">
        <v>795458</v>
      </c>
      <c r="K1055" s="137">
        <f t="shared" si="143"/>
        <v>190</v>
      </c>
      <c r="L1055" s="8">
        <f t="shared" si="140"/>
        <v>4930</v>
      </c>
      <c r="M1055" s="8">
        <v>4930</v>
      </c>
      <c r="N1055" s="137">
        <f t="shared" si="146"/>
        <v>0</v>
      </c>
      <c r="O1055" s="128">
        <f t="shared" si="136"/>
        <v>190</v>
      </c>
      <c r="P1055" s="8">
        <f t="shared" si="141"/>
        <v>336566</v>
      </c>
      <c r="Q1055" s="8">
        <v>336566</v>
      </c>
      <c r="R1055" s="128">
        <f t="shared" si="147"/>
        <v>0</v>
      </c>
      <c r="AQ1055" s="8"/>
      <c r="AR1055" s="8"/>
      <c r="AS1055" s="8"/>
    </row>
    <row r="1056" spans="1:45">
      <c r="A1056" s="12">
        <v>45431</v>
      </c>
      <c r="B1056" s="8">
        <f t="shared" si="137"/>
        <v>636131</v>
      </c>
      <c r="C1056" s="8">
        <v>636389</v>
      </c>
      <c r="D1056" s="128">
        <f t="shared" ref="D1056:D1119" si="148">C1056-B1056</f>
        <v>258</v>
      </c>
      <c r="E1056" s="8">
        <f t="shared" si="138"/>
        <v>235695</v>
      </c>
      <c r="F1056" s="8">
        <v>235977</v>
      </c>
      <c r="G1056" s="137">
        <f t="shared" si="142"/>
        <v>282</v>
      </c>
      <c r="H1056" s="128">
        <f t="shared" si="144"/>
        <v>540</v>
      </c>
      <c r="I1056" s="8">
        <f t="shared" si="145"/>
        <v>795458</v>
      </c>
      <c r="J1056" s="8">
        <v>795605</v>
      </c>
      <c r="K1056" s="137">
        <f t="shared" si="143"/>
        <v>147</v>
      </c>
      <c r="L1056" s="8">
        <f t="shared" si="140"/>
        <v>4930</v>
      </c>
      <c r="M1056" s="8">
        <v>4930</v>
      </c>
      <c r="N1056" s="137">
        <f t="shared" si="146"/>
        <v>0</v>
      </c>
      <c r="O1056" s="128">
        <f t="shared" si="136"/>
        <v>147</v>
      </c>
      <c r="P1056" s="8">
        <f t="shared" si="141"/>
        <v>336566</v>
      </c>
      <c r="Q1056" s="8">
        <v>336566</v>
      </c>
      <c r="R1056" s="128">
        <f t="shared" si="147"/>
        <v>0</v>
      </c>
      <c r="AQ1056" s="8"/>
      <c r="AR1056" s="8"/>
      <c r="AS1056" s="8"/>
    </row>
    <row r="1057" spans="1:45">
      <c r="A1057" s="12">
        <v>45432</v>
      </c>
      <c r="B1057" s="8">
        <f t="shared" si="137"/>
        <v>636389</v>
      </c>
      <c r="C1057" s="8">
        <v>636569</v>
      </c>
      <c r="D1057" s="128">
        <f t="shared" si="148"/>
        <v>180</v>
      </c>
      <c r="E1057" s="8">
        <f t="shared" si="138"/>
        <v>235977</v>
      </c>
      <c r="F1057" s="8">
        <v>236221</v>
      </c>
      <c r="G1057" s="137">
        <f t="shared" si="142"/>
        <v>244</v>
      </c>
      <c r="H1057" s="128">
        <f t="shared" si="144"/>
        <v>424</v>
      </c>
      <c r="I1057" s="8">
        <f t="shared" si="145"/>
        <v>795605</v>
      </c>
      <c r="J1057" s="8">
        <v>795735</v>
      </c>
      <c r="K1057" s="137">
        <f t="shared" si="143"/>
        <v>130</v>
      </c>
      <c r="L1057" s="8">
        <f t="shared" si="140"/>
        <v>4930</v>
      </c>
      <c r="M1057" s="8">
        <v>4930</v>
      </c>
      <c r="N1057" s="137">
        <f t="shared" si="146"/>
        <v>0</v>
      </c>
      <c r="O1057" s="128">
        <f t="shared" si="136"/>
        <v>130</v>
      </c>
      <c r="P1057" s="8">
        <f t="shared" si="141"/>
        <v>336566</v>
      </c>
      <c r="Q1057" s="8">
        <v>336566</v>
      </c>
      <c r="R1057" s="128">
        <f>Q1057-P1057</f>
        <v>0</v>
      </c>
      <c r="AQ1057" s="8"/>
      <c r="AR1057" s="8"/>
      <c r="AS1057" s="8"/>
    </row>
    <row r="1058" spans="1:45">
      <c r="A1058" s="12">
        <v>45433</v>
      </c>
      <c r="B1058" s="8">
        <f t="shared" si="137"/>
        <v>636569</v>
      </c>
      <c r="C1058" s="8">
        <v>636701</v>
      </c>
      <c r="D1058" s="128">
        <f t="shared" si="148"/>
        <v>132</v>
      </c>
      <c r="E1058" s="8">
        <f t="shared" si="138"/>
        <v>236221</v>
      </c>
      <c r="F1058" s="8">
        <v>236314</v>
      </c>
      <c r="G1058" s="137">
        <f t="shared" si="142"/>
        <v>93</v>
      </c>
      <c r="H1058" s="128">
        <f t="shared" si="144"/>
        <v>225</v>
      </c>
      <c r="I1058" s="8">
        <f t="shared" si="145"/>
        <v>795735</v>
      </c>
      <c r="J1058" s="8">
        <v>795893</v>
      </c>
      <c r="K1058" s="137">
        <f t="shared" si="143"/>
        <v>158</v>
      </c>
      <c r="L1058" s="8">
        <f t="shared" si="140"/>
        <v>4930</v>
      </c>
      <c r="M1058" s="8">
        <v>4930</v>
      </c>
      <c r="N1058" s="137">
        <f t="shared" si="146"/>
        <v>0</v>
      </c>
      <c r="O1058" s="128">
        <f t="shared" si="136"/>
        <v>158</v>
      </c>
      <c r="P1058" s="8">
        <f>Q1057</f>
        <v>336566</v>
      </c>
      <c r="Q1058" s="8">
        <v>336566</v>
      </c>
      <c r="R1058" s="128">
        <f>Q1058-P1058</f>
        <v>0</v>
      </c>
      <c r="AQ1058" s="8"/>
      <c r="AR1058" s="8"/>
      <c r="AS1058" s="8"/>
    </row>
    <row r="1059" spans="1:45">
      <c r="A1059" s="12">
        <v>45434</v>
      </c>
      <c r="B1059" s="8">
        <f t="shared" si="137"/>
        <v>636701</v>
      </c>
      <c r="C1059" s="8">
        <v>636915</v>
      </c>
      <c r="D1059" s="128">
        <f t="shared" si="148"/>
        <v>214</v>
      </c>
      <c r="E1059" s="8">
        <f t="shared" si="138"/>
        <v>236314</v>
      </c>
      <c r="F1059" s="8">
        <v>236559</v>
      </c>
      <c r="G1059" s="137">
        <f t="shared" si="142"/>
        <v>245</v>
      </c>
      <c r="H1059" s="128">
        <f t="shared" si="144"/>
        <v>459</v>
      </c>
      <c r="I1059" s="8">
        <f t="shared" si="145"/>
        <v>795893</v>
      </c>
      <c r="J1059" s="8">
        <v>796041</v>
      </c>
      <c r="K1059" s="137">
        <f t="shared" si="143"/>
        <v>148</v>
      </c>
      <c r="L1059" s="8">
        <f t="shared" si="140"/>
        <v>4930</v>
      </c>
      <c r="M1059" s="8">
        <v>4930</v>
      </c>
      <c r="N1059" s="137">
        <f t="shared" si="146"/>
        <v>0</v>
      </c>
      <c r="O1059" s="128">
        <f t="shared" si="136"/>
        <v>148</v>
      </c>
      <c r="P1059" s="8">
        <f>Q1058</f>
        <v>336566</v>
      </c>
      <c r="Q1059" s="8">
        <v>336566</v>
      </c>
      <c r="R1059" s="128">
        <f t="shared" si="147"/>
        <v>0</v>
      </c>
      <c r="AQ1059" s="8"/>
      <c r="AR1059" s="8"/>
      <c r="AS1059" s="8"/>
    </row>
    <row r="1060" spans="1:45">
      <c r="A1060" s="12">
        <v>45435</v>
      </c>
      <c r="B1060" s="8">
        <f t="shared" si="137"/>
        <v>636915</v>
      </c>
      <c r="C1060" s="8">
        <v>637131</v>
      </c>
      <c r="D1060" s="128">
        <f t="shared" si="148"/>
        <v>216</v>
      </c>
      <c r="E1060" s="8">
        <f t="shared" si="138"/>
        <v>236559</v>
      </c>
      <c r="F1060" s="8">
        <v>236867</v>
      </c>
      <c r="G1060" s="137">
        <f t="shared" si="142"/>
        <v>308</v>
      </c>
      <c r="H1060" s="128">
        <f t="shared" si="144"/>
        <v>524</v>
      </c>
      <c r="I1060" s="8">
        <f t="shared" si="145"/>
        <v>796041</v>
      </c>
      <c r="J1060" s="8">
        <v>796151</v>
      </c>
      <c r="K1060" s="137">
        <f t="shared" si="143"/>
        <v>110</v>
      </c>
      <c r="L1060" s="8">
        <f t="shared" si="140"/>
        <v>4930</v>
      </c>
      <c r="M1060" s="8">
        <v>4930</v>
      </c>
      <c r="N1060" s="137">
        <f t="shared" si="146"/>
        <v>0</v>
      </c>
      <c r="O1060" s="128">
        <f t="shared" si="136"/>
        <v>110</v>
      </c>
      <c r="P1060" s="8">
        <f t="shared" si="141"/>
        <v>336566</v>
      </c>
      <c r="Q1060" s="8">
        <v>336566</v>
      </c>
      <c r="R1060" s="128">
        <f t="shared" si="147"/>
        <v>0</v>
      </c>
      <c r="AQ1060" s="8"/>
      <c r="AR1060" s="8"/>
      <c r="AS1060" s="8"/>
    </row>
    <row r="1061" spans="1:45">
      <c r="A1061" s="12">
        <v>45436</v>
      </c>
      <c r="B1061" s="8">
        <f t="shared" si="137"/>
        <v>637131</v>
      </c>
      <c r="C1061" s="8">
        <v>637385</v>
      </c>
      <c r="D1061" s="128">
        <f t="shared" si="148"/>
        <v>254</v>
      </c>
      <c r="E1061" s="8">
        <f t="shared" si="138"/>
        <v>236867</v>
      </c>
      <c r="F1061" s="8">
        <v>237146</v>
      </c>
      <c r="G1061" s="137">
        <f t="shared" si="142"/>
        <v>279</v>
      </c>
      <c r="H1061" s="128">
        <f t="shared" si="144"/>
        <v>533</v>
      </c>
      <c r="I1061" s="8">
        <f t="shared" si="145"/>
        <v>796151</v>
      </c>
      <c r="J1061" s="8">
        <v>796341</v>
      </c>
      <c r="K1061" s="137">
        <f t="shared" si="143"/>
        <v>190</v>
      </c>
      <c r="L1061" s="8">
        <f t="shared" si="140"/>
        <v>4930</v>
      </c>
      <c r="M1061" s="8">
        <v>4930</v>
      </c>
      <c r="N1061" s="137">
        <f t="shared" si="146"/>
        <v>0</v>
      </c>
      <c r="O1061" s="128">
        <f t="shared" si="136"/>
        <v>190</v>
      </c>
      <c r="P1061" s="8">
        <f t="shared" si="141"/>
        <v>336566</v>
      </c>
      <c r="Q1061" s="8">
        <v>337144</v>
      </c>
      <c r="R1061" s="128">
        <f t="shared" si="147"/>
        <v>578</v>
      </c>
      <c r="AQ1061" s="8"/>
      <c r="AR1061" s="8"/>
      <c r="AS1061" s="8"/>
    </row>
    <row r="1062" spans="1:45">
      <c r="A1062" s="12">
        <v>45437</v>
      </c>
      <c r="B1062" s="8">
        <f t="shared" si="137"/>
        <v>637385</v>
      </c>
      <c r="C1062" s="8">
        <v>637618</v>
      </c>
      <c r="D1062" s="128">
        <f t="shared" si="148"/>
        <v>233</v>
      </c>
      <c r="E1062" s="8">
        <f t="shared" si="138"/>
        <v>237146</v>
      </c>
      <c r="F1062" s="8">
        <v>237343</v>
      </c>
      <c r="G1062" s="137">
        <f t="shared" si="142"/>
        <v>197</v>
      </c>
      <c r="H1062" s="128">
        <f t="shared" si="144"/>
        <v>430</v>
      </c>
      <c r="I1062" s="8">
        <f t="shared" si="145"/>
        <v>796341</v>
      </c>
      <c r="J1062" s="8">
        <v>796486</v>
      </c>
      <c r="K1062" s="137">
        <f t="shared" si="143"/>
        <v>145</v>
      </c>
      <c r="L1062" s="8">
        <f t="shared" si="140"/>
        <v>4930</v>
      </c>
      <c r="M1062" s="8">
        <v>4930</v>
      </c>
      <c r="N1062" s="137">
        <f t="shared" si="146"/>
        <v>0</v>
      </c>
      <c r="O1062" s="128">
        <f t="shared" si="136"/>
        <v>145</v>
      </c>
      <c r="P1062" s="8">
        <f t="shared" si="141"/>
        <v>337144</v>
      </c>
      <c r="Q1062" s="8">
        <v>337741</v>
      </c>
      <c r="R1062" s="128">
        <f t="shared" si="147"/>
        <v>597</v>
      </c>
      <c r="AQ1062" s="8"/>
      <c r="AR1062" s="8"/>
      <c r="AS1062" s="8"/>
    </row>
    <row r="1063" spans="1:45">
      <c r="A1063" s="12">
        <v>45438</v>
      </c>
      <c r="B1063" s="8">
        <f t="shared" si="137"/>
        <v>637618</v>
      </c>
      <c r="C1063" s="8">
        <v>637871</v>
      </c>
      <c r="D1063" s="128">
        <f t="shared" si="148"/>
        <v>253</v>
      </c>
      <c r="E1063" s="8">
        <f t="shared" si="138"/>
        <v>237343</v>
      </c>
      <c r="F1063" s="8">
        <v>237343</v>
      </c>
      <c r="G1063" s="137">
        <f t="shared" si="142"/>
        <v>0</v>
      </c>
      <c r="H1063" s="128">
        <f t="shared" si="144"/>
        <v>253</v>
      </c>
      <c r="I1063" s="8">
        <f t="shared" si="145"/>
        <v>796486</v>
      </c>
      <c r="J1063" s="8">
        <v>796631</v>
      </c>
      <c r="K1063" s="137">
        <f t="shared" si="143"/>
        <v>145</v>
      </c>
      <c r="L1063" s="8">
        <f t="shared" si="140"/>
        <v>4930</v>
      </c>
      <c r="M1063" s="8">
        <v>4930</v>
      </c>
      <c r="N1063" s="137">
        <f t="shared" si="146"/>
        <v>0</v>
      </c>
      <c r="O1063" s="128">
        <f t="shared" si="136"/>
        <v>145</v>
      </c>
      <c r="P1063" s="8">
        <f t="shared" si="141"/>
        <v>337741</v>
      </c>
      <c r="Q1063" s="8">
        <v>338439</v>
      </c>
      <c r="R1063" s="128">
        <f t="shared" si="147"/>
        <v>698</v>
      </c>
      <c r="AQ1063" s="8"/>
      <c r="AR1063" s="8"/>
      <c r="AS1063" s="8"/>
    </row>
    <row r="1064" spans="1:45">
      <c r="A1064" s="12">
        <v>45439</v>
      </c>
      <c r="B1064" s="8">
        <f t="shared" si="137"/>
        <v>637871</v>
      </c>
      <c r="C1064" s="8">
        <v>638157</v>
      </c>
      <c r="D1064" s="128">
        <f t="shared" si="148"/>
        <v>286</v>
      </c>
      <c r="E1064" s="8">
        <f t="shared" si="138"/>
        <v>237343</v>
      </c>
      <c r="F1064" s="8">
        <v>237761</v>
      </c>
      <c r="G1064" s="137">
        <f t="shared" si="142"/>
        <v>418</v>
      </c>
      <c r="H1064" s="128">
        <f t="shared" si="144"/>
        <v>704</v>
      </c>
      <c r="I1064" s="8">
        <f t="shared" si="145"/>
        <v>796631</v>
      </c>
      <c r="J1064" s="8">
        <v>796739</v>
      </c>
      <c r="K1064" s="137">
        <f t="shared" si="143"/>
        <v>108</v>
      </c>
      <c r="L1064" s="8">
        <f t="shared" si="140"/>
        <v>4930</v>
      </c>
      <c r="M1064" s="8">
        <v>4930</v>
      </c>
      <c r="N1064" s="137">
        <f t="shared" si="146"/>
        <v>0</v>
      </c>
      <c r="O1064" s="128">
        <f t="shared" ref="O1064:O1127" si="149">N1064+K1064</f>
        <v>108</v>
      </c>
      <c r="P1064" s="8">
        <f t="shared" si="141"/>
        <v>338439</v>
      </c>
      <c r="Q1064" s="8">
        <v>338439</v>
      </c>
      <c r="R1064" s="128">
        <f t="shared" si="147"/>
        <v>0</v>
      </c>
      <c r="AQ1064" s="8"/>
      <c r="AR1064" s="8"/>
      <c r="AS1064" s="8"/>
    </row>
    <row r="1065" spans="1:45">
      <c r="A1065" s="12">
        <v>45440</v>
      </c>
      <c r="B1065" s="8">
        <f t="shared" si="137"/>
        <v>638157</v>
      </c>
      <c r="C1065" s="8">
        <v>638402</v>
      </c>
      <c r="D1065" s="128">
        <f t="shared" si="148"/>
        <v>245</v>
      </c>
      <c r="E1065" s="8">
        <f t="shared" si="138"/>
        <v>237761</v>
      </c>
      <c r="F1065" s="8">
        <v>238008</v>
      </c>
      <c r="G1065" s="137">
        <f t="shared" si="142"/>
        <v>247</v>
      </c>
      <c r="H1065" s="128">
        <f t="shared" si="144"/>
        <v>492</v>
      </c>
      <c r="I1065" s="8">
        <f t="shared" si="145"/>
        <v>796739</v>
      </c>
      <c r="J1065" s="8">
        <v>796796</v>
      </c>
      <c r="K1065" s="137">
        <f t="shared" si="143"/>
        <v>57</v>
      </c>
      <c r="L1065" s="8">
        <f t="shared" si="140"/>
        <v>4930</v>
      </c>
      <c r="M1065" s="8">
        <v>4930</v>
      </c>
      <c r="N1065" s="137">
        <f t="shared" si="146"/>
        <v>0</v>
      </c>
      <c r="O1065" s="128">
        <f t="shared" si="149"/>
        <v>57</v>
      </c>
      <c r="P1065" s="8">
        <f t="shared" si="141"/>
        <v>338439</v>
      </c>
      <c r="Q1065" s="8">
        <v>338838</v>
      </c>
      <c r="R1065" s="128">
        <f t="shared" si="147"/>
        <v>399</v>
      </c>
      <c r="AQ1065" s="8"/>
      <c r="AR1065" s="8"/>
      <c r="AS1065" s="8"/>
    </row>
    <row r="1066" spans="1:45">
      <c r="A1066" s="12">
        <v>45441</v>
      </c>
      <c r="B1066" s="8">
        <f t="shared" ref="B1066:B1131" si="150">C1065</f>
        <v>638402</v>
      </c>
      <c r="C1066" s="8">
        <v>638655</v>
      </c>
      <c r="D1066" s="128">
        <f t="shared" si="148"/>
        <v>253</v>
      </c>
      <c r="E1066" s="8">
        <f t="shared" ref="E1066:E1129" si="151">F1065</f>
        <v>238008</v>
      </c>
      <c r="F1066" s="8">
        <v>238380</v>
      </c>
      <c r="G1066" s="137">
        <f t="shared" si="142"/>
        <v>372</v>
      </c>
      <c r="H1066" s="128">
        <f t="shared" si="144"/>
        <v>625</v>
      </c>
      <c r="I1066" s="8">
        <f t="shared" si="145"/>
        <v>796796</v>
      </c>
      <c r="J1066" s="8">
        <v>796975</v>
      </c>
      <c r="K1066" s="137">
        <f t="shared" si="143"/>
        <v>179</v>
      </c>
      <c r="L1066" s="8">
        <f t="shared" si="140"/>
        <v>4930</v>
      </c>
      <c r="M1066" s="8">
        <v>4930</v>
      </c>
      <c r="N1066" s="137">
        <f t="shared" si="146"/>
        <v>0</v>
      </c>
      <c r="O1066" s="128">
        <f t="shared" si="149"/>
        <v>179</v>
      </c>
      <c r="P1066" s="8">
        <f t="shared" si="141"/>
        <v>338838</v>
      </c>
      <c r="Q1066" s="8">
        <v>338838</v>
      </c>
      <c r="R1066" s="128">
        <f t="shared" si="147"/>
        <v>0</v>
      </c>
      <c r="AQ1066" s="8"/>
      <c r="AR1066" s="8"/>
      <c r="AS1066" s="8"/>
    </row>
    <row r="1067" spans="1:45">
      <c r="A1067" s="12">
        <v>45442</v>
      </c>
      <c r="B1067" s="8">
        <f t="shared" si="150"/>
        <v>638655</v>
      </c>
      <c r="C1067" s="8">
        <v>638890</v>
      </c>
      <c r="D1067" s="128">
        <f t="shared" si="148"/>
        <v>235</v>
      </c>
      <c r="E1067" s="8">
        <f t="shared" si="151"/>
        <v>238380</v>
      </c>
      <c r="F1067" s="8">
        <v>238717</v>
      </c>
      <c r="G1067" s="137">
        <f t="shared" si="142"/>
        <v>337</v>
      </c>
      <c r="H1067" s="128">
        <f t="shared" si="144"/>
        <v>572</v>
      </c>
      <c r="I1067" s="8">
        <f t="shared" si="145"/>
        <v>796975</v>
      </c>
      <c r="J1067" s="8">
        <v>797150</v>
      </c>
      <c r="K1067" s="137">
        <f t="shared" si="143"/>
        <v>175</v>
      </c>
      <c r="L1067" s="8">
        <f t="shared" si="140"/>
        <v>4930</v>
      </c>
      <c r="M1067" s="8">
        <v>4930</v>
      </c>
      <c r="N1067" s="137">
        <f t="shared" si="146"/>
        <v>0</v>
      </c>
      <c r="O1067" s="128">
        <f t="shared" si="149"/>
        <v>175</v>
      </c>
      <c r="P1067" s="8">
        <f t="shared" si="141"/>
        <v>338838</v>
      </c>
      <c r="Q1067" s="8">
        <v>338838</v>
      </c>
      <c r="R1067" s="128">
        <f>Q1067-P1067</f>
        <v>0</v>
      </c>
      <c r="AQ1067" s="8"/>
      <c r="AR1067" s="8"/>
      <c r="AS1067" s="8"/>
    </row>
    <row r="1068" spans="1:45">
      <c r="A1068" s="12">
        <v>45443</v>
      </c>
      <c r="B1068" s="8">
        <f t="shared" si="150"/>
        <v>638890</v>
      </c>
      <c r="C1068" s="8">
        <v>639138</v>
      </c>
      <c r="D1068" s="128">
        <f t="shared" si="148"/>
        <v>248</v>
      </c>
      <c r="E1068" s="8">
        <f t="shared" si="151"/>
        <v>238717</v>
      </c>
      <c r="F1068" s="8">
        <v>239019</v>
      </c>
      <c r="G1068" s="137">
        <f t="shared" si="142"/>
        <v>302</v>
      </c>
      <c r="H1068" s="128">
        <f t="shared" si="144"/>
        <v>550</v>
      </c>
      <c r="I1068" s="8">
        <f t="shared" si="145"/>
        <v>797150</v>
      </c>
      <c r="J1068" s="8">
        <v>797297</v>
      </c>
      <c r="K1068" s="137">
        <f t="shared" si="143"/>
        <v>147</v>
      </c>
      <c r="L1068" s="8">
        <f t="shared" si="140"/>
        <v>4930</v>
      </c>
      <c r="M1068" s="8">
        <v>4930</v>
      </c>
      <c r="N1068" s="137">
        <f t="shared" si="146"/>
        <v>0</v>
      </c>
      <c r="O1068" s="128">
        <f t="shared" si="149"/>
        <v>147</v>
      </c>
      <c r="P1068" s="8">
        <f>Q1067</f>
        <v>338838</v>
      </c>
      <c r="Q1068" s="8">
        <v>338838</v>
      </c>
      <c r="R1068" s="128">
        <f>Q1068-P1068</f>
        <v>0</v>
      </c>
      <c r="AQ1068" s="8"/>
      <c r="AR1068" s="8"/>
      <c r="AS1068" s="8"/>
    </row>
    <row r="1069" spans="1:45">
      <c r="A1069" s="12">
        <v>45444</v>
      </c>
      <c r="B1069" s="8">
        <f t="shared" si="150"/>
        <v>639138</v>
      </c>
      <c r="C1069" s="8">
        <v>639438</v>
      </c>
      <c r="D1069" s="128">
        <f t="shared" si="148"/>
        <v>300</v>
      </c>
      <c r="E1069" s="8">
        <f t="shared" si="151"/>
        <v>239019</v>
      </c>
      <c r="F1069" s="8">
        <v>239280</v>
      </c>
      <c r="G1069" s="137">
        <f t="shared" si="142"/>
        <v>261</v>
      </c>
      <c r="H1069" s="128">
        <f t="shared" si="144"/>
        <v>561</v>
      </c>
      <c r="I1069" s="8">
        <f t="shared" si="145"/>
        <v>797297</v>
      </c>
      <c r="J1069" s="8">
        <v>797465</v>
      </c>
      <c r="K1069" s="137">
        <f t="shared" si="143"/>
        <v>168</v>
      </c>
      <c r="L1069" s="8">
        <f t="shared" si="140"/>
        <v>4930</v>
      </c>
      <c r="M1069" s="8">
        <v>4930</v>
      </c>
      <c r="N1069" s="137">
        <f t="shared" si="146"/>
        <v>0</v>
      </c>
      <c r="O1069" s="128">
        <f t="shared" si="149"/>
        <v>168</v>
      </c>
      <c r="P1069" s="8">
        <f>Q1068</f>
        <v>338838</v>
      </c>
      <c r="Q1069" s="8">
        <v>338838</v>
      </c>
      <c r="R1069" s="128">
        <f t="shared" si="147"/>
        <v>0</v>
      </c>
      <c r="AQ1069" s="8"/>
      <c r="AR1069" s="8"/>
      <c r="AS1069" s="8"/>
    </row>
    <row r="1070" spans="1:45">
      <c r="A1070" s="12">
        <v>45445</v>
      </c>
      <c r="B1070" s="8">
        <f t="shared" si="150"/>
        <v>639438</v>
      </c>
      <c r="C1070" s="8">
        <v>639709</v>
      </c>
      <c r="D1070" s="128">
        <f t="shared" si="148"/>
        <v>271</v>
      </c>
      <c r="E1070" s="8">
        <f t="shared" si="151"/>
        <v>239280</v>
      </c>
      <c r="F1070" s="8">
        <v>239558</v>
      </c>
      <c r="G1070" s="137">
        <f t="shared" si="142"/>
        <v>278</v>
      </c>
      <c r="H1070" s="128">
        <f t="shared" si="144"/>
        <v>549</v>
      </c>
      <c r="I1070" s="8">
        <f t="shared" si="145"/>
        <v>797465</v>
      </c>
      <c r="J1070" s="8">
        <v>797626</v>
      </c>
      <c r="K1070" s="137">
        <f t="shared" si="143"/>
        <v>161</v>
      </c>
      <c r="L1070" s="8">
        <f t="shared" ref="L1070:L1133" si="152">M1069</f>
        <v>4930</v>
      </c>
      <c r="M1070" s="8">
        <v>4930</v>
      </c>
      <c r="N1070" s="137">
        <f t="shared" si="146"/>
        <v>0</v>
      </c>
      <c r="O1070" s="128">
        <f t="shared" si="149"/>
        <v>161</v>
      </c>
      <c r="P1070" s="8">
        <f>Q1069</f>
        <v>338838</v>
      </c>
      <c r="Q1070" s="8">
        <v>338838</v>
      </c>
      <c r="R1070" s="128">
        <f t="shared" si="147"/>
        <v>0</v>
      </c>
      <c r="AQ1070" s="8"/>
      <c r="AR1070" s="8"/>
      <c r="AS1070" s="8"/>
    </row>
    <row r="1071" spans="1:45">
      <c r="A1071" s="12">
        <v>45446</v>
      </c>
      <c r="B1071" s="8">
        <f t="shared" si="150"/>
        <v>639709</v>
      </c>
      <c r="C1071" s="8">
        <v>639930</v>
      </c>
      <c r="D1071" s="128">
        <f t="shared" si="148"/>
        <v>221</v>
      </c>
      <c r="E1071" s="8">
        <f t="shared" si="151"/>
        <v>239558</v>
      </c>
      <c r="F1071" s="8">
        <v>239812</v>
      </c>
      <c r="G1071" s="137">
        <f t="shared" si="142"/>
        <v>254</v>
      </c>
      <c r="H1071" s="128">
        <f t="shared" si="144"/>
        <v>475</v>
      </c>
      <c r="I1071" s="8">
        <f t="shared" si="145"/>
        <v>797626</v>
      </c>
      <c r="J1071" s="8">
        <v>797757</v>
      </c>
      <c r="K1071" s="137">
        <f t="shared" si="143"/>
        <v>131</v>
      </c>
      <c r="L1071" s="8">
        <f t="shared" si="152"/>
        <v>4930</v>
      </c>
      <c r="M1071" s="8">
        <v>4930</v>
      </c>
      <c r="N1071" s="137">
        <f t="shared" si="146"/>
        <v>0</v>
      </c>
      <c r="O1071" s="128">
        <f t="shared" si="149"/>
        <v>131</v>
      </c>
      <c r="P1071" s="8">
        <f>Q1070</f>
        <v>338838</v>
      </c>
      <c r="Q1071" s="8">
        <v>338838</v>
      </c>
      <c r="R1071" s="128">
        <f t="shared" si="147"/>
        <v>0</v>
      </c>
      <c r="AQ1071" s="8"/>
      <c r="AR1071" s="8"/>
      <c r="AS1071" s="8"/>
    </row>
    <row r="1072" spans="1:45">
      <c r="A1072" s="12">
        <v>45447</v>
      </c>
      <c r="B1072" s="8">
        <f t="shared" si="150"/>
        <v>639930</v>
      </c>
      <c r="C1072" s="8">
        <v>640118</v>
      </c>
      <c r="D1072" s="128">
        <f t="shared" si="148"/>
        <v>188</v>
      </c>
      <c r="E1072" s="8">
        <f t="shared" si="151"/>
        <v>239812</v>
      </c>
      <c r="F1072" s="8">
        <v>240053</v>
      </c>
      <c r="G1072" s="137">
        <f t="shared" si="142"/>
        <v>241</v>
      </c>
      <c r="H1072" s="128">
        <f t="shared" si="144"/>
        <v>429</v>
      </c>
      <c r="I1072" s="8">
        <f t="shared" si="145"/>
        <v>797757</v>
      </c>
      <c r="J1072" s="8">
        <v>797872</v>
      </c>
      <c r="K1072" s="137">
        <f t="shared" si="143"/>
        <v>115</v>
      </c>
      <c r="L1072" s="8">
        <f t="shared" si="152"/>
        <v>4930</v>
      </c>
      <c r="M1072" s="8">
        <v>4930</v>
      </c>
      <c r="N1072" s="137">
        <f t="shared" si="146"/>
        <v>0</v>
      </c>
      <c r="O1072" s="128">
        <f t="shared" si="149"/>
        <v>115</v>
      </c>
      <c r="P1072" s="8">
        <f t="shared" ref="P1072:P1135" si="153">Q1071</f>
        <v>338838</v>
      </c>
      <c r="Q1072" s="8">
        <v>339327</v>
      </c>
      <c r="R1072" s="128">
        <f t="shared" si="147"/>
        <v>489</v>
      </c>
      <c r="AQ1072" s="8"/>
      <c r="AR1072" s="8"/>
      <c r="AS1072" s="8"/>
    </row>
    <row r="1073" spans="1:45">
      <c r="A1073" s="12">
        <v>45448</v>
      </c>
      <c r="B1073" s="8">
        <f t="shared" si="150"/>
        <v>640118</v>
      </c>
      <c r="C1073" s="8">
        <v>640285</v>
      </c>
      <c r="D1073" s="128">
        <f t="shared" si="148"/>
        <v>167</v>
      </c>
      <c r="E1073" s="8">
        <f t="shared" si="151"/>
        <v>240053</v>
      </c>
      <c r="F1073" s="8">
        <v>240330</v>
      </c>
      <c r="G1073" s="137">
        <f t="shared" si="142"/>
        <v>277</v>
      </c>
      <c r="H1073" s="128">
        <f t="shared" si="144"/>
        <v>444</v>
      </c>
      <c r="I1073" s="8">
        <f t="shared" si="145"/>
        <v>797872</v>
      </c>
      <c r="J1073" s="8">
        <v>798019</v>
      </c>
      <c r="K1073" s="137">
        <f t="shared" si="143"/>
        <v>147</v>
      </c>
      <c r="L1073" s="8">
        <f t="shared" si="152"/>
        <v>4930</v>
      </c>
      <c r="M1073" s="8">
        <v>4930</v>
      </c>
      <c r="N1073" s="137">
        <f t="shared" si="146"/>
        <v>0</v>
      </c>
      <c r="O1073" s="128">
        <f t="shared" si="149"/>
        <v>147</v>
      </c>
      <c r="P1073" s="8">
        <f t="shared" si="153"/>
        <v>339327</v>
      </c>
      <c r="Q1073" s="8">
        <v>339327</v>
      </c>
      <c r="R1073" s="128">
        <f t="shared" si="147"/>
        <v>0</v>
      </c>
      <c r="AQ1073" s="8"/>
      <c r="AR1073" s="8"/>
      <c r="AS1073" s="8"/>
    </row>
    <row r="1074" spans="1:45">
      <c r="A1074" s="12">
        <v>45449</v>
      </c>
      <c r="B1074" s="8">
        <f t="shared" si="150"/>
        <v>640285</v>
      </c>
      <c r="C1074" s="8">
        <v>640476</v>
      </c>
      <c r="D1074" s="128">
        <f t="shared" si="148"/>
        <v>191</v>
      </c>
      <c r="E1074" s="8">
        <f t="shared" si="151"/>
        <v>240330</v>
      </c>
      <c r="F1074" s="8">
        <v>240614</v>
      </c>
      <c r="G1074" s="137">
        <f t="shared" si="142"/>
        <v>284</v>
      </c>
      <c r="H1074" s="128">
        <f t="shared" si="144"/>
        <v>475</v>
      </c>
      <c r="I1074" s="8">
        <f t="shared" si="145"/>
        <v>798019</v>
      </c>
      <c r="J1074" s="8">
        <v>798125</v>
      </c>
      <c r="K1074" s="137">
        <f t="shared" si="143"/>
        <v>106</v>
      </c>
      <c r="L1074" s="8">
        <f t="shared" si="152"/>
        <v>4930</v>
      </c>
      <c r="M1074" s="8">
        <v>4930</v>
      </c>
      <c r="N1074" s="137">
        <f t="shared" si="146"/>
        <v>0</v>
      </c>
      <c r="O1074" s="128">
        <f t="shared" si="149"/>
        <v>106</v>
      </c>
      <c r="P1074" s="8">
        <f t="shared" si="153"/>
        <v>339327</v>
      </c>
      <c r="Q1074" s="8">
        <v>339327</v>
      </c>
      <c r="R1074" s="128">
        <f t="shared" si="147"/>
        <v>0</v>
      </c>
      <c r="AQ1074" s="8"/>
      <c r="AR1074" s="8"/>
      <c r="AS1074" s="8"/>
    </row>
    <row r="1075" spans="1:45">
      <c r="A1075" s="12">
        <v>45450</v>
      </c>
      <c r="B1075" s="8">
        <f t="shared" si="150"/>
        <v>640476</v>
      </c>
      <c r="C1075" s="8">
        <v>640668</v>
      </c>
      <c r="D1075" s="128">
        <f t="shared" si="148"/>
        <v>192</v>
      </c>
      <c r="E1075" s="8">
        <f t="shared" si="151"/>
        <v>240614</v>
      </c>
      <c r="F1075" s="8">
        <v>240783</v>
      </c>
      <c r="G1075" s="137">
        <f t="shared" ref="G1075:G1138" si="154">F1075-E1075</f>
        <v>169</v>
      </c>
      <c r="H1075" s="128">
        <f t="shared" si="144"/>
        <v>361</v>
      </c>
      <c r="I1075" s="8">
        <f t="shared" si="145"/>
        <v>798125</v>
      </c>
      <c r="J1075" s="8">
        <v>798244</v>
      </c>
      <c r="K1075" s="137">
        <f t="shared" si="143"/>
        <v>119</v>
      </c>
      <c r="L1075" s="8">
        <f t="shared" si="152"/>
        <v>4930</v>
      </c>
      <c r="M1075" s="8">
        <v>4930</v>
      </c>
      <c r="N1075" s="137">
        <f t="shared" si="146"/>
        <v>0</v>
      </c>
      <c r="O1075" s="128">
        <f t="shared" si="149"/>
        <v>119</v>
      </c>
      <c r="P1075" s="8">
        <f t="shared" si="153"/>
        <v>339327</v>
      </c>
      <c r="Q1075" s="8">
        <v>339697</v>
      </c>
      <c r="R1075" s="128">
        <f t="shared" si="147"/>
        <v>370</v>
      </c>
      <c r="AQ1075" s="8"/>
      <c r="AR1075" s="8"/>
      <c r="AS1075" s="8"/>
    </row>
    <row r="1076" spans="1:45">
      <c r="A1076" s="12">
        <v>45451</v>
      </c>
      <c r="B1076" s="8">
        <f t="shared" si="150"/>
        <v>640668</v>
      </c>
      <c r="C1076" s="8">
        <v>640894</v>
      </c>
      <c r="D1076" s="128">
        <f t="shared" si="148"/>
        <v>226</v>
      </c>
      <c r="E1076" s="8">
        <f t="shared" si="151"/>
        <v>240783</v>
      </c>
      <c r="F1076" s="8">
        <v>241011</v>
      </c>
      <c r="G1076" s="137">
        <f t="shared" si="154"/>
        <v>228</v>
      </c>
      <c r="H1076" s="128">
        <f t="shared" si="144"/>
        <v>454</v>
      </c>
      <c r="I1076" s="8">
        <f t="shared" si="145"/>
        <v>798244</v>
      </c>
      <c r="J1076" s="8">
        <v>798418</v>
      </c>
      <c r="K1076" s="137">
        <f t="shared" si="143"/>
        <v>174</v>
      </c>
      <c r="L1076" s="8">
        <f t="shared" si="152"/>
        <v>4930</v>
      </c>
      <c r="M1076" s="8">
        <v>4930</v>
      </c>
      <c r="N1076" s="137">
        <f t="shared" si="146"/>
        <v>0</v>
      </c>
      <c r="O1076" s="128">
        <f t="shared" si="149"/>
        <v>174</v>
      </c>
      <c r="P1076" s="8">
        <f t="shared" si="153"/>
        <v>339697</v>
      </c>
      <c r="Q1076" s="8">
        <v>340006</v>
      </c>
      <c r="R1076" s="128">
        <f t="shared" si="147"/>
        <v>309</v>
      </c>
      <c r="AQ1076" s="8"/>
      <c r="AR1076" s="8"/>
      <c r="AS1076" s="8"/>
    </row>
    <row r="1077" spans="1:45">
      <c r="A1077" s="12">
        <v>45452</v>
      </c>
      <c r="B1077" s="8">
        <f t="shared" si="150"/>
        <v>640894</v>
      </c>
      <c r="C1077" s="8">
        <v>641087</v>
      </c>
      <c r="D1077" s="128">
        <f t="shared" si="148"/>
        <v>193</v>
      </c>
      <c r="E1077" s="8">
        <f t="shared" si="151"/>
        <v>241011</v>
      </c>
      <c r="F1077" s="8">
        <v>241330</v>
      </c>
      <c r="G1077" s="137">
        <f t="shared" si="154"/>
        <v>319</v>
      </c>
      <c r="H1077" s="128">
        <f t="shared" si="144"/>
        <v>512</v>
      </c>
      <c r="I1077" s="8">
        <f t="shared" si="145"/>
        <v>798418</v>
      </c>
      <c r="J1077" s="8">
        <v>798572</v>
      </c>
      <c r="K1077" s="137">
        <f t="shared" si="143"/>
        <v>154</v>
      </c>
      <c r="L1077" s="8">
        <f t="shared" si="152"/>
        <v>4930</v>
      </c>
      <c r="M1077" s="8">
        <v>4930</v>
      </c>
      <c r="N1077" s="137">
        <f t="shared" si="146"/>
        <v>0</v>
      </c>
      <c r="O1077" s="128">
        <f t="shared" si="149"/>
        <v>154</v>
      </c>
      <c r="P1077" s="8">
        <f t="shared" si="153"/>
        <v>340006</v>
      </c>
      <c r="Q1077" s="8">
        <v>340006</v>
      </c>
      <c r="R1077" s="128">
        <f t="shared" si="147"/>
        <v>0</v>
      </c>
      <c r="AQ1077" s="8"/>
      <c r="AR1077" s="8"/>
      <c r="AS1077" s="8"/>
    </row>
    <row r="1078" spans="1:45">
      <c r="A1078" s="12">
        <v>45453</v>
      </c>
      <c r="B1078" s="8">
        <f t="shared" si="150"/>
        <v>641087</v>
      </c>
      <c r="C1078" s="8">
        <v>641299</v>
      </c>
      <c r="D1078" s="128">
        <f t="shared" si="148"/>
        <v>212</v>
      </c>
      <c r="E1078" s="8">
        <f t="shared" si="151"/>
        <v>241330</v>
      </c>
      <c r="F1078" s="8">
        <v>241601</v>
      </c>
      <c r="G1078" s="137">
        <f t="shared" si="154"/>
        <v>271</v>
      </c>
      <c r="H1078" s="128">
        <f t="shared" si="144"/>
        <v>483</v>
      </c>
      <c r="I1078" s="8">
        <f t="shared" si="145"/>
        <v>798572</v>
      </c>
      <c r="J1078" s="8">
        <v>798744</v>
      </c>
      <c r="K1078" s="137">
        <f t="shared" ref="K1078:K1141" si="155">J1078-I1078</f>
        <v>172</v>
      </c>
      <c r="L1078" s="8">
        <f t="shared" si="152"/>
        <v>4930</v>
      </c>
      <c r="M1078" s="8">
        <v>4930</v>
      </c>
      <c r="N1078" s="137">
        <f t="shared" si="146"/>
        <v>0</v>
      </c>
      <c r="O1078" s="128">
        <f t="shared" si="149"/>
        <v>172</v>
      </c>
      <c r="P1078" s="8">
        <f t="shared" si="153"/>
        <v>340006</v>
      </c>
      <c r="Q1078" s="8">
        <v>340336</v>
      </c>
      <c r="R1078" s="128">
        <f t="shared" si="147"/>
        <v>330</v>
      </c>
      <c r="AQ1078" s="8"/>
      <c r="AR1078" s="8"/>
      <c r="AS1078" s="8"/>
    </row>
    <row r="1079" spans="1:45">
      <c r="A1079" s="12">
        <v>45454</v>
      </c>
      <c r="B1079" s="8">
        <f t="shared" si="150"/>
        <v>641299</v>
      </c>
      <c r="C1079" s="8">
        <v>641528</v>
      </c>
      <c r="D1079" s="128">
        <f t="shared" si="148"/>
        <v>229</v>
      </c>
      <c r="E1079" s="8">
        <f t="shared" si="151"/>
        <v>241601</v>
      </c>
      <c r="F1079" s="8">
        <v>241926</v>
      </c>
      <c r="G1079" s="137">
        <f t="shared" si="154"/>
        <v>325</v>
      </c>
      <c r="H1079" s="128">
        <f t="shared" si="144"/>
        <v>554</v>
      </c>
      <c r="I1079" s="8">
        <f t="shared" si="145"/>
        <v>798744</v>
      </c>
      <c r="J1079" s="8">
        <v>798894</v>
      </c>
      <c r="K1079" s="137">
        <f t="shared" si="155"/>
        <v>150</v>
      </c>
      <c r="L1079" s="8">
        <f t="shared" si="152"/>
        <v>4930</v>
      </c>
      <c r="M1079" s="8">
        <v>4930</v>
      </c>
      <c r="N1079" s="137">
        <f t="shared" si="146"/>
        <v>0</v>
      </c>
      <c r="O1079" s="128">
        <f t="shared" si="149"/>
        <v>150</v>
      </c>
      <c r="P1079" s="8">
        <f t="shared" si="153"/>
        <v>340336</v>
      </c>
      <c r="Q1079" s="8">
        <v>340336</v>
      </c>
      <c r="R1079" s="128">
        <f t="shared" si="147"/>
        <v>0</v>
      </c>
      <c r="AQ1079" s="8"/>
      <c r="AR1079" s="8"/>
      <c r="AS1079" s="8"/>
    </row>
    <row r="1080" spans="1:45">
      <c r="A1080" s="12">
        <v>45455</v>
      </c>
      <c r="B1080" s="8">
        <f t="shared" si="150"/>
        <v>641528</v>
      </c>
      <c r="C1080" s="8">
        <v>641565</v>
      </c>
      <c r="D1080" s="128">
        <f t="shared" si="148"/>
        <v>37</v>
      </c>
      <c r="E1080" s="8">
        <f t="shared" si="151"/>
        <v>241926</v>
      </c>
      <c r="F1080" s="8">
        <v>241946</v>
      </c>
      <c r="G1080" s="137">
        <f t="shared" si="154"/>
        <v>20</v>
      </c>
      <c r="H1080" s="128">
        <f t="shared" si="144"/>
        <v>57</v>
      </c>
      <c r="I1080" s="8">
        <f t="shared" si="145"/>
        <v>798894</v>
      </c>
      <c r="J1080" s="8">
        <v>799055</v>
      </c>
      <c r="K1080" s="137">
        <f t="shared" si="155"/>
        <v>161</v>
      </c>
      <c r="L1080" s="8">
        <f t="shared" si="152"/>
        <v>4930</v>
      </c>
      <c r="M1080" s="8">
        <v>4930</v>
      </c>
      <c r="N1080" s="137">
        <f t="shared" si="146"/>
        <v>0</v>
      </c>
      <c r="O1080" s="128">
        <f t="shared" si="149"/>
        <v>161</v>
      </c>
      <c r="P1080" s="8">
        <f t="shared" si="153"/>
        <v>340336</v>
      </c>
      <c r="Q1080" s="8">
        <v>340336</v>
      </c>
      <c r="R1080" s="128">
        <f t="shared" si="147"/>
        <v>0</v>
      </c>
      <c r="AQ1080" s="8"/>
      <c r="AR1080" s="8"/>
      <c r="AS1080" s="8"/>
    </row>
    <row r="1081" spans="1:45">
      <c r="A1081" s="12">
        <v>45456</v>
      </c>
      <c r="B1081" s="8">
        <f t="shared" si="150"/>
        <v>641565</v>
      </c>
      <c r="C1081" s="8">
        <v>641794</v>
      </c>
      <c r="D1081" s="128">
        <f t="shared" si="148"/>
        <v>229</v>
      </c>
      <c r="E1081" s="8">
        <f t="shared" si="151"/>
        <v>241946</v>
      </c>
      <c r="F1081" s="8">
        <v>241952</v>
      </c>
      <c r="G1081" s="137">
        <f t="shared" si="154"/>
        <v>6</v>
      </c>
      <c r="H1081" s="128">
        <f t="shared" si="144"/>
        <v>235</v>
      </c>
      <c r="I1081" s="8">
        <f t="shared" si="145"/>
        <v>799055</v>
      </c>
      <c r="J1081" s="8">
        <v>799210</v>
      </c>
      <c r="K1081" s="137">
        <f t="shared" si="155"/>
        <v>155</v>
      </c>
      <c r="L1081" s="8">
        <f t="shared" si="152"/>
        <v>4930</v>
      </c>
      <c r="M1081" s="8">
        <v>4930</v>
      </c>
      <c r="N1081" s="137">
        <f t="shared" si="146"/>
        <v>0</v>
      </c>
      <c r="O1081" s="128">
        <f t="shared" si="149"/>
        <v>155</v>
      </c>
      <c r="P1081" s="8">
        <f t="shared" si="153"/>
        <v>340336</v>
      </c>
      <c r="Q1081" s="8">
        <v>340336</v>
      </c>
      <c r="R1081" s="128">
        <f t="shared" si="147"/>
        <v>0</v>
      </c>
      <c r="AQ1081" s="8"/>
      <c r="AR1081" s="8"/>
      <c r="AS1081" s="8"/>
    </row>
    <row r="1082" spans="1:45">
      <c r="A1082" s="12">
        <v>45457</v>
      </c>
      <c r="B1082" s="8">
        <f t="shared" si="150"/>
        <v>641794</v>
      </c>
      <c r="C1082" s="8">
        <v>642119</v>
      </c>
      <c r="D1082" s="128">
        <f t="shared" si="148"/>
        <v>325</v>
      </c>
      <c r="E1082" s="8">
        <f t="shared" si="151"/>
        <v>241952</v>
      </c>
      <c r="F1082" s="8">
        <v>241952</v>
      </c>
      <c r="G1082" s="137">
        <f t="shared" si="154"/>
        <v>0</v>
      </c>
      <c r="H1082" s="128">
        <f t="shared" si="144"/>
        <v>325</v>
      </c>
      <c r="I1082" s="8">
        <f t="shared" si="145"/>
        <v>799210</v>
      </c>
      <c r="J1082" s="8">
        <v>799363</v>
      </c>
      <c r="K1082" s="137">
        <f t="shared" si="155"/>
        <v>153</v>
      </c>
      <c r="L1082" s="8">
        <f t="shared" si="152"/>
        <v>4930</v>
      </c>
      <c r="M1082" s="8">
        <v>4930</v>
      </c>
      <c r="N1082" s="137">
        <f t="shared" si="146"/>
        <v>0</v>
      </c>
      <c r="O1082" s="128">
        <f t="shared" si="149"/>
        <v>153</v>
      </c>
      <c r="P1082" s="8">
        <f t="shared" si="153"/>
        <v>340336</v>
      </c>
      <c r="Q1082" s="8">
        <v>340336</v>
      </c>
      <c r="R1082" s="128">
        <f t="shared" si="147"/>
        <v>0</v>
      </c>
      <c r="AQ1082" s="8"/>
      <c r="AR1082" s="8"/>
      <c r="AS1082" s="8"/>
    </row>
    <row r="1083" spans="1:45">
      <c r="A1083" s="12">
        <v>45458</v>
      </c>
      <c r="B1083" s="8">
        <f t="shared" si="150"/>
        <v>642119</v>
      </c>
      <c r="C1083" s="8">
        <v>642443</v>
      </c>
      <c r="D1083" s="128">
        <f t="shared" si="148"/>
        <v>324</v>
      </c>
      <c r="E1083" s="8">
        <f t="shared" si="151"/>
        <v>241952</v>
      </c>
      <c r="F1083" s="8">
        <v>242195</v>
      </c>
      <c r="G1083" s="137">
        <f t="shared" si="154"/>
        <v>243</v>
      </c>
      <c r="H1083" s="128">
        <f t="shared" si="144"/>
        <v>567</v>
      </c>
      <c r="I1083" s="8">
        <f t="shared" si="145"/>
        <v>799363</v>
      </c>
      <c r="J1083" s="8">
        <v>799525</v>
      </c>
      <c r="K1083" s="137">
        <f t="shared" si="155"/>
        <v>162</v>
      </c>
      <c r="L1083" s="8">
        <f t="shared" si="152"/>
        <v>4930</v>
      </c>
      <c r="M1083" s="8">
        <v>4930</v>
      </c>
      <c r="N1083" s="137">
        <f t="shared" si="146"/>
        <v>0</v>
      </c>
      <c r="O1083" s="128">
        <f t="shared" si="149"/>
        <v>162</v>
      </c>
      <c r="P1083" s="8">
        <f t="shared" si="153"/>
        <v>340336</v>
      </c>
      <c r="Q1083" s="8">
        <v>340336</v>
      </c>
      <c r="R1083" s="128">
        <f t="shared" si="147"/>
        <v>0</v>
      </c>
      <c r="AQ1083" s="8"/>
      <c r="AR1083" s="8"/>
      <c r="AS1083" s="8"/>
    </row>
    <row r="1084" spans="1:45">
      <c r="A1084" s="12">
        <v>45459</v>
      </c>
      <c r="B1084" s="8">
        <f t="shared" si="150"/>
        <v>642443</v>
      </c>
      <c r="C1084" s="8">
        <v>642661</v>
      </c>
      <c r="D1084" s="128">
        <f t="shared" si="148"/>
        <v>218</v>
      </c>
      <c r="E1084" s="8">
        <f t="shared" si="151"/>
        <v>242195</v>
      </c>
      <c r="F1084" s="8">
        <v>242401</v>
      </c>
      <c r="G1084" s="137">
        <f t="shared" si="154"/>
        <v>206</v>
      </c>
      <c r="H1084" s="128">
        <f t="shared" si="144"/>
        <v>424</v>
      </c>
      <c r="I1084" s="8">
        <f t="shared" si="145"/>
        <v>799525</v>
      </c>
      <c r="J1084" s="8">
        <v>799670</v>
      </c>
      <c r="K1084" s="137">
        <f t="shared" si="155"/>
        <v>145</v>
      </c>
      <c r="L1084" s="8">
        <f t="shared" si="152"/>
        <v>4930</v>
      </c>
      <c r="M1084" s="8">
        <v>4930</v>
      </c>
      <c r="N1084" s="137">
        <f t="shared" si="146"/>
        <v>0</v>
      </c>
      <c r="O1084" s="128">
        <f t="shared" si="149"/>
        <v>145</v>
      </c>
      <c r="P1084" s="8">
        <f t="shared" si="153"/>
        <v>340336</v>
      </c>
      <c r="Q1084" s="8">
        <v>340336</v>
      </c>
      <c r="R1084" s="128">
        <f t="shared" si="147"/>
        <v>0</v>
      </c>
      <c r="AQ1084" s="8"/>
      <c r="AR1084" s="8"/>
      <c r="AS1084" s="8"/>
    </row>
    <row r="1085" spans="1:45">
      <c r="A1085" s="12">
        <v>45460</v>
      </c>
      <c r="B1085" s="8">
        <f t="shared" si="150"/>
        <v>642661</v>
      </c>
      <c r="C1085" s="8">
        <v>642887</v>
      </c>
      <c r="D1085" s="128">
        <f t="shared" si="148"/>
        <v>226</v>
      </c>
      <c r="E1085" s="8">
        <f t="shared" si="151"/>
        <v>242401</v>
      </c>
      <c r="F1085" s="8">
        <v>242710</v>
      </c>
      <c r="G1085" s="137">
        <f t="shared" si="154"/>
        <v>309</v>
      </c>
      <c r="H1085" s="128">
        <f t="shared" si="144"/>
        <v>535</v>
      </c>
      <c r="I1085" s="8">
        <f t="shared" si="145"/>
        <v>799670</v>
      </c>
      <c r="J1085" s="8">
        <v>799820</v>
      </c>
      <c r="K1085" s="137">
        <f t="shared" si="155"/>
        <v>150</v>
      </c>
      <c r="L1085" s="8">
        <f t="shared" si="152"/>
        <v>4930</v>
      </c>
      <c r="M1085" s="8">
        <v>4930</v>
      </c>
      <c r="N1085" s="137">
        <f t="shared" si="146"/>
        <v>0</v>
      </c>
      <c r="O1085" s="128">
        <f t="shared" si="149"/>
        <v>150</v>
      </c>
      <c r="P1085" s="8">
        <f t="shared" si="153"/>
        <v>340336</v>
      </c>
      <c r="Q1085" s="8">
        <v>340336</v>
      </c>
      <c r="R1085" s="128">
        <f t="shared" si="147"/>
        <v>0</v>
      </c>
      <c r="AQ1085" s="8"/>
      <c r="AR1085" s="8"/>
      <c r="AS1085" s="8"/>
    </row>
    <row r="1086" spans="1:45">
      <c r="A1086" s="12">
        <v>45461</v>
      </c>
      <c r="B1086" s="8">
        <f t="shared" si="150"/>
        <v>642887</v>
      </c>
      <c r="C1086" s="8">
        <v>643097</v>
      </c>
      <c r="D1086" s="128">
        <f t="shared" si="148"/>
        <v>210</v>
      </c>
      <c r="E1086" s="8">
        <f t="shared" si="151"/>
        <v>242710</v>
      </c>
      <c r="F1086" s="8">
        <v>242963</v>
      </c>
      <c r="G1086" s="137">
        <f t="shared" si="154"/>
        <v>253</v>
      </c>
      <c r="H1086" s="128">
        <f t="shared" si="144"/>
        <v>463</v>
      </c>
      <c r="I1086" s="8">
        <f t="shared" si="145"/>
        <v>799820</v>
      </c>
      <c r="J1086" s="8">
        <v>799975</v>
      </c>
      <c r="K1086" s="137">
        <f t="shared" si="155"/>
        <v>155</v>
      </c>
      <c r="L1086" s="8">
        <f t="shared" si="152"/>
        <v>4930</v>
      </c>
      <c r="M1086" s="8">
        <v>4930</v>
      </c>
      <c r="N1086" s="137">
        <f t="shared" si="146"/>
        <v>0</v>
      </c>
      <c r="O1086" s="128">
        <f t="shared" si="149"/>
        <v>155</v>
      </c>
      <c r="P1086" s="8">
        <f t="shared" si="153"/>
        <v>340336</v>
      </c>
      <c r="Q1086" s="8">
        <v>340336</v>
      </c>
      <c r="R1086" s="128">
        <f t="shared" si="147"/>
        <v>0</v>
      </c>
      <c r="AQ1086" s="8"/>
      <c r="AR1086" s="8"/>
      <c r="AS1086" s="8"/>
    </row>
    <row r="1087" spans="1:45">
      <c r="A1087" s="12">
        <v>45462</v>
      </c>
      <c r="B1087" s="8">
        <f t="shared" si="150"/>
        <v>643097</v>
      </c>
      <c r="C1087" s="8">
        <v>643344</v>
      </c>
      <c r="D1087" s="128">
        <f t="shared" si="148"/>
        <v>247</v>
      </c>
      <c r="E1087" s="8">
        <f t="shared" si="151"/>
        <v>242963</v>
      </c>
      <c r="F1087" s="8">
        <v>243283</v>
      </c>
      <c r="G1087" s="137">
        <f t="shared" si="154"/>
        <v>320</v>
      </c>
      <c r="H1087" s="128">
        <f t="shared" si="144"/>
        <v>567</v>
      </c>
      <c r="I1087" s="8">
        <f t="shared" si="145"/>
        <v>799975</v>
      </c>
      <c r="J1087" s="8">
        <v>800118</v>
      </c>
      <c r="K1087" s="137">
        <f t="shared" si="155"/>
        <v>143</v>
      </c>
      <c r="L1087" s="8">
        <f t="shared" si="152"/>
        <v>4930</v>
      </c>
      <c r="M1087" s="8">
        <v>4930</v>
      </c>
      <c r="N1087" s="137">
        <f t="shared" si="146"/>
        <v>0</v>
      </c>
      <c r="O1087" s="128">
        <f t="shared" si="149"/>
        <v>143</v>
      </c>
      <c r="P1087" s="8">
        <f t="shared" si="153"/>
        <v>340336</v>
      </c>
      <c r="Q1087" s="8">
        <v>340336</v>
      </c>
      <c r="R1087" s="128">
        <f t="shared" si="147"/>
        <v>0</v>
      </c>
      <c r="AQ1087" s="8"/>
      <c r="AR1087" s="8"/>
      <c r="AS1087" s="8"/>
    </row>
    <row r="1088" spans="1:45">
      <c r="A1088" s="12">
        <v>45463</v>
      </c>
      <c r="B1088" s="8">
        <f t="shared" si="150"/>
        <v>643344</v>
      </c>
      <c r="C1088" s="8">
        <v>643566</v>
      </c>
      <c r="D1088" s="128">
        <f t="shared" si="148"/>
        <v>222</v>
      </c>
      <c r="E1088" s="8">
        <f t="shared" si="151"/>
        <v>243283</v>
      </c>
      <c r="F1088" s="8">
        <v>243534</v>
      </c>
      <c r="G1088" s="137">
        <f t="shared" si="154"/>
        <v>251</v>
      </c>
      <c r="H1088" s="128">
        <f t="shared" si="144"/>
        <v>473</v>
      </c>
      <c r="I1088" s="8">
        <f t="shared" si="145"/>
        <v>800118</v>
      </c>
      <c r="J1088" s="8">
        <v>800274</v>
      </c>
      <c r="K1088" s="137">
        <f t="shared" si="155"/>
        <v>156</v>
      </c>
      <c r="L1088" s="8">
        <f t="shared" si="152"/>
        <v>4930</v>
      </c>
      <c r="M1088" s="8">
        <v>4930</v>
      </c>
      <c r="N1088" s="137">
        <f t="shared" si="146"/>
        <v>0</v>
      </c>
      <c r="O1088" s="128">
        <f t="shared" si="149"/>
        <v>156</v>
      </c>
      <c r="P1088" s="8">
        <f t="shared" si="153"/>
        <v>340336</v>
      </c>
      <c r="Q1088" s="8">
        <v>340336</v>
      </c>
      <c r="R1088" s="128">
        <f t="shared" si="147"/>
        <v>0</v>
      </c>
      <c r="AQ1088" s="8"/>
      <c r="AR1088" s="8"/>
      <c r="AS1088" s="8"/>
    </row>
    <row r="1089" spans="1:45">
      <c r="A1089" s="12">
        <v>45464</v>
      </c>
      <c r="B1089" s="8">
        <f t="shared" si="150"/>
        <v>643566</v>
      </c>
      <c r="C1089" s="8">
        <v>643819</v>
      </c>
      <c r="D1089" s="128">
        <f t="shared" si="148"/>
        <v>253</v>
      </c>
      <c r="E1089" s="8">
        <f t="shared" si="151"/>
        <v>243534</v>
      </c>
      <c r="F1089" s="8">
        <v>243858</v>
      </c>
      <c r="G1089" s="137">
        <f t="shared" si="154"/>
        <v>324</v>
      </c>
      <c r="H1089" s="128">
        <f t="shared" ref="H1089:H1194" si="156">D1089+G1089</f>
        <v>577</v>
      </c>
      <c r="I1089" s="8">
        <f t="shared" si="145"/>
        <v>800274</v>
      </c>
      <c r="J1089" s="8">
        <v>800483</v>
      </c>
      <c r="K1089" s="137">
        <f t="shared" si="155"/>
        <v>209</v>
      </c>
      <c r="L1089" s="8">
        <f t="shared" si="152"/>
        <v>4930</v>
      </c>
      <c r="M1089" s="8">
        <v>4930</v>
      </c>
      <c r="N1089" s="137">
        <f t="shared" si="146"/>
        <v>0</v>
      </c>
      <c r="O1089" s="128">
        <f t="shared" si="149"/>
        <v>209</v>
      </c>
      <c r="P1089" s="8">
        <f t="shared" si="153"/>
        <v>340336</v>
      </c>
      <c r="Q1089" s="8">
        <v>340336</v>
      </c>
      <c r="R1089" s="128">
        <f t="shared" si="147"/>
        <v>0</v>
      </c>
      <c r="AQ1089" s="8"/>
      <c r="AR1089" s="8"/>
      <c r="AS1089" s="8"/>
    </row>
    <row r="1090" spans="1:45">
      <c r="A1090" s="12">
        <v>45465</v>
      </c>
      <c r="B1090" s="8">
        <f t="shared" si="150"/>
        <v>643819</v>
      </c>
      <c r="C1090" s="8">
        <v>644138</v>
      </c>
      <c r="D1090" s="128">
        <f t="shared" si="148"/>
        <v>319</v>
      </c>
      <c r="E1090" s="8">
        <f t="shared" si="151"/>
        <v>243858</v>
      </c>
      <c r="F1090" s="8">
        <v>244162</v>
      </c>
      <c r="G1090" s="137">
        <f t="shared" si="154"/>
        <v>304</v>
      </c>
      <c r="H1090" s="128">
        <f t="shared" si="156"/>
        <v>623</v>
      </c>
      <c r="I1090" s="8">
        <f t="shared" si="145"/>
        <v>800483</v>
      </c>
      <c r="J1090" s="8">
        <v>800647</v>
      </c>
      <c r="K1090" s="137">
        <f t="shared" si="155"/>
        <v>164</v>
      </c>
      <c r="L1090" s="8">
        <f t="shared" si="152"/>
        <v>4930</v>
      </c>
      <c r="M1090" s="8">
        <v>4930</v>
      </c>
      <c r="N1090" s="137">
        <f t="shared" si="146"/>
        <v>0</v>
      </c>
      <c r="O1090" s="128">
        <f t="shared" si="149"/>
        <v>164</v>
      </c>
      <c r="P1090" s="8">
        <f t="shared" si="153"/>
        <v>340336</v>
      </c>
      <c r="Q1090" s="8">
        <v>340336</v>
      </c>
      <c r="R1090" s="128">
        <f t="shared" si="147"/>
        <v>0</v>
      </c>
      <c r="AQ1090" s="8"/>
      <c r="AR1090" s="8"/>
      <c r="AS1090" s="8"/>
    </row>
    <row r="1091" spans="1:45">
      <c r="A1091" s="12">
        <v>45466</v>
      </c>
      <c r="B1091" s="8">
        <f t="shared" si="150"/>
        <v>644138</v>
      </c>
      <c r="C1091" s="8">
        <v>644345</v>
      </c>
      <c r="D1091" s="128">
        <f t="shared" si="148"/>
        <v>207</v>
      </c>
      <c r="E1091" s="8">
        <f t="shared" si="151"/>
        <v>244162</v>
      </c>
      <c r="F1091" s="8">
        <v>244540</v>
      </c>
      <c r="G1091" s="137">
        <f t="shared" si="154"/>
        <v>378</v>
      </c>
      <c r="H1091" s="128">
        <f t="shared" si="156"/>
        <v>585</v>
      </c>
      <c r="I1091" s="8">
        <f t="shared" ref="I1091:I1155" si="157">J1090</f>
        <v>800647</v>
      </c>
      <c r="J1091" s="8">
        <v>800793</v>
      </c>
      <c r="K1091" s="137">
        <f t="shared" si="155"/>
        <v>146</v>
      </c>
      <c r="L1091" s="8">
        <f t="shared" si="152"/>
        <v>4930</v>
      </c>
      <c r="M1091" s="8">
        <v>4930</v>
      </c>
      <c r="N1091" s="137">
        <f t="shared" si="146"/>
        <v>0</v>
      </c>
      <c r="O1091" s="128">
        <f t="shared" si="149"/>
        <v>146</v>
      </c>
      <c r="P1091" s="8">
        <f t="shared" si="153"/>
        <v>340336</v>
      </c>
      <c r="Q1091" s="8">
        <v>340336</v>
      </c>
      <c r="R1091" s="128">
        <f t="shared" si="147"/>
        <v>0</v>
      </c>
      <c r="AQ1091" s="8"/>
      <c r="AR1091" s="8"/>
      <c r="AS1091" s="8"/>
    </row>
    <row r="1092" spans="1:45">
      <c r="A1092" s="12">
        <v>45467</v>
      </c>
      <c r="B1092" s="8">
        <f t="shared" si="150"/>
        <v>644345</v>
      </c>
      <c r="C1092" s="8">
        <v>644586</v>
      </c>
      <c r="D1092" s="128">
        <f t="shared" si="148"/>
        <v>241</v>
      </c>
      <c r="E1092" s="8">
        <f t="shared" si="151"/>
        <v>244540</v>
      </c>
      <c r="F1092" s="8">
        <v>244763</v>
      </c>
      <c r="G1092" s="137">
        <f t="shared" si="154"/>
        <v>223</v>
      </c>
      <c r="H1092" s="128">
        <f t="shared" si="156"/>
        <v>464</v>
      </c>
      <c r="I1092" s="8">
        <f t="shared" si="157"/>
        <v>800793</v>
      </c>
      <c r="J1092" s="8">
        <v>800967</v>
      </c>
      <c r="K1092" s="137">
        <f t="shared" si="155"/>
        <v>174</v>
      </c>
      <c r="L1092" s="8">
        <f t="shared" si="152"/>
        <v>4930</v>
      </c>
      <c r="M1092" s="8">
        <v>4930</v>
      </c>
      <c r="N1092" s="137">
        <f t="shared" si="146"/>
        <v>0</v>
      </c>
      <c r="O1092" s="128">
        <f t="shared" si="149"/>
        <v>174</v>
      </c>
      <c r="P1092" s="8">
        <f t="shared" si="153"/>
        <v>340336</v>
      </c>
      <c r="Q1092" s="8">
        <v>340336</v>
      </c>
      <c r="R1092" s="128">
        <f t="shared" si="147"/>
        <v>0</v>
      </c>
      <c r="AQ1092" s="8"/>
      <c r="AR1092" s="8"/>
      <c r="AS1092" s="8"/>
    </row>
    <row r="1093" spans="1:45">
      <c r="A1093" s="12">
        <v>45468</v>
      </c>
      <c r="B1093" s="8">
        <f t="shared" si="150"/>
        <v>644586</v>
      </c>
      <c r="C1093" s="8">
        <v>644812</v>
      </c>
      <c r="D1093" s="128">
        <f t="shared" si="148"/>
        <v>226</v>
      </c>
      <c r="E1093" s="8">
        <f t="shared" si="151"/>
        <v>244763</v>
      </c>
      <c r="F1093" s="8">
        <v>244763</v>
      </c>
      <c r="G1093" s="137">
        <v>370</v>
      </c>
      <c r="H1093" s="128">
        <f t="shared" si="156"/>
        <v>596</v>
      </c>
      <c r="I1093" s="8">
        <f t="shared" si="157"/>
        <v>800967</v>
      </c>
      <c r="J1093" s="8">
        <v>801070</v>
      </c>
      <c r="K1093" s="137">
        <f t="shared" si="155"/>
        <v>103</v>
      </c>
      <c r="L1093" s="8">
        <f t="shared" si="152"/>
        <v>4930</v>
      </c>
      <c r="M1093" s="8">
        <v>4930</v>
      </c>
      <c r="N1093" s="137">
        <f t="shared" si="146"/>
        <v>0</v>
      </c>
      <c r="O1093" s="128">
        <f t="shared" si="149"/>
        <v>103</v>
      </c>
      <c r="P1093" s="8">
        <f t="shared" si="153"/>
        <v>340336</v>
      </c>
      <c r="Q1093" s="8">
        <v>340336</v>
      </c>
      <c r="R1093" s="128">
        <f t="shared" si="147"/>
        <v>0</v>
      </c>
      <c r="AQ1093" s="8"/>
      <c r="AR1093" s="8"/>
      <c r="AS1093" s="8"/>
    </row>
    <row r="1094" spans="1:45">
      <c r="A1094" s="12">
        <v>45469</v>
      </c>
      <c r="B1094" s="8">
        <f t="shared" si="150"/>
        <v>644812</v>
      </c>
      <c r="C1094" s="8">
        <v>645055</v>
      </c>
      <c r="D1094" s="128">
        <f t="shared" si="148"/>
        <v>243</v>
      </c>
      <c r="E1094" s="8">
        <f t="shared" si="151"/>
        <v>244763</v>
      </c>
      <c r="F1094" s="8">
        <v>244997</v>
      </c>
      <c r="G1094" s="137">
        <f t="shared" si="154"/>
        <v>234</v>
      </c>
      <c r="H1094" s="128">
        <f t="shared" si="156"/>
        <v>477</v>
      </c>
      <c r="I1094" s="8">
        <f t="shared" si="157"/>
        <v>801070</v>
      </c>
      <c r="J1094" s="8">
        <v>801190</v>
      </c>
      <c r="K1094" s="137">
        <f t="shared" si="155"/>
        <v>120</v>
      </c>
      <c r="L1094" s="8">
        <f t="shared" si="152"/>
        <v>4930</v>
      </c>
      <c r="M1094" s="8">
        <v>4930</v>
      </c>
      <c r="N1094" s="137">
        <f t="shared" si="146"/>
        <v>0</v>
      </c>
      <c r="O1094" s="128">
        <f t="shared" si="149"/>
        <v>120</v>
      </c>
      <c r="P1094" s="8">
        <f t="shared" si="153"/>
        <v>340336</v>
      </c>
      <c r="Q1094" s="8">
        <v>340336</v>
      </c>
      <c r="R1094" s="128">
        <f t="shared" si="147"/>
        <v>0</v>
      </c>
      <c r="AQ1094" s="8"/>
      <c r="AR1094" s="8"/>
      <c r="AS1094" s="8"/>
    </row>
    <row r="1095" spans="1:45">
      <c r="A1095" s="12">
        <v>45470</v>
      </c>
      <c r="B1095" s="8">
        <f t="shared" si="150"/>
        <v>645055</v>
      </c>
      <c r="C1095" s="8">
        <v>645286</v>
      </c>
      <c r="D1095" s="128">
        <f t="shared" si="148"/>
        <v>231</v>
      </c>
      <c r="E1095" s="8">
        <f t="shared" si="151"/>
        <v>244997</v>
      </c>
      <c r="F1095" s="8">
        <v>245260</v>
      </c>
      <c r="G1095" s="137">
        <f t="shared" si="154"/>
        <v>263</v>
      </c>
      <c r="H1095" s="128">
        <f t="shared" si="156"/>
        <v>494</v>
      </c>
      <c r="I1095" s="8">
        <f t="shared" si="157"/>
        <v>801190</v>
      </c>
      <c r="J1095" s="8">
        <v>801384</v>
      </c>
      <c r="K1095" s="137">
        <f t="shared" si="155"/>
        <v>194</v>
      </c>
      <c r="L1095" s="8">
        <f t="shared" si="152"/>
        <v>4930</v>
      </c>
      <c r="M1095" s="8">
        <v>4930</v>
      </c>
      <c r="N1095" s="137">
        <f t="shared" si="146"/>
        <v>0</v>
      </c>
      <c r="O1095" s="128">
        <f t="shared" si="149"/>
        <v>194</v>
      </c>
      <c r="P1095" s="8">
        <f t="shared" si="153"/>
        <v>340336</v>
      </c>
      <c r="Q1095" s="8">
        <v>340336</v>
      </c>
      <c r="R1095" s="128">
        <f t="shared" si="147"/>
        <v>0</v>
      </c>
      <c r="AQ1095" s="8"/>
      <c r="AR1095" s="8"/>
      <c r="AS1095" s="8"/>
    </row>
    <row r="1096" spans="1:45">
      <c r="A1096" s="12">
        <v>45471</v>
      </c>
      <c r="B1096" s="8">
        <f t="shared" si="150"/>
        <v>645286</v>
      </c>
      <c r="C1096" s="8">
        <v>645537</v>
      </c>
      <c r="D1096" s="128">
        <f t="shared" si="148"/>
        <v>251</v>
      </c>
      <c r="E1096" s="8">
        <f t="shared" si="151"/>
        <v>245260</v>
      </c>
      <c r="F1096" s="8">
        <v>245556</v>
      </c>
      <c r="G1096" s="137">
        <f t="shared" si="154"/>
        <v>296</v>
      </c>
      <c r="H1096" s="128">
        <f t="shared" si="156"/>
        <v>547</v>
      </c>
      <c r="I1096" s="8">
        <f t="shared" si="157"/>
        <v>801384</v>
      </c>
      <c r="J1096" s="8">
        <v>801573</v>
      </c>
      <c r="K1096" s="137">
        <f t="shared" si="155"/>
        <v>189</v>
      </c>
      <c r="L1096" s="8">
        <f t="shared" si="152"/>
        <v>4930</v>
      </c>
      <c r="M1096" s="8">
        <v>4930</v>
      </c>
      <c r="N1096" s="137">
        <f t="shared" si="146"/>
        <v>0</v>
      </c>
      <c r="O1096" s="128">
        <f t="shared" si="149"/>
        <v>189</v>
      </c>
      <c r="P1096" s="8">
        <f t="shared" si="153"/>
        <v>340336</v>
      </c>
      <c r="Q1096" s="8">
        <v>340336</v>
      </c>
      <c r="R1096" s="128">
        <f t="shared" si="147"/>
        <v>0</v>
      </c>
      <c r="AQ1096" s="8"/>
      <c r="AR1096" s="8"/>
      <c r="AS1096" s="8"/>
    </row>
    <row r="1097" spans="1:45">
      <c r="A1097" s="12">
        <v>45472</v>
      </c>
      <c r="B1097" s="8">
        <f t="shared" si="150"/>
        <v>645537</v>
      </c>
      <c r="C1097" s="8">
        <v>645848</v>
      </c>
      <c r="D1097" s="128">
        <f t="shared" si="148"/>
        <v>311</v>
      </c>
      <c r="E1097" s="8">
        <f t="shared" si="151"/>
        <v>245556</v>
      </c>
      <c r="F1097" s="8">
        <v>245861</v>
      </c>
      <c r="G1097" s="137">
        <f t="shared" si="154"/>
        <v>305</v>
      </c>
      <c r="H1097" s="128">
        <f t="shared" si="156"/>
        <v>616</v>
      </c>
      <c r="I1097" s="8">
        <f t="shared" si="157"/>
        <v>801573</v>
      </c>
      <c r="J1097" s="8">
        <v>801711</v>
      </c>
      <c r="K1097" s="137">
        <f t="shared" si="155"/>
        <v>138</v>
      </c>
      <c r="L1097" s="8">
        <f t="shared" si="152"/>
        <v>4930</v>
      </c>
      <c r="M1097" s="8">
        <v>4930</v>
      </c>
      <c r="N1097" s="137">
        <f t="shared" si="146"/>
        <v>0</v>
      </c>
      <c r="O1097" s="128">
        <f t="shared" si="149"/>
        <v>138</v>
      </c>
      <c r="P1097" s="8">
        <f t="shared" si="153"/>
        <v>340336</v>
      </c>
      <c r="Q1097" s="8">
        <v>340336</v>
      </c>
      <c r="R1097" s="128">
        <f t="shared" si="147"/>
        <v>0</v>
      </c>
      <c r="AQ1097" s="8"/>
      <c r="AR1097" s="8"/>
      <c r="AS1097" s="8"/>
    </row>
    <row r="1098" spans="1:45">
      <c r="A1098" s="12">
        <v>45473</v>
      </c>
      <c r="B1098" s="8">
        <f t="shared" si="150"/>
        <v>645848</v>
      </c>
      <c r="C1098" s="8">
        <v>645929</v>
      </c>
      <c r="D1098" s="128">
        <f t="shared" si="148"/>
        <v>81</v>
      </c>
      <c r="E1098" s="8">
        <f t="shared" si="151"/>
        <v>245861</v>
      </c>
      <c r="F1098" s="8">
        <v>245889</v>
      </c>
      <c r="G1098" s="137">
        <f t="shared" si="154"/>
        <v>28</v>
      </c>
      <c r="H1098" s="128">
        <f t="shared" si="156"/>
        <v>109</v>
      </c>
      <c r="I1098" s="8">
        <f t="shared" si="157"/>
        <v>801711</v>
      </c>
      <c r="J1098" s="8">
        <v>801895</v>
      </c>
      <c r="K1098" s="137">
        <f t="shared" si="155"/>
        <v>184</v>
      </c>
      <c r="L1098" s="8">
        <f t="shared" si="152"/>
        <v>4930</v>
      </c>
      <c r="M1098" s="8">
        <v>4930</v>
      </c>
      <c r="N1098" s="137">
        <f t="shared" si="146"/>
        <v>0</v>
      </c>
      <c r="O1098" s="128">
        <f t="shared" si="149"/>
        <v>184</v>
      </c>
      <c r="P1098" s="8">
        <f t="shared" si="153"/>
        <v>340336</v>
      </c>
      <c r="Q1098" s="8">
        <v>340336</v>
      </c>
      <c r="R1098" s="128">
        <f t="shared" si="147"/>
        <v>0</v>
      </c>
      <c r="AQ1098" s="8"/>
      <c r="AR1098" s="8"/>
      <c r="AS1098" s="8"/>
    </row>
    <row r="1099" spans="1:45">
      <c r="A1099" s="12">
        <v>45474</v>
      </c>
      <c r="B1099" s="8">
        <f t="shared" si="150"/>
        <v>645929</v>
      </c>
      <c r="C1099" s="8">
        <v>646136</v>
      </c>
      <c r="D1099" s="128">
        <f t="shared" si="148"/>
        <v>207</v>
      </c>
      <c r="E1099" s="8">
        <f t="shared" si="151"/>
        <v>245889</v>
      </c>
      <c r="F1099" s="8">
        <v>246059</v>
      </c>
      <c r="G1099" s="137">
        <f t="shared" si="154"/>
        <v>170</v>
      </c>
      <c r="H1099" s="128">
        <f t="shared" si="156"/>
        <v>377</v>
      </c>
      <c r="I1099" s="8">
        <f t="shared" si="157"/>
        <v>801895</v>
      </c>
      <c r="J1099" s="8">
        <v>802060</v>
      </c>
      <c r="K1099" s="137">
        <f t="shared" si="155"/>
        <v>165</v>
      </c>
      <c r="L1099" s="8">
        <f t="shared" si="152"/>
        <v>4930</v>
      </c>
      <c r="M1099" s="8">
        <v>4930</v>
      </c>
      <c r="N1099" s="137">
        <f t="shared" ref="N1099:N1162" si="158">M1099-L1099</f>
        <v>0</v>
      </c>
      <c r="O1099" s="128">
        <f t="shared" si="149"/>
        <v>165</v>
      </c>
      <c r="P1099" s="8">
        <f t="shared" si="153"/>
        <v>340336</v>
      </c>
      <c r="Q1099" s="8">
        <v>340336</v>
      </c>
      <c r="R1099" s="128">
        <f t="shared" si="147"/>
        <v>0</v>
      </c>
      <c r="AQ1099" s="8"/>
      <c r="AR1099" s="8"/>
      <c r="AS1099" s="8"/>
    </row>
    <row r="1100" spans="1:45">
      <c r="A1100" s="12">
        <v>45475</v>
      </c>
      <c r="B1100" s="8">
        <f t="shared" si="150"/>
        <v>646136</v>
      </c>
      <c r="C1100" s="8">
        <v>646416</v>
      </c>
      <c r="D1100" s="128">
        <f t="shared" si="148"/>
        <v>280</v>
      </c>
      <c r="E1100" s="8">
        <f t="shared" si="151"/>
        <v>246059</v>
      </c>
      <c r="F1100" s="8">
        <v>246357</v>
      </c>
      <c r="G1100" s="137">
        <f t="shared" si="154"/>
        <v>298</v>
      </c>
      <c r="H1100" s="128">
        <f t="shared" si="156"/>
        <v>578</v>
      </c>
      <c r="I1100" s="8">
        <f t="shared" si="157"/>
        <v>802060</v>
      </c>
      <c r="J1100" s="8">
        <v>802298</v>
      </c>
      <c r="K1100" s="137">
        <f t="shared" si="155"/>
        <v>238</v>
      </c>
      <c r="L1100" s="8">
        <f t="shared" si="152"/>
        <v>4930</v>
      </c>
      <c r="M1100" s="8">
        <v>4930</v>
      </c>
      <c r="N1100" s="137">
        <f t="shared" si="158"/>
        <v>0</v>
      </c>
      <c r="O1100" s="128">
        <f t="shared" si="149"/>
        <v>238</v>
      </c>
      <c r="P1100" s="8">
        <f t="shared" si="153"/>
        <v>340336</v>
      </c>
      <c r="Q1100" s="8">
        <v>340336</v>
      </c>
      <c r="R1100" s="128">
        <f t="shared" si="147"/>
        <v>0</v>
      </c>
      <c r="AQ1100" s="8"/>
      <c r="AR1100" s="8"/>
      <c r="AS1100" s="8"/>
    </row>
    <row r="1101" spans="1:45">
      <c r="A1101" s="12">
        <v>45476</v>
      </c>
      <c r="B1101" s="8">
        <f t="shared" si="150"/>
        <v>646416</v>
      </c>
      <c r="C1101" s="8">
        <v>646645</v>
      </c>
      <c r="D1101" s="128">
        <f t="shared" si="148"/>
        <v>229</v>
      </c>
      <c r="E1101" s="8">
        <f t="shared" si="151"/>
        <v>246357</v>
      </c>
      <c r="F1101" s="8">
        <v>246629</v>
      </c>
      <c r="G1101" s="137">
        <f t="shared" si="154"/>
        <v>272</v>
      </c>
      <c r="H1101" s="128">
        <f t="shared" si="156"/>
        <v>501</v>
      </c>
      <c r="I1101" s="8">
        <f t="shared" si="157"/>
        <v>802298</v>
      </c>
      <c r="J1101" s="8">
        <v>802588</v>
      </c>
      <c r="K1101" s="137">
        <f t="shared" si="155"/>
        <v>290</v>
      </c>
      <c r="L1101" s="8">
        <f t="shared" si="152"/>
        <v>4930</v>
      </c>
      <c r="M1101" s="8">
        <v>4930</v>
      </c>
      <c r="N1101" s="137">
        <f t="shared" si="158"/>
        <v>0</v>
      </c>
      <c r="O1101" s="128">
        <f t="shared" si="149"/>
        <v>290</v>
      </c>
      <c r="P1101" s="8">
        <f t="shared" si="153"/>
        <v>340336</v>
      </c>
      <c r="Q1101" s="8">
        <v>340336</v>
      </c>
      <c r="R1101" s="128">
        <f t="shared" si="147"/>
        <v>0</v>
      </c>
      <c r="AQ1101" s="8"/>
      <c r="AR1101" s="8"/>
      <c r="AS1101" s="8"/>
    </row>
    <row r="1102" spans="1:45">
      <c r="A1102" s="12">
        <v>45477</v>
      </c>
      <c r="B1102" s="8">
        <f t="shared" si="150"/>
        <v>646645</v>
      </c>
      <c r="C1102" s="8">
        <v>646921</v>
      </c>
      <c r="D1102" s="128">
        <f t="shared" si="148"/>
        <v>276</v>
      </c>
      <c r="E1102" s="8">
        <f t="shared" si="151"/>
        <v>246629</v>
      </c>
      <c r="F1102" s="8">
        <v>246925</v>
      </c>
      <c r="G1102" s="137">
        <f t="shared" si="154"/>
        <v>296</v>
      </c>
      <c r="H1102" s="128">
        <f t="shared" si="156"/>
        <v>572</v>
      </c>
      <c r="I1102" s="8">
        <f t="shared" si="157"/>
        <v>802588</v>
      </c>
      <c r="J1102" s="8">
        <v>802808</v>
      </c>
      <c r="K1102" s="137">
        <f t="shared" si="155"/>
        <v>220</v>
      </c>
      <c r="L1102" s="8">
        <f t="shared" si="152"/>
        <v>4930</v>
      </c>
      <c r="M1102" s="8">
        <v>4930</v>
      </c>
      <c r="N1102" s="137">
        <f t="shared" si="158"/>
        <v>0</v>
      </c>
      <c r="O1102" s="128">
        <f t="shared" si="149"/>
        <v>220</v>
      </c>
      <c r="P1102" s="8">
        <f t="shared" si="153"/>
        <v>340336</v>
      </c>
      <c r="Q1102" s="8">
        <v>340336</v>
      </c>
      <c r="R1102" s="128">
        <f t="shared" si="147"/>
        <v>0</v>
      </c>
      <c r="AQ1102" s="8"/>
      <c r="AR1102" s="8"/>
      <c r="AS1102" s="8"/>
    </row>
    <row r="1103" spans="1:45">
      <c r="A1103" s="12">
        <v>45478</v>
      </c>
      <c r="B1103" s="8">
        <f t="shared" si="150"/>
        <v>646921</v>
      </c>
      <c r="C1103" s="8">
        <v>647154</v>
      </c>
      <c r="D1103" s="128">
        <f t="shared" si="148"/>
        <v>233</v>
      </c>
      <c r="E1103" s="8">
        <f t="shared" si="151"/>
        <v>246925</v>
      </c>
      <c r="F1103" s="8">
        <v>247192</v>
      </c>
      <c r="G1103" s="137">
        <f t="shared" si="154"/>
        <v>267</v>
      </c>
      <c r="H1103" s="128">
        <f t="shared" si="156"/>
        <v>500</v>
      </c>
      <c r="I1103" s="8">
        <f t="shared" si="157"/>
        <v>802808</v>
      </c>
      <c r="J1103" s="8">
        <v>803016</v>
      </c>
      <c r="K1103" s="137">
        <f t="shared" si="155"/>
        <v>208</v>
      </c>
      <c r="L1103" s="8">
        <f t="shared" si="152"/>
        <v>4930</v>
      </c>
      <c r="M1103" s="8">
        <v>4930</v>
      </c>
      <c r="N1103" s="137">
        <f t="shared" si="158"/>
        <v>0</v>
      </c>
      <c r="O1103" s="128">
        <f t="shared" si="149"/>
        <v>208</v>
      </c>
      <c r="P1103" s="8">
        <f t="shared" si="153"/>
        <v>340336</v>
      </c>
      <c r="Q1103" s="8">
        <v>340336</v>
      </c>
      <c r="R1103" s="128">
        <f t="shared" si="147"/>
        <v>0</v>
      </c>
      <c r="AQ1103" s="8"/>
      <c r="AR1103" s="8"/>
      <c r="AS1103" s="8"/>
    </row>
    <row r="1104" spans="1:45">
      <c r="A1104" s="12">
        <v>45479</v>
      </c>
      <c r="B1104" s="8">
        <f t="shared" si="150"/>
        <v>647154</v>
      </c>
      <c r="C1104" s="8">
        <v>647433</v>
      </c>
      <c r="D1104" s="128">
        <f t="shared" si="148"/>
        <v>279</v>
      </c>
      <c r="E1104" s="8">
        <f t="shared" si="151"/>
        <v>247192</v>
      </c>
      <c r="F1104" s="8">
        <v>247565</v>
      </c>
      <c r="G1104" s="137">
        <f t="shared" si="154"/>
        <v>373</v>
      </c>
      <c r="H1104" s="128">
        <f t="shared" si="156"/>
        <v>652</v>
      </c>
      <c r="I1104" s="8">
        <f t="shared" si="157"/>
        <v>803016</v>
      </c>
      <c r="J1104" s="8">
        <v>803222</v>
      </c>
      <c r="K1104" s="137">
        <f t="shared" si="155"/>
        <v>206</v>
      </c>
      <c r="L1104" s="8">
        <f t="shared" si="152"/>
        <v>4930</v>
      </c>
      <c r="M1104" s="8">
        <v>4930</v>
      </c>
      <c r="N1104" s="137">
        <f t="shared" si="158"/>
        <v>0</v>
      </c>
      <c r="O1104" s="128">
        <f t="shared" si="149"/>
        <v>206</v>
      </c>
      <c r="P1104" s="8">
        <f t="shared" si="153"/>
        <v>340336</v>
      </c>
      <c r="Q1104" s="8">
        <v>340336</v>
      </c>
      <c r="R1104" s="128">
        <f t="shared" si="147"/>
        <v>0</v>
      </c>
      <c r="AQ1104" s="8"/>
      <c r="AR1104" s="8"/>
      <c r="AS1104" s="8"/>
    </row>
    <row r="1105" spans="1:45">
      <c r="A1105" s="12">
        <v>45480</v>
      </c>
      <c r="B1105" s="8">
        <f t="shared" si="150"/>
        <v>647433</v>
      </c>
      <c r="C1105" s="8">
        <v>647641</v>
      </c>
      <c r="D1105" s="128">
        <f t="shared" si="148"/>
        <v>208</v>
      </c>
      <c r="E1105" s="8">
        <f t="shared" si="151"/>
        <v>247565</v>
      </c>
      <c r="F1105" s="8">
        <v>247885</v>
      </c>
      <c r="G1105" s="137">
        <f t="shared" si="154"/>
        <v>320</v>
      </c>
      <c r="H1105" s="128">
        <f t="shared" si="156"/>
        <v>528</v>
      </c>
      <c r="I1105" s="8">
        <f t="shared" si="157"/>
        <v>803222</v>
      </c>
      <c r="J1105" s="8">
        <v>803372</v>
      </c>
      <c r="K1105" s="137">
        <f t="shared" si="155"/>
        <v>150</v>
      </c>
      <c r="L1105" s="8">
        <f t="shared" si="152"/>
        <v>4930</v>
      </c>
      <c r="M1105" s="8">
        <v>4930</v>
      </c>
      <c r="N1105" s="137">
        <f t="shared" si="158"/>
        <v>0</v>
      </c>
      <c r="O1105" s="128">
        <f t="shared" si="149"/>
        <v>150</v>
      </c>
      <c r="P1105" s="8">
        <f t="shared" si="153"/>
        <v>340336</v>
      </c>
      <c r="Q1105" s="8">
        <v>340336</v>
      </c>
      <c r="R1105" s="128">
        <f t="shared" si="147"/>
        <v>0</v>
      </c>
      <c r="AQ1105" s="8"/>
      <c r="AR1105" s="8"/>
      <c r="AS1105" s="8"/>
    </row>
    <row r="1106" spans="1:45">
      <c r="A1106" s="12">
        <v>45481</v>
      </c>
      <c r="B1106" s="8">
        <f t="shared" si="150"/>
        <v>647641</v>
      </c>
      <c r="C1106" s="8">
        <v>647858</v>
      </c>
      <c r="D1106" s="128">
        <f t="shared" si="148"/>
        <v>217</v>
      </c>
      <c r="E1106" s="8">
        <f t="shared" si="151"/>
        <v>247885</v>
      </c>
      <c r="F1106" s="8">
        <v>248235</v>
      </c>
      <c r="G1106" s="137">
        <f t="shared" si="154"/>
        <v>350</v>
      </c>
      <c r="H1106" s="128">
        <f t="shared" si="156"/>
        <v>567</v>
      </c>
      <c r="I1106" s="8">
        <f t="shared" si="157"/>
        <v>803372</v>
      </c>
      <c r="J1106" s="8">
        <v>803583</v>
      </c>
      <c r="K1106" s="137">
        <f t="shared" si="155"/>
        <v>211</v>
      </c>
      <c r="L1106" s="8">
        <f t="shared" si="152"/>
        <v>4930</v>
      </c>
      <c r="M1106" s="8">
        <v>4930</v>
      </c>
      <c r="N1106" s="137">
        <f t="shared" si="158"/>
        <v>0</v>
      </c>
      <c r="O1106" s="128">
        <f t="shared" si="149"/>
        <v>211</v>
      </c>
      <c r="P1106" s="8">
        <f t="shared" si="153"/>
        <v>340336</v>
      </c>
      <c r="Q1106" s="8">
        <v>340336</v>
      </c>
      <c r="R1106" s="128">
        <f t="shared" si="147"/>
        <v>0</v>
      </c>
      <c r="AQ1106" s="8"/>
      <c r="AR1106" s="8"/>
      <c r="AS1106" s="8"/>
    </row>
    <row r="1107" spans="1:45">
      <c r="A1107" s="12">
        <v>45482</v>
      </c>
      <c r="B1107" s="8">
        <f t="shared" si="150"/>
        <v>647858</v>
      </c>
      <c r="C1107" s="8">
        <v>648097</v>
      </c>
      <c r="D1107" s="128">
        <f t="shared" si="148"/>
        <v>239</v>
      </c>
      <c r="E1107" s="8">
        <f t="shared" si="151"/>
        <v>248235</v>
      </c>
      <c r="F1107" s="8">
        <v>248556</v>
      </c>
      <c r="G1107" s="137">
        <f t="shared" si="154"/>
        <v>321</v>
      </c>
      <c r="H1107" s="128">
        <f t="shared" si="156"/>
        <v>560</v>
      </c>
      <c r="I1107" s="8">
        <f t="shared" si="157"/>
        <v>803583</v>
      </c>
      <c r="J1107" s="8">
        <v>803761</v>
      </c>
      <c r="K1107" s="137">
        <f t="shared" si="155"/>
        <v>178</v>
      </c>
      <c r="L1107" s="8">
        <f t="shared" si="152"/>
        <v>4930</v>
      </c>
      <c r="M1107" s="8">
        <v>4930</v>
      </c>
      <c r="N1107" s="137">
        <f t="shared" si="158"/>
        <v>0</v>
      </c>
      <c r="O1107" s="128">
        <f t="shared" si="149"/>
        <v>178</v>
      </c>
      <c r="P1107" s="8">
        <f t="shared" si="153"/>
        <v>340336</v>
      </c>
      <c r="Q1107" s="8">
        <v>340336</v>
      </c>
      <c r="R1107" s="128">
        <f t="shared" si="147"/>
        <v>0</v>
      </c>
      <c r="AQ1107" s="8"/>
      <c r="AR1107" s="8"/>
      <c r="AS1107" s="8"/>
    </row>
    <row r="1108" spans="1:45">
      <c r="A1108" s="12">
        <v>45483</v>
      </c>
      <c r="B1108" s="8">
        <f t="shared" si="150"/>
        <v>648097</v>
      </c>
      <c r="C1108" s="8">
        <v>648292</v>
      </c>
      <c r="D1108" s="128">
        <f t="shared" si="148"/>
        <v>195</v>
      </c>
      <c r="E1108" s="8">
        <f t="shared" si="151"/>
        <v>248556</v>
      </c>
      <c r="F1108" s="8">
        <v>248853</v>
      </c>
      <c r="G1108" s="137">
        <f t="shared" si="154"/>
        <v>297</v>
      </c>
      <c r="H1108" s="128">
        <f t="shared" si="156"/>
        <v>492</v>
      </c>
      <c r="I1108" s="8">
        <f t="shared" si="157"/>
        <v>803761</v>
      </c>
      <c r="J1108" s="8">
        <v>803892</v>
      </c>
      <c r="K1108" s="137">
        <f t="shared" si="155"/>
        <v>131</v>
      </c>
      <c r="L1108" s="8">
        <f t="shared" si="152"/>
        <v>4930</v>
      </c>
      <c r="M1108" s="8">
        <v>4930</v>
      </c>
      <c r="N1108" s="137">
        <f t="shared" si="158"/>
        <v>0</v>
      </c>
      <c r="O1108" s="128">
        <f t="shared" si="149"/>
        <v>131</v>
      </c>
      <c r="P1108" s="8">
        <f t="shared" si="153"/>
        <v>340336</v>
      </c>
      <c r="Q1108" s="8">
        <v>340336</v>
      </c>
      <c r="R1108" s="128">
        <f t="shared" si="147"/>
        <v>0</v>
      </c>
      <c r="AQ1108" s="8"/>
      <c r="AR1108" s="8"/>
      <c r="AS1108" s="8"/>
    </row>
    <row r="1109" spans="1:45">
      <c r="A1109" s="12">
        <v>45484</v>
      </c>
      <c r="B1109" s="8">
        <f t="shared" si="150"/>
        <v>648292</v>
      </c>
      <c r="C1109" s="8">
        <v>648460</v>
      </c>
      <c r="D1109" s="128">
        <f t="shared" si="148"/>
        <v>168</v>
      </c>
      <c r="E1109" s="8">
        <f t="shared" si="151"/>
        <v>248853</v>
      </c>
      <c r="F1109" s="8">
        <v>249024</v>
      </c>
      <c r="G1109" s="137">
        <f t="shared" si="154"/>
        <v>171</v>
      </c>
      <c r="H1109" s="128">
        <f t="shared" si="156"/>
        <v>339</v>
      </c>
      <c r="I1109" s="8">
        <f t="shared" si="157"/>
        <v>803892</v>
      </c>
      <c r="J1109" s="8">
        <v>803892</v>
      </c>
      <c r="K1109" s="137">
        <f t="shared" si="155"/>
        <v>0</v>
      </c>
      <c r="L1109" s="8">
        <f t="shared" si="152"/>
        <v>4930</v>
      </c>
      <c r="M1109" s="8">
        <v>4930</v>
      </c>
      <c r="N1109" s="137">
        <f t="shared" si="158"/>
        <v>0</v>
      </c>
      <c r="O1109" s="128">
        <f t="shared" si="149"/>
        <v>0</v>
      </c>
      <c r="P1109" s="8">
        <f t="shared" si="153"/>
        <v>340336</v>
      </c>
      <c r="Q1109" s="8">
        <v>340336</v>
      </c>
      <c r="R1109" s="128">
        <f t="shared" si="147"/>
        <v>0</v>
      </c>
      <c r="AQ1109" s="8"/>
      <c r="AR1109" s="8"/>
      <c r="AS1109" s="8"/>
    </row>
    <row r="1110" spans="1:45">
      <c r="A1110" s="12">
        <v>45485</v>
      </c>
      <c r="B1110" s="8">
        <f t="shared" si="150"/>
        <v>648460</v>
      </c>
      <c r="C1110" s="8">
        <v>648699</v>
      </c>
      <c r="D1110" s="128">
        <f t="shared" si="148"/>
        <v>239</v>
      </c>
      <c r="E1110" s="8">
        <f t="shared" si="151"/>
        <v>249024</v>
      </c>
      <c r="F1110" s="8">
        <v>249320</v>
      </c>
      <c r="G1110" s="137">
        <f t="shared" si="154"/>
        <v>296</v>
      </c>
      <c r="H1110" s="128">
        <f t="shared" si="156"/>
        <v>535</v>
      </c>
      <c r="I1110" s="8">
        <f t="shared" si="157"/>
        <v>803892</v>
      </c>
      <c r="J1110" s="8">
        <v>803979</v>
      </c>
      <c r="K1110" s="137">
        <f t="shared" si="155"/>
        <v>87</v>
      </c>
      <c r="L1110" s="8">
        <f t="shared" si="152"/>
        <v>4930</v>
      </c>
      <c r="M1110" s="8">
        <v>4930</v>
      </c>
      <c r="N1110" s="137">
        <f t="shared" si="158"/>
        <v>0</v>
      </c>
      <c r="O1110" s="128">
        <f t="shared" si="149"/>
        <v>87</v>
      </c>
      <c r="P1110" s="8">
        <f t="shared" si="153"/>
        <v>340336</v>
      </c>
      <c r="Q1110" s="8">
        <v>340336</v>
      </c>
      <c r="R1110" s="128">
        <f t="shared" ref="R1110:R1136" si="159">Q1110-P1110</f>
        <v>0</v>
      </c>
      <c r="AQ1110" s="8"/>
      <c r="AR1110" s="8"/>
      <c r="AS1110" s="8"/>
    </row>
    <row r="1111" spans="1:45">
      <c r="A1111" s="12">
        <v>45486</v>
      </c>
      <c r="B1111" s="8">
        <f t="shared" si="150"/>
        <v>648699</v>
      </c>
      <c r="C1111" s="8">
        <v>649039</v>
      </c>
      <c r="D1111" s="128">
        <f t="shared" si="148"/>
        <v>340</v>
      </c>
      <c r="E1111" s="8">
        <f t="shared" si="151"/>
        <v>249320</v>
      </c>
      <c r="F1111" s="8">
        <v>249733</v>
      </c>
      <c r="G1111" s="137">
        <f t="shared" si="154"/>
        <v>413</v>
      </c>
      <c r="H1111" s="128">
        <f t="shared" si="156"/>
        <v>753</v>
      </c>
      <c r="I1111" s="8">
        <f t="shared" si="157"/>
        <v>803979</v>
      </c>
      <c r="J1111" s="8">
        <v>804342</v>
      </c>
      <c r="K1111" s="137">
        <f t="shared" si="155"/>
        <v>363</v>
      </c>
      <c r="L1111" s="8">
        <f t="shared" si="152"/>
        <v>4930</v>
      </c>
      <c r="M1111" s="8">
        <v>4930</v>
      </c>
      <c r="N1111" s="137">
        <f t="shared" si="158"/>
        <v>0</v>
      </c>
      <c r="O1111" s="128">
        <f t="shared" si="149"/>
        <v>363</v>
      </c>
      <c r="P1111" s="8">
        <f t="shared" si="153"/>
        <v>340336</v>
      </c>
      <c r="Q1111" s="8">
        <v>340336</v>
      </c>
      <c r="R1111" s="128">
        <f t="shared" si="159"/>
        <v>0</v>
      </c>
      <c r="AQ1111" s="8"/>
      <c r="AR1111" s="8"/>
      <c r="AS1111" s="8"/>
    </row>
    <row r="1112" spans="1:45">
      <c r="A1112" s="12">
        <v>45487</v>
      </c>
      <c r="B1112" s="8">
        <f t="shared" si="150"/>
        <v>649039</v>
      </c>
      <c r="C1112" s="8">
        <v>649246</v>
      </c>
      <c r="D1112" s="128">
        <f t="shared" si="148"/>
        <v>207</v>
      </c>
      <c r="E1112" s="8">
        <f t="shared" si="151"/>
        <v>249733</v>
      </c>
      <c r="F1112" s="8">
        <v>249997</v>
      </c>
      <c r="G1112" s="137">
        <f t="shared" si="154"/>
        <v>264</v>
      </c>
      <c r="H1112" s="128">
        <f t="shared" si="156"/>
        <v>471</v>
      </c>
      <c r="I1112" s="8">
        <f t="shared" si="157"/>
        <v>804342</v>
      </c>
      <c r="J1112" s="8">
        <v>804429</v>
      </c>
      <c r="K1112" s="137">
        <f t="shared" si="155"/>
        <v>87</v>
      </c>
      <c r="L1112" s="8">
        <f t="shared" si="152"/>
        <v>4930</v>
      </c>
      <c r="M1112" s="8">
        <v>4930</v>
      </c>
      <c r="N1112" s="137">
        <f t="shared" si="158"/>
        <v>0</v>
      </c>
      <c r="O1112" s="128">
        <f t="shared" si="149"/>
        <v>87</v>
      </c>
      <c r="P1112" s="8">
        <f t="shared" si="153"/>
        <v>340336</v>
      </c>
      <c r="Q1112" s="8">
        <v>340336</v>
      </c>
      <c r="R1112" s="128">
        <f t="shared" si="159"/>
        <v>0</v>
      </c>
      <c r="AQ1112" s="8"/>
      <c r="AR1112" s="8"/>
      <c r="AS1112" s="8"/>
    </row>
    <row r="1113" spans="1:45">
      <c r="A1113" s="12">
        <v>45488</v>
      </c>
      <c r="B1113" s="8">
        <f t="shared" si="150"/>
        <v>649246</v>
      </c>
      <c r="C1113" s="8">
        <v>649524</v>
      </c>
      <c r="D1113" s="128">
        <f t="shared" si="148"/>
        <v>278</v>
      </c>
      <c r="E1113" s="8">
        <f t="shared" si="151"/>
        <v>249997</v>
      </c>
      <c r="F1113" s="8">
        <v>250264</v>
      </c>
      <c r="G1113" s="137">
        <f t="shared" si="154"/>
        <v>267</v>
      </c>
      <c r="H1113" s="128">
        <f t="shared" si="156"/>
        <v>545</v>
      </c>
      <c r="I1113" s="8">
        <f t="shared" si="157"/>
        <v>804429</v>
      </c>
      <c r="J1113" s="8">
        <v>804596</v>
      </c>
      <c r="K1113" s="137">
        <f t="shared" si="155"/>
        <v>167</v>
      </c>
      <c r="L1113" s="8">
        <f t="shared" si="152"/>
        <v>4930</v>
      </c>
      <c r="M1113" s="8">
        <v>4930</v>
      </c>
      <c r="N1113" s="137">
        <f t="shared" si="158"/>
        <v>0</v>
      </c>
      <c r="O1113" s="128">
        <f t="shared" si="149"/>
        <v>167</v>
      </c>
      <c r="P1113" s="8">
        <f t="shared" si="153"/>
        <v>340336</v>
      </c>
      <c r="Q1113" s="8">
        <v>340336</v>
      </c>
      <c r="R1113" s="128">
        <f t="shared" si="159"/>
        <v>0</v>
      </c>
      <c r="AQ1113" s="8"/>
      <c r="AR1113" s="8"/>
      <c r="AS1113" s="8"/>
    </row>
    <row r="1114" spans="1:45">
      <c r="A1114" s="12">
        <v>45489</v>
      </c>
      <c r="B1114" s="8">
        <f t="shared" si="150"/>
        <v>649524</v>
      </c>
      <c r="C1114" s="8">
        <v>649731</v>
      </c>
      <c r="D1114" s="128">
        <f t="shared" si="148"/>
        <v>207</v>
      </c>
      <c r="E1114" s="8">
        <f t="shared" si="151"/>
        <v>250264</v>
      </c>
      <c r="F1114" s="8">
        <v>250548</v>
      </c>
      <c r="G1114" s="137">
        <f t="shared" si="154"/>
        <v>284</v>
      </c>
      <c r="H1114" s="128">
        <f t="shared" si="156"/>
        <v>491</v>
      </c>
      <c r="I1114" s="8">
        <f t="shared" si="157"/>
        <v>804596</v>
      </c>
      <c r="J1114" s="8">
        <v>804786</v>
      </c>
      <c r="K1114" s="137">
        <f t="shared" si="155"/>
        <v>190</v>
      </c>
      <c r="L1114" s="8">
        <f t="shared" si="152"/>
        <v>4930</v>
      </c>
      <c r="M1114" s="8">
        <v>4930</v>
      </c>
      <c r="N1114" s="137">
        <f t="shared" si="158"/>
        <v>0</v>
      </c>
      <c r="O1114" s="128">
        <f t="shared" si="149"/>
        <v>190</v>
      </c>
      <c r="P1114" s="8">
        <f t="shared" si="153"/>
        <v>340336</v>
      </c>
      <c r="Q1114" s="8">
        <v>340336</v>
      </c>
      <c r="R1114" s="128">
        <f t="shared" si="159"/>
        <v>0</v>
      </c>
      <c r="AQ1114" s="8"/>
      <c r="AR1114" s="8"/>
      <c r="AS1114" s="8"/>
    </row>
    <row r="1115" spans="1:45">
      <c r="A1115" s="12">
        <v>45490</v>
      </c>
      <c r="B1115" s="8">
        <f t="shared" si="150"/>
        <v>649731</v>
      </c>
      <c r="C1115" s="8">
        <v>649913</v>
      </c>
      <c r="D1115" s="128">
        <f t="shared" si="148"/>
        <v>182</v>
      </c>
      <c r="E1115" s="8">
        <f t="shared" si="151"/>
        <v>250548</v>
      </c>
      <c r="F1115" s="8">
        <v>250844</v>
      </c>
      <c r="G1115" s="137">
        <f t="shared" si="154"/>
        <v>296</v>
      </c>
      <c r="H1115" s="128">
        <f t="shared" si="156"/>
        <v>478</v>
      </c>
      <c r="I1115" s="8">
        <f t="shared" si="157"/>
        <v>804786</v>
      </c>
      <c r="J1115" s="8">
        <v>804916</v>
      </c>
      <c r="K1115" s="137">
        <f t="shared" si="155"/>
        <v>130</v>
      </c>
      <c r="L1115" s="8">
        <f t="shared" si="152"/>
        <v>4930</v>
      </c>
      <c r="M1115" s="8">
        <v>4930</v>
      </c>
      <c r="N1115" s="137">
        <f t="shared" si="158"/>
        <v>0</v>
      </c>
      <c r="O1115" s="128">
        <f t="shared" si="149"/>
        <v>130</v>
      </c>
      <c r="P1115" s="8">
        <f t="shared" si="153"/>
        <v>340336</v>
      </c>
      <c r="Q1115" s="8">
        <v>340336</v>
      </c>
      <c r="R1115" s="128">
        <f t="shared" si="159"/>
        <v>0</v>
      </c>
      <c r="AQ1115" s="8"/>
      <c r="AR1115" s="8"/>
      <c r="AS1115" s="8"/>
    </row>
    <row r="1116" spans="1:45">
      <c r="A1116" s="12">
        <v>45491</v>
      </c>
      <c r="B1116" s="8">
        <f t="shared" si="150"/>
        <v>649913</v>
      </c>
      <c r="C1116" s="8">
        <v>650124</v>
      </c>
      <c r="D1116" s="128">
        <f t="shared" si="148"/>
        <v>211</v>
      </c>
      <c r="E1116" s="8">
        <f t="shared" si="151"/>
        <v>250844</v>
      </c>
      <c r="F1116" s="8">
        <v>251133</v>
      </c>
      <c r="G1116" s="137">
        <f t="shared" si="154"/>
        <v>289</v>
      </c>
      <c r="H1116" s="128">
        <f t="shared" si="156"/>
        <v>500</v>
      </c>
      <c r="I1116" s="8">
        <f t="shared" si="157"/>
        <v>804916</v>
      </c>
      <c r="J1116" s="8">
        <v>805076</v>
      </c>
      <c r="K1116" s="137">
        <f t="shared" si="155"/>
        <v>160</v>
      </c>
      <c r="L1116" s="8">
        <f t="shared" si="152"/>
        <v>4930</v>
      </c>
      <c r="M1116" s="8">
        <v>4930</v>
      </c>
      <c r="N1116" s="137">
        <f t="shared" si="158"/>
        <v>0</v>
      </c>
      <c r="O1116" s="128">
        <f t="shared" si="149"/>
        <v>160</v>
      </c>
      <c r="P1116" s="8">
        <f t="shared" si="153"/>
        <v>340336</v>
      </c>
      <c r="Q1116" s="8">
        <v>340336</v>
      </c>
      <c r="R1116" s="128">
        <f t="shared" si="159"/>
        <v>0</v>
      </c>
      <c r="AQ1116" s="8"/>
      <c r="AR1116" s="8"/>
      <c r="AS1116" s="8"/>
    </row>
    <row r="1117" spans="1:45">
      <c r="A1117" s="12">
        <v>45492</v>
      </c>
      <c r="B1117" s="8">
        <f t="shared" si="150"/>
        <v>650124</v>
      </c>
      <c r="C1117" s="8">
        <v>650357</v>
      </c>
      <c r="D1117" s="128">
        <f t="shared" si="148"/>
        <v>233</v>
      </c>
      <c r="E1117" s="8">
        <f t="shared" si="151"/>
        <v>251133</v>
      </c>
      <c r="F1117" s="8">
        <v>251446</v>
      </c>
      <c r="G1117" s="137">
        <f t="shared" si="154"/>
        <v>313</v>
      </c>
      <c r="H1117" s="128">
        <f t="shared" si="156"/>
        <v>546</v>
      </c>
      <c r="I1117" s="8">
        <f t="shared" si="157"/>
        <v>805076</v>
      </c>
      <c r="J1117" s="8">
        <v>805221</v>
      </c>
      <c r="K1117" s="137">
        <f t="shared" si="155"/>
        <v>145</v>
      </c>
      <c r="L1117" s="8">
        <f t="shared" si="152"/>
        <v>4930</v>
      </c>
      <c r="M1117" s="8">
        <v>4930</v>
      </c>
      <c r="N1117" s="137">
        <f t="shared" si="158"/>
        <v>0</v>
      </c>
      <c r="O1117" s="128">
        <f t="shared" si="149"/>
        <v>145</v>
      </c>
      <c r="P1117" s="8">
        <f t="shared" si="153"/>
        <v>340336</v>
      </c>
      <c r="Q1117" s="8">
        <v>340336</v>
      </c>
      <c r="R1117" s="128">
        <f>Q1117-P1117</f>
        <v>0</v>
      </c>
      <c r="AQ1117" s="8"/>
      <c r="AR1117" s="8"/>
      <c r="AS1117" s="8"/>
    </row>
    <row r="1118" spans="1:45">
      <c r="A1118" s="12">
        <v>45493</v>
      </c>
      <c r="B1118" s="8">
        <f t="shared" si="150"/>
        <v>650357</v>
      </c>
      <c r="C1118" s="8">
        <v>650565</v>
      </c>
      <c r="D1118" s="128">
        <f t="shared" si="148"/>
        <v>208</v>
      </c>
      <c r="E1118" s="8">
        <f t="shared" si="151"/>
        <v>251446</v>
      </c>
      <c r="F1118" s="8">
        <v>251715</v>
      </c>
      <c r="G1118" s="137">
        <f t="shared" si="154"/>
        <v>269</v>
      </c>
      <c r="H1118" s="128">
        <f t="shared" si="156"/>
        <v>477</v>
      </c>
      <c r="I1118" s="8">
        <f t="shared" si="157"/>
        <v>805221</v>
      </c>
      <c r="J1118" s="8">
        <v>805374</v>
      </c>
      <c r="K1118" s="137">
        <f t="shared" si="155"/>
        <v>153</v>
      </c>
      <c r="L1118" s="8">
        <f t="shared" si="152"/>
        <v>4930</v>
      </c>
      <c r="M1118" s="8">
        <v>4930</v>
      </c>
      <c r="N1118" s="137">
        <f t="shared" si="158"/>
        <v>0</v>
      </c>
      <c r="O1118" s="128">
        <f t="shared" si="149"/>
        <v>153</v>
      </c>
      <c r="P1118" s="8">
        <f>Q1117</f>
        <v>340336</v>
      </c>
      <c r="Q1118" s="8">
        <v>340336</v>
      </c>
      <c r="R1118" s="128">
        <f>Q1118-P1118</f>
        <v>0</v>
      </c>
      <c r="AQ1118" s="8"/>
      <c r="AR1118" s="8"/>
      <c r="AS1118" s="8"/>
    </row>
    <row r="1119" spans="1:45">
      <c r="A1119" s="12">
        <v>45494</v>
      </c>
      <c r="B1119" s="8">
        <f t="shared" si="150"/>
        <v>650565</v>
      </c>
      <c r="C1119" s="8">
        <v>650788</v>
      </c>
      <c r="D1119" s="128">
        <f t="shared" si="148"/>
        <v>223</v>
      </c>
      <c r="E1119" s="8">
        <f t="shared" si="151"/>
        <v>251715</v>
      </c>
      <c r="F1119" s="8">
        <v>251989</v>
      </c>
      <c r="G1119" s="137">
        <f t="shared" si="154"/>
        <v>274</v>
      </c>
      <c r="H1119" s="128">
        <f t="shared" si="156"/>
        <v>497</v>
      </c>
      <c r="I1119" s="8">
        <f t="shared" si="157"/>
        <v>805374</v>
      </c>
      <c r="J1119" s="8">
        <v>805524</v>
      </c>
      <c r="K1119" s="137">
        <f t="shared" si="155"/>
        <v>150</v>
      </c>
      <c r="L1119" s="8">
        <f t="shared" si="152"/>
        <v>4930</v>
      </c>
      <c r="M1119" s="8">
        <v>4930</v>
      </c>
      <c r="N1119" s="137">
        <f t="shared" si="158"/>
        <v>0</v>
      </c>
      <c r="O1119" s="128">
        <f t="shared" si="149"/>
        <v>150</v>
      </c>
      <c r="P1119" s="8">
        <f>Q1118</f>
        <v>340336</v>
      </c>
      <c r="Q1119" s="8">
        <v>340336</v>
      </c>
      <c r="R1119" s="128">
        <f t="shared" si="159"/>
        <v>0</v>
      </c>
      <c r="AQ1119" s="8"/>
      <c r="AR1119" s="8"/>
      <c r="AS1119" s="8"/>
    </row>
    <row r="1120" spans="1:45">
      <c r="A1120" s="12">
        <v>45495</v>
      </c>
      <c r="B1120" s="8">
        <f t="shared" si="150"/>
        <v>650788</v>
      </c>
      <c r="C1120" s="8">
        <v>651078</v>
      </c>
      <c r="D1120" s="128">
        <f t="shared" ref="D1120:D1151" si="160">C1120-B1120</f>
        <v>290</v>
      </c>
      <c r="E1120" s="8">
        <f t="shared" si="151"/>
        <v>251989</v>
      </c>
      <c r="F1120" s="8">
        <v>252280</v>
      </c>
      <c r="G1120" s="137">
        <f t="shared" si="154"/>
        <v>291</v>
      </c>
      <c r="H1120" s="128">
        <f t="shared" si="156"/>
        <v>581</v>
      </c>
      <c r="I1120" s="8">
        <f t="shared" si="157"/>
        <v>805524</v>
      </c>
      <c r="J1120" s="8">
        <v>805710</v>
      </c>
      <c r="K1120" s="137">
        <f t="shared" si="155"/>
        <v>186</v>
      </c>
      <c r="L1120" s="8">
        <f t="shared" si="152"/>
        <v>4930</v>
      </c>
      <c r="M1120" s="8">
        <v>4930</v>
      </c>
      <c r="N1120" s="137">
        <f t="shared" si="158"/>
        <v>0</v>
      </c>
      <c r="O1120" s="128">
        <f t="shared" si="149"/>
        <v>186</v>
      </c>
      <c r="P1120" s="8">
        <f t="shared" si="153"/>
        <v>340336</v>
      </c>
      <c r="Q1120" s="8">
        <v>340336</v>
      </c>
      <c r="R1120" s="128">
        <f t="shared" si="159"/>
        <v>0</v>
      </c>
      <c r="AQ1120" s="8"/>
      <c r="AR1120" s="8"/>
      <c r="AS1120" s="8"/>
    </row>
    <row r="1121" spans="1:45">
      <c r="A1121" s="12">
        <v>45496</v>
      </c>
      <c r="B1121" s="8">
        <f t="shared" si="150"/>
        <v>651078</v>
      </c>
      <c r="C1121" s="8">
        <v>651342</v>
      </c>
      <c r="D1121" s="128">
        <f t="shared" si="160"/>
        <v>264</v>
      </c>
      <c r="E1121" s="8">
        <f t="shared" si="151"/>
        <v>252280</v>
      </c>
      <c r="F1121" s="8">
        <v>252558</v>
      </c>
      <c r="G1121" s="137">
        <f t="shared" si="154"/>
        <v>278</v>
      </c>
      <c r="H1121" s="128">
        <f t="shared" si="156"/>
        <v>542</v>
      </c>
      <c r="I1121" s="8">
        <f t="shared" si="157"/>
        <v>805710</v>
      </c>
      <c r="J1121" s="8">
        <v>805894</v>
      </c>
      <c r="K1121" s="137">
        <f t="shared" si="155"/>
        <v>184</v>
      </c>
      <c r="L1121" s="8">
        <f t="shared" si="152"/>
        <v>4930</v>
      </c>
      <c r="M1121" s="8">
        <v>4930</v>
      </c>
      <c r="N1121" s="137">
        <f t="shared" si="158"/>
        <v>0</v>
      </c>
      <c r="O1121" s="128">
        <f t="shared" si="149"/>
        <v>184</v>
      </c>
      <c r="P1121" s="8">
        <f t="shared" si="153"/>
        <v>340336</v>
      </c>
      <c r="Q1121" s="8">
        <v>340336</v>
      </c>
      <c r="R1121" s="128">
        <f t="shared" si="159"/>
        <v>0</v>
      </c>
      <c r="AQ1121" s="8"/>
      <c r="AR1121" s="8"/>
      <c r="AS1121" s="8"/>
    </row>
    <row r="1122" spans="1:45">
      <c r="A1122" s="12">
        <v>45497</v>
      </c>
      <c r="B1122" s="8">
        <f t="shared" si="150"/>
        <v>651342</v>
      </c>
      <c r="C1122" s="8">
        <v>651587</v>
      </c>
      <c r="D1122" s="128">
        <f t="shared" si="160"/>
        <v>245</v>
      </c>
      <c r="E1122" s="8">
        <f t="shared" si="151"/>
        <v>252558</v>
      </c>
      <c r="F1122" s="8">
        <v>252848</v>
      </c>
      <c r="G1122" s="137">
        <f t="shared" si="154"/>
        <v>290</v>
      </c>
      <c r="H1122" s="128">
        <f t="shared" si="156"/>
        <v>535</v>
      </c>
      <c r="I1122" s="8">
        <f t="shared" si="157"/>
        <v>805894</v>
      </c>
      <c r="J1122" s="8">
        <v>806050</v>
      </c>
      <c r="K1122" s="137">
        <f t="shared" si="155"/>
        <v>156</v>
      </c>
      <c r="L1122" s="8">
        <f t="shared" si="152"/>
        <v>4930</v>
      </c>
      <c r="M1122" s="8">
        <v>4930</v>
      </c>
      <c r="N1122" s="137">
        <f t="shared" si="158"/>
        <v>0</v>
      </c>
      <c r="O1122" s="128">
        <f t="shared" si="149"/>
        <v>156</v>
      </c>
      <c r="P1122" s="8">
        <f t="shared" si="153"/>
        <v>340336</v>
      </c>
      <c r="Q1122" s="8">
        <v>340336</v>
      </c>
      <c r="R1122" s="128">
        <f t="shared" si="159"/>
        <v>0</v>
      </c>
      <c r="AQ1122" s="8"/>
      <c r="AR1122" s="8"/>
      <c r="AS1122" s="8"/>
    </row>
    <row r="1123" spans="1:45">
      <c r="A1123" s="12">
        <v>45498</v>
      </c>
      <c r="B1123" s="8">
        <f t="shared" si="150"/>
        <v>651587</v>
      </c>
      <c r="C1123" s="8">
        <v>651813</v>
      </c>
      <c r="D1123" s="128">
        <f t="shared" si="160"/>
        <v>226</v>
      </c>
      <c r="E1123" s="8">
        <f t="shared" si="151"/>
        <v>252848</v>
      </c>
      <c r="F1123" s="8">
        <v>253132</v>
      </c>
      <c r="G1123" s="137">
        <f t="shared" si="154"/>
        <v>284</v>
      </c>
      <c r="H1123" s="128">
        <f t="shared" si="156"/>
        <v>510</v>
      </c>
      <c r="I1123" s="8">
        <f t="shared" si="157"/>
        <v>806050</v>
      </c>
      <c r="J1123" s="8">
        <v>806255</v>
      </c>
      <c r="K1123" s="137">
        <f t="shared" si="155"/>
        <v>205</v>
      </c>
      <c r="L1123" s="8">
        <f t="shared" si="152"/>
        <v>4930</v>
      </c>
      <c r="M1123" s="8">
        <v>4930</v>
      </c>
      <c r="N1123" s="137">
        <f t="shared" si="158"/>
        <v>0</v>
      </c>
      <c r="O1123" s="128">
        <f t="shared" si="149"/>
        <v>205</v>
      </c>
      <c r="P1123" s="8">
        <f t="shared" si="153"/>
        <v>340336</v>
      </c>
      <c r="Q1123" s="8">
        <v>340336</v>
      </c>
      <c r="R1123" s="128">
        <f t="shared" si="159"/>
        <v>0</v>
      </c>
      <c r="AQ1123" s="8"/>
      <c r="AR1123" s="8"/>
      <c r="AS1123" s="8"/>
    </row>
    <row r="1124" spans="1:45">
      <c r="A1124" s="12">
        <v>45499</v>
      </c>
      <c r="B1124" s="8">
        <f t="shared" si="150"/>
        <v>651813</v>
      </c>
      <c r="C1124" s="8">
        <v>652015</v>
      </c>
      <c r="D1124" s="128">
        <f t="shared" si="160"/>
        <v>202</v>
      </c>
      <c r="E1124" s="8">
        <f t="shared" si="151"/>
        <v>253132</v>
      </c>
      <c r="F1124" s="8">
        <v>253405</v>
      </c>
      <c r="G1124" s="137">
        <f t="shared" si="154"/>
        <v>273</v>
      </c>
      <c r="H1124" s="128">
        <f t="shared" si="156"/>
        <v>475</v>
      </c>
      <c r="I1124" s="8">
        <f t="shared" si="157"/>
        <v>806255</v>
      </c>
      <c r="J1124" s="8">
        <v>806446</v>
      </c>
      <c r="K1124" s="137">
        <f t="shared" si="155"/>
        <v>191</v>
      </c>
      <c r="L1124" s="8">
        <f t="shared" si="152"/>
        <v>4930</v>
      </c>
      <c r="M1124" s="8">
        <v>4930</v>
      </c>
      <c r="N1124" s="137">
        <f t="shared" si="158"/>
        <v>0</v>
      </c>
      <c r="O1124" s="128">
        <f t="shared" si="149"/>
        <v>191</v>
      </c>
      <c r="P1124" s="8">
        <f t="shared" si="153"/>
        <v>340336</v>
      </c>
      <c r="Q1124" s="8">
        <v>340336</v>
      </c>
      <c r="R1124" s="128">
        <f t="shared" si="159"/>
        <v>0</v>
      </c>
      <c r="AQ1124" s="8"/>
      <c r="AR1124" s="8"/>
      <c r="AS1124" s="8"/>
    </row>
    <row r="1125" spans="1:45">
      <c r="A1125" s="12">
        <v>45500</v>
      </c>
      <c r="B1125" s="8">
        <f t="shared" si="150"/>
        <v>652015</v>
      </c>
      <c r="C1125" s="8">
        <v>652256</v>
      </c>
      <c r="D1125" s="128">
        <f t="shared" si="160"/>
        <v>241</v>
      </c>
      <c r="E1125" s="8">
        <f t="shared" si="151"/>
        <v>253405</v>
      </c>
      <c r="F1125" s="8">
        <v>253695</v>
      </c>
      <c r="G1125" s="137">
        <f t="shared" si="154"/>
        <v>290</v>
      </c>
      <c r="H1125" s="128">
        <f t="shared" si="156"/>
        <v>531</v>
      </c>
      <c r="I1125" s="8">
        <f t="shared" si="157"/>
        <v>806446</v>
      </c>
      <c r="J1125" s="8">
        <v>806580</v>
      </c>
      <c r="K1125" s="137">
        <f t="shared" si="155"/>
        <v>134</v>
      </c>
      <c r="L1125" s="8">
        <f t="shared" si="152"/>
        <v>4930</v>
      </c>
      <c r="M1125" s="8">
        <v>4930</v>
      </c>
      <c r="N1125" s="137">
        <f t="shared" si="158"/>
        <v>0</v>
      </c>
      <c r="O1125" s="128">
        <f t="shared" si="149"/>
        <v>134</v>
      </c>
      <c r="P1125" s="8">
        <f t="shared" si="153"/>
        <v>340336</v>
      </c>
      <c r="Q1125" s="8">
        <v>340336</v>
      </c>
      <c r="R1125" s="128">
        <f t="shared" si="159"/>
        <v>0</v>
      </c>
      <c r="AQ1125" s="8"/>
      <c r="AR1125" s="8"/>
      <c r="AS1125" s="8"/>
    </row>
    <row r="1126" spans="1:45">
      <c r="A1126" s="12">
        <v>45501</v>
      </c>
      <c r="B1126" s="8">
        <f t="shared" si="150"/>
        <v>652256</v>
      </c>
      <c r="C1126" s="8">
        <v>652464</v>
      </c>
      <c r="D1126" s="128">
        <f t="shared" si="160"/>
        <v>208</v>
      </c>
      <c r="E1126" s="8">
        <f t="shared" si="151"/>
        <v>253695</v>
      </c>
      <c r="F1126" s="8">
        <v>253969</v>
      </c>
      <c r="G1126" s="137">
        <f t="shared" si="154"/>
        <v>274</v>
      </c>
      <c r="H1126" s="128">
        <f t="shared" si="156"/>
        <v>482</v>
      </c>
      <c r="I1126" s="8">
        <f t="shared" si="157"/>
        <v>806580</v>
      </c>
      <c r="J1126" s="8">
        <v>806743</v>
      </c>
      <c r="K1126" s="137">
        <f t="shared" si="155"/>
        <v>163</v>
      </c>
      <c r="L1126" s="8">
        <f t="shared" si="152"/>
        <v>4930</v>
      </c>
      <c r="M1126" s="8">
        <v>4930</v>
      </c>
      <c r="N1126" s="137">
        <f t="shared" si="158"/>
        <v>0</v>
      </c>
      <c r="O1126" s="128">
        <f t="shared" si="149"/>
        <v>163</v>
      </c>
      <c r="P1126" s="8">
        <f t="shared" si="153"/>
        <v>340336</v>
      </c>
      <c r="Q1126" s="8">
        <v>340336</v>
      </c>
      <c r="R1126" s="128">
        <f t="shared" si="159"/>
        <v>0</v>
      </c>
      <c r="AQ1126" s="8"/>
      <c r="AR1126" s="8"/>
      <c r="AS1126" s="8"/>
    </row>
    <row r="1127" spans="1:45">
      <c r="A1127" s="12">
        <v>45502</v>
      </c>
      <c r="B1127" s="8">
        <f t="shared" si="150"/>
        <v>652464</v>
      </c>
      <c r="C1127" s="8">
        <v>652682</v>
      </c>
      <c r="D1127" s="128">
        <f t="shared" si="160"/>
        <v>218</v>
      </c>
      <c r="E1127" s="8">
        <f t="shared" si="151"/>
        <v>253969</v>
      </c>
      <c r="F1127" s="8">
        <v>254230</v>
      </c>
      <c r="G1127" s="137">
        <f t="shared" si="154"/>
        <v>261</v>
      </c>
      <c r="H1127" s="128">
        <f t="shared" si="156"/>
        <v>479</v>
      </c>
      <c r="I1127" s="8">
        <f t="shared" si="157"/>
        <v>806743</v>
      </c>
      <c r="J1127" s="8">
        <v>806938</v>
      </c>
      <c r="K1127" s="137">
        <f t="shared" si="155"/>
        <v>195</v>
      </c>
      <c r="L1127" s="8">
        <f t="shared" si="152"/>
        <v>4930</v>
      </c>
      <c r="M1127" s="8">
        <v>4930</v>
      </c>
      <c r="N1127" s="137">
        <f t="shared" si="158"/>
        <v>0</v>
      </c>
      <c r="O1127" s="128">
        <f t="shared" si="149"/>
        <v>195</v>
      </c>
      <c r="P1127" s="8">
        <f t="shared" si="153"/>
        <v>340336</v>
      </c>
      <c r="Q1127" s="8">
        <v>340336</v>
      </c>
      <c r="R1127" s="128">
        <f t="shared" si="159"/>
        <v>0</v>
      </c>
      <c r="AQ1127" s="8"/>
      <c r="AR1127" s="8"/>
      <c r="AS1127" s="8"/>
    </row>
    <row r="1128" spans="1:45">
      <c r="A1128" s="12">
        <v>45503</v>
      </c>
      <c r="B1128" s="8">
        <f t="shared" si="150"/>
        <v>652682</v>
      </c>
      <c r="C1128" s="8">
        <v>652898</v>
      </c>
      <c r="D1128" s="128">
        <f t="shared" si="160"/>
        <v>216</v>
      </c>
      <c r="E1128" s="8">
        <f t="shared" si="151"/>
        <v>254230</v>
      </c>
      <c r="F1128" s="8">
        <v>254513</v>
      </c>
      <c r="G1128" s="137">
        <f t="shared" si="154"/>
        <v>283</v>
      </c>
      <c r="H1128" s="128">
        <f t="shared" si="156"/>
        <v>499</v>
      </c>
      <c r="I1128" s="8">
        <f t="shared" si="157"/>
        <v>806938</v>
      </c>
      <c r="J1128" s="8">
        <v>807064</v>
      </c>
      <c r="K1128" s="137">
        <f t="shared" si="155"/>
        <v>126</v>
      </c>
      <c r="L1128" s="8">
        <f t="shared" si="152"/>
        <v>4930</v>
      </c>
      <c r="M1128" s="8">
        <v>4930</v>
      </c>
      <c r="N1128" s="137">
        <f t="shared" si="158"/>
        <v>0</v>
      </c>
      <c r="O1128" s="128">
        <f t="shared" ref="O1128:O1154" si="161">N1128+K1128</f>
        <v>126</v>
      </c>
      <c r="P1128" s="8">
        <f t="shared" si="153"/>
        <v>340336</v>
      </c>
      <c r="Q1128" s="8">
        <v>340336</v>
      </c>
      <c r="R1128" s="128">
        <f t="shared" si="159"/>
        <v>0</v>
      </c>
      <c r="AQ1128" s="8"/>
      <c r="AR1128" s="8"/>
      <c r="AS1128" s="8"/>
    </row>
    <row r="1129" spans="1:45">
      <c r="A1129" s="12">
        <v>45504</v>
      </c>
      <c r="B1129" s="8">
        <f t="shared" si="150"/>
        <v>652898</v>
      </c>
      <c r="C1129" s="8">
        <v>653101</v>
      </c>
      <c r="D1129" s="128">
        <f t="shared" si="160"/>
        <v>203</v>
      </c>
      <c r="E1129" s="8">
        <f t="shared" si="151"/>
        <v>254513</v>
      </c>
      <c r="F1129" s="8">
        <v>254818</v>
      </c>
      <c r="G1129" s="137">
        <f t="shared" si="154"/>
        <v>305</v>
      </c>
      <c r="H1129" s="128">
        <f t="shared" si="156"/>
        <v>508</v>
      </c>
      <c r="I1129" s="8">
        <f t="shared" si="157"/>
        <v>807064</v>
      </c>
      <c r="J1129" s="8">
        <v>807220</v>
      </c>
      <c r="K1129" s="137">
        <f t="shared" si="155"/>
        <v>156</v>
      </c>
      <c r="L1129" s="8">
        <f t="shared" si="152"/>
        <v>4930</v>
      </c>
      <c r="M1129" s="8">
        <v>4930</v>
      </c>
      <c r="N1129" s="137">
        <f t="shared" si="158"/>
        <v>0</v>
      </c>
      <c r="O1129" s="128">
        <f t="shared" si="161"/>
        <v>156</v>
      </c>
      <c r="P1129" s="8">
        <f t="shared" si="153"/>
        <v>340336</v>
      </c>
      <c r="Q1129" s="8">
        <v>340336</v>
      </c>
      <c r="R1129" s="128">
        <f t="shared" si="159"/>
        <v>0</v>
      </c>
      <c r="AQ1129" s="8"/>
      <c r="AR1129" s="8"/>
      <c r="AS1129" s="8"/>
    </row>
    <row r="1130" spans="1:45">
      <c r="A1130" s="12">
        <v>45505</v>
      </c>
      <c r="B1130" s="8">
        <f>C1129</f>
        <v>653101</v>
      </c>
      <c r="C1130" s="8">
        <v>653370</v>
      </c>
      <c r="D1130" s="128">
        <f t="shared" si="160"/>
        <v>269</v>
      </c>
      <c r="E1130" s="8">
        <f t="shared" ref="E1130:E1137" si="162">F1129</f>
        <v>254818</v>
      </c>
      <c r="F1130" s="8">
        <v>255114</v>
      </c>
      <c r="G1130" s="137">
        <f t="shared" si="154"/>
        <v>296</v>
      </c>
      <c r="H1130" s="128">
        <f t="shared" si="156"/>
        <v>565</v>
      </c>
      <c r="I1130" s="8">
        <f t="shared" si="157"/>
        <v>807220</v>
      </c>
      <c r="J1130" s="8">
        <v>807438</v>
      </c>
      <c r="K1130" s="137">
        <f t="shared" si="155"/>
        <v>218</v>
      </c>
      <c r="L1130" s="8">
        <f t="shared" si="152"/>
        <v>4930</v>
      </c>
      <c r="M1130" s="8">
        <v>4930</v>
      </c>
      <c r="N1130" s="137">
        <f t="shared" si="158"/>
        <v>0</v>
      </c>
      <c r="O1130" s="128">
        <f>N1130+K1130</f>
        <v>218</v>
      </c>
      <c r="P1130" s="8">
        <f t="shared" si="153"/>
        <v>340336</v>
      </c>
      <c r="Q1130" s="8">
        <v>340350</v>
      </c>
      <c r="R1130" s="128">
        <f t="shared" si="159"/>
        <v>14</v>
      </c>
      <c r="AQ1130" s="8"/>
      <c r="AR1130" s="8"/>
      <c r="AS1130" s="8"/>
    </row>
    <row r="1131" spans="1:45">
      <c r="A1131" s="12">
        <v>45506</v>
      </c>
      <c r="B1131" s="8">
        <f t="shared" si="150"/>
        <v>653370</v>
      </c>
      <c r="C1131" s="8">
        <v>653569</v>
      </c>
      <c r="D1131" s="128">
        <f t="shared" si="160"/>
        <v>199</v>
      </c>
      <c r="E1131" s="8">
        <f t="shared" si="162"/>
        <v>255114</v>
      </c>
      <c r="F1131" s="8">
        <v>255398</v>
      </c>
      <c r="G1131" s="137">
        <f t="shared" si="154"/>
        <v>284</v>
      </c>
      <c r="H1131" s="128">
        <f t="shared" si="156"/>
        <v>483</v>
      </c>
      <c r="I1131" s="8">
        <f t="shared" si="157"/>
        <v>807438</v>
      </c>
      <c r="J1131" s="8">
        <v>807664</v>
      </c>
      <c r="K1131" s="137">
        <f t="shared" si="155"/>
        <v>226</v>
      </c>
      <c r="L1131" s="8">
        <f t="shared" si="152"/>
        <v>4930</v>
      </c>
      <c r="M1131" s="8">
        <v>4930</v>
      </c>
      <c r="N1131" s="137">
        <f t="shared" si="158"/>
        <v>0</v>
      </c>
      <c r="O1131" s="128">
        <f t="shared" si="161"/>
        <v>226</v>
      </c>
      <c r="P1131" s="8">
        <f t="shared" si="153"/>
        <v>340350</v>
      </c>
      <c r="Q1131" s="8">
        <v>340690</v>
      </c>
      <c r="R1131" s="128">
        <f t="shared" si="159"/>
        <v>340</v>
      </c>
      <c r="AQ1131" s="8"/>
      <c r="AR1131" s="8"/>
      <c r="AS1131" s="8"/>
    </row>
    <row r="1132" spans="1:45">
      <c r="A1132" s="12">
        <v>45507</v>
      </c>
      <c r="B1132" s="8">
        <f t="shared" ref="B1132:B1195" si="163">C1131</f>
        <v>653569</v>
      </c>
      <c r="C1132" s="8">
        <v>653747</v>
      </c>
      <c r="D1132" s="128">
        <f t="shared" si="160"/>
        <v>178</v>
      </c>
      <c r="E1132" s="8">
        <f t="shared" si="162"/>
        <v>255398</v>
      </c>
      <c r="F1132" s="8">
        <v>255706</v>
      </c>
      <c r="G1132" s="137">
        <f t="shared" si="154"/>
        <v>308</v>
      </c>
      <c r="H1132" s="128">
        <f t="shared" si="156"/>
        <v>486</v>
      </c>
      <c r="I1132" s="8">
        <f t="shared" si="157"/>
        <v>807664</v>
      </c>
      <c r="J1132" s="8">
        <v>807776</v>
      </c>
      <c r="K1132" s="137">
        <f t="shared" si="155"/>
        <v>112</v>
      </c>
      <c r="L1132" s="8">
        <f t="shared" si="152"/>
        <v>4930</v>
      </c>
      <c r="M1132" s="8">
        <v>4930</v>
      </c>
      <c r="N1132" s="137">
        <f t="shared" si="158"/>
        <v>0</v>
      </c>
      <c r="O1132" s="128">
        <f t="shared" si="161"/>
        <v>112</v>
      </c>
      <c r="P1132" s="8">
        <f t="shared" si="153"/>
        <v>340690</v>
      </c>
      <c r="Q1132" s="8">
        <v>342064</v>
      </c>
      <c r="R1132" s="128">
        <f t="shared" si="159"/>
        <v>1374</v>
      </c>
      <c r="AQ1132" s="8"/>
      <c r="AR1132" s="8"/>
      <c r="AS1132" s="8"/>
    </row>
    <row r="1133" spans="1:45">
      <c r="A1133" s="12">
        <v>45508</v>
      </c>
      <c r="B1133" s="8">
        <f t="shared" si="163"/>
        <v>653747</v>
      </c>
      <c r="C1133" s="8">
        <v>654143</v>
      </c>
      <c r="D1133" s="128">
        <f t="shared" si="160"/>
        <v>396</v>
      </c>
      <c r="E1133" s="8">
        <f t="shared" si="162"/>
        <v>255706</v>
      </c>
      <c r="F1133" s="8">
        <v>256084</v>
      </c>
      <c r="G1133" s="137">
        <f t="shared" si="154"/>
        <v>378</v>
      </c>
      <c r="H1133" s="128">
        <f t="shared" si="156"/>
        <v>774</v>
      </c>
      <c r="I1133" s="8">
        <f t="shared" si="157"/>
        <v>807776</v>
      </c>
      <c r="J1133" s="8">
        <v>807945</v>
      </c>
      <c r="K1133" s="137">
        <f t="shared" si="155"/>
        <v>169</v>
      </c>
      <c r="L1133" s="8">
        <f t="shared" si="152"/>
        <v>4930</v>
      </c>
      <c r="M1133" s="8">
        <v>4930</v>
      </c>
      <c r="N1133" s="137">
        <f t="shared" si="158"/>
        <v>0</v>
      </c>
      <c r="O1133" s="128">
        <f t="shared" si="161"/>
        <v>169</v>
      </c>
      <c r="P1133" s="8">
        <f t="shared" si="153"/>
        <v>342064</v>
      </c>
      <c r="Q1133" s="8">
        <v>342456</v>
      </c>
      <c r="R1133" s="128">
        <f t="shared" si="159"/>
        <v>392</v>
      </c>
      <c r="AQ1133" s="8"/>
      <c r="AR1133" s="8"/>
      <c r="AS1133" s="8"/>
    </row>
    <row r="1134" spans="1:45">
      <c r="A1134" s="12">
        <v>45509</v>
      </c>
      <c r="B1134" s="8">
        <f t="shared" si="163"/>
        <v>654143</v>
      </c>
      <c r="C1134" s="8">
        <v>654444</v>
      </c>
      <c r="D1134" s="128">
        <f t="shared" si="160"/>
        <v>301</v>
      </c>
      <c r="E1134" s="8">
        <f t="shared" si="162"/>
        <v>256084</v>
      </c>
      <c r="F1134" s="8">
        <v>256367</v>
      </c>
      <c r="G1134" s="137">
        <f t="shared" si="154"/>
        <v>283</v>
      </c>
      <c r="H1134" s="128">
        <f t="shared" si="156"/>
        <v>584</v>
      </c>
      <c r="I1134" s="8">
        <f t="shared" si="157"/>
        <v>807945</v>
      </c>
      <c r="J1134" s="8">
        <v>808115</v>
      </c>
      <c r="K1134" s="137">
        <f t="shared" si="155"/>
        <v>170</v>
      </c>
      <c r="L1134" s="8">
        <f t="shared" ref="L1134:L1137" si="164">M1133</f>
        <v>4930</v>
      </c>
      <c r="M1134" s="8">
        <v>4930</v>
      </c>
      <c r="N1134" s="137">
        <f t="shared" si="158"/>
        <v>0</v>
      </c>
      <c r="O1134" s="128">
        <f t="shared" si="161"/>
        <v>170</v>
      </c>
      <c r="P1134" s="8">
        <f t="shared" si="153"/>
        <v>342456</v>
      </c>
      <c r="Q1134" s="8">
        <v>342514</v>
      </c>
      <c r="R1134" s="128">
        <f t="shared" si="159"/>
        <v>58</v>
      </c>
      <c r="AQ1134" s="8"/>
      <c r="AR1134" s="8"/>
      <c r="AS1134" s="8"/>
    </row>
    <row r="1135" spans="1:45">
      <c r="A1135" s="12">
        <v>45510</v>
      </c>
      <c r="B1135" s="8">
        <f t="shared" si="163"/>
        <v>654444</v>
      </c>
      <c r="C1135" s="8">
        <v>654706</v>
      </c>
      <c r="D1135" s="128">
        <f t="shared" si="160"/>
        <v>262</v>
      </c>
      <c r="E1135" s="8">
        <f t="shared" si="162"/>
        <v>256367</v>
      </c>
      <c r="F1135" s="8">
        <v>256646</v>
      </c>
      <c r="G1135" s="137">
        <f t="shared" si="154"/>
        <v>279</v>
      </c>
      <c r="H1135" s="128">
        <f t="shared" si="156"/>
        <v>541</v>
      </c>
      <c r="I1135" s="8">
        <f t="shared" si="157"/>
        <v>808115</v>
      </c>
      <c r="J1135" s="8">
        <v>808295</v>
      </c>
      <c r="K1135" s="137">
        <f t="shared" si="155"/>
        <v>180</v>
      </c>
      <c r="L1135" s="8">
        <f t="shared" si="164"/>
        <v>4930</v>
      </c>
      <c r="M1135" s="8">
        <v>4930</v>
      </c>
      <c r="N1135" s="137">
        <f t="shared" si="158"/>
        <v>0</v>
      </c>
      <c r="O1135" s="128">
        <f t="shared" si="161"/>
        <v>180</v>
      </c>
      <c r="P1135" s="8">
        <f t="shared" si="153"/>
        <v>342514</v>
      </c>
      <c r="Q1135" s="8">
        <v>342838</v>
      </c>
      <c r="R1135" s="128">
        <f t="shared" si="159"/>
        <v>324</v>
      </c>
      <c r="AQ1135" s="8"/>
      <c r="AR1135" s="8"/>
      <c r="AS1135" s="8"/>
    </row>
    <row r="1136" spans="1:45">
      <c r="A1136" s="12">
        <v>45511</v>
      </c>
      <c r="B1136" s="8">
        <f t="shared" si="163"/>
        <v>654706</v>
      </c>
      <c r="C1136" s="8">
        <v>654992</v>
      </c>
      <c r="D1136" s="128">
        <f t="shared" si="160"/>
        <v>286</v>
      </c>
      <c r="E1136" s="8">
        <f t="shared" si="162"/>
        <v>256646</v>
      </c>
      <c r="F1136" s="8">
        <v>256949</v>
      </c>
      <c r="G1136" s="137">
        <f t="shared" si="154"/>
        <v>303</v>
      </c>
      <c r="H1136" s="128">
        <f t="shared" si="156"/>
        <v>589</v>
      </c>
      <c r="I1136" s="8">
        <f t="shared" si="157"/>
        <v>808295</v>
      </c>
      <c r="J1136" s="8">
        <v>808461</v>
      </c>
      <c r="K1136" s="137">
        <f t="shared" si="155"/>
        <v>166</v>
      </c>
      <c r="L1136" s="8">
        <f t="shared" si="164"/>
        <v>4930</v>
      </c>
      <c r="M1136" s="8">
        <v>4930</v>
      </c>
      <c r="N1136" s="137">
        <f t="shared" si="158"/>
        <v>0</v>
      </c>
      <c r="O1136" s="128">
        <f t="shared" si="161"/>
        <v>166</v>
      </c>
      <c r="P1136" s="8">
        <f t="shared" ref="P1136:P1199" si="165">Q1135</f>
        <v>342838</v>
      </c>
      <c r="Q1136" s="8">
        <v>342838</v>
      </c>
      <c r="R1136" s="128">
        <f t="shared" si="159"/>
        <v>0</v>
      </c>
      <c r="AQ1136" s="8"/>
      <c r="AR1136" s="8"/>
      <c r="AS1136" s="8"/>
    </row>
    <row r="1137" spans="1:45">
      <c r="A1137" s="12">
        <v>45512</v>
      </c>
      <c r="B1137" s="8">
        <f t="shared" si="163"/>
        <v>654992</v>
      </c>
      <c r="C1137" s="8">
        <v>655268</v>
      </c>
      <c r="D1137" s="128">
        <f t="shared" si="160"/>
        <v>276</v>
      </c>
      <c r="E1137" s="8">
        <f t="shared" si="162"/>
        <v>256949</v>
      </c>
      <c r="F1137" s="8">
        <v>257292</v>
      </c>
      <c r="G1137" s="137">
        <f t="shared" si="154"/>
        <v>343</v>
      </c>
      <c r="H1137" s="128">
        <f t="shared" si="156"/>
        <v>619</v>
      </c>
      <c r="I1137" s="8">
        <f t="shared" si="157"/>
        <v>808461</v>
      </c>
      <c r="J1137" s="8">
        <v>808713</v>
      </c>
      <c r="K1137" s="137">
        <f t="shared" si="155"/>
        <v>252</v>
      </c>
      <c r="L1137" s="8">
        <f t="shared" si="164"/>
        <v>4930</v>
      </c>
      <c r="M1137" s="8">
        <v>4930</v>
      </c>
      <c r="N1137" s="137">
        <f t="shared" si="158"/>
        <v>0</v>
      </c>
      <c r="O1137" s="128">
        <f t="shared" si="161"/>
        <v>252</v>
      </c>
      <c r="P1137" s="8">
        <f t="shared" si="165"/>
        <v>342838</v>
      </c>
      <c r="Q1137" s="8">
        <v>342838</v>
      </c>
      <c r="R1137" s="128">
        <f>Q1137-P1137</f>
        <v>0</v>
      </c>
      <c r="AQ1137" s="8"/>
      <c r="AR1137" s="8"/>
      <c r="AS1137" s="8"/>
    </row>
    <row r="1138" spans="1:45">
      <c r="A1138" s="12">
        <v>45513</v>
      </c>
      <c r="B1138" s="8">
        <f t="shared" si="163"/>
        <v>655268</v>
      </c>
      <c r="C1138" s="8">
        <v>655529</v>
      </c>
      <c r="D1138" s="128">
        <f t="shared" si="160"/>
        <v>261</v>
      </c>
      <c r="E1138" s="8">
        <v>257292</v>
      </c>
      <c r="F1138" s="8">
        <v>257616</v>
      </c>
      <c r="G1138" s="137">
        <f t="shared" si="154"/>
        <v>324</v>
      </c>
      <c r="H1138" s="128">
        <f t="shared" si="156"/>
        <v>585</v>
      </c>
      <c r="I1138" s="8">
        <v>808713</v>
      </c>
      <c r="J1138" s="8">
        <v>808927</v>
      </c>
      <c r="K1138" s="137">
        <f t="shared" si="155"/>
        <v>214</v>
      </c>
      <c r="L1138" s="8">
        <f>M1137</f>
        <v>4930</v>
      </c>
      <c r="M1138" s="8">
        <v>4930</v>
      </c>
      <c r="N1138" s="137">
        <f t="shared" si="158"/>
        <v>0</v>
      </c>
      <c r="O1138" s="128">
        <f t="shared" si="161"/>
        <v>214</v>
      </c>
      <c r="P1138" s="8">
        <f t="shared" si="165"/>
        <v>342838</v>
      </c>
      <c r="Q1138" s="8">
        <v>342838</v>
      </c>
      <c r="R1138" s="128">
        <f t="shared" ref="R1138:R1201" si="166">Q1138-P1138</f>
        <v>0</v>
      </c>
    </row>
    <row r="1139" spans="1:45">
      <c r="A1139" s="12">
        <v>45514</v>
      </c>
      <c r="B1139" s="8">
        <f t="shared" si="163"/>
        <v>655529</v>
      </c>
      <c r="C1139" s="8">
        <v>655795</v>
      </c>
      <c r="D1139" s="128">
        <f t="shared" si="160"/>
        <v>266</v>
      </c>
      <c r="E1139" s="8">
        <v>257646</v>
      </c>
      <c r="F1139" s="8">
        <v>257912</v>
      </c>
      <c r="G1139" s="137">
        <f t="shared" ref="G1139:G1151" si="167">F1139-E1139</f>
        <v>266</v>
      </c>
      <c r="H1139" s="128">
        <f t="shared" si="156"/>
        <v>532</v>
      </c>
      <c r="I1139" s="8">
        <f t="shared" si="157"/>
        <v>808927</v>
      </c>
      <c r="J1139" s="8">
        <v>809046</v>
      </c>
      <c r="K1139" s="137">
        <f t="shared" si="155"/>
        <v>119</v>
      </c>
      <c r="L1139" s="8">
        <f>M1138</f>
        <v>4930</v>
      </c>
      <c r="M1139" s="8">
        <v>4930</v>
      </c>
      <c r="N1139" s="137">
        <f t="shared" si="158"/>
        <v>0</v>
      </c>
      <c r="O1139" s="128">
        <f t="shared" si="161"/>
        <v>119</v>
      </c>
      <c r="P1139" s="8">
        <f t="shared" si="165"/>
        <v>342838</v>
      </c>
      <c r="Q1139" s="8">
        <v>342838</v>
      </c>
      <c r="R1139" s="128">
        <f t="shared" si="166"/>
        <v>0</v>
      </c>
    </row>
    <row r="1140" spans="1:45" ht="15.5">
      <c r="A1140" s="12">
        <v>45515</v>
      </c>
      <c r="B1140" s="8">
        <f t="shared" si="163"/>
        <v>655795</v>
      </c>
      <c r="C1140" s="8">
        <v>656045</v>
      </c>
      <c r="D1140" s="128">
        <f t="shared" si="160"/>
        <v>250</v>
      </c>
      <c r="E1140" s="125">
        <f>F1139</f>
        <v>257912</v>
      </c>
      <c r="F1140" s="8">
        <v>258218</v>
      </c>
      <c r="G1140" s="137">
        <f t="shared" si="167"/>
        <v>306</v>
      </c>
      <c r="H1140" s="128">
        <f t="shared" si="156"/>
        <v>556</v>
      </c>
      <c r="I1140" s="8">
        <f t="shared" si="157"/>
        <v>809046</v>
      </c>
      <c r="J1140" s="8">
        <v>809193</v>
      </c>
      <c r="K1140" s="137">
        <f t="shared" si="155"/>
        <v>147</v>
      </c>
      <c r="L1140" s="8">
        <f t="shared" ref="L1140:L1166" si="168">M1139</f>
        <v>4930</v>
      </c>
      <c r="M1140" s="8">
        <v>4930</v>
      </c>
      <c r="N1140" s="137">
        <f t="shared" si="158"/>
        <v>0</v>
      </c>
      <c r="O1140" s="128">
        <f t="shared" si="161"/>
        <v>147</v>
      </c>
      <c r="P1140" s="8">
        <f t="shared" si="165"/>
        <v>342838</v>
      </c>
      <c r="Q1140" s="8">
        <v>342838</v>
      </c>
      <c r="R1140" s="128">
        <f t="shared" si="166"/>
        <v>0</v>
      </c>
    </row>
    <row r="1141" spans="1:45" ht="15.5">
      <c r="A1141" s="12">
        <v>45516</v>
      </c>
      <c r="B1141" s="8">
        <f t="shared" si="163"/>
        <v>656045</v>
      </c>
      <c r="C1141" s="8">
        <v>656263</v>
      </c>
      <c r="D1141" s="128">
        <f t="shared" si="160"/>
        <v>218</v>
      </c>
      <c r="E1141" s="125">
        <f t="shared" ref="E1141:E1204" si="169">F1140</f>
        <v>258218</v>
      </c>
      <c r="F1141" s="8">
        <v>258497</v>
      </c>
      <c r="G1141" s="137">
        <f t="shared" si="167"/>
        <v>279</v>
      </c>
      <c r="H1141" s="128">
        <f t="shared" si="156"/>
        <v>497</v>
      </c>
      <c r="I1141" s="8">
        <f t="shared" si="157"/>
        <v>809193</v>
      </c>
      <c r="J1141" s="8">
        <v>809375</v>
      </c>
      <c r="K1141" s="137">
        <f t="shared" si="155"/>
        <v>182</v>
      </c>
      <c r="L1141" s="8">
        <f t="shared" si="168"/>
        <v>4930</v>
      </c>
      <c r="M1141" s="8">
        <v>4930</v>
      </c>
      <c r="N1141" s="137">
        <f t="shared" si="158"/>
        <v>0</v>
      </c>
      <c r="O1141" s="128">
        <f t="shared" si="161"/>
        <v>182</v>
      </c>
      <c r="P1141" s="8">
        <f t="shared" si="165"/>
        <v>342838</v>
      </c>
      <c r="Q1141" s="8">
        <v>342838</v>
      </c>
      <c r="R1141" s="128">
        <f t="shared" si="166"/>
        <v>0</v>
      </c>
    </row>
    <row r="1142" spans="1:45" ht="15.5">
      <c r="A1142" s="12">
        <v>45517</v>
      </c>
      <c r="B1142" s="8">
        <f t="shared" si="163"/>
        <v>656263</v>
      </c>
      <c r="C1142" s="8">
        <v>656492</v>
      </c>
      <c r="D1142" s="128">
        <f t="shared" si="160"/>
        <v>229</v>
      </c>
      <c r="E1142" s="125">
        <f t="shared" si="169"/>
        <v>258497</v>
      </c>
      <c r="F1142" s="8">
        <v>258791</v>
      </c>
      <c r="G1142" s="137">
        <f t="shared" si="167"/>
        <v>294</v>
      </c>
      <c r="H1142" s="128">
        <f t="shared" si="156"/>
        <v>523</v>
      </c>
      <c r="I1142" s="8">
        <f t="shared" si="157"/>
        <v>809375</v>
      </c>
      <c r="J1142" s="8">
        <v>809470</v>
      </c>
      <c r="K1142" s="137">
        <f t="shared" ref="K1142:K1205" si="170">J1142-I1142</f>
        <v>95</v>
      </c>
      <c r="L1142" s="8">
        <f t="shared" si="168"/>
        <v>4930</v>
      </c>
      <c r="M1142" s="8">
        <v>4930</v>
      </c>
      <c r="N1142" s="137">
        <f t="shared" si="158"/>
        <v>0</v>
      </c>
      <c r="O1142" s="128">
        <f t="shared" si="161"/>
        <v>95</v>
      </c>
      <c r="P1142" s="8">
        <f t="shared" si="165"/>
        <v>342838</v>
      </c>
      <c r="Q1142" s="8">
        <v>342838</v>
      </c>
      <c r="R1142" s="128">
        <f t="shared" si="166"/>
        <v>0</v>
      </c>
    </row>
    <row r="1143" spans="1:45" ht="15.5">
      <c r="A1143" s="12">
        <v>45518</v>
      </c>
      <c r="B1143" s="8">
        <f t="shared" si="163"/>
        <v>656492</v>
      </c>
      <c r="C1143" s="8">
        <v>656773</v>
      </c>
      <c r="D1143" s="128">
        <f t="shared" si="160"/>
        <v>281</v>
      </c>
      <c r="E1143" s="125">
        <f t="shared" si="169"/>
        <v>258791</v>
      </c>
      <c r="F1143" s="8">
        <v>259132</v>
      </c>
      <c r="G1143" s="137">
        <f t="shared" si="167"/>
        <v>341</v>
      </c>
      <c r="H1143" s="128">
        <f t="shared" si="156"/>
        <v>622</v>
      </c>
      <c r="I1143" s="8">
        <f t="shared" si="157"/>
        <v>809470</v>
      </c>
      <c r="J1143" s="8">
        <v>809506</v>
      </c>
      <c r="K1143" s="137">
        <f t="shared" si="170"/>
        <v>36</v>
      </c>
      <c r="L1143" s="8">
        <f t="shared" si="168"/>
        <v>4930</v>
      </c>
      <c r="M1143" s="8">
        <v>4930</v>
      </c>
      <c r="N1143" s="137">
        <f t="shared" si="158"/>
        <v>0</v>
      </c>
      <c r="O1143" s="128">
        <f t="shared" si="161"/>
        <v>36</v>
      </c>
      <c r="P1143" s="8">
        <f t="shared" si="165"/>
        <v>342838</v>
      </c>
      <c r="Q1143" s="8">
        <v>342838</v>
      </c>
      <c r="R1143" s="128">
        <f t="shared" si="166"/>
        <v>0</v>
      </c>
    </row>
    <row r="1144" spans="1:45" ht="15.5">
      <c r="A1144" s="12">
        <v>45519</v>
      </c>
      <c r="B1144" s="8">
        <f t="shared" si="163"/>
        <v>656773</v>
      </c>
      <c r="C1144" s="8">
        <v>657047</v>
      </c>
      <c r="D1144" s="128">
        <f t="shared" si="160"/>
        <v>274</v>
      </c>
      <c r="E1144" s="125">
        <f t="shared" si="169"/>
        <v>259132</v>
      </c>
      <c r="F1144" s="8">
        <v>259426</v>
      </c>
      <c r="G1144" s="137">
        <f t="shared" si="167"/>
        <v>294</v>
      </c>
      <c r="H1144" s="128">
        <f t="shared" si="156"/>
        <v>568</v>
      </c>
      <c r="I1144" s="8">
        <f t="shared" si="157"/>
        <v>809506</v>
      </c>
      <c r="J1144" s="8">
        <v>809674</v>
      </c>
      <c r="K1144" s="137">
        <f t="shared" si="170"/>
        <v>168</v>
      </c>
      <c r="L1144" s="8">
        <f t="shared" si="168"/>
        <v>4930</v>
      </c>
      <c r="M1144" s="8">
        <v>4930</v>
      </c>
      <c r="N1144" s="137">
        <f t="shared" si="158"/>
        <v>0</v>
      </c>
      <c r="O1144" s="128">
        <f t="shared" si="161"/>
        <v>168</v>
      </c>
      <c r="P1144" s="8">
        <f t="shared" si="165"/>
        <v>342838</v>
      </c>
      <c r="Q1144" s="8">
        <v>342893</v>
      </c>
      <c r="R1144" s="128">
        <f t="shared" si="166"/>
        <v>55</v>
      </c>
    </row>
    <row r="1145" spans="1:45" ht="15.5">
      <c r="A1145" s="12">
        <v>45520</v>
      </c>
      <c r="B1145" s="8">
        <f t="shared" si="163"/>
        <v>657047</v>
      </c>
      <c r="C1145" s="8">
        <v>657303</v>
      </c>
      <c r="D1145" s="128">
        <f t="shared" si="160"/>
        <v>256</v>
      </c>
      <c r="E1145" s="125">
        <f t="shared" si="169"/>
        <v>259426</v>
      </c>
      <c r="F1145" s="8">
        <v>259727</v>
      </c>
      <c r="G1145" s="137">
        <f t="shared" si="167"/>
        <v>301</v>
      </c>
      <c r="H1145" s="128">
        <f t="shared" si="156"/>
        <v>557</v>
      </c>
      <c r="I1145" s="8">
        <f t="shared" si="157"/>
        <v>809674</v>
      </c>
      <c r="J1145" s="8">
        <v>809924</v>
      </c>
      <c r="K1145" s="137">
        <f t="shared" si="170"/>
        <v>250</v>
      </c>
      <c r="L1145" s="8">
        <f t="shared" si="168"/>
        <v>4930</v>
      </c>
      <c r="M1145" s="8">
        <v>4930</v>
      </c>
      <c r="N1145" s="137">
        <f t="shared" si="158"/>
        <v>0</v>
      </c>
      <c r="O1145" s="128">
        <f t="shared" si="161"/>
        <v>250</v>
      </c>
      <c r="P1145" s="8">
        <f t="shared" si="165"/>
        <v>342893</v>
      </c>
      <c r="Q1145" s="8">
        <v>342893</v>
      </c>
      <c r="R1145" s="128">
        <f t="shared" si="166"/>
        <v>0</v>
      </c>
    </row>
    <row r="1146" spans="1:45" ht="15.5">
      <c r="A1146" s="12">
        <v>45521</v>
      </c>
      <c r="B1146" s="8">
        <f t="shared" si="163"/>
        <v>657303</v>
      </c>
      <c r="C1146" s="8">
        <v>657637</v>
      </c>
      <c r="D1146" s="128">
        <f t="shared" si="160"/>
        <v>334</v>
      </c>
      <c r="E1146" s="125">
        <f t="shared" si="169"/>
        <v>259727</v>
      </c>
      <c r="F1146" s="8">
        <v>260076</v>
      </c>
      <c r="G1146" s="137">
        <f t="shared" si="167"/>
        <v>349</v>
      </c>
      <c r="H1146" s="128">
        <f t="shared" si="156"/>
        <v>683</v>
      </c>
      <c r="I1146" s="8">
        <f t="shared" si="157"/>
        <v>809924</v>
      </c>
      <c r="J1146" s="8">
        <v>810086</v>
      </c>
      <c r="K1146" s="137">
        <f t="shared" si="170"/>
        <v>162</v>
      </c>
      <c r="L1146" s="8">
        <f t="shared" si="168"/>
        <v>4930</v>
      </c>
      <c r="M1146" s="8">
        <v>4930</v>
      </c>
      <c r="N1146" s="137">
        <f t="shared" si="158"/>
        <v>0</v>
      </c>
      <c r="O1146" s="128">
        <f t="shared" si="161"/>
        <v>162</v>
      </c>
      <c r="P1146" s="8">
        <f t="shared" si="165"/>
        <v>342893</v>
      </c>
      <c r="Q1146" s="8">
        <v>342893</v>
      </c>
      <c r="R1146" s="128">
        <f t="shared" si="166"/>
        <v>0</v>
      </c>
    </row>
    <row r="1147" spans="1:45" ht="15.5">
      <c r="A1147" s="12">
        <v>45522</v>
      </c>
      <c r="B1147" s="8">
        <f t="shared" si="163"/>
        <v>657637</v>
      </c>
      <c r="C1147" s="8">
        <v>657860</v>
      </c>
      <c r="D1147" s="128">
        <f t="shared" si="160"/>
        <v>223</v>
      </c>
      <c r="E1147" s="125">
        <f t="shared" si="169"/>
        <v>260076</v>
      </c>
      <c r="F1147" s="8">
        <v>260293</v>
      </c>
      <c r="G1147" s="137">
        <f t="shared" si="167"/>
        <v>217</v>
      </c>
      <c r="H1147" s="128">
        <f t="shared" si="156"/>
        <v>440</v>
      </c>
      <c r="I1147" s="8">
        <f t="shared" si="157"/>
        <v>810086</v>
      </c>
      <c r="J1147" s="8">
        <v>810235</v>
      </c>
      <c r="K1147" s="137">
        <f t="shared" si="170"/>
        <v>149</v>
      </c>
      <c r="L1147" s="8">
        <f t="shared" si="168"/>
        <v>4930</v>
      </c>
      <c r="M1147" s="8">
        <v>4930</v>
      </c>
      <c r="N1147" s="137">
        <f t="shared" si="158"/>
        <v>0</v>
      </c>
      <c r="O1147" s="128">
        <f t="shared" si="161"/>
        <v>149</v>
      </c>
      <c r="P1147" s="8">
        <f t="shared" si="165"/>
        <v>342893</v>
      </c>
      <c r="Q1147" s="8">
        <v>342893</v>
      </c>
      <c r="R1147" s="128">
        <f t="shared" si="166"/>
        <v>0</v>
      </c>
    </row>
    <row r="1148" spans="1:45" ht="15.5">
      <c r="A1148" s="12">
        <v>45523</v>
      </c>
      <c r="B1148" s="8">
        <f t="shared" si="163"/>
        <v>657860</v>
      </c>
      <c r="C1148" s="8">
        <v>658085</v>
      </c>
      <c r="D1148" s="128">
        <f t="shared" si="160"/>
        <v>225</v>
      </c>
      <c r="E1148" s="125">
        <f t="shared" si="169"/>
        <v>260293</v>
      </c>
      <c r="F1148" s="8">
        <v>260612</v>
      </c>
      <c r="G1148" s="137">
        <f t="shared" si="167"/>
        <v>319</v>
      </c>
      <c r="H1148" s="128">
        <f t="shared" si="156"/>
        <v>544</v>
      </c>
      <c r="I1148" s="8">
        <f t="shared" si="157"/>
        <v>810235</v>
      </c>
      <c r="J1148" s="8">
        <v>810450</v>
      </c>
      <c r="K1148" s="137">
        <f t="shared" si="170"/>
        <v>215</v>
      </c>
      <c r="L1148" s="8">
        <f t="shared" si="168"/>
        <v>4930</v>
      </c>
      <c r="M1148" s="8">
        <v>4930</v>
      </c>
      <c r="N1148" s="137">
        <f t="shared" si="158"/>
        <v>0</v>
      </c>
      <c r="O1148" s="128">
        <f t="shared" si="161"/>
        <v>215</v>
      </c>
      <c r="P1148" s="8">
        <f t="shared" si="165"/>
        <v>342893</v>
      </c>
      <c r="Q1148" s="8">
        <v>342893</v>
      </c>
      <c r="R1148" s="128">
        <f t="shared" si="166"/>
        <v>0</v>
      </c>
    </row>
    <row r="1149" spans="1:45" ht="15.5">
      <c r="A1149" s="12">
        <v>45524</v>
      </c>
      <c r="B1149" s="8">
        <f t="shared" si="163"/>
        <v>658085</v>
      </c>
      <c r="C1149" s="8">
        <v>658305</v>
      </c>
      <c r="D1149" s="128">
        <f t="shared" si="160"/>
        <v>220</v>
      </c>
      <c r="E1149" s="125">
        <f t="shared" si="169"/>
        <v>260612</v>
      </c>
      <c r="F1149" s="8">
        <v>260952</v>
      </c>
      <c r="G1149" s="137">
        <f t="shared" si="167"/>
        <v>340</v>
      </c>
      <c r="H1149" s="128">
        <f t="shared" si="156"/>
        <v>560</v>
      </c>
      <c r="I1149" s="8">
        <f t="shared" si="157"/>
        <v>810450</v>
      </c>
      <c r="J1149" s="8">
        <v>810645</v>
      </c>
      <c r="K1149" s="137">
        <f t="shared" si="170"/>
        <v>195</v>
      </c>
      <c r="L1149" s="8">
        <f t="shared" si="168"/>
        <v>4930</v>
      </c>
      <c r="M1149" s="8">
        <v>4930</v>
      </c>
      <c r="N1149" s="137">
        <f t="shared" si="158"/>
        <v>0</v>
      </c>
      <c r="O1149" s="128">
        <f t="shared" si="161"/>
        <v>195</v>
      </c>
      <c r="P1149" s="8">
        <f t="shared" si="165"/>
        <v>342893</v>
      </c>
      <c r="Q1149" s="8">
        <v>342893</v>
      </c>
      <c r="R1149" s="128">
        <f t="shared" si="166"/>
        <v>0</v>
      </c>
    </row>
    <row r="1150" spans="1:45" ht="15.5">
      <c r="A1150" s="12">
        <v>45525</v>
      </c>
      <c r="B1150" s="8">
        <f t="shared" si="163"/>
        <v>658305</v>
      </c>
      <c r="C1150" s="8">
        <v>658499</v>
      </c>
      <c r="D1150" s="128">
        <f t="shared" si="160"/>
        <v>194</v>
      </c>
      <c r="E1150" s="125">
        <f t="shared" si="169"/>
        <v>260952</v>
      </c>
      <c r="F1150" s="8">
        <v>261245</v>
      </c>
      <c r="G1150" s="137">
        <f t="shared" si="167"/>
        <v>293</v>
      </c>
      <c r="H1150" s="128">
        <f t="shared" si="156"/>
        <v>487</v>
      </c>
      <c r="I1150" s="8">
        <f t="shared" si="157"/>
        <v>810645</v>
      </c>
      <c r="J1150" s="8">
        <v>810847</v>
      </c>
      <c r="K1150" s="137">
        <f t="shared" si="170"/>
        <v>202</v>
      </c>
      <c r="L1150" s="8">
        <f t="shared" si="168"/>
        <v>4930</v>
      </c>
      <c r="M1150" s="8">
        <v>4930</v>
      </c>
      <c r="N1150" s="137">
        <f t="shared" si="158"/>
        <v>0</v>
      </c>
      <c r="O1150" s="128">
        <f t="shared" si="161"/>
        <v>202</v>
      </c>
      <c r="P1150" s="8">
        <f t="shared" si="165"/>
        <v>342893</v>
      </c>
      <c r="Q1150" s="8">
        <v>342893</v>
      </c>
      <c r="R1150" s="128">
        <f t="shared" si="166"/>
        <v>0</v>
      </c>
    </row>
    <row r="1151" spans="1:45" ht="15.5">
      <c r="A1151" s="12">
        <v>45526</v>
      </c>
      <c r="B1151" s="8">
        <f t="shared" si="163"/>
        <v>658499</v>
      </c>
      <c r="C1151" s="8">
        <v>658733</v>
      </c>
      <c r="D1151" s="128">
        <f t="shared" si="160"/>
        <v>234</v>
      </c>
      <c r="E1151" s="125">
        <f t="shared" si="169"/>
        <v>261245</v>
      </c>
      <c r="F1151" s="8">
        <v>261568</v>
      </c>
      <c r="G1151" s="137">
        <f t="shared" si="167"/>
        <v>323</v>
      </c>
      <c r="H1151" s="128">
        <f t="shared" si="156"/>
        <v>557</v>
      </c>
      <c r="I1151" s="8">
        <f t="shared" si="157"/>
        <v>810847</v>
      </c>
      <c r="J1151" s="8">
        <v>811072</v>
      </c>
      <c r="K1151" s="137">
        <f t="shared" si="170"/>
        <v>225</v>
      </c>
      <c r="L1151" s="8">
        <f t="shared" si="168"/>
        <v>4930</v>
      </c>
      <c r="M1151" s="8">
        <v>4930</v>
      </c>
      <c r="N1151" s="137">
        <f t="shared" si="158"/>
        <v>0</v>
      </c>
      <c r="O1151" s="128">
        <f t="shared" si="161"/>
        <v>225</v>
      </c>
      <c r="P1151" s="8">
        <f t="shared" si="165"/>
        <v>342893</v>
      </c>
      <c r="Q1151" s="8">
        <v>342893</v>
      </c>
      <c r="R1151" s="128">
        <f t="shared" si="166"/>
        <v>0</v>
      </c>
    </row>
    <row r="1152" spans="1:45" ht="15.5">
      <c r="A1152" s="12">
        <v>45527</v>
      </c>
      <c r="B1152" s="8">
        <f t="shared" si="163"/>
        <v>658733</v>
      </c>
      <c r="C1152" s="8">
        <v>658968</v>
      </c>
      <c r="D1152" s="131">
        <f t="shared" ref="D1152:D1215" si="171">C1152-B1152</f>
        <v>235</v>
      </c>
      <c r="E1152" s="125">
        <f t="shared" si="169"/>
        <v>261568</v>
      </c>
      <c r="F1152" s="8">
        <v>261923</v>
      </c>
      <c r="G1152" s="137">
        <f t="shared" ref="G1152:G1224" si="172">F1152-E1152</f>
        <v>355</v>
      </c>
      <c r="H1152" s="131">
        <f t="shared" si="156"/>
        <v>590</v>
      </c>
      <c r="I1152" s="8">
        <f t="shared" si="157"/>
        <v>811072</v>
      </c>
      <c r="J1152" s="8">
        <v>811297</v>
      </c>
      <c r="K1152" s="137">
        <f t="shared" si="170"/>
        <v>225</v>
      </c>
      <c r="L1152" s="8">
        <f t="shared" si="168"/>
        <v>4930</v>
      </c>
      <c r="M1152" s="8">
        <v>4930</v>
      </c>
      <c r="N1152" s="137">
        <f t="shared" si="158"/>
        <v>0</v>
      </c>
      <c r="O1152" s="128">
        <f t="shared" si="161"/>
        <v>225</v>
      </c>
      <c r="P1152" s="8">
        <f t="shared" si="165"/>
        <v>342893</v>
      </c>
      <c r="Q1152" s="8">
        <v>342893</v>
      </c>
      <c r="R1152" s="128">
        <f t="shared" si="166"/>
        <v>0</v>
      </c>
    </row>
    <row r="1153" spans="1:18" ht="15.5">
      <c r="A1153" s="12">
        <v>45528</v>
      </c>
      <c r="B1153" s="8">
        <f t="shared" si="163"/>
        <v>658968</v>
      </c>
      <c r="C1153" s="8">
        <v>659275</v>
      </c>
      <c r="D1153" s="131">
        <f t="shared" si="171"/>
        <v>307</v>
      </c>
      <c r="E1153" s="125">
        <f t="shared" si="169"/>
        <v>261923</v>
      </c>
      <c r="F1153" s="8">
        <v>262293</v>
      </c>
      <c r="G1153" s="137">
        <f t="shared" si="172"/>
        <v>370</v>
      </c>
      <c r="H1153" s="131">
        <f t="shared" si="156"/>
        <v>677</v>
      </c>
      <c r="I1153" s="8">
        <f t="shared" si="157"/>
        <v>811297</v>
      </c>
      <c r="J1153" s="8">
        <v>811410</v>
      </c>
      <c r="K1153" s="137">
        <f t="shared" si="170"/>
        <v>113</v>
      </c>
      <c r="L1153" s="8">
        <f t="shared" si="168"/>
        <v>4930</v>
      </c>
      <c r="M1153" s="8">
        <v>4930</v>
      </c>
      <c r="N1153" s="137">
        <f t="shared" si="158"/>
        <v>0</v>
      </c>
      <c r="O1153" s="128">
        <f t="shared" si="161"/>
        <v>113</v>
      </c>
      <c r="P1153" s="8">
        <f t="shared" si="165"/>
        <v>342893</v>
      </c>
      <c r="Q1153" s="8">
        <v>343134</v>
      </c>
      <c r="R1153" s="128">
        <f t="shared" si="166"/>
        <v>241</v>
      </c>
    </row>
    <row r="1154" spans="1:18" ht="15.5">
      <c r="A1154" s="12">
        <v>45529</v>
      </c>
      <c r="B1154" s="8">
        <f t="shared" si="163"/>
        <v>659275</v>
      </c>
      <c r="C1154" s="8">
        <v>659504</v>
      </c>
      <c r="D1154" s="131">
        <f t="shared" si="171"/>
        <v>229</v>
      </c>
      <c r="E1154" s="125">
        <f t="shared" si="169"/>
        <v>262293</v>
      </c>
      <c r="F1154" s="8">
        <v>262341</v>
      </c>
      <c r="G1154" s="137">
        <f t="shared" si="172"/>
        <v>48</v>
      </c>
      <c r="H1154" s="131">
        <f t="shared" si="156"/>
        <v>277</v>
      </c>
      <c r="I1154" s="8">
        <f t="shared" si="157"/>
        <v>811410</v>
      </c>
      <c r="J1154" s="8">
        <v>811557</v>
      </c>
      <c r="K1154" s="137">
        <f t="shared" si="170"/>
        <v>147</v>
      </c>
      <c r="L1154" s="8">
        <f t="shared" si="168"/>
        <v>4930</v>
      </c>
      <c r="M1154" s="8">
        <v>4930</v>
      </c>
      <c r="N1154" s="137">
        <f t="shared" si="158"/>
        <v>0</v>
      </c>
      <c r="O1154" s="128">
        <f t="shared" si="161"/>
        <v>147</v>
      </c>
      <c r="P1154" s="8">
        <f t="shared" si="165"/>
        <v>343134</v>
      </c>
      <c r="Q1154" s="8">
        <v>343628</v>
      </c>
      <c r="R1154" s="128">
        <f t="shared" si="166"/>
        <v>494</v>
      </c>
    </row>
    <row r="1155" spans="1:18" ht="15.5">
      <c r="A1155" s="12">
        <v>45530</v>
      </c>
      <c r="B1155" s="8">
        <f t="shared" si="163"/>
        <v>659504</v>
      </c>
      <c r="C1155" s="8">
        <v>659724</v>
      </c>
      <c r="D1155" s="131">
        <f t="shared" si="171"/>
        <v>220</v>
      </c>
      <c r="E1155" s="125">
        <f t="shared" si="169"/>
        <v>262341</v>
      </c>
      <c r="F1155" s="8">
        <v>262674</v>
      </c>
      <c r="G1155" s="137">
        <f t="shared" si="172"/>
        <v>333</v>
      </c>
      <c r="H1155" s="131">
        <f t="shared" si="156"/>
        <v>553</v>
      </c>
      <c r="I1155" s="8">
        <f t="shared" si="157"/>
        <v>811557</v>
      </c>
      <c r="J1155" s="8">
        <v>811752</v>
      </c>
      <c r="K1155" s="137">
        <f t="shared" si="170"/>
        <v>195</v>
      </c>
      <c r="L1155" s="8">
        <f t="shared" si="168"/>
        <v>4930</v>
      </c>
      <c r="M1155" s="8">
        <v>4930</v>
      </c>
      <c r="N1155" s="137">
        <f t="shared" si="158"/>
        <v>0</v>
      </c>
      <c r="P1155" s="8">
        <f t="shared" si="165"/>
        <v>343628</v>
      </c>
      <c r="Q1155" s="8">
        <v>343923</v>
      </c>
      <c r="R1155" s="128">
        <f t="shared" si="166"/>
        <v>295</v>
      </c>
    </row>
    <row r="1156" spans="1:18" ht="15.5">
      <c r="A1156" s="12">
        <v>45531</v>
      </c>
      <c r="B1156" s="8">
        <f t="shared" si="163"/>
        <v>659724</v>
      </c>
      <c r="C1156" s="8">
        <v>659927</v>
      </c>
      <c r="D1156" s="131">
        <f t="shared" si="171"/>
        <v>203</v>
      </c>
      <c r="E1156" s="125">
        <f t="shared" si="169"/>
        <v>262674</v>
      </c>
      <c r="F1156" s="8">
        <v>262793</v>
      </c>
      <c r="G1156" s="137">
        <f t="shared" si="172"/>
        <v>119</v>
      </c>
      <c r="H1156" s="131">
        <f t="shared" si="156"/>
        <v>322</v>
      </c>
      <c r="I1156" s="8">
        <f t="shared" ref="I1156:I1219" si="173">J1155</f>
        <v>811752</v>
      </c>
      <c r="J1156" s="8">
        <v>811949</v>
      </c>
      <c r="K1156" s="137">
        <f t="shared" si="170"/>
        <v>197</v>
      </c>
      <c r="L1156" s="8">
        <f t="shared" si="168"/>
        <v>4930</v>
      </c>
      <c r="M1156" s="8">
        <v>4930</v>
      </c>
      <c r="N1156" s="137">
        <f t="shared" si="158"/>
        <v>0</v>
      </c>
      <c r="P1156" s="8">
        <f t="shared" si="165"/>
        <v>343923</v>
      </c>
      <c r="Q1156" s="8">
        <v>343923</v>
      </c>
      <c r="R1156" s="128">
        <f t="shared" si="166"/>
        <v>0</v>
      </c>
    </row>
    <row r="1157" spans="1:18" ht="15.5">
      <c r="A1157" s="12">
        <v>45532</v>
      </c>
      <c r="B1157" s="8">
        <f t="shared" si="163"/>
        <v>659927</v>
      </c>
      <c r="C1157" s="8">
        <v>660184</v>
      </c>
      <c r="D1157" s="131">
        <f t="shared" si="171"/>
        <v>257</v>
      </c>
      <c r="E1157" s="125">
        <f t="shared" si="169"/>
        <v>262793</v>
      </c>
      <c r="F1157" s="8">
        <v>262874</v>
      </c>
      <c r="G1157" s="137">
        <f t="shared" si="172"/>
        <v>81</v>
      </c>
      <c r="H1157" s="131">
        <f t="shared" si="156"/>
        <v>338</v>
      </c>
      <c r="I1157" s="8">
        <f t="shared" si="173"/>
        <v>811949</v>
      </c>
      <c r="J1157" s="8">
        <v>812129</v>
      </c>
      <c r="K1157" s="137">
        <f t="shared" si="170"/>
        <v>180</v>
      </c>
      <c r="L1157" s="8">
        <f t="shared" si="168"/>
        <v>4930</v>
      </c>
      <c r="M1157" s="8">
        <v>4930</v>
      </c>
      <c r="N1157" s="137">
        <f t="shared" si="158"/>
        <v>0</v>
      </c>
      <c r="P1157" s="8">
        <f t="shared" si="165"/>
        <v>343923</v>
      </c>
      <c r="Q1157" s="8">
        <v>344004</v>
      </c>
      <c r="R1157" s="128">
        <f t="shared" si="166"/>
        <v>81</v>
      </c>
    </row>
    <row r="1158" spans="1:18" ht="15.5">
      <c r="A1158" s="12">
        <v>45533</v>
      </c>
      <c r="B1158" s="8">
        <f t="shared" si="163"/>
        <v>660184</v>
      </c>
      <c r="C1158" s="8">
        <v>660442</v>
      </c>
      <c r="D1158" s="131">
        <f t="shared" si="171"/>
        <v>258</v>
      </c>
      <c r="E1158" s="125">
        <f t="shared" si="169"/>
        <v>262874</v>
      </c>
      <c r="F1158" s="8">
        <v>263319</v>
      </c>
      <c r="G1158" s="137">
        <f t="shared" si="172"/>
        <v>445</v>
      </c>
      <c r="H1158" s="131">
        <f t="shared" si="156"/>
        <v>703</v>
      </c>
      <c r="I1158" s="8">
        <f t="shared" si="173"/>
        <v>812129</v>
      </c>
      <c r="J1158" s="8">
        <v>812376</v>
      </c>
      <c r="K1158" s="137">
        <f t="shared" si="170"/>
        <v>247</v>
      </c>
      <c r="L1158" s="8">
        <f t="shared" si="168"/>
        <v>4930</v>
      </c>
      <c r="M1158" s="8">
        <v>4930</v>
      </c>
      <c r="N1158" s="137">
        <f t="shared" si="158"/>
        <v>0</v>
      </c>
      <c r="P1158" s="8">
        <f t="shared" si="165"/>
        <v>344004</v>
      </c>
      <c r="Q1158" s="8">
        <v>344004</v>
      </c>
      <c r="R1158" s="128">
        <f t="shared" si="166"/>
        <v>0</v>
      </c>
    </row>
    <row r="1159" spans="1:18" ht="15.5">
      <c r="A1159" s="12">
        <v>45534</v>
      </c>
      <c r="B1159" s="8">
        <f t="shared" si="163"/>
        <v>660442</v>
      </c>
      <c r="C1159" s="8">
        <v>660737</v>
      </c>
      <c r="D1159" s="131">
        <f t="shared" si="171"/>
        <v>295</v>
      </c>
      <c r="E1159" s="125">
        <f t="shared" si="169"/>
        <v>263319</v>
      </c>
      <c r="F1159" s="8">
        <v>263671</v>
      </c>
      <c r="G1159" s="137">
        <f t="shared" si="172"/>
        <v>352</v>
      </c>
      <c r="H1159" s="131">
        <f t="shared" si="156"/>
        <v>647</v>
      </c>
      <c r="I1159" s="8">
        <f t="shared" si="173"/>
        <v>812376</v>
      </c>
      <c r="J1159" s="8">
        <v>812616</v>
      </c>
      <c r="K1159" s="137">
        <f t="shared" si="170"/>
        <v>240</v>
      </c>
      <c r="L1159" s="8">
        <f t="shared" si="168"/>
        <v>4930</v>
      </c>
      <c r="M1159" s="8">
        <v>4930</v>
      </c>
      <c r="N1159" s="137">
        <f t="shared" si="158"/>
        <v>0</v>
      </c>
      <c r="P1159" s="8">
        <f t="shared" si="165"/>
        <v>344004</v>
      </c>
      <c r="Q1159" s="8">
        <v>344300</v>
      </c>
      <c r="R1159" s="128">
        <f t="shared" si="166"/>
        <v>296</v>
      </c>
    </row>
    <row r="1160" spans="1:18" ht="15.5">
      <c r="A1160" s="12">
        <v>45535</v>
      </c>
      <c r="B1160" s="8">
        <f t="shared" si="163"/>
        <v>660737</v>
      </c>
      <c r="C1160" s="8">
        <v>661056</v>
      </c>
      <c r="D1160" s="131">
        <f t="shared" si="171"/>
        <v>319</v>
      </c>
      <c r="E1160" s="125">
        <f t="shared" si="169"/>
        <v>263671</v>
      </c>
      <c r="F1160" s="8">
        <v>264043</v>
      </c>
      <c r="G1160" s="137">
        <f t="shared" si="172"/>
        <v>372</v>
      </c>
      <c r="H1160" s="131">
        <f t="shared" si="156"/>
        <v>691</v>
      </c>
      <c r="I1160" s="8">
        <f t="shared" si="173"/>
        <v>812616</v>
      </c>
      <c r="J1160" s="8">
        <v>812745</v>
      </c>
      <c r="K1160" s="137">
        <f t="shared" si="170"/>
        <v>129</v>
      </c>
      <c r="L1160" s="8">
        <f t="shared" si="168"/>
        <v>4930</v>
      </c>
      <c r="M1160" s="8">
        <v>4930</v>
      </c>
      <c r="N1160" s="137">
        <f t="shared" si="158"/>
        <v>0</v>
      </c>
      <c r="P1160" s="8">
        <f t="shared" si="165"/>
        <v>344300</v>
      </c>
      <c r="Q1160" s="8">
        <v>344667</v>
      </c>
      <c r="R1160" s="128">
        <f t="shared" si="166"/>
        <v>367</v>
      </c>
    </row>
    <row r="1161" spans="1:18" ht="15.5">
      <c r="A1161" s="12">
        <v>45536</v>
      </c>
      <c r="B1161" s="8">
        <f t="shared" si="163"/>
        <v>661056</v>
      </c>
      <c r="C1161" s="8">
        <v>661368</v>
      </c>
      <c r="D1161" s="131">
        <f t="shared" si="171"/>
        <v>312</v>
      </c>
      <c r="E1161" s="125">
        <f t="shared" si="169"/>
        <v>264043</v>
      </c>
      <c r="F1161" s="8">
        <v>264316</v>
      </c>
      <c r="G1161" s="137">
        <f t="shared" si="172"/>
        <v>273</v>
      </c>
      <c r="H1161" s="131">
        <f t="shared" si="156"/>
        <v>585</v>
      </c>
      <c r="I1161" s="8">
        <f t="shared" si="173"/>
        <v>812745</v>
      </c>
      <c r="J1161" s="8">
        <v>812879</v>
      </c>
      <c r="K1161" s="137">
        <f t="shared" si="170"/>
        <v>134</v>
      </c>
      <c r="L1161" s="8">
        <f t="shared" si="168"/>
        <v>4930</v>
      </c>
      <c r="M1161" s="8">
        <v>4930</v>
      </c>
      <c r="N1161" s="137">
        <f t="shared" si="158"/>
        <v>0</v>
      </c>
      <c r="P1161" s="8">
        <f t="shared" si="165"/>
        <v>344667</v>
      </c>
      <c r="Q1161" s="8">
        <v>344997</v>
      </c>
      <c r="R1161" s="128">
        <f t="shared" si="166"/>
        <v>330</v>
      </c>
    </row>
    <row r="1162" spans="1:18" ht="15.5">
      <c r="A1162" s="12">
        <v>45537</v>
      </c>
      <c r="B1162" s="8">
        <f t="shared" si="163"/>
        <v>661368</v>
      </c>
      <c r="C1162" s="8">
        <v>661645</v>
      </c>
      <c r="D1162" s="131">
        <f t="shared" si="171"/>
        <v>277</v>
      </c>
      <c r="E1162" s="125">
        <f t="shared" si="169"/>
        <v>264316</v>
      </c>
      <c r="F1162" s="8">
        <v>264637</v>
      </c>
      <c r="G1162" s="137">
        <f t="shared" si="172"/>
        <v>321</v>
      </c>
      <c r="H1162" s="131">
        <f t="shared" si="156"/>
        <v>598</v>
      </c>
      <c r="I1162" s="8">
        <f t="shared" si="173"/>
        <v>812879</v>
      </c>
      <c r="J1162" s="8">
        <v>813059</v>
      </c>
      <c r="K1162" s="137">
        <f t="shared" si="170"/>
        <v>180</v>
      </c>
      <c r="L1162" s="8">
        <f t="shared" si="168"/>
        <v>4930</v>
      </c>
      <c r="M1162" s="8">
        <v>4930</v>
      </c>
      <c r="N1162" s="137">
        <f t="shared" si="158"/>
        <v>0</v>
      </c>
      <c r="P1162" s="8">
        <f t="shared" si="165"/>
        <v>344997</v>
      </c>
      <c r="Q1162" s="8">
        <v>345357</v>
      </c>
      <c r="R1162" s="128">
        <f t="shared" si="166"/>
        <v>360</v>
      </c>
    </row>
    <row r="1163" spans="1:18" ht="15.5">
      <c r="A1163" s="12">
        <v>45538</v>
      </c>
      <c r="B1163" s="8">
        <f t="shared" si="163"/>
        <v>661645</v>
      </c>
      <c r="C1163" s="8">
        <v>661901</v>
      </c>
      <c r="D1163" s="131">
        <f t="shared" si="171"/>
        <v>256</v>
      </c>
      <c r="E1163" s="125">
        <f t="shared" si="169"/>
        <v>264637</v>
      </c>
      <c r="F1163" s="8">
        <v>264949</v>
      </c>
      <c r="G1163" s="137">
        <f t="shared" si="172"/>
        <v>312</v>
      </c>
      <c r="H1163" s="131">
        <f t="shared" si="156"/>
        <v>568</v>
      </c>
      <c r="I1163" s="8">
        <f t="shared" si="173"/>
        <v>813059</v>
      </c>
      <c r="J1163" s="8">
        <v>813232</v>
      </c>
      <c r="K1163" s="137">
        <f t="shared" si="170"/>
        <v>173</v>
      </c>
      <c r="L1163" s="8">
        <f t="shared" si="168"/>
        <v>4930</v>
      </c>
      <c r="M1163" s="8">
        <v>4930</v>
      </c>
      <c r="N1163" s="137">
        <f t="shared" ref="N1163:N1226" si="174">M1163-L1163</f>
        <v>0</v>
      </c>
      <c r="P1163" s="8">
        <f t="shared" si="165"/>
        <v>345357</v>
      </c>
      <c r="Q1163" s="8">
        <v>345357</v>
      </c>
      <c r="R1163" s="128">
        <f t="shared" si="166"/>
        <v>0</v>
      </c>
    </row>
    <row r="1164" spans="1:18" ht="15.5">
      <c r="A1164" s="12">
        <v>45539</v>
      </c>
      <c r="B1164" s="8">
        <f t="shared" si="163"/>
        <v>661901</v>
      </c>
      <c r="C1164" s="8">
        <v>662122</v>
      </c>
      <c r="D1164" s="131">
        <f t="shared" si="171"/>
        <v>221</v>
      </c>
      <c r="E1164" s="125">
        <f t="shared" si="169"/>
        <v>264949</v>
      </c>
      <c r="F1164" s="8">
        <v>265267</v>
      </c>
      <c r="G1164" s="137">
        <f t="shared" si="172"/>
        <v>318</v>
      </c>
      <c r="H1164" s="131">
        <f t="shared" si="156"/>
        <v>539</v>
      </c>
      <c r="I1164" s="8">
        <f t="shared" si="173"/>
        <v>813232</v>
      </c>
      <c r="J1164" s="8">
        <v>813449</v>
      </c>
      <c r="K1164" s="137">
        <f t="shared" si="170"/>
        <v>217</v>
      </c>
      <c r="L1164" s="8">
        <f t="shared" si="168"/>
        <v>4930</v>
      </c>
      <c r="M1164" s="8">
        <v>4930</v>
      </c>
      <c r="N1164" s="137">
        <f t="shared" si="174"/>
        <v>0</v>
      </c>
      <c r="P1164" s="8">
        <f t="shared" si="165"/>
        <v>345357</v>
      </c>
      <c r="Q1164" s="8">
        <v>345357</v>
      </c>
      <c r="R1164" s="128">
        <f t="shared" si="166"/>
        <v>0</v>
      </c>
    </row>
    <row r="1165" spans="1:18" ht="15.5">
      <c r="A1165" s="12">
        <v>45540</v>
      </c>
      <c r="B1165" s="8">
        <f t="shared" si="163"/>
        <v>662122</v>
      </c>
      <c r="C1165" s="8">
        <v>662371</v>
      </c>
      <c r="D1165" s="131">
        <f t="shared" si="171"/>
        <v>249</v>
      </c>
      <c r="E1165" s="125">
        <f t="shared" si="169"/>
        <v>265267</v>
      </c>
      <c r="F1165" s="8">
        <v>265583</v>
      </c>
      <c r="G1165" s="137">
        <f t="shared" si="172"/>
        <v>316</v>
      </c>
      <c r="H1165" s="131">
        <f t="shared" si="156"/>
        <v>565</v>
      </c>
      <c r="I1165" s="8">
        <f t="shared" si="173"/>
        <v>813449</v>
      </c>
      <c r="J1165" s="8">
        <v>813669</v>
      </c>
      <c r="K1165" s="137">
        <f t="shared" si="170"/>
        <v>220</v>
      </c>
      <c r="L1165" s="8">
        <f t="shared" si="168"/>
        <v>4930</v>
      </c>
      <c r="M1165" s="8">
        <v>4930</v>
      </c>
      <c r="N1165" s="137">
        <f t="shared" si="174"/>
        <v>0</v>
      </c>
      <c r="P1165" s="8">
        <f t="shared" si="165"/>
        <v>345357</v>
      </c>
      <c r="Q1165" s="8">
        <v>345357</v>
      </c>
      <c r="R1165" s="128">
        <f t="shared" si="166"/>
        <v>0</v>
      </c>
    </row>
    <row r="1166" spans="1:18" ht="15.5">
      <c r="A1166" s="12">
        <v>45541</v>
      </c>
      <c r="B1166" s="8">
        <f t="shared" si="163"/>
        <v>662371</v>
      </c>
      <c r="C1166" s="8">
        <v>662606</v>
      </c>
      <c r="D1166" s="131">
        <f t="shared" si="171"/>
        <v>235</v>
      </c>
      <c r="E1166" s="125">
        <f t="shared" si="169"/>
        <v>265583</v>
      </c>
      <c r="F1166" s="8">
        <v>265903</v>
      </c>
      <c r="G1166" s="137">
        <f t="shared" si="172"/>
        <v>320</v>
      </c>
      <c r="H1166" s="131">
        <f t="shared" si="156"/>
        <v>555</v>
      </c>
      <c r="I1166" s="8">
        <f t="shared" si="173"/>
        <v>813669</v>
      </c>
      <c r="J1166" s="8">
        <v>813875</v>
      </c>
      <c r="K1166" s="137">
        <f t="shared" si="170"/>
        <v>206</v>
      </c>
      <c r="L1166" s="8">
        <f t="shared" si="168"/>
        <v>4930</v>
      </c>
      <c r="M1166" s="8">
        <v>4930</v>
      </c>
      <c r="N1166" s="137">
        <f t="shared" si="174"/>
        <v>0</v>
      </c>
      <c r="P1166" s="8">
        <f t="shared" si="165"/>
        <v>345357</v>
      </c>
      <c r="Q1166" s="8">
        <v>345357</v>
      </c>
      <c r="R1166" s="128">
        <f t="shared" si="166"/>
        <v>0</v>
      </c>
    </row>
    <row r="1167" spans="1:18" ht="15.5">
      <c r="A1167" s="12">
        <v>45542</v>
      </c>
      <c r="B1167" s="8">
        <f t="shared" si="163"/>
        <v>662606</v>
      </c>
      <c r="C1167" s="8">
        <v>662902</v>
      </c>
      <c r="D1167" s="131">
        <f t="shared" si="171"/>
        <v>296</v>
      </c>
      <c r="E1167" s="125">
        <f t="shared" si="169"/>
        <v>265903</v>
      </c>
      <c r="F1167" s="8">
        <v>266249</v>
      </c>
      <c r="G1167" s="137">
        <f t="shared" si="172"/>
        <v>346</v>
      </c>
      <c r="H1167" s="131">
        <f t="shared" si="156"/>
        <v>642</v>
      </c>
      <c r="I1167" s="8">
        <f t="shared" si="173"/>
        <v>813875</v>
      </c>
      <c r="J1167" s="8">
        <v>814076</v>
      </c>
      <c r="K1167" s="137">
        <f t="shared" si="170"/>
        <v>201</v>
      </c>
      <c r="L1167" s="8">
        <f>M1166</f>
        <v>4930</v>
      </c>
      <c r="M1167" s="8">
        <v>4930</v>
      </c>
      <c r="N1167" s="137">
        <f t="shared" si="174"/>
        <v>0</v>
      </c>
      <c r="P1167" s="8">
        <f t="shared" si="165"/>
        <v>345357</v>
      </c>
      <c r="Q1167" s="8">
        <v>344667</v>
      </c>
      <c r="R1167" s="128">
        <f t="shared" si="166"/>
        <v>-690</v>
      </c>
    </row>
    <row r="1168" spans="1:18" ht="15.5">
      <c r="A1168" s="12">
        <v>45543</v>
      </c>
      <c r="B1168" s="8">
        <f t="shared" si="163"/>
        <v>662902</v>
      </c>
      <c r="C1168" s="8">
        <v>663153</v>
      </c>
      <c r="D1168" s="131">
        <f t="shared" si="171"/>
        <v>251</v>
      </c>
      <c r="E1168" s="125">
        <f t="shared" si="169"/>
        <v>266249</v>
      </c>
      <c r="F1168" s="8">
        <v>266583</v>
      </c>
      <c r="G1168" s="137">
        <f t="shared" si="172"/>
        <v>334</v>
      </c>
      <c r="H1168" s="131">
        <f t="shared" si="156"/>
        <v>585</v>
      </c>
      <c r="I1168" s="8">
        <f t="shared" si="173"/>
        <v>814076</v>
      </c>
      <c r="J1168" s="8">
        <v>814327</v>
      </c>
      <c r="K1168" s="137">
        <f t="shared" si="170"/>
        <v>251</v>
      </c>
      <c r="L1168" s="8">
        <f t="shared" ref="L1168:L1178" si="175">M1167</f>
        <v>4930</v>
      </c>
      <c r="M1168" s="8">
        <v>4930</v>
      </c>
      <c r="N1168" s="137">
        <f t="shared" si="174"/>
        <v>0</v>
      </c>
      <c r="P1168" s="8">
        <f t="shared" si="165"/>
        <v>344667</v>
      </c>
      <c r="Q1168" s="8">
        <v>344997</v>
      </c>
      <c r="R1168" s="128">
        <f t="shared" si="166"/>
        <v>330</v>
      </c>
    </row>
    <row r="1169" spans="1:18" ht="15.5">
      <c r="A1169" s="12">
        <v>45544</v>
      </c>
      <c r="B1169" s="8">
        <f t="shared" si="163"/>
        <v>663153</v>
      </c>
      <c r="C1169" s="8">
        <v>663405</v>
      </c>
      <c r="D1169" s="131">
        <f t="shared" si="171"/>
        <v>252</v>
      </c>
      <c r="E1169" s="125">
        <f t="shared" si="169"/>
        <v>266583</v>
      </c>
      <c r="F1169" s="8">
        <v>266932</v>
      </c>
      <c r="G1169" s="137">
        <f t="shared" si="172"/>
        <v>349</v>
      </c>
      <c r="H1169" s="131">
        <f t="shared" si="156"/>
        <v>601</v>
      </c>
      <c r="I1169" s="8">
        <f t="shared" si="173"/>
        <v>814327</v>
      </c>
      <c r="J1169" s="8">
        <v>814518</v>
      </c>
      <c r="K1169" s="137">
        <f t="shared" si="170"/>
        <v>191</v>
      </c>
      <c r="L1169" s="8">
        <f t="shared" si="175"/>
        <v>4930</v>
      </c>
      <c r="M1169" s="8">
        <v>4930</v>
      </c>
      <c r="N1169" s="137">
        <f t="shared" si="174"/>
        <v>0</v>
      </c>
      <c r="P1169" s="8">
        <f t="shared" si="165"/>
        <v>344997</v>
      </c>
      <c r="Q1169" s="8">
        <v>345357</v>
      </c>
      <c r="R1169" s="128">
        <f t="shared" si="166"/>
        <v>360</v>
      </c>
    </row>
    <row r="1170" spans="1:18" ht="15.5">
      <c r="A1170" s="12">
        <v>45545</v>
      </c>
      <c r="B1170" s="8">
        <f t="shared" si="163"/>
        <v>663405</v>
      </c>
      <c r="C1170" s="8">
        <v>663678</v>
      </c>
      <c r="D1170" s="131">
        <f t="shared" si="171"/>
        <v>273</v>
      </c>
      <c r="E1170" s="125">
        <f t="shared" si="169"/>
        <v>266932</v>
      </c>
      <c r="F1170" s="8">
        <v>267231</v>
      </c>
      <c r="G1170" s="137">
        <f t="shared" si="172"/>
        <v>299</v>
      </c>
      <c r="H1170" s="131">
        <f t="shared" si="156"/>
        <v>572</v>
      </c>
      <c r="I1170" s="8">
        <f t="shared" si="173"/>
        <v>814518</v>
      </c>
      <c r="J1170" s="8">
        <v>814699</v>
      </c>
      <c r="K1170" s="137">
        <f t="shared" si="170"/>
        <v>181</v>
      </c>
      <c r="L1170" s="8">
        <f t="shared" si="175"/>
        <v>4930</v>
      </c>
      <c r="M1170" s="8">
        <v>4930</v>
      </c>
      <c r="N1170" s="137">
        <f t="shared" si="174"/>
        <v>0</v>
      </c>
      <c r="P1170" s="8">
        <f t="shared" si="165"/>
        <v>345357</v>
      </c>
      <c r="Q1170" s="8">
        <v>345391</v>
      </c>
      <c r="R1170" s="128">
        <f t="shared" si="166"/>
        <v>34</v>
      </c>
    </row>
    <row r="1171" spans="1:18" ht="15.5">
      <c r="A1171" s="12">
        <v>45546</v>
      </c>
      <c r="B1171" s="8">
        <f t="shared" si="163"/>
        <v>663678</v>
      </c>
      <c r="C1171" s="8">
        <v>663925</v>
      </c>
      <c r="D1171" s="131">
        <f t="shared" si="171"/>
        <v>247</v>
      </c>
      <c r="E1171" s="125">
        <f t="shared" si="169"/>
        <v>267231</v>
      </c>
      <c r="F1171" s="8">
        <v>267511</v>
      </c>
      <c r="G1171" s="137">
        <f t="shared" si="172"/>
        <v>280</v>
      </c>
      <c r="H1171" s="131">
        <f t="shared" si="156"/>
        <v>527</v>
      </c>
      <c r="I1171" s="8">
        <f t="shared" si="173"/>
        <v>814699</v>
      </c>
      <c r="J1171" s="8">
        <v>814898</v>
      </c>
      <c r="K1171" s="137">
        <f t="shared" si="170"/>
        <v>199</v>
      </c>
      <c r="L1171" s="8">
        <f t="shared" si="175"/>
        <v>4930</v>
      </c>
      <c r="M1171" s="8">
        <v>4930</v>
      </c>
      <c r="N1171" s="137">
        <f t="shared" si="174"/>
        <v>0</v>
      </c>
      <c r="P1171" s="8">
        <f t="shared" si="165"/>
        <v>345391</v>
      </c>
      <c r="Q1171" s="8">
        <v>345391</v>
      </c>
      <c r="R1171" s="128">
        <f t="shared" si="166"/>
        <v>0</v>
      </c>
    </row>
    <row r="1172" spans="1:18" ht="15.5">
      <c r="A1172" s="12">
        <v>45547</v>
      </c>
      <c r="B1172" s="8">
        <f t="shared" si="163"/>
        <v>663925</v>
      </c>
      <c r="C1172" s="8">
        <v>664222</v>
      </c>
      <c r="D1172" s="131">
        <f t="shared" si="171"/>
        <v>297</v>
      </c>
      <c r="E1172" s="125">
        <f t="shared" si="169"/>
        <v>267511</v>
      </c>
      <c r="F1172" s="8">
        <v>267764</v>
      </c>
      <c r="G1172" s="137">
        <f t="shared" si="172"/>
        <v>253</v>
      </c>
      <c r="H1172" s="131">
        <f t="shared" si="156"/>
        <v>550</v>
      </c>
      <c r="I1172" s="8">
        <f t="shared" si="173"/>
        <v>814898</v>
      </c>
      <c r="J1172" s="8">
        <v>815003</v>
      </c>
      <c r="K1172" s="137">
        <f t="shared" si="170"/>
        <v>105</v>
      </c>
      <c r="L1172" s="8">
        <f t="shared" si="175"/>
        <v>4930</v>
      </c>
      <c r="M1172" s="8">
        <v>4930</v>
      </c>
      <c r="N1172" s="137">
        <f t="shared" si="174"/>
        <v>0</v>
      </c>
      <c r="P1172" s="8">
        <f t="shared" si="165"/>
        <v>345391</v>
      </c>
      <c r="Q1172" s="8">
        <v>345391</v>
      </c>
      <c r="R1172" s="128">
        <f t="shared" si="166"/>
        <v>0</v>
      </c>
    </row>
    <row r="1173" spans="1:18" ht="15.5">
      <c r="A1173" s="12">
        <v>45548</v>
      </c>
      <c r="B1173" s="8">
        <f t="shared" si="163"/>
        <v>664222</v>
      </c>
      <c r="C1173" s="8">
        <v>664500</v>
      </c>
      <c r="D1173" s="131">
        <f t="shared" si="171"/>
        <v>278</v>
      </c>
      <c r="E1173" s="125">
        <f t="shared" si="169"/>
        <v>267764</v>
      </c>
      <c r="F1173" s="8">
        <v>268124</v>
      </c>
      <c r="G1173" s="137">
        <f t="shared" si="172"/>
        <v>360</v>
      </c>
      <c r="H1173" s="131">
        <f t="shared" si="156"/>
        <v>638</v>
      </c>
      <c r="I1173" s="8">
        <f t="shared" si="173"/>
        <v>815003</v>
      </c>
      <c r="J1173" s="8">
        <v>815181</v>
      </c>
      <c r="K1173" s="137">
        <f t="shared" si="170"/>
        <v>178</v>
      </c>
      <c r="L1173" s="8">
        <f t="shared" si="175"/>
        <v>4930</v>
      </c>
      <c r="M1173" s="8">
        <v>4930</v>
      </c>
      <c r="N1173" s="137">
        <f t="shared" si="174"/>
        <v>0</v>
      </c>
      <c r="P1173" s="8">
        <f t="shared" si="165"/>
        <v>345391</v>
      </c>
      <c r="Q1173" s="8">
        <v>345391</v>
      </c>
      <c r="R1173" s="128">
        <f t="shared" si="166"/>
        <v>0</v>
      </c>
    </row>
    <row r="1174" spans="1:18" ht="15.5">
      <c r="A1174" s="12">
        <v>45549</v>
      </c>
      <c r="B1174" s="8">
        <f t="shared" si="163"/>
        <v>664500</v>
      </c>
      <c r="C1174" s="8">
        <v>664735</v>
      </c>
      <c r="D1174" s="131">
        <f t="shared" si="171"/>
        <v>235</v>
      </c>
      <c r="E1174" s="125">
        <f t="shared" si="169"/>
        <v>268124</v>
      </c>
      <c r="F1174" s="8">
        <v>268434</v>
      </c>
      <c r="G1174" s="137">
        <f t="shared" si="172"/>
        <v>310</v>
      </c>
      <c r="H1174" s="131">
        <f t="shared" si="156"/>
        <v>545</v>
      </c>
      <c r="I1174" s="8">
        <f t="shared" si="173"/>
        <v>815181</v>
      </c>
      <c r="J1174" s="8">
        <v>815441</v>
      </c>
      <c r="K1174" s="137">
        <f t="shared" si="170"/>
        <v>260</v>
      </c>
      <c r="L1174" s="8">
        <f t="shared" si="175"/>
        <v>4930</v>
      </c>
      <c r="M1174" s="8">
        <v>4930</v>
      </c>
      <c r="N1174" s="137">
        <f t="shared" si="174"/>
        <v>0</v>
      </c>
      <c r="P1174" s="8">
        <f t="shared" si="165"/>
        <v>345391</v>
      </c>
      <c r="Q1174" s="8">
        <v>345391</v>
      </c>
      <c r="R1174" s="128">
        <f t="shared" si="166"/>
        <v>0</v>
      </c>
    </row>
    <row r="1175" spans="1:18" ht="15.5">
      <c r="A1175" s="12">
        <v>45550</v>
      </c>
      <c r="B1175" s="8">
        <f t="shared" si="163"/>
        <v>664735</v>
      </c>
      <c r="C1175" s="8">
        <v>664976</v>
      </c>
      <c r="D1175" s="131">
        <f t="shared" si="171"/>
        <v>241</v>
      </c>
      <c r="E1175" s="125">
        <f t="shared" si="169"/>
        <v>268434</v>
      </c>
      <c r="F1175" s="8">
        <v>268697</v>
      </c>
      <c r="G1175" s="137">
        <f t="shared" si="172"/>
        <v>263</v>
      </c>
      <c r="H1175" s="131">
        <f t="shared" si="156"/>
        <v>504</v>
      </c>
      <c r="I1175" s="8">
        <f t="shared" si="173"/>
        <v>815441</v>
      </c>
      <c r="J1175" s="8">
        <v>815642</v>
      </c>
      <c r="K1175" s="137">
        <f t="shared" si="170"/>
        <v>201</v>
      </c>
      <c r="L1175" s="8">
        <f t="shared" si="175"/>
        <v>4930</v>
      </c>
      <c r="M1175" s="8">
        <v>4930</v>
      </c>
      <c r="N1175" s="137">
        <f t="shared" si="174"/>
        <v>0</v>
      </c>
      <c r="P1175" s="8">
        <f t="shared" si="165"/>
        <v>345391</v>
      </c>
      <c r="Q1175" s="8">
        <v>345391</v>
      </c>
      <c r="R1175" s="128">
        <f t="shared" si="166"/>
        <v>0</v>
      </c>
    </row>
    <row r="1176" spans="1:18" ht="15.5">
      <c r="A1176" s="12">
        <v>45551</v>
      </c>
      <c r="B1176" s="8">
        <f t="shared" si="163"/>
        <v>664976</v>
      </c>
      <c r="C1176" s="8">
        <v>665200</v>
      </c>
      <c r="D1176" s="131">
        <f t="shared" si="171"/>
        <v>224</v>
      </c>
      <c r="E1176" s="125">
        <f t="shared" si="169"/>
        <v>268697</v>
      </c>
      <c r="F1176" s="8">
        <v>269016</v>
      </c>
      <c r="G1176" s="137">
        <f t="shared" si="172"/>
        <v>319</v>
      </c>
      <c r="H1176" s="131">
        <f t="shared" si="156"/>
        <v>543</v>
      </c>
      <c r="I1176" s="8">
        <f t="shared" si="173"/>
        <v>815642</v>
      </c>
      <c r="J1176" s="8">
        <v>815812</v>
      </c>
      <c r="K1176" s="137">
        <f t="shared" si="170"/>
        <v>170</v>
      </c>
      <c r="L1176" s="8">
        <f t="shared" si="175"/>
        <v>4930</v>
      </c>
      <c r="M1176" s="8">
        <v>4930</v>
      </c>
      <c r="N1176" s="137">
        <f t="shared" si="174"/>
        <v>0</v>
      </c>
      <c r="P1176" s="8">
        <f t="shared" si="165"/>
        <v>345391</v>
      </c>
      <c r="Q1176" s="8">
        <v>345391</v>
      </c>
      <c r="R1176" s="128">
        <f t="shared" si="166"/>
        <v>0</v>
      </c>
    </row>
    <row r="1177" spans="1:18" ht="15.5">
      <c r="A1177" s="12">
        <v>45552</v>
      </c>
      <c r="B1177" s="8">
        <f t="shared" si="163"/>
        <v>665200</v>
      </c>
      <c r="C1177" s="8">
        <v>665415</v>
      </c>
      <c r="D1177" s="131">
        <f t="shared" si="171"/>
        <v>215</v>
      </c>
      <c r="E1177" s="125">
        <f t="shared" si="169"/>
        <v>269016</v>
      </c>
      <c r="F1177" s="8">
        <v>269281</v>
      </c>
      <c r="G1177" s="137">
        <f t="shared" si="172"/>
        <v>265</v>
      </c>
      <c r="H1177" s="131">
        <f t="shared" si="156"/>
        <v>480</v>
      </c>
      <c r="I1177" s="8">
        <f t="shared" si="173"/>
        <v>815812</v>
      </c>
      <c r="J1177" s="8">
        <v>815967</v>
      </c>
      <c r="K1177" s="137">
        <f t="shared" si="170"/>
        <v>155</v>
      </c>
      <c r="L1177" s="8">
        <f t="shared" si="175"/>
        <v>4930</v>
      </c>
      <c r="M1177" s="8">
        <v>4930</v>
      </c>
      <c r="N1177" s="137">
        <f t="shared" si="174"/>
        <v>0</v>
      </c>
      <c r="P1177" s="8">
        <f t="shared" si="165"/>
        <v>345391</v>
      </c>
      <c r="Q1177" s="8">
        <v>345391</v>
      </c>
      <c r="R1177" s="128">
        <f t="shared" si="166"/>
        <v>0</v>
      </c>
    </row>
    <row r="1178" spans="1:18" ht="15.5">
      <c r="A1178" s="12">
        <v>45553</v>
      </c>
      <c r="B1178" s="8">
        <f t="shared" si="163"/>
        <v>665415</v>
      </c>
      <c r="C1178" s="8">
        <v>665683</v>
      </c>
      <c r="D1178" s="131">
        <f t="shared" si="171"/>
        <v>268</v>
      </c>
      <c r="E1178" s="125">
        <f t="shared" si="169"/>
        <v>269281</v>
      </c>
      <c r="F1178" s="8">
        <v>269619</v>
      </c>
      <c r="G1178" s="137">
        <f t="shared" si="172"/>
        <v>338</v>
      </c>
      <c r="H1178" s="131">
        <f t="shared" si="156"/>
        <v>606</v>
      </c>
      <c r="I1178" s="8">
        <f t="shared" si="173"/>
        <v>815967</v>
      </c>
      <c r="J1178" s="8">
        <v>816136</v>
      </c>
      <c r="K1178" s="137">
        <f t="shared" si="170"/>
        <v>169</v>
      </c>
      <c r="L1178" s="8">
        <f t="shared" si="175"/>
        <v>4930</v>
      </c>
      <c r="M1178" s="8">
        <v>4930</v>
      </c>
      <c r="N1178" s="137">
        <f t="shared" si="174"/>
        <v>0</v>
      </c>
      <c r="P1178" s="8">
        <f t="shared" si="165"/>
        <v>345391</v>
      </c>
      <c r="Q1178" s="8">
        <v>345391</v>
      </c>
      <c r="R1178" s="128">
        <f t="shared" si="166"/>
        <v>0</v>
      </c>
    </row>
    <row r="1179" spans="1:18" ht="15.5">
      <c r="A1179" s="12">
        <v>45554</v>
      </c>
      <c r="B1179" s="8">
        <f t="shared" si="163"/>
        <v>665683</v>
      </c>
      <c r="C1179" s="8">
        <v>665918</v>
      </c>
      <c r="D1179" s="131">
        <f t="shared" si="171"/>
        <v>235</v>
      </c>
      <c r="E1179" s="125">
        <f t="shared" si="169"/>
        <v>269619</v>
      </c>
      <c r="F1179" s="8">
        <v>269885</v>
      </c>
      <c r="G1179" s="137">
        <f t="shared" si="172"/>
        <v>266</v>
      </c>
      <c r="H1179" s="131">
        <f t="shared" si="156"/>
        <v>501</v>
      </c>
      <c r="I1179" s="8">
        <f t="shared" si="173"/>
        <v>816136</v>
      </c>
      <c r="J1179" s="8">
        <v>816296</v>
      </c>
      <c r="K1179" s="137">
        <f t="shared" si="170"/>
        <v>160</v>
      </c>
      <c r="L1179" s="8">
        <f>M1178</f>
        <v>4930</v>
      </c>
      <c r="M1179" s="8">
        <v>4930</v>
      </c>
      <c r="N1179" s="137">
        <f t="shared" si="174"/>
        <v>0</v>
      </c>
      <c r="P1179" s="8">
        <f t="shared" si="165"/>
        <v>345391</v>
      </c>
      <c r="R1179" s="128">
        <f t="shared" si="166"/>
        <v>-345391</v>
      </c>
    </row>
    <row r="1180" spans="1:18" ht="15.5">
      <c r="A1180" s="12">
        <v>45555</v>
      </c>
      <c r="B1180" s="8">
        <f t="shared" si="163"/>
        <v>665918</v>
      </c>
      <c r="C1180" s="8">
        <v>666156</v>
      </c>
      <c r="D1180" s="131">
        <f t="shared" si="171"/>
        <v>238</v>
      </c>
      <c r="E1180" s="125">
        <f t="shared" si="169"/>
        <v>269885</v>
      </c>
      <c r="F1180" s="8">
        <v>270161</v>
      </c>
      <c r="G1180" s="137">
        <f t="shared" si="172"/>
        <v>276</v>
      </c>
      <c r="H1180" s="131">
        <f t="shared" si="156"/>
        <v>514</v>
      </c>
      <c r="I1180" s="8">
        <f t="shared" si="173"/>
        <v>816296</v>
      </c>
      <c r="J1180" s="8">
        <v>816410</v>
      </c>
      <c r="K1180" s="137">
        <f t="shared" si="170"/>
        <v>114</v>
      </c>
      <c r="L1180" s="8">
        <f t="shared" ref="L1180:L1243" si="176">M1179</f>
        <v>4930</v>
      </c>
      <c r="M1180" s="8">
        <v>4930</v>
      </c>
      <c r="N1180" s="137">
        <f t="shared" si="174"/>
        <v>0</v>
      </c>
      <c r="P1180" s="8">
        <f t="shared" si="165"/>
        <v>0</v>
      </c>
      <c r="R1180" s="128">
        <f t="shared" si="166"/>
        <v>0</v>
      </c>
    </row>
    <row r="1181" spans="1:18" ht="15.5">
      <c r="A1181" s="12">
        <v>45556</v>
      </c>
      <c r="B1181" s="8">
        <f t="shared" si="163"/>
        <v>666156</v>
      </c>
      <c r="C1181" s="8">
        <v>666433</v>
      </c>
      <c r="D1181" s="131">
        <f t="shared" si="171"/>
        <v>277</v>
      </c>
      <c r="E1181" s="125">
        <f t="shared" si="169"/>
        <v>270161</v>
      </c>
      <c r="F1181" s="8">
        <v>270473</v>
      </c>
      <c r="G1181" s="137">
        <f t="shared" si="172"/>
        <v>312</v>
      </c>
      <c r="H1181" s="131">
        <f t="shared" si="156"/>
        <v>589</v>
      </c>
      <c r="I1181" s="8">
        <f t="shared" si="173"/>
        <v>816410</v>
      </c>
      <c r="J1181" s="8">
        <v>816681</v>
      </c>
      <c r="K1181" s="137">
        <f t="shared" si="170"/>
        <v>271</v>
      </c>
      <c r="L1181" s="8">
        <f t="shared" si="176"/>
        <v>4930</v>
      </c>
      <c r="M1181" s="8">
        <v>4930</v>
      </c>
      <c r="N1181" s="137">
        <f t="shared" si="174"/>
        <v>0</v>
      </c>
      <c r="P1181" s="8">
        <f t="shared" si="165"/>
        <v>0</v>
      </c>
      <c r="R1181" s="128">
        <f t="shared" si="166"/>
        <v>0</v>
      </c>
    </row>
    <row r="1182" spans="1:18" ht="15.5">
      <c r="A1182" s="12">
        <v>45557</v>
      </c>
      <c r="B1182" s="8">
        <f t="shared" si="163"/>
        <v>666433</v>
      </c>
      <c r="C1182" s="8">
        <v>666611</v>
      </c>
      <c r="D1182" s="131">
        <f t="shared" si="171"/>
        <v>178</v>
      </c>
      <c r="E1182" s="125">
        <f t="shared" si="169"/>
        <v>270473</v>
      </c>
      <c r="F1182" s="8">
        <v>270737</v>
      </c>
      <c r="G1182" s="130">
        <f t="shared" si="172"/>
        <v>264</v>
      </c>
      <c r="H1182" s="131">
        <f t="shared" si="156"/>
        <v>442</v>
      </c>
      <c r="I1182" s="8">
        <f t="shared" si="173"/>
        <v>816681</v>
      </c>
      <c r="J1182" s="8">
        <v>816828</v>
      </c>
      <c r="K1182" s="137">
        <f t="shared" si="170"/>
        <v>147</v>
      </c>
      <c r="L1182" s="8">
        <f t="shared" si="176"/>
        <v>4930</v>
      </c>
      <c r="M1182" s="8">
        <v>4930</v>
      </c>
      <c r="N1182" s="137">
        <f t="shared" si="174"/>
        <v>0</v>
      </c>
      <c r="P1182" s="8">
        <f t="shared" si="165"/>
        <v>0</v>
      </c>
      <c r="R1182" s="128">
        <f t="shared" si="166"/>
        <v>0</v>
      </c>
    </row>
    <row r="1183" spans="1:18" ht="15.5">
      <c r="A1183" s="12">
        <v>45558</v>
      </c>
      <c r="B1183" s="8">
        <f t="shared" si="163"/>
        <v>666611</v>
      </c>
      <c r="C1183" s="8">
        <v>666821</v>
      </c>
      <c r="D1183" s="131">
        <f t="shared" si="171"/>
        <v>210</v>
      </c>
      <c r="E1183" s="125">
        <f t="shared" si="169"/>
        <v>270737</v>
      </c>
      <c r="F1183" s="8">
        <v>271016</v>
      </c>
      <c r="G1183" s="130">
        <f t="shared" si="172"/>
        <v>279</v>
      </c>
      <c r="H1183" s="131">
        <f t="shared" si="156"/>
        <v>489</v>
      </c>
      <c r="I1183" s="8">
        <f t="shared" si="173"/>
        <v>816828</v>
      </c>
      <c r="J1183" s="8">
        <v>816968</v>
      </c>
      <c r="K1183" s="137">
        <f t="shared" si="170"/>
        <v>140</v>
      </c>
      <c r="L1183" s="8">
        <f t="shared" si="176"/>
        <v>4930</v>
      </c>
      <c r="M1183" s="8">
        <v>4930</v>
      </c>
      <c r="N1183" s="137">
        <f t="shared" si="174"/>
        <v>0</v>
      </c>
      <c r="P1183" s="8">
        <f t="shared" si="165"/>
        <v>0</v>
      </c>
      <c r="R1183" s="128">
        <f t="shared" si="166"/>
        <v>0</v>
      </c>
    </row>
    <row r="1184" spans="1:18" ht="15.5">
      <c r="A1184" s="12">
        <v>45559</v>
      </c>
      <c r="B1184" s="8">
        <f t="shared" si="163"/>
        <v>666821</v>
      </c>
      <c r="C1184" s="8">
        <v>667076</v>
      </c>
      <c r="D1184" s="131">
        <f t="shared" si="171"/>
        <v>255</v>
      </c>
      <c r="E1184" s="125">
        <f t="shared" si="169"/>
        <v>271016</v>
      </c>
      <c r="F1184" s="8">
        <v>271336</v>
      </c>
      <c r="G1184" s="130">
        <f t="shared" si="172"/>
        <v>320</v>
      </c>
      <c r="H1184" s="131">
        <f t="shared" si="156"/>
        <v>575</v>
      </c>
      <c r="I1184" s="8">
        <f t="shared" si="173"/>
        <v>816968</v>
      </c>
      <c r="J1184" s="8">
        <v>817185</v>
      </c>
      <c r="K1184" s="137">
        <f t="shared" si="170"/>
        <v>217</v>
      </c>
      <c r="L1184" s="8">
        <f t="shared" si="176"/>
        <v>4930</v>
      </c>
      <c r="M1184" s="8">
        <v>4930</v>
      </c>
      <c r="N1184" s="137">
        <f t="shared" si="174"/>
        <v>0</v>
      </c>
      <c r="P1184" s="8">
        <f t="shared" si="165"/>
        <v>0</v>
      </c>
      <c r="R1184" s="128">
        <f t="shared" si="166"/>
        <v>0</v>
      </c>
    </row>
    <row r="1185" spans="1:18" ht="15.5">
      <c r="A1185" s="12">
        <v>45560</v>
      </c>
      <c r="B1185" s="8">
        <f t="shared" si="163"/>
        <v>667076</v>
      </c>
      <c r="C1185" s="8">
        <v>667284</v>
      </c>
      <c r="D1185" s="131">
        <f t="shared" si="171"/>
        <v>208</v>
      </c>
      <c r="E1185" s="125">
        <f t="shared" si="169"/>
        <v>271336</v>
      </c>
      <c r="F1185" s="8">
        <v>271675</v>
      </c>
      <c r="G1185" s="130">
        <f t="shared" si="172"/>
        <v>339</v>
      </c>
      <c r="H1185" s="131">
        <f t="shared" si="156"/>
        <v>547</v>
      </c>
      <c r="I1185" s="8">
        <f t="shared" si="173"/>
        <v>817185</v>
      </c>
      <c r="J1185" s="8">
        <v>817385</v>
      </c>
      <c r="K1185" s="137">
        <f t="shared" si="170"/>
        <v>200</v>
      </c>
      <c r="L1185" s="8">
        <f t="shared" si="176"/>
        <v>4930</v>
      </c>
      <c r="M1185" s="8">
        <v>4930</v>
      </c>
      <c r="N1185" s="137">
        <f t="shared" si="174"/>
        <v>0</v>
      </c>
      <c r="P1185" s="8">
        <f t="shared" si="165"/>
        <v>0</v>
      </c>
      <c r="R1185" s="128">
        <f t="shared" si="166"/>
        <v>0</v>
      </c>
    </row>
    <row r="1186" spans="1:18" ht="15.5">
      <c r="A1186" s="12">
        <v>45561</v>
      </c>
      <c r="B1186" s="8">
        <f t="shared" si="163"/>
        <v>667284</v>
      </c>
      <c r="C1186" s="8">
        <v>667358</v>
      </c>
      <c r="D1186" s="131">
        <f t="shared" si="171"/>
        <v>74</v>
      </c>
      <c r="E1186" s="125">
        <f t="shared" si="169"/>
        <v>271675</v>
      </c>
      <c r="F1186" s="8">
        <v>271959</v>
      </c>
      <c r="G1186" s="130">
        <f t="shared" si="172"/>
        <v>284</v>
      </c>
      <c r="H1186" s="131">
        <f t="shared" si="156"/>
        <v>358</v>
      </c>
      <c r="I1186" s="8">
        <f t="shared" si="173"/>
        <v>817385</v>
      </c>
      <c r="J1186" s="8">
        <v>817581</v>
      </c>
      <c r="K1186" s="137">
        <f t="shared" si="170"/>
        <v>196</v>
      </c>
      <c r="L1186" s="8">
        <f t="shared" si="176"/>
        <v>4930</v>
      </c>
      <c r="M1186" s="8">
        <v>4930</v>
      </c>
      <c r="N1186" s="137">
        <f t="shared" si="174"/>
        <v>0</v>
      </c>
      <c r="P1186" s="8">
        <f t="shared" si="165"/>
        <v>0</v>
      </c>
      <c r="R1186" s="128">
        <f t="shared" si="166"/>
        <v>0</v>
      </c>
    </row>
    <row r="1187" spans="1:18" ht="15.5">
      <c r="A1187" s="12">
        <v>45562</v>
      </c>
      <c r="B1187" s="8">
        <f t="shared" si="163"/>
        <v>667358</v>
      </c>
      <c r="C1187" s="8">
        <v>667679</v>
      </c>
      <c r="D1187" s="131">
        <f t="shared" si="171"/>
        <v>321</v>
      </c>
      <c r="E1187" s="125">
        <f t="shared" si="169"/>
        <v>271959</v>
      </c>
      <c r="F1187" s="8">
        <v>272304</v>
      </c>
      <c r="G1187" s="130">
        <f t="shared" si="172"/>
        <v>345</v>
      </c>
      <c r="H1187" s="131">
        <f t="shared" si="156"/>
        <v>666</v>
      </c>
      <c r="I1187" s="8">
        <f t="shared" si="173"/>
        <v>817581</v>
      </c>
      <c r="J1187" s="8">
        <v>817703</v>
      </c>
      <c r="K1187" s="137">
        <f t="shared" si="170"/>
        <v>122</v>
      </c>
      <c r="L1187" s="8">
        <f t="shared" si="176"/>
        <v>4930</v>
      </c>
      <c r="M1187" s="8">
        <v>4930</v>
      </c>
      <c r="N1187" s="137">
        <f t="shared" si="174"/>
        <v>0</v>
      </c>
      <c r="P1187" s="8">
        <f t="shared" si="165"/>
        <v>0</v>
      </c>
      <c r="R1187" s="128">
        <f t="shared" si="166"/>
        <v>0</v>
      </c>
    </row>
    <row r="1188" spans="1:18" ht="15.5">
      <c r="A1188" s="12">
        <v>45563</v>
      </c>
      <c r="B1188" s="8">
        <f t="shared" si="163"/>
        <v>667679</v>
      </c>
      <c r="C1188" s="8">
        <v>667943</v>
      </c>
      <c r="D1188" s="131">
        <f t="shared" si="171"/>
        <v>264</v>
      </c>
      <c r="E1188" s="125">
        <f t="shared" si="169"/>
        <v>272304</v>
      </c>
      <c r="F1188" s="8">
        <v>272622</v>
      </c>
      <c r="G1188" s="130">
        <f t="shared" si="172"/>
        <v>318</v>
      </c>
      <c r="H1188" s="131">
        <f t="shared" si="156"/>
        <v>582</v>
      </c>
      <c r="I1188" s="8">
        <f t="shared" si="173"/>
        <v>817703</v>
      </c>
      <c r="J1188" s="8">
        <v>818189</v>
      </c>
      <c r="K1188" s="137">
        <f t="shared" si="170"/>
        <v>486</v>
      </c>
      <c r="L1188" s="8">
        <f t="shared" si="176"/>
        <v>4930</v>
      </c>
      <c r="M1188" s="8">
        <v>4930</v>
      </c>
      <c r="N1188" s="137">
        <f t="shared" si="174"/>
        <v>0</v>
      </c>
      <c r="P1188" s="8">
        <f t="shared" si="165"/>
        <v>0</v>
      </c>
      <c r="R1188" s="128">
        <f t="shared" si="166"/>
        <v>0</v>
      </c>
    </row>
    <row r="1189" spans="1:18" ht="15.5">
      <c r="A1189" s="12">
        <v>45564</v>
      </c>
      <c r="B1189" s="8">
        <f t="shared" si="163"/>
        <v>667943</v>
      </c>
      <c r="C1189" s="8">
        <v>668232</v>
      </c>
      <c r="D1189" s="131">
        <f t="shared" si="171"/>
        <v>289</v>
      </c>
      <c r="E1189" s="125">
        <f t="shared" si="169"/>
        <v>272622</v>
      </c>
      <c r="F1189" s="8">
        <v>272849</v>
      </c>
      <c r="G1189" s="130">
        <f t="shared" si="172"/>
        <v>227</v>
      </c>
      <c r="H1189" s="131">
        <f t="shared" si="156"/>
        <v>516</v>
      </c>
      <c r="I1189" s="8">
        <f t="shared" si="173"/>
        <v>818189</v>
      </c>
      <c r="J1189" s="8">
        <v>818360</v>
      </c>
      <c r="K1189" s="137">
        <f t="shared" si="170"/>
        <v>171</v>
      </c>
      <c r="L1189" s="8">
        <f t="shared" si="176"/>
        <v>4930</v>
      </c>
      <c r="M1189" s="8">
        <v>4930</v>
      </c>
      <c r="N1189" s="137">
        <f t="shared" si="174"/>
        <v>0</v>
      </c>
      <c r="P1189" s="8">
        <f t="shared" si="165"/>
        <v>0</v>
      </c>
      <c r="R1189" s="128">
        <f t="shared" si="166"/>
        <v>0</v>
      </c>
    </row>
    <row r="1190" spans="1:18" ht="15.5">
      <c r="A1190" s="12">
        <v>45565</v>
      </c>
      <c r="B1190" s="8">
        <f t="shared" si="163"/>
        <v>668232</v>
      </c>
      <c r="C1190" s="8">
        <v>668436</v>
      </c>
      <c r="D1190" s="131">
        <f t="shared" si="171"/>
        <v>204</v>
      </c>
      <c r="E1190" s="125">
        <f t="shared" si="169"/>
        <v>272849</v>
      </c>
      <c r="F1190" s="8">
        <v>273110</v>
      </c>
      <c r="G1190" s="130">
        <f t="shared" si="172"/>
        <v>261</v>
      </c>
      <c r="H1190" s="131">
        <f t="shared" si="156"/>
        <v>465</v>
      </c>
      <c r="I1190" s="8">
        <f t="shared" si="173"/>
        <v>818360</v>
      </c>
      <c r="J1190" s="8">
        <v>818480</v>
      </c>
      <c r="K1190" s="137">
        <f t="shared" si="170"/>
        <v>120</v>
      </c>
      <c r="L1190" s="8">
        <f t="shared" si="176"/>
        <v>4930</v>
      </c>
      <c r="M1190" s="8">
        <v>4930</v>
      </c>
      <c r="N1190" s="137">
        <f t="shared" si="174"/>
        <v>0</v>
      </c>
      <c r="P1190" s="8">
        <f t="shared" si="165"/>
        <v>0</v>
      </c>
      <c r="R1190" s="128">
        <f t="shared" si="166"/>
        <v>0</v>
      </c>
    </row>
    <row r="1191" spans="1:18" ht="15.5">
      <c r="A1191" s="12">
        <v>45566</v>
      </c>
      <c r="B1191" s="8">
        <f t="shared" si="163"/>
        <v>668436</v>
      </c>
      <c r="C1191" s="8">
        <v>668664</v>
      </c>
      <c r="D1191" s="131">
        <f t="shared" si="171"/>
        <v>228</v>
      </c>
      <c r="E1191" s="125">
        <f t="shared" si="169"/>
        <v>273110</v>
      </c>
      <c r="F1191" s="8">
        <v>273370</v>
      </c>
      <c r="G1191" s="130">
        <f t="shared" si="172"/>
        <v>260</v>
      </c>
      <c r="H1191" s="131">
        <f t="shared" si="156"/>
        <v>488</v>
      </c>
      <c r="I1191" s="8">
        <f t="shared" si="173"/>
        <v>818480</v>
      </c>
      <c r="J1191" s="8">
        <v>818683</v>
      </c>
      <c r="K1191" s="137">
        <f t="shared" si="170"/>
        <v>203</v>
      </c>
      <c r="L1191" s="8">
        <f t="shared" si="176"/>
        <v>4930</v>
      </c>
      <c r="M1191" s="8">
        <v>4930</v>
      </c>
      <c r="N1191" s="137">
        <f t="shared" si="174"/>
        <v>0</v>
      </c>
      <c r="P1191" s="8">
        <f t="shared" si="165"/>
        <v>0</v>
      </c>
      <c r="R1191" s="128">
        <f t="shared" si="166"/>
        <v>0</v>
      </c>
    </row>
    <row r="1192" spans="1:18" ht="15.5">
      <c r="A1192" s="12">
        <v>45567</v>
      </c>
      <c r="B1192" s="8">
        <f t="shared" si="163"/>
        <v>668664</v>
      </c>
      <c r="C1192" s="8">
        <v>668889</v>
      </c>
      <c r="D1192" s="131">
        <f t="shared" si="171"/>
        <v>225</v>
      </c>
      <c r="E1192" s="125">
        <f t="shared" si="169"/>
        <v>273370</v>
      </c>
      <c r="F1192" s="8">
        <v>273637</v>
      </c>
      <c r="G1192" s="130">
        <f t="shared" si="172"/>
        <v>267</v>
      </c>
      <c r="H1192" s="131">
        <f t="shared" si="156"/>
        <v>492</v>
      </c>
      <c r="I1192" s="8">
        <f t="shared" si="173"/>
        <v>818683</v>
      </c>
      <c r="J1192" s="8">
        <v>818909</v>
      </c>
      <c r="K1192" s="137">
        <f t="shared" si="170"/>
        <v>226</v>
      </c>
      <c r="L1192" s="8">
        <f t="shared" si="176"/>
        <v>4930</v>
      </c>
      <c r="M1192" s="8">
        <v>4930</v>
      </c>
      <c r="N1192" s="137">
        <f t="shared" si="174"/>
        <v>0</v>
      </c>
      <c r="P1192" s="8">
        <f t="shared" si="165"/>
        <v>0</v>
      </c>
      <c r="R1192" s="128">
        <f t="shared" si="166"/>
        <v>0</v>
      </c>
    </row>
    <row r="1193" spans="1:18" ht="15.5">
      <c r="A1193" s="12">
        <v>45568</v>
      </c>
      <c r="B1193" s="8">
        <f t="shared" si="163"/>
        <v>668889</v>
      </c>
      <c r="C1193" s="8">
        <v>669124</v>
      </c>
      <c r="D1193" s="131">
        <f t="shared" si="171"/>
        <v>235</v>
      </c>
      <c r="E1193" s="125">
        <f t="shared" si="169"/>
        <v>273637</v>
      </c>
      <c r="F1193" s="8">
        <v>273886</v>
      </c>
      <c r="G1193" s="130">
        <f t="shared" si="172"/>
        <v>249</v>
      </c>
      <c r="H1193" s="131">
        <f t="shared" si="156"/>
        <v>484</v>
      </c>
      <c r="I1193" s="8">
        <f t="shared" si="173"/>
        <v>818909</v>
      </c>
      <c r="J1193" s="8">
        <v>819125</v>
      </c>
      <c r="K1193" s="137">
        <f t="shared" si="170"/>
        <v>216</v>
      </c>
      <c r="L1193" s="8">
        <f t="shared" si="176"/>
        <v>4930</v>
      </c>
      <c r="M1193" s="8">
        <v>4930</v>
      </c>
      <c r="N1193" s="137">
        <f t="shared" si="174"/>
        <v>0</v>
      </c>
      <c r="P1193" s="8">
        <f t="shared" si="165"/>
        <v>0</v>
      </c>
      <c r="R1193" s="128">
        <f t="shared" si="166"/>
        <v>0</v>
      </c>
    </row>
    <row r="1194" spans="1:18" ht="15.5">
      <c r="A1194" s="12">
        <v>45569</v>
      </c>
      <c r="B1194" s="8">
        <f t="shared" si="163"/>
        <v>669124</v>
      </c>
      <c r="C1194" s="8">
        <v>669398</v>
      </c>
      <c r="D1194" s="131">
        <f t="shared" si="171"/>
        <v>274</v>
      </c>
      <c r="E1194" s="125">
        <f t="shared" si="169"/>
        <v>273886</v>
      </c>
      <c r="F1194" s="8">
        <v>274213</v>
      </c>
      <c r="G1194" s="130">
        <f t="shared" si="172"/>
        <v>327</v>
      </c>
      <c r="H1194" s="131">
        <f t="shared" si="156"/>
        <v>601</v>
      </c>
      <c r="I1194" s="8">
        <f t="shared" si="173"/>
        <v>819125</v>
      </c>
      <c r="J1194" s="8">
        <v>819201</v>
      </c>
      <c r="K1194" s="137">
        <f t="shared" si="170"/>
        <v>76</v>
      </c>
      <c r="L1194" s="8">
        <f t="shared" si="176"/>
        <v>4930</v>
      </c>
      <c r="M1194" s="8">
        <v>4930</v>
      </c>
      <c r="N1194" s="137">
        <f t="shared" si="174"/>
        <v>0</v>
      </c>
      <c r="P1194" s="8">
        <f t="shared" si="165"/>
        <v>0</v>
      </c>
      <c r="R1194" s="128">
        <f t="shared" si="166"/>
        <v>0</v>
      </c>
    </row>
    <row r="1195" spans="1:18" ht="15.5">
      <c r="A1195" s="12">
        <v>45570</v>
      </c>
      <c r="B1195" s="8">
        <f t="shared" si="163"/>
        <v>669398</v>
      </c>
      <c r="C1195" s="8">
        <v>669637</v>
      </c>
      <c r="D1195" s="131">
        <f t="shared" si="171"/>
        <v>239</v>
      </c>
      <c r="E1195" s="125">
        <f t="shared" si="169"/>
        <v>274213</v>
      </c>
      <c r="F1195" s="8">
        <v>274557</v>
      </c>
      <c r="G1195" s="130">
        <f t="shared" si="172"/>
        <v>344</v>
      </c>
      <c r="H1195" s="131">
        <f t="shared" ref="H1195:H1249" si="177">D1195+G1195</f>
        <v>583</v>
      </c>
      <c r="I1195" s="8">
        <f t="shared" si="173"/>
        <v>819201</v>
      </c>
      <c r="J1195" s="8">
        <v>819302</v>
      </c>
      <c r="K1195" s="137">
        <f t="shared" si="170"/>
        <v>101</v>
      </c>
      <c r="L1195" s="8">
        <f t="shared" si="176"/>
        <v>4930</v>
      </c>
      <c r="M1195" s="8">
        <v>4930</v>
      </c>
      <c r="N1195" s="137">
        <f t="shared" si="174"/>
        <v>0</v>
      </c>
      <c r="P1195" s="8">
        <f t="shared" si="165"/>
        <v>0</v>
      </c>
      <c r="R1195" s="128">
        <f t="shared" si="166"/>
        <v>0</v>
      </c>
    </row>
    <row r="1196" spans="1:18" ht="15.5">
      <c r="A1196" s="12">
        <v>45571</v>
      </c>
      <c r="B1196" s="8">
        <f t="shared" ref="B1196:B1249" si="178">C1195</f>
        <v>669637</v>
      </c>
      <c r="C1196" s="8">
        <v>669777</v>
      </c>
      <c r="D1196" s="131">
        <f t="shared" si="171"/>
        <v>140</v>
      </c>
      <c r="E1196" s="125">
        <f t="shared" si="169"/>
        <v>274557</v>
      </c>
      <c r="F1196" s="8">
        <v>274797</v>
      </c>
      <c r="G1196" s="130">
        <f t="shared" si="172"/>
        <v>240</v>
      </c>
      <c r="H1196" s="131">
        <f t="shared" si="177"/>
        <v>380</v>
      </c>
      <c r="I1196" s="8">
        <f t="shared" si="173"/>
        <v>819302</v>
      </c>
      <c r="J1196" s="8">
        <v>819474</v>
      </c>
      <c r="K1196" s="137">
        <f t="shared" si="170"/>
        <v>172</v>
      </c>
      <c r="L1196" s="8">
        <f t="shared" si="176"/>
        <v>4930</v>
      </c>
      <c r="M1196" s="8">
        <v>4930</v>
      </c>
      <c r="N1196" s="137">
        <f t="shared" si="174"/>
        <v>0</v>
      </c>
      <c r="P1196" s="8">
        <f t="shared" si="165"/>
        <v>0</v>
      </c>
      <c r="R1196" s="128">
        <f t="shared" si="166"/>
        <v>0</v>
      </c>
    </row>
    <row r="1197" spans="1:18" ht="15.5">
      <c r="A1197" s="12">
        <v>45572</v>
      </c>
      <c r="B1197" s="8">
        <f t="shared" si="178"/>
        <v>669777</v>
      </c>
      <c r="C1197" s="8">
        <v>670216</v>
      </c>
      <c r="D1197" s="131">
        <f t="shared" si="171"/>
        <v>439</v>
      </c>
      <c r="E1197" s="125">
        <f t="shared" si="169"/>
        <v>274797</v>
      </c>
      <c r="F1197" s="8">
        <v>275106</v>
      </c>
      <c r="G1197" s="130">
        <f t="shared" si="172"/>
        <v>309</v>
      </c>
      <c r="H1197" s="131">
        <f t="shared" si="177"/>
        <v>748</v>
      </c>
      <c r="I1197" s="8">
        <f t="shared" si="173"/>
        <v>819474</v>
      </c>
      <c r="J1197" s="8">
        <v>819648</v>
      </c>
      <c r="K1197" s="137">
        <f t="shared" si="170"/>
        <v>174</v>
      </c>
      <c r="L1197" s="8">
        <f t="shared" si="176"/>
        <v>4930</v>
      </c>
      <c r="M1197" s="8">
        <v>4930</v>
      </c>
      <c r="N1197" s="137">
        <f t="shared" si="174"/>
        <v>0</v>
      </c>
      <c r="P1197" s="8">
        <f t="shared" si="165"/>
        <v>0</v>
      </c>
      <c r="R1197" s="128">
        <f t="shared" si="166"/>
        <v>0</v>
      </c>
    </row>
    <row r="1198" spans="1:18" ht="15.5">
      <c r="A1198" s="12">
        <v>45573</v>
      </c>
      <c r="B1198" s="8">
        <f t="shared" si="178"/>
        <v>670216</v>
      </c>
      <c r="C1198" s="8">
        <v>670464</v>
      </c>
      <c r="D1198" s="131">
        <f t="shared" si="171"/>
        <v>248</v>
      </c>
      <c r="E1198" s="125">
        <f t="shared" si="169"/>
        <v>275106</v>
      </c>
      <c r="F1198" s="8">
        <v>275401</v>
      </c>
      <c r="G1198" s="130">
        <f t="shared" si="172"/>
        <v>295</v>
      </c>
      <c r="H1198" s="131">
        <f t="shared" si="177"/>
        <v>543</v>
      </c>
      <c r="I1198" s="8">
        <f t="shared" si="173"/>
        <v>819648</v>
      </c>
      <c r="J1198" s="8">
        <v>819840</v>
      </c>
      <c r="K1198" s="137">
        <f t="shared" si="170"/>
        <v>192</v>
      </c>
      <c r="L1198" s="8">
        <f t="shared" si="176"/>
        <v>4930</v>
      </c>
      <c r="M1198" s="8">
        <v>4930</v>
      </c>
      <c r="N1198" s="137">
        <f t="shared" si="174"/>
        <v>0</v>
      </c>
      <c r="P1198" s="8">
        <f t="shared" si="165"/>
        <v>0</v>
      </c>
      <c r="R1198" s="128">
        <f t="shared" si="166"/>
        <v>0</v>
      </c>
    </row>
    <row r="1199" spans="1:18" ht="15.5">
      <c r="A1199" s="12">
        <v>45574</v>
      </c>
      <c r="B1199" s="8">
        <f t="shared" si="178"/>
        <v>670464</v>
      </c>
      <c r="C1199" s="8">
        <v>670688</v>
      </c>
      <c r="D1199" s="131">
        <f t="shared" si="171"/>
        <v>224</v>
      </c>
      <c r="E1199" s="125">
        <f t="shared" si="169"/>
        <v>275401</v>
      </c>
      <c r="F1199" s="8">
        <v>275738</v>
      </c>
      <c r="G1199" s="130">
        <f t="shared" si="172"/>
        <v>337</v>
      </c>
      <c r="H1199" s="131">
        <f t="shared" si="177"/>
        <v>561</v>
      </c>
      <c r="I1199" s="8">
        <f t="shared" si="173"/>
        <v>819840</v>
      </c>
      <c r="J1199" s="8">
        <v>820034</v>
      </c>
      <c r="K1199" s="137">
        <f t="shared" si="170"/>
        <v>194</v>
      </c>
      <c r="L1199" s="8">
        <f t="shared" si="176"/>
        <v>4930</v>
      </c>
      <c r="M1199" s="8">
        <v>4930</v>
      </c>
      <c r="N1199" s="137">
        <f t="shared" si="174"/>
        <v>0</v>
      </c>
      <c r="P1199" s="8">
        <f t="shared" si="165"/>
        <v>0</v>
      </c>
      <c r="R1199" s="128">
        <f t="shared" si="166"/>
        <v>0</v>
      </c>
    </row>
    <row r="1200" spans="1:18" ht="15.5">
      <c r="A1200" s="12">
        <v>45575</v>
      </c>
      <c r="B1200" s="8">
        <f t="shared" si="178"/>
        <v>670688</v>
      </c>
      <c r="C1200" s="8">
        <v>670971</v>
      </c>
      <c r="D1200" s="131">
        <f t="shared" si="171"/>
        <v>283</v>
      </c>
      <c r="E1200" s="125">
        <f t="shared" si="169"/>
        <v>275738</v>
      </c>
      <c r="F1200" s="8">
        <v>275932</v>
      </c>
      <c r="G1200" s="130">
        <f t="shared" si="172"/>
        <v>194</v>
      </c>
      <c r="H1200" s="131">
        <f t="shared" si="177"/>
        <v>477</v>
      </c>
      <c r="I1200" s="8">
        <f t="shared" si="173"/>
        <v>820034</v>
      </c>
      <c r="J1200" s="8">
        <v>820248</v>
      </c>
      <c r="K1200" s="137">
        <f t="shared" si="170"/>
        <v>214</v>
      </c>
      <c r="L1200" s="8">
        <f t="shared" si="176"/>
        <v>4930</v>
      </c>
      <c r="M1200" s="8">
        <v>4930</v>
      </c>
      <c r="N1200" s="137">
        <f t="shared" si="174"/>
        <v>0</v>
      </c>
      <c r="P1200" s="8">
        <f t="shared" ref="P1200:P1250" si="179">Q1199</f>
        <v>0</v>
      </c>
      <c r="R1200" s="128">
        <f t="shared" si="166"/>
        <v>0</v>
      </c>
    </row>
    <row r="1201" spans="1:18" ht="15.5">
      <c r="A1201" s="12">
        <v>45576</v>
      </c>
      <c r="B1201" s="8">
        <f t="shared" si="178"/>
        <v>670971</v>
      </c>
      <c r="C1201" s="8">
        <v>671287</v>
      </c>
      <c r="D1201" s="131">
        <f t="shared" si="171"/>
        <v>316</v>
      </c>
      <c r="E1201" s="125">
        <f t="shared" si="169"/>
        <v>275932</v>
      </c>
      <c r="F1201" s="8">
        <v>276277</v>
      </c>
      <c r="G1201" s="130">
        <f t="shared" si="172"/>
        <v>345</v>
      </c>
      <c r="H1201" s="131">
        <f t="shared" si="177"/>
        <v>661</v>
      </c>
      <c r="I1201" s="8">
        <f t="shared" si="173"/>
        <v>820248</v>
      </c>
      <c r="J1201" s="8">
        <v>820433</v>
      </c>
      <c r="K1201" s="137">
        <f t="shared" si="170"/>
        <v>185</v>
      </c>
      <c r="L1201" s="8">
        <f t="shared" si="176"/>
        <v>4930</v>
      </c>
      <c r="M1201" s="8">
        <v>4930</v>
      </c>
      <c r="N1201" s="137">
        <f t="shared" si="174"/>
        <v>0</v>
      </c>
      <c r="P1201" s="8">
        <f t="shared" si="179"/>
        <v>0</v>
      </c>
      <c r="R1201" s="128">
        <f t="shared" si="166"/>
        <v>0</v>
      </c>
    </row>
    <row r="1202" spans="1:18" ht="15.5">
      <c r="A1202" s="12">
        <v>45577</v>
      </c>
      <c r="B1202" s="8">
        <f t="shared" si="178"/>
        <v>671287</v>
      </c>
      <c r="C1202" s="8">
        <v>671513</v>
      </c>
      <c r="D1202" s="131">
        <f t="shared" si="171"/>
        <v>226</v>
      </c>
      <c r="E1202" s="125">
        <f t="shared" si="169"/>
        <v>276277</v>
      </c>
      <c r="F1202" s="8">
        <v>276517</v>
      </c>
      <c r="G1202" s="130">
        <f t="shared" si="172"/>
        <v>240</v>
      </c>
      <c r="H1202" s="131">
        <f t="shared" si="177"/>
        <v>466</v>
      </c>
      <c r="I1202" s="8">
        <f t="shared" si="173"/>
        <v>820433</v>
      </c>
      <c r="J1202" s="8">
        <v>820696</v>
      </c>
      <c r="K1202" s="137">
        <f t="shared" si="170"/>
        <v>263</v>
      </c>
      <c r="L1202" s="8">
        <f t="shared" si="176"/>
        <v>4930</v>
      </c>
      <c r="M1202" s="8">
        <v>4930</v>
      </c>
      <c r="N1202" s="137">
        <f t="shared" si="174"/>
        <v>0</v>
      </c>
      <c r="P1202" s="8">
        <f t="shared" si="179"/>
        <v>0</v>
      </c>
      <c r="R1202" s="128">
        <f t="shared" ref="R1202:R1250" si="180">Q1202-P1202</f>
        <v>0</v>
      </c>
    </row>
    <row r="1203" spans="1:18" ht="15.5">
      <c r="A1203" s="12">
        <v>45578</v>
      </c>
      <c r="B1203" s="8">
        <f t="shared" si="178"/>
        <v>671513</v>
      </c>
      <c r="C1203" s="8">
        <v>671824</v>
      </c>
      <c r="D1203" s="131">
        <f t="shared" si="171"/>
        <v>311</v>
      </c>
      <c r="E1203" s="125">
        <f t="shared" si="169"/>
        <v>276517</v>
      </c>
      <c r="F1203" s="8">
        <v>276857</v>
      </c>
      <c r="G1203" s="130">
        <f t="shared" si="172"/>
        <v>340</v>
      </c>
      <c r="H1203" s="131">
        <f t="shared" si="177"/>
        <v>651</v>
      </c>
      <c r="I1203" s="8">
        <f t="shared" si="173"/>
        <v>820696</v>
      </c>
      <c r="J1203" s="8">
        <v>820886</v>
      </c>
      <c r="K1203" s="137">
        <f t="shared" si="170"/>
        <v>190</v>
      </c>
      <c r="L1203" s="8">
        <f t="shared" si="176"/>
        <v>4930</v>
      </c>
      <c r="M1203" s="8">
        <v>4930</v>
      </c>
      <c r="N1203" s="137">
        <f t="shared" si="174"/>
        <v>0</v>
      </c>
      <c r="P1203" s="8">
        <f t="shared" si="179"/>
        <v>0</v>
      </c>
      <c r="R1203" s="128">
        <f t="shared" si="180"/>
        <v>0</v>
      </c>
    </row>
    <row r="1204" spans="1:18" ht="15.5">
      <c r="A1204" s="12">
        <v>45579</v>
      </c>
      <c r="B1204" s="8">
        <f t="shared" si="178"/>
        <v>671824</v>
      </c>
      <c r="C1204" s="8">
        <v>672105</v>
      </c>
      <c r="D1204" s="131">
        <f t="shared" si="171"/>
        <v>281</v>
      </c>
      <c r="E1204" s="125">
        <f t="shared" si="169"/>
        <v>276857</v>
      </c>
      <c r="F1204" s="8">
        <v>277196</v>
      </c>
      <c r="G1204" s="130">
        <f t="shared" si="172"/>
        <v>339</v>
      </c>
      <c r="H1204" s="131">
        <f t="shared" si="177"/>
        <v>620</v>
      </c>
      <c r="I1204" s="8">
        <f t="shared" si="173"/>
        <v>820886</v>
      </c>
      <c r="J1204" s="8">
        <v>821076</v>
      </c>
      <c r="K1204" s="137">
        <f t="shared" si="170"/>
        <v>190</v>
      </c>
      <c r="L1204" s="8">
        <f t="shared" si="176"/>
        <v>4930</v>
      </c>
      <c r="M1204" s="8">
        <v>4930</v>
      </c>
      <c r="N1204" s="137">
        <f t="shared" si="174"/>
        <v>0</v>
      </c>
      <c r="P1204" s="8">
        <f t="shared" si="179"/>
        <v>0</v>
      </c>
      <c r="R1204" s="128">
        <f t="shared" si="180"/>
        <v>0</v>
      </c>
    </row>
    <row r="1205" spans="1:18" ht="15.5">
      <c r="A1205" s="12">
        <v>45580</v>
      </c>
      <c r="B1205" s="8">
        <f t="shared" si="178"/>
        <v>672105</v>
      </c>
      <c r="C1205" s="8">
        <v>672342</v>
      </c>
      <c r="D1205" s="131">
        <f t="shared" si="171"/>
        <v>237</v>
      </c>
      <c r="E1205" s="125">
        <f t="shared" ref="E1205:E1250" si="181">F1204</f>
        <v>277196</v>
      </c>
      <c r="F1205" s="8">
        <v>277445</v>
      </c>
      <c r="G1205" s="130">
        <f t="shared" si="172"/>
        <v>249</v>
      </c>
      <c r="H1205" s="131">
        <f t="shared" si="177"/>
        <v>486</v>
      </c>
      <c r="I1205" s="8">
        <f t="shared" si="173"/>
        <v>821076</v>
      </c>
      <c r="J1205" s="8">
        <v>821238</v>
      </c>
      <c r="K1205" s="137">
        <f t="shared" si="170"/>
        <v>162</v>
      </c>
      <c r="L1205" s="8">
        <f t="shared" si="176"/>
        <v>4930</v>
      </c>
      <c r="M1205" s="8">
        <v>4930</v>
      </c>
      <c r="N1205" s="137">
        <f t="shared" si="174"/>
        <v>0</v>
      </c>
      <c r="P1205" s="8">
        <f t="shared" si="179"/>
        <v>0</v>
      </c>
      <c r="R1205" s="128">
        <f t="shared" si="180"/>
        <v>0</v>
      </c>
    </row>
    <row r="1206" spans="1:18" ht="15.5">
      <c r="A1206" s="12">
        <v>45581</v>
      </c>
      <c r="B1206" s="8">
        <f t="shared" si="178"/>
        <v>672342</v>
      </c>
      <c r="C1206" s="8">
        <v>672603</v>
      </c>
      <c r="D1206" s="131">
        <f t="shared" si="171"/>
        <v>261</v>
      </c>
      <c r="E1206" s="125">
        <f t="shared" si="181"/>
        <v>277445</v>
      </c>
      <c r="F1206" s="8">
        <v>277725</v>
      </c>
      <c r="G1206" s="130">
        <f t="shared" si="172"/>
        <v>280</v>
      </c>
      <c r="H1206" s="131">
        <f t="shared" si="177"/>
        <v>541</v>
      </c>
      <c r="I1206" s="8">
        <f t="shared" si="173"/>
        <v>821238</v>
      </c>
      <c r="J1206" s="8">
        <v>821341</v>
      </c>
      <c r="K1206" s="137">
        <f t="shared" ref="K1206:K1250" si="182">J1206-I1206</f>
        <v>103</v>
      </c>
      <c r="L1206" s="8">
        <f t="shared" si="176"/>
        <v>4930</v>
      </c>
      <c r="M1206" s="8">
        <v>4930</v>
      </c>
      <c r="N1206" s="137">
        <f t="shared" si="174"/>
        <v>0</v>
      </c>
      <c r="P1206" s="8">
        <f t="shared" si="179"/>
        <v>0</v>
      </c>
      <c r="R1206" s="128">
        <f t="shared" si="180"/>
        <v>0</v>
      </c>
    </row>
    <row r="1207" spans="1:18" ht="15.5">
      <c r="A1207" s="12">
        <v>45582</v>
      </c>
      <c r="B1207" s="8">
        <f t="shared" si="178"/>
        <v>672603</v>
      </c>
      <c r="C1207" s="8">
        <v>672802</v>
      </c>
      <c r="D1207" s="131">
        <f t="shared" si="171"/>
        <v>199</v>
      </c>
      <c r="E1207" s="125">
        <f t="shared" si="181"/>
        <v>277725</v>
      </c>
      <c r="F1207" s="8">
        <v>277968</v>
      </c>
      <c r="G1207" s="130">
        <f t="shared" si="172"/>
        <v>243</v>
      </c>
      <c r="H1207" s="131">
        <f t="shared" si="177"/>
        <v>442</v>
      </c>
      <c r="I1207" s="8">
        <f t="shared" si="173"/>
        <v>821341</v>
      </c>
      <c r="J1207" s="8">
        <v>821445</v>
      </c>
      <c r="K1207" s="137">
        <f t="shared" si="182"/>
        <v>104</v>
      </c>
      <c r="L1207" s="8">
        <f t="shared" si="176"/>
        <v>4930</v>
      </c>
      <c r="M1207" s="8">
        <v>4930</v>
      </c>
      <c r="N1207" s="137">
        <f t="shared" si="174"/>
        <v>0</v>
      </c>
      <c r="P1207" s="8">
        <f t="shared" si="179"/>
        <v>0</v>
      </c>
      <c r="R1207" s="128">
        <f t="shared" si="180"/>
        <v>0</v>
      </c>
    </row>
    <row r="1208" spans="1:18" ht="15.5">
      <c r="A1208" s="12">
        <v>45583</v>
      </c>
      <c r="B1208" s="8">
        <f t="shared" si="178"/>
        <v>672802</v>
      </c>
      <c r="C1208" s="8">
        <v>673118</v>
      </c>
      <c r="D1208" s="131">
        <f t="shared" si="171"/>
        <v>316</v>
      </c>
      <c r="E1208" s="125">
        <f t="shared" si="181"/>
        <v>277968</v>
      </c>
      <c r="F1208" s="8">
        <v>278331</v>
      </c>
      <c r="G1208" s="130">
        <f t="shared" si="172"/>
        <v>363</v>
      </c>
      <c r="H1208" s="131">
        <f t="shared" si="177"/>
        <v>679</v>
      </c>
      <c r="I1208" s="8">
        <f t="shared" si="173"/>
        <v>821445</v>
      </c>
      <c r="J1208" s="8">
        <v>821650</v>
      </c>
      <c r="K1208" s="137">
        <f t="shared" si="182"/>
        <v>205</v>
      </c>
      <c r="L1208" s="8">
        <f t="shared" si="176"/>
        <v>4930</v>
      </c>
      <c r="M1208" s="8">
        <v>4930</v>
      </c>
      <c r="N1208" s="137">
        <f t="shared" si="174"/>
        <v>0</v>
      </c>
      <c r="P1208" s="8">
        <f t="shared" si="179"/>
        <v>0</v>
      </c>
      <c r="R1208" s="128">
        <f t="shared" si="180"/>
        <v>0</v>
      </c>
    </row>
    <row r="1209" spans="1:18" ht="15.5">
      <c r="A1209" s="12">
        <v>45584</v>
      </c>
      <c r="B1209" s="8">
        <f t="shared" si="178"/>
        <v>673118</v>
      </c>
      <c r="C1209" s="8">
        <v>673384</v>
      </c>
      <c r="D1209" s="131">
        <f t="shared" si="171"/>
        <v>266</v>
      </c>
      <c r="E1209" s="125">
        <f t="shared" si="181"/>
        <v>278331</v>
      </c>
      <c r="F1209" s="8">
        <v>278687</v>
      </c>
      <c r="G1209" s="130">
        <f t="shared" si="172"/>
        <v>356</v>
      </c>
      <c r="H1209" s="131">
        <f t="shared" si="177"/>
        <v>622</v>
      </c>
      <c r="I1209" s="8">
        <f t="shared" si="173"/>
        <v>821650</v>
      </c>
      <c r="J1209" s="8">
        <v>821841</v>
      </c>
      <c r="K1209" s="137">
        <f t="shared" si="182"/>
        <v>191</v>
      </c>
      <c r="L1209" s="8">
        <f t="shared" si="176"/>
        <v>4930</v>
      </c>
      <c r="M1209" s="8">
        <v>4930</v>
      </c>
      <c r="N1209" s="137">
        <f t="shared" si="174"/>
        <v>0</v>
      </c>
      <c r="P1209" s="8">
        <f t="shared" si="179"/>
        <v>0</v>
      </c>
      <c r="R1209" s="128">
        <f t="shared" si="180"/>
        <v>0</v>
      </c>
    </row>
    <row r="1210" spans="1:18" ht="15.5">
      <c r="A1210" s="12">
        <v>45585</v>
      </c>
      <c r="B1210" s="8">
        <f t="shared" si="178"/>
        <v>673384</v>
      </c>
      <c r="C1210" s="8">
        <v>673721</v>
      </c>
      <c r="D1210" s="131">
        <f t="shared" si="171"/>
        <v>337</v>
      </c>
      <c r="E1210" s="125">
        <f t="shared" si="181"/>
        <v>278687</v>
      </c>
      <c r="F1210" s="8">
        <v>279031</v>
      </c>
      <c r="G1210" s="130">
        <f t="shared" si="172"/>
        <v>344</v>
      </c>
      <c r="H1210" s="131">
        <f t="shared" si="177"/>
        <v>681</v>
      </c>
      <c r="I1210" s="8">
        <f t="shared" si="173"/>
        <v>821841</v>
      </c>
      <c r="J1210" s="8">
        <v>822073</v>
      </c>
      <c r="K1210" s="137">
        <f t="shared" si="182"/>
        <v>232</v>
      </c>
      <c r="L1210" s="8">
        <f t="shared" si="176"/>
        <v>4930</v>
      </c>
      <c r="M1210" s="8">
        <v>4930</v>
      </c>
      <c r="N1210" s="137">
        <f t="shared" si="174"/>
        <v>0</v>
      </c>
      <c r="P1210" s="8">
        <f t="shared" si="179"/>
        <v>0</v>
      </c>
      <c r="R1210" s="128">
        <f t="shared" si="180"/>
        <v>0</v>
      </c>
    </row>
    <row r="1211" spans="1:18" ht="15.5">
      <c r="A1211" s="12">
        <v>45586</v>
      </c>
      <c r="B1211" s="8">
        <f t="shared" si="178"/>
        <v>673721</v>
      </c>
      <c r="C1211" s="8">
        <v>673959</v>
      </c>
      <c r="D1211" s="131">
        <f t="shared" si="171"/>
        <v>238</v>
      </c>
      <c r="E1211" s="125">
        <f t="shared" si="181"/>
        <v>279031</v>
      </c>
      <c r="F1211" s="8">
        <v>279375</v>
      </c>
      <c r="G1211" s="130">
        <f t="shared" si="172"/>
        <v>344</v>
      </c>
      <c r="H1211" s="131">
        <f t="shared" si="177"/>
        <v>582</v>
      </c>
      <c r="I1211" s="8">
        <f t="shared" si="173"/>
        <v>822073</v>
      </c>
      <c r="J1211" s="8">
        <v>822238</v>
      </c>
      <c r="K1211" s="137">
        <f t="shared" si="182"/>
        <v>165</v>
      </c>
      <c r="L1211" s="8">
        <f t="shared" si="176"/>
        <v>4930</v>
      </c>
      <c r="M1211" s="8">
        <v>4930</v>
      </c>
      <c r="N1211" s="137">
        <f t="shared" si="174"/>
        <v>0</v>
      </c>
      <c r="P1211" s="8">
        <f t="shared" si="179"/>
        <v>0</v>
      </c>
      <c r="R1211" s="128">
        <f t="shared" si="180"/>
        <v>0</v>
      </c>
    </row>
    <row r="1212" spans="1:18" ht="15.5">
      <c r="A1212" s="12">
        <v>45587</v>
      </c>
      <c r="B1212" s="8">
        <f t="shared" si="178"/>
        <v>673959</v>
      </c>
      <c r="C1212" s="8">
        <v>674171</v>
      </c>
      <c r="D1212" s="131">
        <f t="shared" si="171"/>
        <v>212</v>
      </c>
      <c r="E1212" s="125">
        <f t="shared" si="181"/>
        <v>279375</v>
      </c>
      <c r="F1212" s="8">
        <v>279571</v>
      </c>
      <c r="G1212" s="130">
        <f t="shared" si="172"/>
        <v>196</v>
      </c>
      <c r="H1212" s="131">
        <f t="shared" si="177"/>
        <v>408</v>
      </c>
      <c r="I1212" s="8">
        <f t="shared" si="173"/>
        <v>822238</v>
      </c>
      <c r="J1212" s="8">
        <v>822412</v>
      </c>
      <c r="K1212" s="137">
        <f t="shared" si="182"/>
        <v>174</v>
      </c>
      <c r="L1212" s="8">
        <f t="shared" si="176"/>
        <v>4930</v>
      </c>
      <c r="M1212" s="8">
        <v>4930</v>
      </c>
      <c r="N1212" s="137">
        <f t="shared" si="174"/>
        <v>0</v>
      </c>
      <c r="P1212" s="8">
        <f t="shared" si="179"/>
        <v>0</v>
      </c>
      <c r="R1212" s="128">
        <f t="shared" si="180"/>
        <v>0</v>
      </c>
    </row>
    <row r="1213" spans="1:18" ht="15.5">
      <c r="A1213" s="12">
        <v>45588</v>
      </c>
      <c r="B1213" s="8">
        <f t="shared" si="178"/>
        <v>674171</v>
      </c>
      <c r="C1213" s="8">
        <v>674289</v>
      </c>
      <c r="D1213" s="131">
        <f t="shared" si="171"/>
        <v>118</v>
      </c>
      <c r="E1213" s="125">
        <f t="shared" si="181"/>
        <v>279571</v>
      </c>
      <c r="F1213" s="8">
        <v>279687</v>
      </c>
      <c r="G1213" s="130">
        <f t="shared" si="172"/>
        <v>116</v>
      </c>
      <c r="H1213" s="131">
        <f t="shared" si="177"/>
        <v>234</v>
      </c>
      <c r="I1213" s="8">
        <f t="shared" si="173"/>
        <v>822412</v>
      </c>
      <c r="J1213" s="8">
        <v>822605</v>
      </c>
      <c r="K1213" s="137">
        <f t="shared" si="182"/>
        <v>193</v>
      </c>
      <c r="L1213" s="8">
        <f t="shared" si="176"/>
        <v>4930</v>
      </c>
      <c r="M1213" s="8">
        <v>4930</v>
      </c>
      <c r="N1213" s="137">
        <f t="shared" si="174"/>
        <v>0</v>
      </c>
      <c r="P1213" s="8">
        <f t="shared" si="179"/>
        <v>0</v>
      </c>
      <c r="R1213" s="128">
        <f t="shared" si="180"/>
        <v>0</v>
      </c>
    </row>
    <row r="1214" spans="1:18" ht="15.5">
      <c r="A1214" s="12">
        <v>45589</v>
      </c>
      <c r="B1214" s="8">
        <f t="shared" si="178"/>
        <v>674289</v>
      </c>
      <c r="C1214" s="8">
        <v>674629</v>
      </c>
      <c r="D1214" s="131">
        <f t="shared" si="171"/>
        <v>340</v>
      </c>
      <c r="E1214" s="125">
        <f t="shared" si="181"/>
        <v>279687</v>
      </c>
      <c r="F1214" s="8">
        <v>280098</v>
      </c>
      <c r="G1214" s="130">
        <f t="shared" si="172"/>
        <v>411</v>
      </c>
      <c r="H1214" s="131">
        <f t="shared" si="177"/>
        <v>751</v>
      </c>
      <c r="I1214" s="8">
        <f t="shared" si="173"/>
        <v>822605</v>
      </c>
      <c r="J1214" s="8">
        <v>822804</v>
      </c>
      <c r="K1214" s="137">
        <f t="shared" si="182"/>
        <v>199</v>
      </c>
      <c r="L1214" s="8">
        <f t="shared" si="176"/>
        <v>4930</v>
      </c>
      <c r="M1214" s="8">
        <v>4930</v>
      </c>
      <c r="N1214" s="137">
        <f t="shared" si="174"/>
        <v>0</v>
      </c>
      <c r="P1214" s="8">
        <f t="shared" si="179"/>
        <v>0</v>
      </c>
      <c r="R1214" s="128">
        <f t="shared" si="180"/>
        <v>0</v>
      </c>
    </row>
    <row r="1215" spans="1:18" ht="15.5">
      <c r="A1215" s="12">
        <v>45590</v>
      </c>
      <c r="B1215" s="8">
        <f t="shared" si="178"/>
        <v>674629</v>
      </c>
      <c r="C1215" s="8">
        <v>674856</v>
      </c>
      <c r="D1215" s="131">
        <f t="shared" si="171"/>
        <v>227</v>
      </c>
      <c r="E1215" s="125">
        <f t="shared" si="181"/>
        <v>280098</v>
      </c>
      <c r="F1215" s="8">
        <v>280401</v>
      </c>
      <c r="G1215" s="130">
        <f t="shared" si="172"/>
        <v>303</v>
      </c>
      <c r="H1215" s="131">
        <f t="shared" si="177"/>
        <v>530</v>
      </c>
      <c r="I1215" s="8">
        <f t="shared" si="173"/>
        <v>822804</v>
      </c>
      <c r="J1215" s="8">
        <v>823034</v>
      </c>
      <c r="K1215" s="137">
        <f t="shared" si="182"/>
        <v>230</v>
      </c>
      <c r="L1215" s="8">
        <f t="shared" si="176"/>
        <v>4930</v>
      </c>
      <c r="M1215" s="8">
        <v>4930</v>
      </c>
      <c r="N1215" s="137">
        <f t="shared" si="174"/>
        <v>0</v>
      </c>
      <c r="P1215" s="8">
        <f t="shared" si="179"/>
        <v>0</v>
      </c>
      <c r="R1215" s="128">
        <f t="shared" si="180"/>
        <v>0</v>
      </c>
    </row>
    <row r="1216" spans="1:18" ht="15.5">
      <c r="A1216" s="12">
        <v>45591</v>
      </c>
      <c r="B1216" s="8">
        <f t="shared" si="178"/>
        <v>674856</v>
      </c>
      <c r="C1216" s="8">
        <v>675068</v>
      </c>
      <c r="D1216" s="131">
        <f t="shared" ref="D1216:D1250" si="183">C1216-B1216</f>
        <v>212</v>
      </c>
      <c r="E1216" s="125">
        <f t="shared" si="181"/>
        <v>280401</v>
      </c>
      <c r="F1216" s="8">
        <v>280724</v>
      </c>
      <c r="G1216" s="130">
        <f t="shared" si="172"/>
        <v>323</v>
      </c>
      <c r="H1216" s="131">
        <f t="shared" si="177"/>
        <v>535</v>
      </c>
      <c r="I1216" s="8">
        <f t="shared" si="173"/>
        <v>823034</v>
      </c>
      <c r="J1216" s="8">
        <v>823260</v>
      </c>
      <c r="K1216" s="137">
        <f t="shared" si="182"/>
        <v>226</v>
      </c>
      <c r="L1216" s="8">
        <f t="shared" si="176"/>
        <v>4930</v>
      </c>
      <c r="M1216" s="8">
        <v>4930</v>
      </c>
      <c r="N1216" s="137">
        <f t="shared" si="174"/>
        <v>0</v>
      </c>
      <c r="P1216" s="8">
        <f t="shared" si="179"/>
        <v>0</v>
      </c>
      <c r="R1216" s="128">
        <f t="shared" si="180"/>
        <v>0</v>
      </c>
    </row>
    <row r="1217" spans="1:18" ht="15.5">
      <c r="A1217" s="12">
        <v>45592</v>
      </c>
      <c r="B1217" s="8">
        <f t="shared" si="178"/>
        <v>675068</v>
      </c>
      <c r="C1217" s="8">
        <v>675292</v>
      </c>
      <c r="D1217" s="131">
        <f t="shared" si="183"/>
        <v>224</v>
      </c>
      <c r="E1217" s="125">
        <f t="shared" si="181"/>
        <v>280724</v>
      </c>
      <c r="F1217" s="8">
        <v>281012</v>
      </c>
      <c r="G1217" s="130">
        <f t="shared" si="172"/>
        <v>288</v>
      </c>
      <c r="H1217" s="131">
        <f t="shared" si="177"/>
        <v>512</v>
      </c>
      <c r="I1217" s="8">
        <f t="shared" si="173"/>
        <v>823260</v>
      </c>
      <c r="J1217" s="8">
        <v>823491</v>
      </c>
      <c r="K1217" s="137">
        <f t="shared" si="182"/>
        <v>231</v>
      </c>
      <c r="L1217" s="8">
        <f t="shared" si="176"/>
        <v>4930</v>
      </c>
      <c r="M1217" s="8">
        <v>4930</v>
      </c>
      <c r="N1217" s="137">
        <f t="shared" si="174"/>
        <v>0</v>
      </c>
      <c r="P1217" s="8">
        <f t="shared" si="179"/>
        <v>0</v>
      </c>
      <c r="R1217" s="128">
        <f t="shared" si="180"/>
        <v>0</v>
      </c>
    </row>
    <row r="1218" spans="1:18" ht="15.5">
      <c r="A1218" s="12">
        <v>45593</v>
      </c>
      <c r="B1218" s="8">
        <f t="shared" si="178"/>
        <v>675292</v>
      </c>
      <c r="C1218" s="8">
        <v>675536</v>
      </c>
      <c r="D1218" s="131">
        <f t="shared" si="183"/>
        <v>244</v>
      </c>
      <c r="E1218" s="125">
        <f t="shared" si="181"/>
        <v>281012</v>
      </c>
      <c r="F1218" s="8">
        <v>281324</v>
      </c>
      <c r="G1218" s="130">
        <f t="shared" si="172"/>
        <v>312</v>
      </c>
      <c r="H1218" s="131">
        <f t="shared" si="177"/>
        <v>556</v>
      </c>
      <c r="I1218" s="8">
        <f t="shared" si="173"/>
        <v>823491</v>
      </c>
      <c r="J1218" s="8">
        <v>823706</v>
      </c>
      <c r="K1218" s="137">
        <f t="shared" si="182"/>
        <v>215</v>
      </c>
      <c r="L1218" s="8">
        <f t="shared" si="176"/>
        <v>4930</v>
      </c>
      <c r="M1218" s="8">
        <v>4930</v>
      </c>
      <c r="N1218" s="137">
        <f t="shared" si="174"/>
        <v>0</v>
      </c>
      <c r="P1218" s="8">
        <f t="shared" si="179"/>
        <v>0</v>
      </c>
      <c r="R1218" s="128">
        <f t="shared" si="180"/>
        <v>0</v>
      </c>
    </row>
    <row r="1219" spans="1:18" ht="15.5">
      <c r="A1219" s="12">
        <v>45594</v>
      </c>
      <c r="B1219" s="8">
        <f t="shared" si="178"/>
        <v>675536</v>
      </c>
      <c r="C1219" s="8">
        <v>675784</v>
      </c>
      <c r="D1219" s="131">
        <f t="shared" si="183"/>
        <v>248</v>
      </c>
      <c r="E1219" s="125">
        <f t="shared" si="181"/>
        <v>281324</v>
      </c>
      <c r="F1219" s="8">
        <v>281635</v>
      </c>
      <c r="G1219" s="130">
        <f t="shared" si="172"/>
        <v>311</v>
      </c>
      <c r="H1219" s="131">
        <f t="shared" si="177"/>
        <v>559</v>
      </c>
      <c r="I1219" s="8">
        <f t="shared" si="173"/>
        <v>823706</v>
      </c>
      <c r="J1219" s="8">
        <v>823912</v>
      </c>
      <c r="K1219" s="137">
        <f t="shared" si="182"/>
        <v>206</v>
      </c>
      <c r="L1219" s="8">
        <f t="shared" si="176"/>
        <v>4930</v>
      </c>
      <c r="M1219" s="8">
        <v>4930</v>
      </c>
      <c r="N1219" s="137">
        <f t="shared" si="174"/>
        <v>0</v>
      </c>
      <c r="P1219" s="8">
        <f t="shared" si="179"/>
        <v>0</v>
      </c>
      <c r="R1219" s="128">
        <f t="shared" si="180"/>
        <v>0</v>
      </c>
    </row>
    <row r="1220" spans="1:18" ht="15.5">
      <c r="A1220" s="12">
        <v>45595</v>
      </c>
      <c r="B1220" s="8">
        <f t="shared" si="178"/>
        <v>675784</v>
      </c>
      <c r="C1220" s="8">
        <v>676161</v>
      </c>
      <c r="D1220" s="131">
        <f t="shared" si="183"/>
        <v>377</v>
      </c>
      <c r="E1220" s="125">
        <f t="shared" si="181"/>
        <v>281635</v>
      </c>
      <c r="F1220" s="8">
        <v>282050</v>
      </c>
      <c r="G1220" s="130">
        <f t="shared" si="172"/>
        <v>415</v>
      </c>
      <c r="H1220" s="131">
        <f t="shared" si="177"/>
        <v>792</v>
      </c>
      <c r="I1220" s="8">
        <f>J1219</f>
        <v>823912</v>
      </c>
      <c r="J1220" s="8">
        <v>824132</v>
      </c>
      <c r="K1220" s="137">
        <f t="shared" si="182"/>
        <v>220</v>
      </c>
      <c r="L1220" s="8">
        <f t="shared" si="176"/>
        <v>4930</v>
      </c>
      <c r="M1220" s="8">
        <v>4930</v>
      </c>
      <c r="N1220" s="137">
        <f t="shared" si="174"/>
        <v>0</v>
      </c>
      <c r="P1220" s="8">
        <f t="shared" si="179"/>
        <v>0</v>
      </c>
      <c r="R1220" s="128">
        <f t="shared" si="180"/>
        <v>0</v>
      </c>
    </row>
    <row r="1221" spans="1:18" ht="15.5">
      <c r="A1221" s="12">
        <v>45596</v>
      </c>
      <c r="B1221" s="8">
        <f t="shared" si="178"/>
        <v>676161</v>
      </c>
      <c r="C1221" s="8">
        <v>676498</v>
      </c>
      <c r="D1221" s="131">
        <f t="shared" si="183"/>
        <v>337</v>
      </c>
      <c r="E1221" s="125">
        <f t="shared" si="181"/>
        <v>282050</v>
      </c>
      <c r="F1221" s="8">
        <v>282477</v>
      </c>
      <c r="G1221" s="130">
        <f t="shared" si="172"/>
        <v>427</v>
      </c>
      <c r="H1221" s="131">
        <f t="shared" si="177"/>
        <v>764</v>
      </c>
      <c r="I1221" s="8">
        <f t="shared" ref="I1221:I1250" si="184">J1220</f>
        <v>824132</v>
      </c>
      <c r="J1221" s="8">
        <f>I1221+K1221</f>
        <v>824368</v>
      </c>
      <c r="K1221" s="137">
        <v>236</v>
      </c>
      <c r="L1221" s="8">
        <f t="shared" si="176"/>
        <v>4930</v>
      </c>
      <c r="M1221" s="8">
        <v>4930</v>
      </c>
      <c r="N1221" s="137">
        <f t="shared" si="174"/>
        <v>0</v>
      </c>
      <c r="P1221" s="8">
        <f t="shared" si="179"/>
        <v>0</v>
      </c>
      <c r="R1221" s="128">
        <f t="shared" si="180"/>
        <v>0</v>
      </c>
    </row>
    <row r="1222" spans="1:18" ht="15.5">
      <c r="A1222" s="12">
        <v>45597</v>
      </c>
      <c r="B1222" s="8">
        <f t="shared" si="178"/>
        <v>676498</v>
      </c>
      <c r="C1222" s="8">
        <v>676846</v>
      </c>
      <c r="D1222" s="131">
        <f t="shared" si="183"/>
        <v>348</v>
      </c>
      <c r="E1222" s="125">
        <f t="shared" si="181"/>
        <v>282477</v>
      </c>
      <c r="F1222" s="8">
        <v>282901</v>
      </c>
      <c r="G1222" s="130">
        <f t="shared" si="172"/>
        <v>424</v>
      </c>
      <c r="H1222" s="131">
        <f t="shared" si="177"/>
        <v>772</v>
      </c>
      <c r="I1222" s="8">
        <f t="shared" si="184"/>
        <v>824368</v>
      </c>
      <c r="J1222" s="8">
        <f t="shared" ref="J1222:J1285" si="185">I1222+K1222</f>
        <v>824588</v>
      </c>
      <c r="K1222" s="137">
        <v>220</v>
      </c>
      <c r="L1222" s="8">
        <f t="shared" si="176"/>
        <v>4930</v>
      </c>
      <c r="M1222" s="8">
        <v>4930</v>
      </c>
      <c r="N1222" s="137">
        <f t="shared" si="174"/>
        <v>0</v>
      </c>
      <c r="P1222" s="8">
        <f t="shared" si="179"/>
        <v>0</v>
      </c>
      <c r="R1222" s="128">
        <f t="shared" si="180"/>
        <v>0</v>
      </c>
    </row>
    <row r="1223" spans="1:18" ht="15.5">
      <c r="A1223" s="12">
        <v>45598</v>
      </c>
      <c r="B1223" s="8">
        <f t="shared" si="178"/>
        <v>676846</v>
      </c>
      <c r="C1223" s="8">
        <v>677190</v>
      </c>
      <c r="D1223" s="131">
        <f t="shared" si="183"/>
        <v>344</v>
      </c>
      <c r="E1223" s="125">
        <f t="shared" si="181"/>
        <v>282901</v>
      </c>
      <c r="F1223" s="8">
        <v>283295</v>
      </c>
      <c r="G1223" s="130">
        <f t="shared" si="172"/>
        <v>394</v>
      </c>
      <c r="H1223" s="131">
        <f t="shared" si="177"/>
        <v>738</v>
      </c>
      <c r="I1223" s="8">
        <f t="shared" si="184"/>
        <v>824588</v>
      </c>
      <c r="J1223" s="8">
        <f t="shared" si="185"/>
        <v>824789</v>
      </c>
      <c r="K1223" s="137">
        <v>201</v>
      </c>
      <c r="L1223" s="8">
        <f t="shared" si="176"/>
        <v>4930</v>
      </c>
      <c r="M1223" s="8">
        <v>4930</v>
      </c>
      <c r="N1223" s="137">
        <f t="shared" si="174"/>
        <v>0</v>
      </c>
      <c r="P1223" s="8">
        <f t="shared" si="179"/>
        <v>0</v>
      </c>
      <c r="R1223" s="128">
        <f t="shared" si="180"/>
        <v>0</v>
      </c>
    </row>
    <row r="1224" spans="1:18" ht="15.5">
      <c r="A1224" s="12">
        <v>45599</v>
      </c>
      <c r="B1224" s="8">
        <f t="shared" si="178"/>
        <v>677190</v>
      </c>
      <c r="C1224" s="8">
        <v>677544</v>
      </c>
      <c r="D1224" s="131">
        <f t="shared" si="183"/>
        <v>354</v>
      </c>
      <c r="E1224" s="125">
        <f t="shared" si="181"/>
        <v>283295</v>
      </c>
      <c r="F1224" s="8">
        <v>283784</v>
      </c>
      <c r="G1224" s="130">
        <f t="shared" si="172"/>
        <v>489</v>
      </c>
      <c r="H1224" s="131">
        <f t="shared" si="177"/>
        <v>843</v>
      </c>
      <c r="I1224" s="8">
        <f t="shared" si="184"/>
        <v>824789</v>
      </c>
      <c r="J1224" s="8">
        <f t="shared" si="185"/>
        <v>824936</v>
      </c>
      <c r="K1224" s="137">
        <v>147</v>
      </c>
      <c r="L1224" s="8">
        <f t="shared" si="176"/>
        <v>4930</v>
      </c>
      <c r="M1224" s="8">
        <v>4930</v>
      </c>
      <c r="N1224" s="137">
        <f t="shared" si="174"/>
        <v>0</v>
      </c>
      <c r="P1224" s="8">
        <f t="shared" si="179"/>
        <v>0</v>
      </c>
      <c r="R1224" s="128">
        <f t="shared" si="180"/>
        <v>0</v>
      </c>
    </row>
    <row r="1225" spans="1:18" ht="15.5">
      <c r="A1225" s="12">
        <v>45600</v>
      </c>
      <c r="B1225" s="8">
        <f t="shared" si="178"/>
        <v>677544</v>
      </c>
      <c r="C1225" s="8">
        <v>0</v>
      </c>
      <c r="D1225" s="131">
        <f t="shared" si="183"/>
        <v>-677544</v>
      </c>
      <c r="E1225" s="125">
        <f t="shared" si="181"/>
        <v>283784</v>
      </c>
      <c r="H1225" s="131">
        <f t="shared" si="177"/>
        <v>-677544</v>
      </c>
      <c r="I1225" s="8">
        <f t="shared" si="184"/>
        <v>824936</v>
      </c>
      <c r="J1225" s="8">
        <f t="shared" si="185"/>
        <v>825204</v>
      </c>
      <c r="K1225" s="137">
        <v>268</v>
      </c>
      <c r="L1225" s="8">
        <f t="shared" si="176"/>
        <v>4930</v>
      </c>
      <c r="M1225" s="8">
        <v>4930</v>
      </c>
      <c r="N1225" s="137">
        <f t="shared" si="174"/>
        <v>0</v>
      </c>
      <c r="P1225" s="8">
        <f t="shared" si="179"/>
        <v>0</v>
      </c>
      <c r="R1225" s="128">
        <f t="shared" si="180"/>
        <v>0</v>
      </c>
    </row>
    <row r="1226" spans="1:18" ht="15.5">
      <c r="A1226" s="12">
        <v>45601</v>
      </c>
      <c r="B1226" s="8">
        <f t="shared" si="178"/>
        <v>0</v>
      </c>
      <c r="D1226" s="131">
        <f t="shared" si="183"/>
        <v>0</v>
      </c>
      <c r="E1226" s="125">
        <f t="shared" si="181"/>
        <v>0</v>
      </c>
      <c r="H1226" s="131">
        <f t="shared" si="177"/>
        <v>0</v>
      </c>
      <c r="I1226" s="8">
        <f t="shared" si="184"/>
        <v>825204</v>
      </c>
      <c r="J1226" s="8">
        <f t="shared" si="185"/>
        <v>825429</v>
      </c>
      <c r="K1226" s="137">
        <v>225</v>
      </c>
      <c r="L1226" s="8">
        <f t="shared" si="176"/>
        <v>4930</v>
      </c>
      <c r="N1226" s="137">
        <f t="shared" si="174"/>
        <v>-4930</v>
      </c>
      <c r="P1226" s="8">
        <f t="shared" si="179"/>
        <v>0</v>
      </c>
      <c r="R1226" s="128">
        <f t="shared" si="180"/>
        <v>0</v>
      </c>
    </row>
    <row r="1227" spans="1:18" ht="15.5">
      <c r="A1227" s="12">
        <v>45602</v>
      </c>
      <c r="B1227" s="8">
        <f t="shared" si="178"/>
        <v>0</v>
      </c>
      <c r="D1227" s="131">
        <f t="shared" si="183"/>
        <v>0</v>
      </c>
      <c r="E1227" s="125">
        <f t="shared" si="181"/>
        <v>0</v>
      </c>
      <c r="H1227" s="131">
        <f t="shared" si="177"/>
        <v>0</v>
      </c>
      <c r="I1227" s="8">
        <f t="shared" si="184"/>
        <v>825429</v>
      </c>
      <c r="J1227" s="8">
        <f t="shared" si="185"/>
        <v>825687</v>
      </c>
      <c r="K1227" s="137">
        <v>258</v>
      </c>
      <c r="L1227" s="8">
        <f t="shared" si="176"/>
        <v>0</v>
      </c>
      <c r="N1227" s="137">
        <f t="shared" ref="N1227:N1250" si="186">M1227-L1227</f>
        <v>0</v>
      </c>
      <c r="P1227" s="8">
        <f t="shared" si="179"/>
        <v>0</v>
      </c>
      <c r="R1227" s="128">
        <f t="shared" si="180"/>
        <v>0</v>
      </c>
    </row>
    <row r="1228" spans="1:18" ht="15.5">
      <c r="A1228" s="12">
        <v>45603</v>
      </c>
      <c r="B1228" s="8">
        <f t="shared" si="178"/>
        <v>0</v>
      </c>
      <c r="D1228" s="131">
        <f t="shared" si="183"/>
        <v>0</v>
      </c>
      <c r="E1228" s="125">
        <f t="shared" si="181"/>
        <v>0</v>
      </c>
      <c r="H1228" s="131">
        <f t="shared" si="177"/>
        <v>0</v>
      </c>
      <c r="I1228" s="8">
        <f t="shared" si="184"/>
        <v>825687</v>
      </c>
      <c r="J1228" s="8">
        <f t="shared" si="185"/>
        <v>825836</v>
      </c>
      <c r="K1228" s="137">
        <v>149</v>
      </c>
      <c r="L1228" s="8">
        <f t="shared" si="176"/>
        <v>0</v>
      </c>
      <c r="N1228" s="137">
        <f t="shared" si="186"/>
        <v>0</v>
      </c>
      <c r="P1228" s="8">
        <f t="shared" si="179"/>
        <v>0</v>
      </c>
      <c r="R1228" s="128">
        <f t="shared" si="180"/>
        <v>0</v>
      </c>
    </row>
    <row r="1229" spans="1:18" ht="15.5">
      <c r="A1229" s="12">
        <v>45604</v>
      </c>
      <c r="B1229" s="8">
        <f t="shared" si="178"/>
        <v>0</v>
      </c>
      <c r="D1229" s="131">
        <f t="shared" si="183"/>
        <v>0</v>
      </c>
      <c r="E1229" s="125">
        <f t="shared" si="181"/>
        <v>0</v>
      </c>
      <c r="H1229" s="131">
        <f t="shared" si="177"/>
        <v>0</v>
      </c>
      <c r="I1229" s="8">
        <f t="shared" si="184"/>
        <v>825836</v>
      </c>
      <c r="J1229" s="8">
        <f t="shared" si="185"/>
        <v>826092</v>
      </c>
      <c r="K1229" s="137">
        <v>256</v>
      </c>
      <c r="L1229" s="8">
        <f t="shared" si="176"/>
        <v>0</v>
      </c>
      <c r="N1229" s="137">
        <f t="shared" si="186"/>
        <v>0</v>
      </c>
      <c r="P1229" s="8">
        <f t="shared" si="179"/>
        <v>0</v>
      </c>
      <c r="R1229" s="128">
        <f t="shared" si="180"/>
        <v>0</v>
      </c>
    </row>
    <row r="1230" spans="1:18" ht="15.5">
      <c r="A1230" s="12">
        <v>45605</v>
      </c>
      <c r="B1230" s="8">
        <f t="shared" si="178"/>
        <v>0</v>
      </c>
      <c r="D1230" s="131">
        <f t="shared" si="183"/>
        <v>0</v>
      </c>
      <c r="E1230" s="125">
        <f t="shared" si="181"/>
        <v>0</v>
      </c>
      <c r="H1230" s="131">
        <f t="shared" si="177"/>
        <v>0</v>
      </c>
      <c r="I1230" s="8">
        <f t="shared" si="184"/>
        <v>826092</v>
      </c>
      <c r="J1230" s="8">
        <f t="shared" ca="1" si="185"/>
        <v>824368</v>
      </c>
      <c r="K1230" s="137">
        <f t="shared" ca="1" si="182"/>
        <v>0</v>
      </c>
      <c r="L1230" s="8">
        <f t="shared" si="176"/>
        <v>0</v>
      </c>
      <c r="N1230" s="137">
        <f t="shared" si="186"/>
        <v>0</v>
      </c>
      <c r="P1230" s="8">
        <f t="shared" si="179"/>
        <v>0</v>
      </c>
      <c r="R1230" s="128">
        <f t="shared" si="180"/>
        <v>0</v>
      </c>
    </row>
    <row r="1231" spans="1:18" ht="15.5">
      <c r="A1231" s="12">
        <v>45606</v>
      </c>
      <c r="B1231" s="8">
        <f t="shared" si="178"/>
        <v>0</v>
      </c>
      <c r="D1231" s="131">
        <f t="shared" si="183"/>
        <v>0</v>
      </c>
      <c r="E1231" s="125">
        <f t="shared" si="181"/>
        <v>0</v>
      </c>
      <c r="H1231" s="131">
        <f t="shared" si="177"/>
        <v>0</v>
      </c>
      <c r="I1231" s="8">
        <f t="shared" ca="1" si="184"/>
        <v>823912</v>
      </c>
      <c r="J1231" s="8">
        <f t="shared" ca="1" si="185"/>
        <v>824368</v>
      </c>
      <c r="K1231" s="137">
        <f t="shared" ca="1" si="182"/>
        <v>0</v>
      </c>
      <c r="L1231" s="8">
        <f t="shared" si="176"/>
        <v>0</v>
      </c>
      <c r="N1231" s="137">
        <f t="shared" si="186"/>
        <v>0</v>
      </c>
      <c r="P1231" s="8">
        <f t="shared" si="179"/>
        <v>0</v>
      </c>
      <c r="R1231" s="128">
        <f t="shared" si="180"/>
        <v>0</v>
      </c>
    </row>
    <row r="1232" spans="1:18" ht="15.5">
      <c r="A1232" s="12">
        <v>45607</v>
      </c>
      <c r="B1232" s="8">
        <f t="shared" si="178"/>
        <v>0</v>
      </c>
      <c r="D1232" s="131">
        <f t="shared" si="183"/>
        <v>0</v>
      </c>
      <c r="E1232" s="125">
        <f t="shared" si="181"/>
        <v>0</v>
      </c>
      <c r="H1232" s="131">
        <f t="shared" si="177"/>
        <v>0</v>
      </c>
      <c r="I1232" s="8">
        <f t="shared" ca="1" si="184"/>
        <v>823912</v>
      </c>
      <c r="J1232" s="8">
        <f t="shared" ca="1" si="185"/>
        <v>824368</v>
      </c>
      <c r="K1232" s="137">
        <f t="shared" ca="1" si="182"/>
        <v>0</v>
      </c>
      <c r="L1232" s="8">
        <f t="shared" si="176"/>
        <v>0</v>
      </c>
      <c r="N1232" s="137">
        <f t="shared" si="186"/>
        <v>0</v>
      </c>
      <c r="P1232" s="8">
        <f t="shared" si="179"/>
        <v>0</v>
      </c>
      <c r="R1232" s="128">
        <f t="shared" si="180"/>
        <v>0</v>
      </c>
    </row>
    <row r="1233" spans="1:18" ht="15.5">
      <c r="A1233" s="12">
        <v>45608</v>
      </c>
      <c r="B1233" s="8">
        <f t="shared" si="178"/>
        <v>0</v>
      </c>
      <c r="D1233" s="131">
        <f t="shared" si="183"/>
        <v>0</v>
      </c>
      <c r="E1233" s="125">
        <f t="shared" si="181"/>
        <v>0</v>
      </c>
      <c r="H1233" s="131">
        <f t="shared" si="177"/>
        <v>0</v>
      </c>
      <c r="I1233" s="8">
        <f t="shared" ca="1" si="184"/>
        <v>823912</v>
      </c>
      <c r="J1233" s="8">
        <f t="shared" ca="1" si="185"/>
        <v>824368</v>
      </c>
      <c r="K1233" s="137">
        <f t="shared" ca="1" si="182"/>
        <v>0</v>
      </c>
      <c r="L1233" s="8">
        <f t="shared" si="176"/>
        <v>0</v>
      </c>
      <c r="N1233" s="137">
        <f t="shared" si="186"/>
        <v>0</v>
      </c>
      <c r="P1233" s="8">
        <f t="shared" si="179"/>
        <v>0</v>
      </c>
      <c r="R1233" s="128">
        <f t="shared" si="180"/>
        <v>0</v>
      </c>
    </row>
    <row r="1234" spans="1:18" ht="15.5">
      <c r="A1234" s="12">
        <v>45609</v>
      </c>
      <c r="B1234" s="8">
        <f t="shared" si="178"/>
        <v>0</v>
      </c>
      <c r="D1234" s="131">
        <f t="shared" si="183"/>
        <v>0</v>
      </c>
      <c r="E1234" s="125">
        <f t="shared" si="181"/>
        <v>0</v>
      </c>
      <c r="H1234" s="131">
        <f t="shared" si="177"/>
        <v>0</v>
      </c>
      <c r="I1234" s="8">
        <f t="shared" ca="1" si="184"/>
        <v>823912</v>
      </c>
      <c r="J1234" s="8">
        <f t="shared" ca="1" si="185"/>
        <v>824368</v>
      </c>
      <c r="K1234" s="137">
        <f t="shared" ca="1" si="182"/>
        <v>0</v>
      </c>
      <c r="L1234" s="8">
        <f t="shared" si="176"/>
        <v>0</v>
      </c>
      <c r="N1234" s="137">
        <f t="shared" si="186"/>
        <v>0</v>
      </c>
      <c r="P1234" s="8">
        <f t="shared" si="179"/>
        <v>0</v>
      </c>
      <c r="R1234" s="128">
        <f t="shared" si="180"/>
        <v>0</v>
      </c>
    </row>
    <row r="1235" spans="1:18" ht="15.5">
      <c r="A1235" s="12">
        <v>45610</v>
      </c>
      <c r="B1235" s="8">
        <f t="shared" si="178"/>
        <v>0</v>
      </c>
      <c r="D1235" s="131">
        <f t="shared" si="183"/>
        <v>0</v>
      </c>
      <c r="E1235" s="125">
        <f t="shared" si="181"/>
        <v>0</v>
      </c>
      <c r="H1235" s="131">
        <f t="shared" si="177"/>
        <v>0</v>
      </c>
      <c r="I1235" s="8">
        <f t="shared" ca="1" si="184"/>
        <v>823912</v>
      </c>
      <c r="J1235" s="8">
        <f t="shared" ca="1" si="185"/>
        <v>824368</v>
      </c>
      <c r="K1235" s="137">
        <f t="shared" ca="1" si="182"/>
        <v>0</v>
      </c>
      <c r="L1235" s="8">
        <f t="shared" si="176"/>
        <v>0</v>
      </c>
      <c r="N1235" s="137">
        <f t="shared" si="186"/>
        <v>0</v>
      </c>
      <c r="P1235" s="8">
        <f t="shared" si="179"/>
        <v>0</v>
      </c>
      <c r="R1235" s="128">
        <f t="shared" si="180"/>
        <v>0</v>
      </c>
    </row>
    <row r="1236" spans="1:18" ht="15.5">
      <c r="A1236" s="12">
        <v>45611</v>
      </c>
      <c r="B1236" s="8">
        <f t="shared" si="178"/>
        <v>0</v>
      </c>
      <c r="D1236" s="131">
        <f t="shared" si="183"/>
        <v>0</v>
      </c>
      <c r="E1236" s="125">
        <f t="shared" si="181"/>
        <v>0</v>
      </c>
      <c r="H1236" s="131">
        <f t="shared" si="177"/>
        <v>0</v>
      </c>
      <c r="I1236" s="8">
        <f t="shared" ca="1" si="184"/>
        <v>823912</v>
      </c>
      <c r="J1236" s="8">
        <f t="shared" ca="1" si="185"/>
        <v>824368</v>
      </c>
      <c r="K1236" s="137">
        <f t="shared" ca="1" si="182"/>
        <v>0</v>
      </c>
      <c r="L1236" s="8">
        <f t="shared" si="176"/>
        <v>0</v>
      </c>
      <c r="N1236" s="137">
        <f t="shared" si="186"/>
        <v>0</v>
      </c>
      <c r="P1236" s="8">
        <f t="shared" si="179"/>
        <v>0</v>
      </c>
      <c r="R1236" s="128">
        <f t="shared" si="180"/>
        <v>0</v>
      </c>
    </row>
    <row r="1237" spans="1:18" ht="15.5">
      <c r="A1237" s="12">
        <v>45612</v>
      </c>
      <c r="B1237" s="8">
        <f t="shared" si="178"/>
        <v>0</v>
      </c>
      <c r="D1237" s="131">
        <f t="shared" si="183"/>
        <v>0</v>
      </c>
      <c r="E1237" s="125">
        <f t="shared" si="181"/>
        <v>0</v>
      </c>
      <c r="H1237" s="131">
        <f t="shared" si="177"/>
        <v>0</v>
      </c>
      <c r="I1237" s="8">
        <f t="shared" ca="1" si="184"/>
        <v>823912</v>
      </c>
      <c r="J1237" s="8">
        <f t="shared" ca="1" si="185"/>
        <v>824368</v>
      </c>
      <c r="K1237" s="137">
        <f t="shared" ca="1" si="182"/>
        <v>0</v>
      </c>
      <c r="L1237" s="8">
        <f t="shared" si="176"/>
        <v>0</v>
      </c>
      <c r="N1237" s="137">
        <f t="shared" si="186"/>
        <v>0</v>
      </c>
      <c r="P1237" s="8">
        <f t="shared" si="179"/>
        <v>0</v>
      </c>
      <c r="R1237" s="128">
        <f t="shared" si="180"/>
        <v>0</v>
      </c>
    </row>
    <row r="1238" spans="1:18" ht="15.5">
      <c r="A1238" s="12">
        <v>45613</v>
      </c>
      <c r="B1238" s="8">
        <f t="shared" si="178"/>
        <v>0</v>
      </c>
      <c r="D1238" s="131">
        <f t="shared" si="183"/>
        <v>0</v>
      </c>
      <c r="E1238" s="125">
        <f t="shared" si="181"/>
        <v>0</v>
      </c>
      <c r="H1238" s="131">
        <f t="shared" si="177"/>
        <v>0</v>
      </c>
      <c r="I1238" s="8">
        <f t="shared" ca="1" si="184"/>
        <v>823912</v>
      </c>
      <c r="J1238" s="8">
        <f t="shared" ca="1" si="185"/>
        <v>824368</v>
      </c>
      <c r="K1238" s="137">
        <f t="shared" ca="1" si="182"/>
        <v>0</v>
      </c>
      <c r="L1238" s="8">
        <f t="shared" si="176"/>
        <v>0</v>
      </c>
      <c r="N1238" s="137">
        <f t="shared" si="186"/>
        <v>0</v>
      </c>
      <c r="P1238" s="8">
        <f t="shared" si="179"/>
        <v>0</v>
      </c>
      <c r="R1238" s="128">
        <f t="shared" si="180"/>
        <v>0</v>
      </c>
    </row>
    <row r="1239" spans="1:18" ht="15.5">
      <c r="A1239" s="12">
        <v>45614</v>
      </c>
      <c r="B1239" s="8">
        <f t="shared" si="178"/>
        <v>0</v>
      </c>
      <c r="D1239" s="131">
        <f t="shared" si="183"/>
        <v>0</v>
      </c>
      <c r="E1239" s="125">
        <f t="shared" si="181"/>
        <v>0</v>
      </c>
      <c r="H1239" s="131">
        <f t="shared" si="177"/>
        <v>0</v>
      </c>
      <c r="I1239" s="8">
        <f t="shared" ca="1" si="184"/>
        <v>823912</v>
      </c>
      <c r="J1239" s="8">
        <f t="shared" ca="1" si="185"/>
        <v>824368</v>
      </c>
      <c r="K1239" s="137">
        <f t="shared" ca="1" si="182"/>
        <v>0</v>
      </c>
      <c r="L1239" s="8">
        <f t="shared" si="176"/>
        <v>0</v>
      </c>
      <c r="N1239" s="137">
        <f t="shared" si="186"/>
        <v>0</v>
      </c>
      <c r="P1239" s="8">
        <f t="shared" si="179"/>
        <v>0</v>
      </c>
      <c r="R1239" s="128">
        <f t="shared" si="180"/>
        <v>0</v>
      </c>
    </row>
    <row r="1240" spans="1:18" ht="15.5">
      <c r="A1240" s="12">
        <v>45615</v>
      </c>
      <c r="B1240" s="8">
        <f t="shared" si="178"/>
        <v>0</v>
      </c>
      <c r="D1240" s="131">
        <f t="shared" si="183"/>
        <v>0</v>
      </c>
      <c r="E1240" s="125">
        <f t="shared" si="181"/>
        <v>0</v>
      </c>
      <c r="H1240" s="131">
        <f t="shared" si="177"/>
        <v>0</v>
      </c>
      <c r="I1240" s="8">
        <f t="shared" ca="1" si="184"/>
        <v>823912</v>
      </c>
      <c r="J1240" s="8">
        <f t="shared" ca="1" si="185"/>
        <v>824368</v>
      </c>
      <c r="K1240" s="137">
        <f t="shared" ca="1" si="182"/>
        <v>0</v>
      </c>
      <c r="L1240" s="8">
        <f t="shared" si="176"/>
        <v>0</v>
      </c>
      <c r="N1240" s="137">
        <f t="shared" si="186"/>
        <v>0</v>
      </c>
      <c r="P1240" s="8">
        <f t="shared" si="179"/>
        <v>0</v>
      </c>
      <c r="R1240" s="128">
        <f t="shared" si="180"/>
        <v>0</v>
      </c>
    </row>
    <row r="1241" spans="1:18" ht="15.5">
      <c r="A1241" s="12">
        <v>45616</v>
      </c>
      <c r="B1241" s="8">
        <f t="shared" si="178"/>
        <v>0</v>
      </c>
      <c r="D1241" s="131">
        <f t="shared" si="183"/>
        <v>0</v>
      </c>
      <c r="E1241" s="125">
        <f t="shared" si="181"/>
        <v>0</v>
      </c>
      <c r="H1241" s="131">
        <f t="shared" si="177"/>
        <v>0</v>
      </c>
      <c r="I1241" s="8">
        <f t="shared" ca="1" si="184"/>
        <v>823912</v>
      </c>
      <c r="J1241" s="8">
        <f t="shared" ca="1" si="185"/>
        <v>824368</v>
      </c>
      <c r="K1241" s="137">
        <f t="shared" ca="1" si="182"/>
        <v>0</v>
      </c>
      <c r="L1241" s="8">
        <f t="shared" si="176"/>
        <v>0</v>
      </c>
      <c r="N1241" s="137">
        <f t="shared" si="186"/>
        <v>0</v>
      </c>
      <c r="P1241" s="8">
        <f t="shared" si="179"/>
        <v>0</v>
      </c>
      <c r="R1241" s="128">
        <f t="shared" si="180"/>
        <v>0</v>
      </c>
    </row>
    <row r="1242" spans="1:18" ht="15.5">
      <c r="A1242" s="12">
        <v>45617</v>
      </c>
      <c r="B1242" s="8">
        <f t="shared" si="178"/>
        <v>0</v>
      </c>
      <c r="D1242" s="131">
        <f t="shared" si="183"/>
        <v>0</v>
      </c>
      <c r="E1242" s="125">
        <f t="shared" si="181"/>
        <v>0</v>
      </c>
      <c r="H1242" s="131">
        <f t="shared" si="177"/>
        <v>0</v>
      </c>
      <c r="I1242" s="8">
        <f t="shared" ca="1" si="184"/>
        <v>823912</v>
      </c>
      <c r="J1242" s="8">
        <f t="shared" ca="1" si="185"/>
        <v>824368</v>
      </c>
      <c r="K1242" s="137">
        <f t="shared" ca="1" si="182"/>
        <v>0</v>
      </c>
      <c r="L1242" s="8">
        <f t="shared" si="176"/>
        <v>0</v>
      </c>
      <c r="N1242" s="137">
        <f t="shared" si="186"/>
        <v>0</v>
      </c>
      <c r="P1242" s="8">
        <f t="shared" si="179"/>
        <v>0</v>
      </c>
      <c r="R1242" s="128">
        <f t="shared" si="180"/>
        <v>0</v>
      </c>
    </row>
    <row r="1243" spans="1:18" ht="15.5">
      <c r="A1243" s="12">
        <v>45618</v>
      </c>
      <c r="B1243" s="8">
        <f t="shared" si="178"/>
        <v>0</v>
      </c>
      <c r="D1243" s="131">
        <f t="shared" si="183"/>
        <v>0</v>
      </c>
      <c r="E1243" s="125">
        <f t="shared" si="181"/>
        <v>0</v>
      </c>
      <c r="H1243" s="131">
        <f t="shared" si="177"/>
        <v>0</v>
      </c>
      <c r="I1243" s="8">
        <f t="shared" ca="1" si="184"/>
        <v>823912</v>
      </c>
      <c r="J1243" s="8">
        <f t="shared" ca="1" si="185"/>
        <v>824368</v>
      </c>
      <c r="K1243" s="137">
        <f t="shared" ca="1" si="182"/>
        <v>0</v>
      </c>
      <c r="L1243" s="8">
        <f t="shared" si="176"/>
        <v>0</v>
      </c>
      <c r="N1243" s="137">
        <f t="shared" si="186"/>
        <v>0</v>
      </c>
      <c r="P1243" s="8">
        <f t="shared" si="179"/>
        <v>0</v>
      </c>
      <c r="R1243" s="128">
        <f t="shared" si="180"/>
        <v>0</v>
      </c>
    </row>
    <row r="1244" spans="1:18" ht="15.5">
      <c r="A1244" s="12">
        <v>45619</v>
      </c>
      <c r="B1244" s="8">
        <f t="shared" si="178"/>
        <v>0</v>
      </c>
      <c r="D1244" s="131">
        <f t="shared" si="183"/>
        <v>0</v>
      </c>
      <c r="E1244" s="125">
        <f t="shared" si="181"/>
        <v>0</v>
      </c>
      <c r="H1244" s="131">
        <f t="shared" si="177"/>
        <v>0</v>
      </c>
      <c r="I1244" s="8">
        <f t="shared" ca="1" si="184"/>
        <v>823912</v>
      </c>
      <c r="J1244" s="8">
        <f t="shared" ca="1" si="185"/>
        <v>824368</v>
      </c>
      <c r="K1244" s="137">
        <f t="shared" ca="1" si="182"/>
        <v>0</v>
      </c>
      <c r="L1244" s="8">
        <f t="shared" ref="L1244:L1250" si="187">M1243</f>
        <v>0</v>
      </c>
      <c r="N1244" s="137">
        <f t="shared" si="186"/>
        <v>0</v>
      </c>
      <c r="P1244" s="8">
        <f t="shared" si="179"/>
        <v>0</v>
      </c>
      <c r="R1244" s="128">
        <f t="shared" si="180"/>
        <v>0</v>
      </c>
    </row>
    <row r="1245" spans="1:18" ht="15.5">
      <c r="A1245" s="12">
        <v>45620</v>
      </c>
      <c r="B1245" s="8">
        <f t="shared" si="178"/>
        <v>0</v>
      </c>
      <c r="D1245" s="131">
        <f t="shared" si="183"/>
        <v>0</v>
      </c>
      <c r="E1245" s="125">
        <f t="shared" si="181"/>
        <v>0</v>
      </c>
      <c r="H1245" s="131">
        <f t="shared" si="177"/>
        <v>0</v>
      </c>
      <c r="I1245" s="8">
        <f t="shared" ca="1" si="184"/>
        <v>823912</v>
      </c>
      <c r="J1245" s="8">
        <f t="shared" ca="1" si="185"/>
        <v>824368</v>
      </c>
      <c r="K1245" s="137">
        <f t="shared" ca="1" si="182"/>
        <v>0</v>
      </c>
      <c r="L1245" s="8">
        <f t="shared" si="187"/>
        <v>0</v>
      </c>
      <c r="N1245" s="137">
        <f t="shared" si="186"/>
        <v>0</v>
      </c>
      <c r="P1245" s="8">
        <f t="shared" si="179"/>
        <v>0</v>
      </c>
      <c r="R1245" s="128">
        <f t="shared" si="180"/>
        <v>0</v>
      </c>
    </row>
    <row r="1246" spans="1:18" ht="15.5">
      <c r="A1246" s="12">
        <v>45621</v>
      </c>
      <c r="B1246" s="8">
        <f t="shared" si="178"/>
        <v>0</v>
      </c>
      <c r="D1246" s="131">
        <f t="shared" si="183"/>
        <v>0</v>
      </c>
      <c r="E1246" s="125">
        <f t="shared" si="181"/>
        <v>0</v>
      </c>
      <c r="H1246" s="131">
        <f t="shared" si="177"/>
        <v>0</v>
      </c>
      <c r="I1246" s="8">
        <f t="shared" ca="1" si="184"/>
        <v>823912</v>
      </c>
      <c r="J1246" s="8">
        <f t="shared" ca="1" si="185"/>
        <v>824368</v>
      </c>
      <c r="K1246" s="137">
        <f t="shared" ca="1" si="182"/>
        <v>0</v>
      </c>
      <c r="L1246" s="8">
        <f t="shared" si="187"/>
        <v>0</v>
      </c>
      <c r="N1246" s="137">
        <f t="shared" si="186"/>
        <v>0</v>
      </c>
      <c r="P1246" s="8">
        <f t="shared" si="179"/>
        <v>0</v>
      </c>
      <c r="R1246" s="128">
        <f t="shared" si="180"/>
        <v>0</v>
      </c>
    </row>
    <row r="1247" spans="1:18" ht="15.5">
      <c r="A1247" s="12">
        <v>45622</v>
      </c>
      <c r="B1247" s="8">
        <f t="shared" si="178"/>
        <v>0</v>
      </c>
      <c r="D1247" s="131">
        <f t="shared" si="183"/>
        <v>0</v>
      </c>
      <c r="E1247" s="125">
        <f t="shared" si="181"/>
        <v>0</v>
      </c>
      <c r="H1247" s="131">
        <f t="shared" si="177"/>
        <v>0</v>
      </c>
      <c r="I1247" s="8">
        <f t="shared" ca="1" si="184"/>
        <v>823912</v>
      </c>
      <c r="J1247" s="8">
        <f t="shared" ca="1" si="185"/>
        <v>824368</v>
      </c>
      <c r="K1247" s="137">
        <f t="shared" ca="1" si="182"/>
        <v>0</v>
      </c>
      <c r="L1247" s="8">
        <f t="shared" si="187"/>
        <v>0</v>
      </c>
      <c r="N1247" s="137">
        <f t="shared" si="186"/>
        <v>0</v>
      </c>
      <c r="P1247" s="8">
        <f t="shared" si="179"/>
        <v>0</v>
      </c>
      <c r="R1247" s="128">
        <f t="shared" si="180"/>
        <v>0</v>
      </c>
    </row>
    <row r="1248" spans="1:18" ht="15.5">
      <c r="A1248" s="12">
        <v>45623</v>
      </c>
      <c r="B1248" s="8">
        <f t="shared" si="178"/>
        <v>0</v>
      </c>
      <c r="D1248" s="131">
        <f t="shared" si="183"/>
        <v>0</v>
      </c>
      <c r="E1248" s="125">
        <f t="shared" si="181"/>
        <v>0</v>
      </c>
      <c r="H1248" s="131">
        <f t="shared" si="177"/>
        <v>0</v>
      </c>
      <c r="I1248" s="8">
        <f t="shared" ca="1" si="184"/>
        <v>823912</v>
      </c>
      <c r="J1248" s="8">
        <f t="shared" ca="1" si="185"/>
        <v>824368</v>
      </c>
      <c r="K1248" s="137">
        <f t="shared" ca="1" si="182"/>
        <v>0</v>
      </c>
      <c r="L1248" s="8">
        <f t="shared" si="187"/>
        <v>0</v>
      </c>
      <c r="N1248" s="137">
        <f t="shared" si="186"/>
        <v>0</v>
      </c>
      <c r="P1248" s="8">
        <f t="shared" si="179"/>
        <v>0</v>
      </c>
      <c r="R1248" s="128">
        <f t="shared" si="180"/>
        <v>0</v>
      </c>
    </row>
    <row r="1249" spans="1:18" ht="15.5">
      <c r="A1249" s="12">
        <v>45624</v>
      </c>
      <c r="B1249" s="8">
        <f t="shared" si="178"/>
        <v>0</v>
      </c>
      <c r="D1249" s="131">
        <f t="shared" si="183"/>
        <v>0</v>
      </c>
      <c r="E1249" s="125">
        <f t="shared" si="181"/>
        <v>0</v>
      </c>
      <c r="H1249" s="131">
        <f t="shared" si="177"/>
        <v>0</v>
      </c>
      <c r="I1249" s="8">
        <f t="shared" ca="1" si="184"/>
        <v>823912</v>
      </c>
      <c r="J1249" s="8">
        <f t="shared" ca="1" si="185"/>
        <v>824368</v>
      </c>
      <c r="K1249" s="137">
        <f t="shared" ca="1" si="182"/>
        <v>0</v>
      </c>
      <c r="L1249" s="8">
        <f t="shared" si="187"/>
        <v>0</v>
      </c>
      <c r="N1249" s="137">
        <f t="shared" si="186"/>
        <v>0</v>
      </c>
      <c r="P1249" s="8">
        <f t="shared" si="179"/>
        <v>0</v>
      </c>
      <c r="R1249" s="128">
        <f t="shared" si="180"/>
        <v>0</v>
      </c>
    </row>
    <row r="1250" spans="1:18" ht="15.5">
      <c r="A1250" s="12">
        <v>45625</v>
      </c>
      <c r="D1250" s="131">
        <f t="shared" si="183"/>
        <v>0</v>
      </c>
      <c r="E1250" s="125">
        <f t="shared" si="181"/>
        <v>0</v>
      </c>
      <c r="H1250" s="131">
        <f>D1250+G1250</f>
        <v>0</v>
      </c>
      <c r="I1250" s="8">
        <f t="shared" ca="1" si="184"/>
        <v>823912</v>
      </c>
      <c r="J1250" s="8">
        <f t="shared" ca="1" si="185"/>
        <v>824368</v>
      </c>
      <c r="K1250" s="137">
        <f t="shared" ca="1" si="182"/>
        <v>0</v>
      </c>
      <c r="L1250" s="8">
        <f t="shared" si="187"/>
        <v>0</v>
      </c>
      <c r="N1250" s="137">
        <f t="shared" si="186"/>
        <v>0</v>
      </c>
      <c r="P1250" s="8">
        <f t="shared" si="179"/>
        <v>0</v>
      </c>
      <c r="R1250" s="128">
        <f t="shared" si="180"/>
        <v>0</v>
      </c>
    </row>
    <row r="1251" spans="1:18" s="131" customFormat="1">
      <c r="H1251" s="131">
        <f t="shared" ref="H1251:H1314" si="188">D1251+G1251</f>
        <v>0</v>
      </c>
      <c r="J1251" s="8">
        <f t="shared" si="185"/>
        <v>0</v>
      </c>
    </row>
    <row r="1252" spans="1:18">
      <c r="A1252" s="79">
        <v>45809</v>
      </c>
      <c r="B1252" s="8">
        <v>724480</v>
      </c>
      <c r="C1252" s="8">
        <v>724825</v>
      </c>
      <c r="D1252" s="131">
        <f>C1252-B1252</f>
        <v>345</v>
      </c>
      <c r="E1252" s="8">
        <v>342150</v>
      </c>
      <c r="F1252" s="8">
        <v>342507</v>
      </c>
      <c r="G1252" s="130">
        <f>F1252-E1252</f>
        <v>357</v>
      </c>
      <c r="H1252" s="131">
        <f t="shared" si="188"/>
        <v>702</v>
      </c>
      <c r="I1252" s="8">
        <v>866776</v>
      </c>
      <c r="J1252" s="8">
        <f>I1252+K1252</f>
        <v>866978</v>
      </c>
      <c r="K1252" s="130">
        <v>202</v>
      </c>
      <c r="N1252" s="130">
        <v>198</v>
      </c>
      <c r="O1252" s="130">
        <f>N1252+K1252</f>
        <v>400</v>
      </c>
    </row>
    <row r="1253" spans="1:18">
      <c r="A1253" s="79">
        <v>45810</v>
      </c>
      <c r="B1253" s="8">
        <f>C1252</f>
        <v>724825</v>
      </c>
      <c r="C1253" s="134">
        <v>725086</v>
      </c>
      <c r="D1253" s="131">
        <f>C1253-B1253</f>
        <v>261</v>
      </c>
      <c r="E1253" s="8">
        <f>F1252</f>
        <v>342507</v>
      </c>
      <c r="F1253" s="8">
        <v>342815</v>
      </c>
      <c r="G1253" s="130">
        <f>F1253-E1253</f>
        <v>308</v>
      </c>
      <c r="H1253" s="131">
        <f t="shared" si="188"/>
        <v>569</v>
      </c>
      <c r="I1253" s="8">
        <f>J1252</f>
        <v>866978</v>
      </c>
      <c r="J1253" s="8">
        <f t="shared" si="185"/>
        <v>867185</v>
      </c>
      <c r="K1253" s="130">
        <v>207</v>
      </c>
      <c r="N1253" s="130">
        <v>178</v>
      </c>
      <c r="O1253" s="130">
        <f t="shared" ref="O1253:O1316" si="189">N1253+K1253</f>
        <v>385</v>
      </c>
    </row>
    <row r="1254" spans="1:18">
      <c r="A1254" s="79">
        <v>45811</v>
      </c>
      <c r="B1254" s="8">
        <f>C1253</f>
        <v>725086</v>
      </c>
      <c r="C1254" s="8">
        <v>725347</v>
      </c>
      <c r="D1254" s="131">
        <f t="shared" ref="D1254:D1317" si="190">C1254-B1254</f>
        <v>261</v>
      </c>
      <c r="E1254" s="8">
        <f t="shared" ref="E1254:E1317" si="191">F1253</f>
        <v>342815</v>
      </c>
      <c r="F1254" s="8">
        <v>343075</v>
      </c>
      <c r="G1254" s="130">
        <f t="shared" ref="G1254:G1316" si="192">F1254-E1254</f>
        <v>260</v>
      </c>
      <c r="H1254" s="131">
        <f t="shared" si="188"/>
        <v>521</v>
      </c>
      <c r="I1254" s="8">
        <f t="shared" ref="I1254:I1317" si="193">J1253</f>
        <v>867185</v>
      </c>
      <c r="J1254" s="8">
        <f t="shared" si="185"/>
        <v>867298</v>
      </c>
      <c r="K1254" s="130">
        <v>113</v>
      </c>
      <c r="N1254" s="130">
        <v>154</v>
      </c>
      <c r="O1254" s="130">
        <f t="shared" si="189"/>
        <v>267</v>
      </c>
    </row>
    <row r="1255" spans="1:18">
      <c r="A1255" s="79">
        <v>45812</v>
      </c>
      <c r="B1255" s="8">
        <f t="shared" ref="B1255:B1264" si="194">C1254</f>
        <v>725347</v>
      </c>
      <c r="C1255" s="8">
        <v>725614</v>
      </c>
      <c r="D1255" s="131">
        <f t="shared" si="190"/>
        <v>267</v>
      </c>
      <c r="E1255" s="8">
        <f t="shared" si="191"/>
        <v>343075</v>
      </c>
      <c r="F1255" s="8">
        <v>343363</v>
      </c>
      <c r="G1255" s="130">
        <f t="shared" si="192"/>
        <v>288</v>
      </c>
      <c r="H1255" s="131">
        <f t="shared" si="188"/>
        <v>555</v>
      </c>
      <c r="I1255" s="8">
        <f t="shared" si="193"/>
        <v>867298</v>
      </c>
      <c r="J1255" s="8">
        <f t="shared" si="185"/>
        <v>867473</v>
      </c>
      <c r="K1255" s="130">
        <v>175</v>
      </c>
      <c r="N1255" s="130">
        <v>198</v>
      </c>
      <c r="O1255" s="130">
        <f t="shared" si="189"/>
        <v>373</v>
      </c>
    </row>
    <row r="1256" spans="1:18">
      <c r="A1256" s="79">
        <v>45813</v>
      </c>
      <c r="B1256" s="8">
        <f t="shared" si="194"/>
        <v>725614</v>
      </c>
      <c r="C1256" s="8">
        <v>725825</v>
      </c>
      <c r="D1256" s="131">
        <f t="shared" si="190"/>
        <v>211</v>
      </c>
      <c r="E1256" s="8">
        <f t="shared" si="191"/>
        <v>343363</v>
      </c>
      <c r="F1256" s="8">
        <v>343421</v>
      </c>
      <c r="G1256" s="130">
        <f t="shared" si="192"/>
        <v>58</v>
      </c>
      <c r="H1256" s="131">
        <f t="shared" si="188"/>
        <v>269</v>
      </c>
      <c r="I1256" s="8">
        <f t="shared" si="193"/>
        <v>867473</v>
      </c>
      <c r="J1256" s="8">
        <f t="shared" si="185"/>
        <v>867662</v>
      </c>
      <c r="K1256" s="130">
        <v>189</v>
      </c>
      <c r="N1256" s="130">
        <v>201</v>
      </c>
      <c r="O1256" s="130">
        <f t="shared" si="189"/>
        <v>390</v>
      </c>
    </row>
    <row r="1257" spans="1:18">
      <c r="A1257" s="79">
        <v>45814</v>
      </c>
      <c r="B1257" s="8">
        <f t="shared" si="194"/>
        <v>725825</v>
      </c>
      <c r="C1257" s="8">
        <v>726135</v>
      </c>
      <c r="D1257" s="131">
        <f t="shared" si="190"/>
        <v>310</v>
      </c>
      <c r="E1257" s="8">
        <f t="shared" si="191"/>
        <v>343421</v>
      </c>
      <c r="F1257" s="8">
        <v>343597</v>
      </c>
      <c r="G1257" s="130">
        <f t="shared" si="192"/>
        <v>176</v>
      </c>
      <c r="H1257" s="131">
        <f t="shared" si="188"/>
        <v>486</v>
      </c>
      <c r="I1257" s="8">
        <f t="shared" si="193"/>
        <v>867662</v>
      </c>
      <c r="J1257" s="8">
        <f t="shared" si="185"/>
        <v>867851</v>
      </c>
      <c r="K1257" s="130">
        <v>189</v>
      </c>
      <c r="N1257" s="130">
        <v>225</v>
      </c>
      <c r="O1257" s="130">
        <f t="shared" si="189"/>
        <v>414</v>
      </c>
    </row>
    <row r="1258" spans="1:18">
      <c r="A1258" s="79">
        <v>45815</v>
      </c>
      <c r="B1258" s="8">
        <f t="shared" si="194"/>
        <v>726135</v>
      </c>
      <c r="C1258" s="8">
        <v>725854</v>
      </c>
      <c r="D1258" s="131">
        <f t="shared" si="190"/>
        <v>-281</v>
      </c>
      <c r="E1258" s="8">
        <f t="shared" si="191"/>
        <v>343597</v>
      </c>
      <c r="F1258" s="8">
        <v>343377</v>
      </c>
      <c r="G1258" s="130">
        <f t="shared" si="192"/>
        <v>-220</v>
      </c>
      <c r="H1258" s="131">
        <f t="shared" si="188"/>
        <v>-501</v>
      </c>
      <c r="I1258" s="8">
        <f t="shared" si="193"/>
        <v>867851</v>
      </c>
      <c r="J1258" s="8">
        <f t="shared" si="185"/>
        <v>868056</v>
      </c>
      <c r="K1258" s="130">
        <v>205</v>
      </c>
      <c r="N1258" s="130">
        <v>125</v>
      </c>
      <c r="O1258" s="130">
        <f t="shared" si="189"/>
        <v>330</v>
      </c>
    </row>
    <row r="1259" spans="1:18">
      <c r="A1259" s="79">
        <v>45816</v>
      </c>
      <c r="B1259" s="8">
        <f t="shared" si="194"/>
        <v>725854</v>
      </c>
      <c r="C1259" s="8">
        <v>726353</v>
      </c>
      <c r="D1259" s="131">
        <f t="shared" si="190"/>
        <v>499</v>
      </c>
      <c r="E1259" s="8">
        <f t="shared" si="191"/>
        <v>343377</v>
      </c>
      <c r="F1259" s="8">
        <v>343800</v>
      </c>
      <c r="G1259" s="130">
        <f t="shared" si="192"/>
        <v>423</v>
      </c>
      <c r="H1259" s="131">
        <f t="shared" si="188"/>
        <v>922</v>
      </c>
      <c r="I1259" s="8">
        <f t="shared" si="193"/>
        <v>868056</v>
      </c>
      <c r="J1259" s="8">
        <f t="shared" si="185"/>
        <v>868261</v>
      </c>
      <c r="K1259" s="130">
        <v>205</v>
      </c>
      <c r="N1259" s="130">
        <v>147</v>
      </c>
      <c r="O1259" s="130">
        <f t="shared" si="189"/>
        <v>352</v>
      </c>
    </row>
    <row r="1260" spans="1:18">
      <c r="A1260" s="79">
        <v>45817</v>
      </c>
      <c r="B1260" s="8">
        <f t="shared" si="194"/>
        <v>726353</v>
      </c>
      <c r="C1260" s="8">
        <v>726662</v>
      </c>
      <c r="D1260" s="131">
        <f t="shared" si="190"/>
        <v>309</v>
      </c>
      <c r="E1260" s="8">
        <f t="shared" si="191"/>
        <v>343800</v>
      </c>
      <c r="F1260" s="8">
        <v>344522</v>
      </c>
      <c r="G1260" s="130">
        <f t="shared" si="192"/>
        <v>722</v>
      </c>
      <c r="H1260" s="131">
        <f t="shared" si="188"/>
        <v>1031</v>
      </c>
      <c r="I1260" s="8">
        <f t="shared" si="193"/>
        <v>868261</v>
      </c>
      <c r="J1260" s="8">
        <f t="shared" si="185"/>
        <v>868476</v>
      </c>
      <c r="K1260" s="130">
        <v>215</v>
      </c>
      <c r="N1260" s="130">
        <v>187</v>
      </c>
      <c r="O1260" s="130">
        <f t="shared" si="189"/>
        <v>402</v>
      </c>
    </row>
    <row r="1261" spans="1:18">
      <c r="A1261" s="79">
        <v>45818</v>
      </c>
      <c r="B1261" s="8">
        <f t="shared" si="194"/>
        <v>726662</v>
      </c>
      <c r="C1261" s="8">
        <v>726932</v>
      </c>
      <c r="D1261" s="131">
        <f t="shared" si="190"/>
        <v>270</v>
      </c>
      <c r="E1261" s="8">
        <f t="shared" si="191"/>
        <v>344522</v>
      </c>
      <c r="F1261" s="8">
        <v>344840</v>
      </c>
      <c r="G1261" s="130">
        <f t="shared" si="192"/>
        <v>318</v>
      </c>
      <c r="H1261" s="131">
        <f t="shared" si="188"/>
        <v>588</v>
      </c>
      <c r="I1261" s="8">
        <f t="shared" si="193"/>
        <v>868476</v>
      </c>
      <c r="J1261" s="8">
        <f t="shared" si="185"/>
        <v>868701</v>
      </c>
      <c r="K1261" s="130">
        <v>225</v>
      </c>
      <c r="N1261" s="130">
        <v>125</v>
      </c>
      <c r="O1261" s="130">
        <f t="shared" si="189"/>
        <v>350</v>
      </c>
    </row>
    <row r="1262" spans="1:18">
      <c r="A1262" s="79">
        <v>45819</v>
      </c>
      <c r="B1262" s="8">
        <f t="shared" si="194"/>
        <v>726932</v>
      </c>
      <c r="C1262" s="8">
        <v>727127</v>
      </c>
      <c r="D1262" s="131">
        <f t="shared" si="190"/>
        <v>195</v>
      </c>
      <c r="E1262" s="8">
        <f t="shared" si="191"/>
        <v>344840</v>
      </c>
      <c r="F1262" s="8">
        <v>345054</v>
      </c>
      <c r="G1262" s="130">
        <f t="shared" si="192"/>
        <v>214</v>
      </c>
      <c r="H1262" s="131">
        <f t="shared" si="188"/>
        <v>409</v>
      </c>
      <c r="I1262" s="8">
        <f t="shared" si="193"/>
        <v>868701</v>
      </c>
      <c r="J1262" s="8">
        <f t="shared" si="185"/>
        <v>868915</v>
      </c>
      <c r="K1262" s="130">
        <v>214</v>
      </c>
      <c r="N1262" s="130">
        <v>165</v>
      </c>
      <c r="O1262" s="130">
        <f t="shared" si="189"/>
        <v>379</v>
      </c>
    </row>
    <row r="1263" spans="1:18">
      <c r="A1263" s="79">
        <v>45820</v>
      </c>
      <c r="B1263" s="8">
        <f t="shared" si="194"/>
        <v>727127</v>
      </c>
      <c r="C1263" s="8">
        <v>727242</v>
      </c>
      <c r="D1263" s="131">
        <f t="shared" si="190"/>
        <v>115</v>
      </c>
      <c r="E1263" s="8">
        <f t="shared" si="191"/>
        <v>345054</v>
      </c>
      <c r="F1263" s="8">
        <v>345327</v>
      </c>
      <c r="G1263" s="130">
        <f t="shared" si="192"/>
        <v>273</v>
      </c>
      <c r="H1263" s="131">
        <f t="shared" si="188"/>
        <v>388</v>
      </c>
      <c r="I1263" s="8">
        <f t="shared" si="193"/>
        <v>868915</v>
      </c>
      <c r="J1263" s="8">
        <f t="shared" si="185"/>
        <v>869102</v>
      </c>
      <c r="K1263" s="130">
        <v>187</v>
      </c>
      <c r="N1263" s="130">
        <v>147</v>
      </c>
      <c r="O1263" s="130">
        <f t="shared" si="189"/>
        <v>334</v>
      </c>
    </row>
    <row r="1264" spans="1:18">
      <c r="A1264" s="79">
        <v>45821</v>
      </c>
      <c r="B1264" s="8">
        <f t="shared" si="194"/>
        <v>727242</v>
      </c>
      <c r="C1264" s="8">
        <v>727593</v>
      </c>
      <c r="D1264" s="131">
        <f t="shared" si="190"/>
        <v>351</v>
      </c>
      <c r="E1264" s="8">
        <f t="shared" si="191"/>
        <v>345327</v>
      </c>
      <c r="F1264" s="8">
        <v>345546</v>
      </c>
      <c r="G1264" s="130">
        <f t="shared" si="192"/>
        <v>219</v>
      </c>
      <c r="H1264" s="131">
        <f t="shared" si="188"/>
        <v>570</v>
      </c>
      <c r="I1264" s="8">
        <f t="shared" si="193"/>
        <v>869102</v>
      </c>
      <c r="J1264" s="8">
        <f t="shared" si="185"/>
        <v>869322</v>
      </c>
      <c r="K1264" s="130">
        <v>220</v>
      </c>
      <c r="N1264" s="130">
        <v>158</v>
      </c>
      <c r="O1264" s="130">
        <f t="shared" si="189"/>
        <v>378</v>
      </c>
    </row>
    <row r="1265" spans="1:44">
      <c r="A1265" s="79">
        <v>45822</v>
      </c>
      <c r="C1265" s="8">
        <v>727824</v>
      </c>
      <c r="D1265" s="131">
        <f t="shared" si="190"/>
        <v>727824</v>
      </c>
      <c r="E1265" s="8">
        <f t="shared" si="191"/>
        <v>345546</v>
      </c>
      <c r="F1265" s="8">
        <v>345851</v>
      </c>
      <c r="G1265" s="130">
        <f t="shared" si="192"/>
        <v>305</v>
      </c>
      <c r="H1265" s="131">
        <f t="shared" si="188"/>
        <v>728129</v>
      </c>
      <c r="I1265" s="8">
        <f t="shared" si="193"/>
        <v>869322</v>
      </c>
      <c r="J1265" s="8">
        <f t="shared" si="185"/>
        <v>869556</v>
      </c>
      <c r="K1265" s="130">
        <v>234</v>
      </c>
      <c r="N1265" s="130">
        <v>198</v>
      </c>
      <c r="O1265" s="130">
        <f t="shared" si="189"/>
        <v>432</v>
      </c>
    </row>
    <row r="1266" spans="1:44">
      <c r="A1266" s="79">
        <v>45823</v>
      </c>
      <c r="B1266" s="8">
        <f>C1265</f>
        <v>727824</v>
      </c>
      <c r="C1266" s="8">
        <f ca="1">B1266+D1266</f>
        <v>0</v>
      </c>
      <c r="D1266" s="131">
        <f ca="1">C1266-B1266</f>
        <v>0</v>
      </c>
      <c r="E1266" s="8">
        <f t="shared" si="191"/>
        <v>345851</v>
      </c>
      <c r="F1266" s="8">
        <v>346242</v>
      </c>
      <c r="G1266" s="130">
        <f t="shared" si="192"/>
        <v>391</v>
      </c>
      <c r="H1266" s="131">
        <f t="shared" ca="1" si="188"/>
        <v>0</v>
      </c>
      <c r="I1266" s="8">
        <f t="shared" si="193"/>
        <v>869556</v>
      </c>
      <c r="J1266" s="8">
        <f t="shared" si="185"/>
        <v>869795</v>
      </c>
      <c r="K1266" s="130">
        <v>239</v>
      </c>
      <c r="N1266" s="130">
        <v>205</v>
      </c>
      <c r="O1266" s="130">
        <f t="shared" si="189"/>
        <v>444</v>
      </c>
    </row>
    <row r="1267" spans="1:44">
      <c r="A1267" s="79">
        <v>45824</v>
      </c>
      <c r="B1267" s="8">
        <f t="shared" ref="B1267:B1330" ca="1" si="195">C1266</f>
        <v>0</v>
      </c>
      <c r="C1267" s="8">
        <f t="shared" ref="C1267" ca="1" si="196">B1267+D1267</f>
        <v>0</v>
      </c>
      <c r="D1267" s="131">
        <f t="shared" ca="1" si="190"/>
        <v>261</v>
      </c>
      <c r="E1267" s="8">
        <f t="shared" si="191"/>
        <v>346242</v>
      </c>
      <c r="F1267" s="8">
        <v>346536</v>
      </c>
      <c r="G1267" s="130">
        <f t="shared" si="192"/>
        <v>294</v>
      </c>
      <c r="H1267" s="131">
        <f t="shared" ca="1" si="188"/>
        <v>0</v>
      </c>
      <c r="I1267" s="8">
        <f t="shared" si="193"/>
        <v>869795</v>
      </c>
      <c r="J1267" s="8">
        <f t="shared" si="185"/>
        <v>870009</v>
      </c>
      <c r="K1267" s="130">
        <v>214</v>
      </c>
      <c r="N1267" s="130">
        <v>225</v>
      </c>
      <c r="O1267" s="130">
        <f t="shared" si="189"/>
        <v>439</v>
      </c>
    </row>
    <row r="1268" spans="1:44" s="130" customFormat="1">
      <c r="A1268" s="135">
        <v>45825</v>
      </c>
      <c r="B1268" s="130">
        <f t="shared" ca="1" si="195"/>
        <v>0</v>
      </c>
      <c r="C1268" s="130">
        <v>200</v>
      </c>
      <c r="D1268" s="131">
        <f t="shared" ca="1" si="190"/>
        <v>261</v>
      </c>
      <c r="E1268" s="8"/>
      <c r="G1268" s="130">
        <f t="shared" si="192"/>
        <v>0</v>
      </c>
      <c r="H1268" s="131">
        <f t="shared" ca="1" si="188"/>
        <v>0</v>
      </c>
      <c r="I1268" s="8">
        <f t="shared" si="193"/>
        <v>870009</v>
      </c>
      <c r="J1268" s="8">
        <f t="shared" si="185"/>
        <v>870240</v>
      </c>
      <c r="K1268" s="130">
        <v>231</v>
      </c>
      <c r="N1268" s="130">
        <v>154</v>
      </c>
      <c r="O1268" s="130">
        <f t="shared" si="189"/>
        <v>385</v>
      </c>
      <c r="AR1268" s="136"/>
    </row>
    <row r="1269" spans="1:44">
      <c r="A1269" s="79">
        <v>45826</v>
      </c>
      <c r="B1269" s="8">
        <f t="shared" si="195"/>
        <v>200</v>
      </c>
      <c r="C1269" s="8">
        <v>382</v>
      </c>
      <c r="D1269" s="131">
        <f t="shared" si="190"/>
        <v>182</v>
      </c>
      <c r="E1269" s="8">
        <f t="shared" si="191"/>
        <v>0</v>
      </c>
      <c r="F1269" s="8">
        <v>200</v>
      </c>
      <c r="G1269" s="130">
        <f t="shared" si="192"/>
        <v>200</v>
      </c>
      <c r="H1269" s="131">
        <f t="shared" si="188"/>
        <v>382</v>
      </c>
      <c r="I1269" s="8">
        <f t="shared" si="193"/>
        <v>870240</v>
      </c>
      <c r="J1269" s="8">
        <f t="shared" si="185"/>
        <v>870463</v>
      </c>
      <c r="K1269" s="130">
        <v>223</v>
      </c>
      <c r="N1269" s="130">
        <v>118</v>
      </c>
      <c r="O1269" s="130">
        <f t="shared" si="189"/>
        <v>341</v>
      </c>
    </row>
    <row r="1270" spans="1:44">
      <c r="A1270" s="79">
        <v>45827</v>
      </c>
      <c r="B1270" s="8">
        <f t="shared" si="195"/>
        <v>382</v>
      </c>
      <c r="C1270" s="8">
        <v>567</v>
      </c>
      <c r="D1270" s="131">
        <f t="shared" si="190"/>
        <v>185</v>
      </c>
      <c r="E1270" s="8">
        <f t="shared" si="191"/>
        <v>200</v>
      </c>
      <c r="F1270" s="8">
        <v>567</v>
      </c>
      <c r="G1270" s="130">
        <f t="shared" si="192"/>
        <v>367</v>
      </c>
      <c r="H1270" s="131">
        <f t="shared" si="188"/>
        <v>552</v>
      </c>
      <c r="I1270" s="8">
        <f t="shared" si="193"/>
        <v>870463</v>
      </c>
      <c r="J1270" s="8">
        <f t="shared" si="185"/>
        <v>870669</v>
      </c>
      <c r="K1270" s="130">
        <v>206</v>
      </c>
      <c r="N1270" s="130">
        <v>178</v>
      </c>
      <c r="O1270" s="130">
        <f t="shared" si="189"/>
        <v>384</v>
      </c>
    </row>
    <row r="1271" spans="1:44">
      <c r="A1271" s="79">
        <v>45828</v>
      </c>
      <c r="B1271" s="8">
        <f t="shared" si="195"/>
        <v>567</v>
      </c>
      <c r="C1271" s="8">
        <v>812</v>
      </c>
      <c r="D1271" s="131">
        <f t="shared" si="190"/>
        <v>245</v>
      </c>
      <c r="E1271" s="8">
        <f t="shared" si="191"/>
        <v>567</v>
      </c>
      <c r="F1271" s="8">
        <v>812</v>
      </c>
      <c r="G1271" s="130">
        <f t="shared" si="192"/>
        <v>245</v>
      </c>
      <c r="H1271" s="131">
        <f t="shared" si="188"/>
        <v>490</v>
      </c>
      <c r="I1271" s="8">
        <f t="shared" si="193"/>
        <v>870669</v>
      </c>
      <c r="J1271" s="8">
        <f t="shared" si="185"/>
        <v>870885</v>
      </c>
      <c r="K1271" s="130">
        <v>216</v>
      </c>
      <c r="N1271" s="130">
        <v>225</v>
      </c>
      <c r="O1271" s="130">
        <f t="shared" si="189"/>
        <v>441</v>
      </c>
    </row>
    <row r="1272" spans="1:44">
      <c r="A1272" s="79">
        <v>45829</v>
      </c>
      <c r="B1272" s="8">
        <f t="shared" si="195"/>
        <v>812</v>
      </c>
      <c r="C1272" s="8">
        <v>815</v>
      </c>
      <c r="D1272" s="131">
        <f t="shared" si="190"/>
        <v>3</v>
      </c>
      <c r="E1272" s="8">
        <f t="shared" si="191"/>
        <v>812</v>
      </c>
      <c r="F1272" s="8">
        <v>815</v>
      </c>
      <c r="G1272" s="130">
        <f t="shared" si="192"/>
        <v>3</v>
      </c>
      <c r="H1272" s="131">
        <f t="shared" si="188"/>
        <v>6</v>
      </c>
      <c r="I1272" s="8">
        <f t="shared" si="193"/>
        <v>870885</v>
      </c>
      <c r="J1272" s="8">
        <f t="shared" si="185"/>
        <v>871071</v>
      </c>
      <c r="K1272" s="130">
        <v>186</v>
      </c>
      <c r="N1272" s="130">
        <v>302</v>
      </c>
      <c r="O1272" s="130">
        <f t="shared" si="189"/>
        <v>488</v>
      </c>
    </row>
    <row r="1273" spans="1:44">
      <c r="A1273" s="79">
        <v>45830</v>
      </c>
      <c r="B1273" s="8">
        <f t="shared" si="195"/>
        <v>815</v>
      </c>
      <c r="C1273" s="8">
        <v>905</v>
      </c>
      <c r="D1273" s="131">
        <f t="shared" si="190"/>
        <v>90</v>
      </c>
      <c r="E1273" s="8">
        <f t="shared" si="191"/>
        <v>815</v>
      </c>
      <c r="F1273" s="8">
        <v>905</v>
      </c>
      <c r="G1273" s="130">
        <f t="shared" si="192"/>
        <v>90</v>
      </c>
      <c r="H1273" s="131">
        <f t="shared" si="188"/>
        <v>180</v>
      </c>
      <c r="I1273" s="8">
        <f t="shared" si="193"/>
        <v>871071</v>
      </c>
      <c r="J1273" s="8">
        <f t="shared" si="185"/>
        <v>871281</v>
      </c>
      <c r="K1273" s="130">
        <v>210</v>
      </c>
      <c r="N1273" s="130">
        <v>158</v>
      </c>
      <c r="O1273" s="130">
        <f t="shared" si="189"/>
        <v>368</v>
      </c>
    </row>
    <row r="1274" spans="1:44">
      <c r="A1274" s="79">
        <v>45831</v>
      </c>
      <c r="B1274" s="8">
        <f t="shared" si="195"/>
        <v>905</v>
      </c>
      <c r="C1274" s="8">
        <v>1245</v>
      </c>
      <c r="D1274" s="131">
        <f t="shared" si="190"/>
        <v>340</v>
      </c>
      <c r="E1274" s="8">
        <f t="shared" si="191"/>
        <v>905</v>
      </c>
      <c r="F1274" s="8">
        <v>1245</v>
      </c>
      <c r="G1274" s="130">
        <f t="shared" si="192"/>
        <v>340</v>
      </c>
      <c r="H1274" s="131">
        <f t="shared" si="188"/>
        <v>680</v>
      </c>
      <c r="I1274" s="8">
        <f t="shared" si="193"/>
        <v>871281</v>
      </c>
      <c r="J1274" s="8">
        <f t="shared" si="185"/>
        <v>871482</v>
      </c>
      <c r="K1274" s="130">
        <v>201</v>
      </c>
      <c r="N1274" s="130">
        <v>154</v>
      </c>
      <c r="O1274" s="130">
        <f t="shared" si="189"/>
        <v>355</v>
      </c>
    </row>
    <row r="1275" spans="1:44">
      <c r="A1275" s="79">
        <v>45832</v>
      </c>
      <c r="B1275" s="8">
        <f t="shared" si="195"/>
        <v>1245</v>
      </c>
      <c r="C1275" s="8">
        <v>1465</v>
      </c>
      <c r="D1275" s="131">
        <f t="shared" si="190"/>
        <v>220</v>
      </c>
      <c r="E1275" s="8">
        <f t="shared" si="191"/>
        <v>1245</v>
      </c>
      <c r="F1275" s="8">
        <v>1465</v>
      </c>
      <c r="G1275" s="130">
        <f t="shared" si="192"/>
        <v>220</v>
      </c>
      <c r="H1275" s="131">
        <f t="shared" si="188"/>
        <v>440</v>
      </c>
      <c r="I1275" s="8">
        <f t="shared" si="193"/>
        <v>871482</v>
      </c>
      <c r="J1275" s="8">
        <f t="shared" si="185"/>
        <v>871680</v>
      </c>
      <c r="K1275" s="130">
        <v>198</v>
      </c>
      <c r="N1275" s="130">
        <v>158</v>
      </c>
      <c r="O1275" s="130">
        <f t="shared" si="189"/>
        <v>356</v>
      </c>
    </row>
    <row r="1276" spans="1:44">
      <c r="A1276" s="79">
        <v>45833</v>
      </c>
      <c r="B1276" s="8">
        <f t="shared" si="195"/>
        <v>1465</v>
      </c>
      <c r="C1276" s="8">
        <v>1889</v>
      </c>
      <c r="D1276" s="131">
        <f t="shared" si="190"/>
        <v>424</v>
      </c>
      <c r="E1276" s="8">
        <f t="shared" si="191"/>
        <v>1465</v>
      </c>
      <c r="F1276" s="8">
        <v>1720</v>
      </c>
      <c r="G1276" s="130">
        <f t="shared" si="192"/>
        <v>255</v>
      </c>
      <c r="H1276" s="131">
        <f t="shared" si="188"/>
        <v>679</v>
      </c>
      <c r="I1276" s="8">
        <f t="shared" si="193"/>
        <v>871680</v>
      </c>
      <c r="J1276" s="8">
        <f t="shared" si="185"/>
        <v>871899</v>
      </c>
      <c r="K1276" s="130">
        <v>219</v>
      </c>
      <c r="N1276" s="130">
        <v>225</v>
      </c>
      <c r="O1276" s="130">
        <f t="shared" si="189"/>
        <v>444</v>
      </c>
    </row>
    <row r="1277" spans="1:44">
      <c r="A1277" s="79">
        <v>45834</v>
      </c>
      <c r="B1277" s="8">
        <f t="shared" si="195"/>
        <v>1889</v>
      </c>
      <c r="C1277" s="8">
        <v>1982</v>
      </c>
      <c r="D1277" s="131">
        <f t="shared" si="190"/>
        <v>93</v>
      </c>
      <c r="E1277" s="8">
        <f t="shared" si="191"/>
        <v>1720</v>
      </c>
      <c r="F1277" s="8">
        <v>1982</v>
      </c>
      <c r="G1277" s="130">
        <f t="shared" si="192"/>
        <v>262</v>
      </c>
      <c r="H1277" s="131">
        <f t="shared" si="188"/>
        <v>355</v>
      </c>
      <c r="I1277" s="8">
        <f t="shared" si="193"/>
        <v>871899</v>
      </c>
      <c r="J1277" s="8">
        <f t="shared" si="185"/>
        <v>872066</v>
      </c>
      <c r="K1277" s="130">
        <v>167</v>
      </c>
      <c r="N1277" s="130">
        <v>226</v>
      </c>
      <c r="O1277" s="130">
        <f t="shared" si="189"/>
        <v>393</v>
      </c>
    </row>
    <row r="1278" spans="1:44">
      <c r="A1278" s="79">
        <v>45835</v>
      </c>
      <c r="B1278" s="8">
        <f t="shared" si="195"/>
        <v>1982</v>
      </c>
      <c r="C1278" s="8">
        <v>2248</v>
      </c>
      <c r="D1278" s="131">
        <f t="shared" si="190"/>
        <v>266</v>
      </c>
      <c r="E1278" s="8">
        <f t="shared" si="191"/>
        <v>1982</v>
      </c>
      <c r="F1278" s="8">
        <v>2248</v>
      </c>
      <c r="G1278" s="130">
        <f t="shared" si="192"/>
        <v>266</v>
      </c>
      <c r="H1278" s="131">
        <f t="shared" si="188"/>
        <v>532</v>
      </c>
      <c r="I1278" s="8">
        <f t="shared" si="193"/>
        <v>872066</v>
      </c>
      <c r="J1278" s="8">
        <f t="shared" si="185"/>
        <v>872314</v>
      </c>
      <c r="K1278" s="130">
        <v>248</v>
      </c>
      <c r="N1278" s="130">
        <v>254</v>
      </c>
      <c r="O1278" s="130">
        <f t="shared" si="189"/>
        <v>502</v>
      </c>
    </row>
    <row r="1279" spans="1:44">
      <c r="A1279" s="79">
        <v>45836</v>
      </c>
      <c r="B1279" s="8">
        <f t="shared" si="195"/>
        <v>2248</v>
      </c>
      <c r="C1279" s="8">
        <v>2450</v>
      </c>
      <c r="D1279" s="131">
        <f t="shared" si="190"/>
        <v>202</v>
      </c>
      <c r="E1279" s="8">
        <f t="shared" si="191"/>
        <v>2248</v>
      </c>
      <c r="F1279" s="8">
        <v>2450</v>
      </c>
      <c r="G1279" s="130">
        <f t="shared" si="192"/>
        <v>202</v>
      </c>
      <c r="H1279" s="131">
        <f t="shared" si="188"/>
        <v>404</v>
      </c>
      <c r="I1279" s="8">
        <f t="shared" si="193"/>
        <v>872314</v>
      </c>
      <c r="J1279" s="8">
        <f t="shared" si="185"/>
        <v>872473</v>
      </c>
      <c r="K1279" s="130">
        <v>159</v>
      </c>
      <c r="N1279" s="130">
        <v>125</v>
      </c>
      <c r="O1279" s="130">
        <f t="shared" si="189"/>
        <v>284</v>
      </c>
    </row>
    <row r="1280" spans="1:44">
      <c r="A1280" s="79">
        <v>45837</v>
      </c>
      <c r="B1280" s="8">
        <f t="shared" si="195"/>
        <v>2450</v>
      </c>
      <c r="C1280" s="8">
        <v>2739</v>
      </c>
      <c r="D1280" s="131">
        <f t="shared" si="190"/>
        <v>289</v>
      </c>
      <c r="E1280" s="8">
        <f t="shared" si="191"/>
        <v>2450</v>
      </c>
      <c r="F1280" s="8">
        <v>2739</v>
      </c>
      <c r="G1280" s="130">
        <f t="shared" si="192"/>
        <v>289</v>
      </c>
      <c r="H1280" s="131">
        <f t="shared" si="188"/>
        <v>578</v>
      </c>
      <c r="I1280" s="8">
        <f t="shared" si="193"/>
        <v>872473</v>
      </c>
      <c r="J1280" s="8">
        <f t="shared" si="185"/>
        <v>872652</v>
      </c>
      <c r="K1280" s="130">
        <v>179</v>
      </c>
      <c r="N1280" s="130">
        <v>78</v>
      </c>
      <c r="O1280" s="130">
        <f t="shared" si="189"/>
        <v>257</v>
      </c>
    </row>
    <row r="1281" spans="1:15">
      <c r="A1281" s="79">
        <v>45838</v>
      </c>
      <c r="B1281" s="8">
        <f t="shared" si="195"/>
        <v>2739</v>
      </c>
      <c r="C1281" s="8">
        <v>3072</v>
      </c>
      <c r="D1281" s="131">
        <f t="shared" si="190"/>
        <v>333</v>
      </c>
      <c r="E1281" s="8">
        <f t="shared" si="191"/>
        <v>2739</v>
      </c>
      <c r="F1281" s="8">
        <v>3072</v>
      </c>
      <c r="G1281" s="130">
        <f t="shared" si="192"/>
        <v>333</v>
      </c>
      <c r="H1281" s="131">
        <f t="shared" si="188"/>
        <v>666</v>
      </c>
      <c r="I1281" s="8">
        <f t="shared" si="193"/>
        <v>872652</v>
      </c>
      <c r="J1281" s="8">
        <f t="shared" si="185"/>
        <v>872860</v>
      </c>
      <c r="K1281" s="130">
        <v>208</v>
      </c>
      <c r="N1281" s="130">
        <v>198</v>
      </c>
      <c r="O1281" s="130">
        <f t="shared" si="189"/>
        <v>406</v>
      </c>
    </row>
    <row r="1282" spans="1:15">
      <c r="A1282" s="79">
        <v>45839</v>
      </c>
      <c r="B1282" s="8">
        <f t="shared" si="195"/>
        <v>3072</v>
      </c>
      <c r="C1282" s="8">
        <v>3257</v>
      </c>
      <c r="D1282" s="131">
        <f t="shared" si="190"/>
        <v>185</v>
      </c>
      <c r="E1282" s="8">
        <f t="shared" si="191"/>
        <v>3072</v>
      </c>
      <c r="F1282" s="8">
        <v>3257</v>
      </c>
      <c r="G1282" s="130">
        <f t="shared" si="192"/>
        <v>185</v>
      </c>
      <c r="H1282" s="131">
        <f t="shared" si="188"/>
        <v>370</v>
      </c>
      <c r="I1282" s="8">
        <f t="shared" si="193"/>
        <v>872860</v>
      </c>
      <c r="J1282" s="8">
        <f t="shared" si="185"/>
        <v>873058</v>
      </c>
      <c r="K1282" s="130">
        <v>198</v>
      </c>
      <c r="N1282" s="130">
        <v>178</v>
      </c>
      <c r="O1282" s="130">
        <f t="shared" si="189"/>
        <v>376</v>
      </c>
    </row>
    <row r="1283" spans="1:15">
      <c r="A1283" s="79">
        <v>45840</v>
      </c>
      <c r="B1283" s="8">
        <f t="shared" si="195"/>
        <v>3257</v>
      </c>
      <c r="C1283" s="8">
        <v>3408</v>
      </c>
      <c r="D1283" s="131">
        <f t="shared" si="190"/>
        <v>151</v>
      </c>
      <c r="E1283" s="8">
        <f t="shared" si="191"/>
        <v>3257</v>
      </c>
      <c r="F1283" s="8">
        <v>3408</v>
      </c>
      <c r="G1283" s="130">
        <f t="shared" si="192"/>
        <v>151</v>
      </c>
      <c r="H1283" s="131">
        <f t="shared" si="188"/>
        <v>302</v>
      </c>
      <c r="I1283" s="8">
        <f t="shared" si="193"/>
        <v>873058</v>
      </c>
      <c r="J1283" s="8">
        <f t="shared" si="185"/>
        <v>873243</v>
      </c>
      <c r="K1283" s="130">
        <v>185</v>
      </c>
      <c r="N1283" s="130">
        <v>229</v>
      </c>
      <c r="O1283" s="130">
        <f t="shared" si="189"/>
        <v>414</v>
      </c>
    </row>
    <row r="1284" spans="1:15">
      <c r="A1284" s="79">
        <v>45841</v>
      </c>
      <c r="B1284" s="8">
        <f t="shared" si="195"/>
        <v>3408</v>
      </c>
      <c r="C1284" s="8">
        <v>3455</v>
      </c>
      <c r="D1284" s="131">
        <f t="shared" si="190"/>
        <v>47</v>
      </c>
      <c r="E1284" s="8">
        <f t="shared" si="191"/>
        <v>3408</v>
      </c>
      <c r="F1284" s="8">
        <v>3523</v>
      </c>
      <c r="G1284" s="130">
        <f t="shared" si="192"/>
        <v>115</v>
      </c>
      <c r="H1284" s="131">
        <f t="shared" si="188"/>
        <v>162</v>
      </c>
      <c r="I1284" s="8">
        <f t="shared" si="193"/>
        <v>873243</v>
      </c>
      <c r="J1284" s="8">
        <f t="shared" si="185"/>
        <v>873443</v>
      </c>
      <c r="K1284" s="130">
        <v>200</v>
      </c>
      <c r="N1284" s="130">
        <v>286</v>
      </c>
      <c r="O1284" s="130">
        <f t="shared" si="189"/>
        <v>486</v>
      </c>
    </row>
    <row r="1285" spans="1:15">
      <c r="A1285" s="79">
        <v>45842</v>
      </c>
      <c r="B1285" s="8">
        <f t="shared" si="195"/>
        <v>3455</v>
      </c>
      <c r="C1285" s="8">
        <v>3780</v>
      </c>
      <c r="D1285" s="131">
        <f t="shared" si="190"/>
        <v>325</v>
      </c>
      <c r="E1285" s="8">
        <f t="shared" si="191"/>
        <v>3523</v>
      </c>
      <c r="F1285" s="8">
        <v>4084</v>
      </c>
      <c r="G1285" s="130">
        <f t="shared" si="192"/>
        <v>561</v>
      </c>
      <c r="H1285" s="131">
        <f t="shared" si="188"/>
        <v>886</v>
      </c>
      <c r="I1285" s="8">
        <f t="shared" si="193"/>
        <v>873443</v>
      </c>
      <c r="J1285" s="8">
        <f t="shared" si="185"/>
        <v>873653</v>
      </c>
      <c r="K1285" s="130">
        <v>210</v>
      </c>
      <c r="N1285" s="130">
        <v>202</v>
      </c>
      <c r="O1285" s="130">
        <f t="shared" si="189"/>
        <v>412</v>
      </c>
    </row>
    <row r="1286" spans="1:15">
      <c r="A1286" s="79">
        <v>45843</v>
      </c>
      <c r="B1286" s="8">
        <f t="shared" si="195"/>
        <v>3780</v>
      </c>
      <c r="C1286" s="8">
        <v>3971</v>
      </c>
      <c r="D1286" s="131">
        <f t="shared" si="190"/>
        <v>191</v>
      </c>
      <c r="E1286" s="8">
        <f t="shared" si="191"/>
        <v>4084</v>
      </c>
      <c r="F1286" s="8">
        <v>3798</v>
      </c>
      <c r="G1286" s="130">
        <f t="shared" si="192"/>
        <v>-286</v>
      </c>
      <c r="H1286" s="131">
        <f t="shared" si="188"/>
        <v>-95</v>
      </c>
      <c r="I1286" s="8">
        <f t="shared" si="193"/>
        <v>873653</v>
      </c>
      <c r="J1286" s="8">
        <f t="shared" ref="J1286:J1297" si="197">I1286+K1286</f>
        <v>873904</v>
      </c>
      <c r="K1286" s="130">
        <v>251</v>
      </c>
      <c r="N1286" s="130">
        <v>212</v>
      </c>
      <c r="O1286" s="130">
        <f t="shared" si="189"/>
        <v>463</v>
      </c>
    </row>
    <row r="1287" spans="1:15">
      <c r="A1287" s="79">
        <v>45844</v>
      </c>
      <c r="B1287" s="8">
        <f t="shared" si="195"/>
        <v>3971</v>
      </c>
      <c r="C1287" s="8">
        <v>4084</v>
      </c>
      <c r="D1287" s="131">
        <f t="shared" si="190"/>
        <v>113</v>
      </c>
      <c r="E1287" s="8">
        <f t="shared" si="191"/>
        <v>3798</v>
      </c>
      <c r="F1287" s="8">
        <v>4139</v>
      </c>
      <c r="G1287" s="130">
        <f t="shared" si="192"/>
        <v>341</v>
      </c>
      <c r="H1287" s="131">
        <f t="shared" si="188"/>
        <v>454</v>
      </c>
      <c r="I1287" s="8">
        <f t="shared" si="193"/>
        <v>873904</v>
      </c>
      <c r="J1287" s="8">
        <f t="shared" si="197"/>
        <v>874139</v>
      </c>
      <c r="K1287" s="130">
        <v>235</v>
      </c>
      <c r="N1287" s="130">
        <v>225</v>
      </c>
      <c r="O1287" s="130">
        <f t="shared" si="189"/>
        <v>460</v>
      </c>
    </row>
    <row r="1288" spans="1:15">
      <c r="A1288" s="79">
        <v>45845</v>
      </c>
      <c r="B1288" s="8">
        <f t="shared" si="195"/>
        <v>4084</v>
      </c>
      <c r="C1288" s="8">
        <v>4267</v>
      </c>
      <c r="D1288" s="131">
        <f t="shared" si="190"/>
        <v>183</v>
      </c>
      <c r="E1288" s="8">
        <f t="shared" si="191"/>
        <v>4139</v>
      </c>
      <c r="F1288" s="8">
        <v>4348</v>
      </c>
      <c r="G1288" s="130">
        <f t="shared" si="192"/>
        <v>209</v>
      </c>
      <c r="H1288" s="131">
        <f t="shared" si="188"/>
        <v>392</v>
      </c>
      <c r="I1288" s="8">
        <f t="shared" si="193"/>
        <v>874139</v>
      </c>
      <c r="J1288" s="8">
        <f t="shared" si="197"/>
        <v>874299</v>
      </c>
      <c r="K1288" s="130">
        <v>160</v>
      </c>
      <c r="N1288" s="130">
        <v>178</v>
      </c>
      <c r="O1288" s="130">
        <f t="shared" si="189"/>
        <v>338</v>
      </c>
    </row>
    <row r="1289" spans="1:15">
      <c r="A1289" s="79">
        <v>45846</v>
      </c>
      <c r="B1289" s="8">
        <f t="shared" si="195"/>
        <v>4267</v>
      </c>
      <c r="C1289" s="8">
        <v>4656</v>
      </c>
      <c r="D1289" s="131">
        <f t="shared" si="190"/>
        <v>389</v>
      </c>
      <c r="E1289" s="8">
        <f t="shared" si="191"/>
        <v>4348</v>
      </c>
      <c r="F1289" s="8">
        <v>4519</v>
      </c>
      <c r="G1289" s="130">
        <f t="shared" si="192"/>
        <v>171</v>
      </c>
      <c r="H1289" s="131">
        <f t="shared" si="188"/>
        <v>560</v>
      </c>
      <c r="I1289" s="8">
        <f t="shared" si="193"/>
        <v>874299</v>
      </c>
      <c r="J1289" s="8">
        <f t="shared" si="197"/>
        <v>874479</v>
      </c>
      <c r="K1289" s="130">
        <v>180</v>
      </c>
      <c r="N1289" s="130">
        <v>154</v>
      </c>
      <c r="O1289" s="130">
        <f t="shared" si="189"/>
        <v>334</v>
      </c>
    </row>
    <row r="1290" spans="1:15">
      <c r="A1290" s="79">
        <v>45847</v>
      </c>
      <c r="B1290" s="8">
        <f t="shared" si="195"/>
        <v>4656</v>
      </c>
      <c r="C1290" s="8">
        <v>4906</v>
      </c>
      <c r="D1290" s="131">
        <f t="shared" si="190"/>
        <v>250</v>
      </c>
      <c r="E1290" s="8">
        <f t="shared" si="191"/>
        <v>4519</v>
      </c>
      <c r="F1290" s="8">
        <v>4684</v>
      </c>
      <c r="G1290" s="130">
        <f t="shared" si="192"/>
        <v>165</v>
      </c>
      <c r="H1290" s="131">
        <f t="shared" si="188"/>
        <v>415</v>
      </c>
      <c r="I1290" s="8">
        <f t="shared" si="193"/>
        <v>874479</v>
      </c>
      <c r="J1290" s="8">
        <f t="shared" si="197"/>
        <v>874657</v>
      </c>
      <c r="K1290" s="130">
        <v>178</v>
      </c>
      <c r="N1290" s="130">
        <v>168</v>
      </c>
      <c r="O1290" s="130">
        <f t="shared" si="189"/>
        <v>346</v>
      </c>
    </row>
    <row r="1291" spans="1:15">
      <c r="A1291" s="79">
        <v>45848</v>
      </c>
      <c r="B1291" s="8">
        <f t="shared" si="195"/>
        <v>4906</v>
      </c>
      <c r="C1291" s="8">
        <v>5169</v>
      </c>
      <c r="D1291" s="131">
        <f t="shared" si="190"/>
        <v>263</v>
      </c>
      <c r="E1291" s="8">
        <f t="shared" si="191"/>
        <v>4684</v>
      </c>
      <c r="F1291" s="8">
        <v>4881</v>
      </c>
      <c r="G1291" s="130">
        <f t="shared" si="192"/>
        <v>197</v>
      </c>
      <c r="H1291" s="131">
        <f t="shared" si="188"/>
        <v>460</v>
      </c>
      <c r="I1291" s="8">
        <f t="shared" si="193"/>
        <v>874657</v>
      </c>
      <c r="J1291" s="8">
        <f t="shared" si="197"/>
        <v>874862</v>
      </c>
      <c r="K1291" s="130">
        <v>205</v>
      </c>
      <c r="N1291" s="130">
        <v>187</v>
      </c>
      <c r="O1291" s="130">
        <f t="shared" si="189"/>
        <v>392</v>
      </c>
    </row>
    <row r="1292" spans="1:15">
      <c r="A1292" s="79">
        <v>45849</v>
      </c>
      <c r="B1292" s="8">
        <f t="shared" si="195"/>
        <v>5169</v>
      </c>
      <c r="C1292" s="8">
        <v>5741</v>
      </c>
      <c r="D1292" s="131">
        <f t="shared" si="190"/>
        <v>572</v>
      </c>
      <c r="E1292" s="8">
        <f t="shared" si="191"/>
        <v>4881</v>
      </c>
      <c r="F1292" s="8">
        <v>5111</v>
      </c>
      <c r="G1292" s="130">
        <f t="shared" si="192"/>
        <v>230</v>
      </c>
      <c r="H1292" s="131">
        <f t="shared" si="188"/>
        <v>802</v>
      </c>
      <c r="I1292" s="8">
        <f t="shared" si="193"/>
        <v>874862</v>
      </c>
      <c r="J1292" s="8">
        <f t="shared" si="197"/>
        <v>875035</v>
      </c>
      <c r="K1292" s="130">
        <v>173</v>
      </c>
      <c r="N1292" s="130">
        <v>195</v>
      </c>
      <c r="O1292" s="130">
        <f t="shared" si="189"/>
        <v>368</v>
      </c>
    </row>
    <row r="1293" spans="1:15">
      <c r="A1293" s="79">
        <v>45850</v>
      </c>
      <c r="B1293" s="8">
        <f t="shared" si="195"/>
        <v>5741</v>
      </c>
      <c r="C1293" s="8">
        <v>6036</v>
      </c>
      <c r="D1293" s="131">
        <f t="shared" si="190"/>
        <v>295</v>
      </c>
      <c r="E1293" s="8">
        <f t="shared" si="191"/>
        <v>5111</v>
      </c>
      <c r="F1293" s="8">
        <v>5351</v>
      </c>
      <c r="G1293" s="130">
        <f t="shared" si="192"/>
        <v>240</v>
      </c>
      <c r="H1293" s="131">
        <f t="shared" si="188"/>
        <v>535</v>
      </c>
      <c r="I1293" s="8">
        <f t="shared" si="193"/>
        <v>875035</v>
      </c>
      <c r="J1293" s="8">
        <f t="shared" si="197"/>
        <v>875229</v>
      </c>
      <c r="K1293" s="130">
        <v>194</v>
      </c>
      <c r="N1293" s="130">
        <v>167</v>
      </c>
      <c r="O1293" s="130">
        <f t="shared" si="189"/>
        <v>361</v>
      </c>
    </row>
    <row r="1294" spans="1:15">
      <c r="A1294" s="79">
        <v>45851</v>
      </c>
      <c r="B1294" s="8">
        <f t="shared" si="195"/>
        <v>6036</v>
      </c>
      <c r="C1294" s="8">
        <v>6290</v>
      </c>
      <c r="D1294" s="131">
        <f t="shared" si="190"/>
        <v>254</v>
      </c>
      <c r="E1294" s="8">
        <f t="shared" si="191"/>
        <v>5351</v>
      </c>
      <c r="F1294" s="8">
        <v>5646</v>
      </c>
      <c r="G1294" s="130">
        <f t="shared" si="192"/>
        <v>295</v>
      </c>
      <c r="H1294" s="131">
        <f t="shared" si="188"/>
        <v>549</v>
      </c>
      <c r="I1294" s="8">
        <f t="shared" si="193"/>
        <v>875229</v>
      </c>
      <c r="J1294" s="8">
        <f t="shared" si="197"/>
        <v>875400</v>
      </c>
      <c r="K1294" s="130">
        <v>171</v>
      </c>
      <c r="N1294" s="130">
        <v>125</v>
      </c>
      <c r="O1294" s="130">
        <f t="shared" si="189"/>
        <v>296</v>
      </c>
    </row>
    <row r="1295" spans="1:15">
      <c r="A1295" s="79">
        <v>45852</v>
      </c>
      <c r="B1295" s="8">
        <f t="shared" si="195"/>
        <v>6290</v>
      </c>
      <c r="C1295" s="8">
        <v>6588</v>
      </c>
      <c r="D1295" s="131">
        <f t="shared" si="190"/>
        <v>298</v>
      </c>
      <c r="E1295" s="8">
        <f t="shared" si="191"/>
        <v>5646</v>
      </c>
      <c r="F1295" s="8">
        <v>5714</v>
      </c>
      <c r="G1295" s="130">
        <f t="shared" si="192"/>
        <v>68</v>
      </c>
      <c r="H1295" s="131">
        <f t="shared" si="188"/>
        <v>366</v>
      </c>
      <c r="I1295" s="8">
        <f t="shared" si="193"/>
        <v>875400</v>
      </c>
      <c r="J1295" s="8">
        <f t="shared" si="197"/>
        <v>875586</v>
      </c>
      <c r="K1295" s="130">
        <v>186</v>
      </c>
      <c r="N1295" s="130">
        <v>228</v>
      </c>
      <c r="O1295" s="130">
        <f t="shared" si="189"/>
        <v>414</v>
      </c>
    </row>
    <row r="1296" spans="1:15">
      <c r="A1296" s="79">
        <v>45853</v>
      </c>
      <c r="B1296" s="8">
        <f t="shared" si="195"/>
        <v>6588</v>
      </c>
      <c r="C1296" s="8">
        <v>6837</v>
      </c>
      <c r="D1296" s="131">
        <f t="shared" si="190"/>
        <v>249</v>
      </c>
      <c r="E1296" s="8">
        <f t="shared" si="191"/>
        <v>5714</v>
      </c>
      <c r="F1296" s="8">
        <v>5833</v>
      </c>
      <c r="G1296" s="130">
        <f t="shared" si="192"/>
        <v>119</v>
      </c>
      <c r="H1296" s="131">
        <f t="shared" si="188"/>
        <v>368</v>
      </c>
      <c r="I1296" s="8">
        <f t="shared" si="193"/>
        <v>875586</v>
      </c>
      <c r="J1296" s="8">
        <f t="shared" si="197"/>
        <v>875766</v>
      </c>
      <c r="K1296" s="130">
        <v>180</v>
      </c>
      <c r="N1296" s="130">
        <v>224</v>
      </c>
      <c r="O1296" s="130">
        <f t="shared" si="189"/>
        <v>404</v>
      </c>
    </row>
    <row r="1297" spans="1:15">
      <c r="A1297" s="79">
        <v>45854</v>
      </c>
      <c r="B1297" s="8">
        <f t="shared" si="195"/>
        <v>6837</v>
      </c>
      <c r="C1297" s="8">
        <v>7119</v>
      </c>
      <c r="D1297" s="131">
        <f t="shared" si="190"/>
        <v>282</v>
      </c>
      <c r="E1297" s="8">
        <f t="shared" si="191"/>
        <v>5833</v>
      </c>
      <c r="F1297" s="8">
        <v>6080</v>
      </c>
      <c r="G1297" s="130">
        <f t="shared" si="192"/>
        <v>247</v>
      </c>
      <c r="H1297" s="131">
        <f t="shared" si="188"/>
        <v>529</v>
      </c>
      <c r="I1297" s="8">
        <f t="shared" si="193"/>
        <v>875766</v>
      </c>
      <c r="J1297" s="8">
        <f t="shared" si="197"/>
        <v>875937</v>
      </c>
      <c r="K1297" s="130">
        <v>171</v>
      </c>
      <c r="N1297" s="130">
        <v>125</v>
      </c>
      <c r="O1297" s="130">
        <f t="shared" si="189"/>
        <v>296</v>
      </c>
    </row>
    <row r="1298" spans="1:15">
      <c r="A1298" s="79">
        <v>45855</v>
      </c>
      <c r="B1298" s="8">
        <f t="shared" si="195"/>
        <v>7119</v>
      </c>
      <c r="C1298" s="8">
        <v>7389</v>
      </c>
      <c r="D1298" s="131">
        <f t="shared" si="190"/>
        <v>270</v>
      </c>
      <c r="E1298" s="8">
        <f t="shared" si="191"/>
        <v>6080</v>
      </c>
      <c r="F1298" s="8">
        <v>6289</v>
      </c>
      <c r="G1298" s="130">
        <f t="shared" si="192"/>
        <v>209</v>
      </c>
      <c r="H1298" s="131">
        <f t="shared" si="188"/>
        <v>479</v>
      </c>
      <c r="I1298" s="8">
        <f t="shared" si="193"/>
        <v>875937</v>
      </c>
      <c r="J1298" s="8">
        <f>I1298+K1298</f>
        <v>876123</v>
      </c>
      <c r="K1298" s="130">
        <v>186</v>
      </c>
      <c r="N1298" s="130">
        <v>187</v>
      </c>
      <c r="O1298" s="130">
        <f t="shared" si="189"/>
        <v>373</v>
      </c>
    </row>
    <row r="1299" spans="1:15">
      <c r="A1299" s="79">
        <v>45856</v>
      </c>
      <c r="B1299" s="8">
        <f t="shared" si="195"/>
        <v>7389</v>
      </c>
      <c r="C1299" s="8">
        <v>7663</v>
      </c>
      <c r="D1299" s="131">
        <f t="shared" si="190"/>
        <v>274</v>
      </c>
      <c r="E1299" s="8">
        <f t="shared" si="191"/>
        <v>6289</v>
      </c>
      <c r="F1299" s="8">
        <v>6469</v>
      </c>
      <c r="G1299" s="130">
        <f t="shared" si="192"/>
        <v>180</v>
      </c>
      <c r="H1299" s="131">
        <f t="shared" si="188"/>
        <v>454</v>
      </c>
      <c r="I1299" s="8">
        <f t="shared" si="193"/>
        <v>876123</v>
      </c>
      <c r="J1299" s="8">
        <f t="shared" ref="J1299:J1362" si="198">I1299+K1299</f>
        <v>876304</v>
      </c>
      <c r="K1299" s="130">
        <v>181</v>
      </c>
      <c r="N1299" s="130">
        <v>189</v>
      </c>
      <c r="O1299" s="130">
        <f t="shared" si="189"/>
        <v>370</v>
      </c>
    </row>
    <row r="1300" spans="1:15">
      <c r="A1300" s="79">
        <v>45857</v>
      </c>
      <c r="B1300" s="8">
        <f t="shared" si="195"/>
        <v>7663</v>
      </c>
      <c r="C1300" s="8">
        <v>7868</v>
      </c>
      <c r="D1300" s="131">
        <f t="shared" si="190"/>
        <v>205</v>
      </c>
      <c r="E1300" s="8">
        <f t="shared" si="191"/>
        <v>6469</v>
      </c>
      <c r="F1300" s="8">
        <v>6685</v>
      </c>
      <c r="G1300" s="130">
        <f t="shared" si="192"/>
        <v>216</v>
      </c>
      <c r="H1300" s="131">
        <f t="shared" si="188"/>
        <v>421</v>
      </c>
      <c r="I1300" s="8">
        <f t="shared" si="193"/>
        <v>876304</v>
      </c>
      <c r="J1300" s="8">
        <f t="shared" si="198"/>
        <v>876528</v>
      </c>
      <c r="K1300" s="130">
        <v>224</v>
      </c>
      <c r="N1300" s="130">
        <v>154</v>
      </c>
      <c r="O1300" s="130">
        <f t="shared" si="189"/>
        <v>378</v>
      </c>
    </row>
    <row r="1301" spans="1:15">
      <c r="A1301" s="79">
        <v>45858</v>
      </c>
      <c r="B1301" s="8">
        <f t="shared" si="195"/>
        <v>7868</v>
      </c>
      <c r="C1301" s="8">
        <v>8083</v>
      </c>
      <c r="D1301" s="131">
        <f t="shared" si="190"/>
        <v>215</v>
      </c>
      <c r="E1301" s="8">
        <f t="shared" si="191"/>
        <v>6685</v>
      </c>
      <c r="F1301" s="8">
        <v>6985</v>
      </c>
      <c r="G1301" s="130">
        <f t="shared" si="192"/>
        <v>300</v>
      </c>
      <c r="H1301" s="131">
        <f t="shared" si="188"/>
        <v>515</v>
      </c>
      <c r="I1301" s="8">
        <f t="shared" si="193"/>
        <v>876528</v>
      </c>
      <c r="J1301" s="8">
        <f t="shared" si="198"/>
        <v>876746</v>
      </c>
      <c r="K1301" s="130">
        <v>218</v>
      </c>
      <c r="N1301" s="130">
        <v>226</v>
      </c>
      <c r="O1301" s="130">
        <f t="shared" si="189"/>
        <v>444</v>
      </c>
    </row>
    <row r="1302" spans="1:15">
      <c r="A1302" s="79">
        <v>45859</v>
      </c>
      <c r="B1302" s="8">
        <f t="shared" si="195"/>
        <v>8083</v>
      </c>
      <c r="C1302" s="8">
        <v>8323</v>
      </c>
      <c r="D1302" s="131">
        <f t="shared" si="190"/>
        <v>240</v>
      </c>
      <c r="E1302" s="8">
        <f t="shared" si="191"/>
        <v>6985</v>
      </c>
      <c r="F1302" s="8">
        <v>7284</v>
      </c>
      <c r="G1302" s="130">
        <f t="shared" si="192"/>
        <v>299</v>
      </c>
      <c r="H1302" s="131">
        <f t="shared" si="188"/>
        <v>539</v>
      </c>
      <c r="I1302" s="8">
        <f t="shared" si="193"/>
        <v>876746</v>
      </c>
      <c r="J1302" s="8">
        <f t="shared" si="198"/>
        <v>876944</v>
      </c>
      <c r="K1302" s="130">
        <v>198</v>
      </c>
      <c r="N1302" s="130">
        <v>248</v>
      </c>
      <c r="O1302" s="130">
        <f t="shared" si="189"/>
        <v>446</v>
      </c>
    </row>
    <row r="1303" spans="1:15">
      <c r="A1303" s="79">
        <v>45860</v>
      </c>
      <c r="B1303" s="8">
        <f t="shared" si="195"/>
        <v>8323</v>
      </c>
      <c r="C1303" s="8">
        <v>8633</v>
      </c>
      <c r="D1303" s="131">
        <f t="shared" si="190"/>
        <v>310</v>
      </c>
      <c r="E1303" s="8">
        <f t="shared" si="191"/>
        <v>7284</v>
      </c>
      <c r="F1303" s="8">
        <v>7543</v>
      </c>
      <c r="G1303" s="130">
        <f t="shared" si="192"/>
        <v>259</v>
      </c>
      <c r="H1303" s="131">
        <f t="shared" si="188"/>
        <v>569</v>
      </c>
      <c r="I1303" s="8">
        <f t="shared" si="193"/>
        <v>876944</v>
      </c>
      <c r="J1303" s="8">
        <f t="shared" si="198"/>
        <v>877115</v>
      </c>
      <c r="K1303" s="130">
        <v>171</v>
      </c>
      <c r="N1303" s="130">
        <v>245</v>
      </c>
      <c r="O1303" s="130">
        <f t="shared" si="189"/>
        <v>416</v>
      </c>
    </row>
    <row r="1304" spans="1:15">
      <c r="A1304" s="79">
        <v>45861</v>
      </c>
      <c r="B1304" s="8">
        <f t="shared" si="195"/>
        <v>8633</v>
      </c>
      <c r="C1304" s="8">
        <v>8912</v>
      </c>
      <c r="D1304" s="131">
        <f t="shared" si="190"/>
        <v>279</v>
      </c>
      <c r="E1304" s="8">
        <f t="shared" si="191"/>
        <v>7543</v>
      </c>
      <c r="F1304" s="8">
        <v>7788</v>
      </c>
      <c r="G1304" s="130">
        <f t="shared" si="192"/>
        <v>245</v>
      </c>
      <c r="H1304" s="131">
        <f t="shared" si="188"/>
        <v>524</v>
      </c>
      <c r="I1304" s="8">
        <f t="shared" si="193"/>
        <v>877115</v>
      </c>
      <c r="J1304" s="8">
        <f t="shared" si="198"/>
        <v>877292</v>
      </c>
      <c r="K1304" s="130">
        <v>177</v>
      </c>
      <c r="N1304" s="130">
        <v>236</v>
      </c>
      <c r="O1304" s="130">
        <f t="shared" si="189"/>
        <v>413</v>
      </c>
    </row>
    <row r="1305" spans="1:15">
      <c r="A1305" s="79">
        <v>45862</v>
      </c>
      <c r="B1305" s="8">
        <f t="shared" si="195"/>
        <v>8912</v>
      </c>
      <c r="C1305" s="8">
        <v>9157</v>
      </c>
      <c r="D1305" s="131">
        <f t="shared" si="190"/>
        <v>245</v>
      </c>
      <c r="E1305" s="8">
        <f t="shared" si="191"/>
        <v>7788</v>
      </c>
      <c r="F1305" s="8">
        <v>7999</v>
      </c>
      <c r="G1305" s="130">
        <f t="shared" si="192"/>
        <v>211</v>
      </c>
      <c r="H1305" s="131">
        <f t="shared" si="188"/>
        <v>456</v>
      </c>
      <c r="I1305" s="8">
        <f t="shared" si="193"/>
        <v>877292</v>
      </c>
      <c r="J1305" s="8">
        <f t="shared" si="198"/>
        <v>877522</v>
      </c>
      <c r="K1305" s="130">
        <v>230</v>
      </c>
      <c r="N1305" s="130">
        <v>198</v>
      </c>
      <c r="O1305" s="130">
        <f t="shared" si="189"/>
        <v>428</v>
      </c>
    </row>
    <row r="1306" spans="1:15">
      <c r="A1306" s="79">
        <v>45863</v>
      </c>
      <c r="B1306" s="8">
        <f t="shared" si="195"/>
        <v>9157</v>
      </c>
      <c r="C1306" s="8">
        <v>9388</v>
      </c>
      <c r="D1306" s="131">
        <f t="shared" si="190"/>
        <v>231</v>
      </c>
      <c r="E1306" s="8">
        <f t="shared" si="191"/>
        <v>7999</v>
      </c>
      <c r="F1306" s="8">
        <v>8220</v>
      </c>
      <c r="G1306" s="130">
        <f t="shared" si="192"/>
        <v>221</v>
      </c>
      <c r="H1306" s="131">
        <f t="shared" si="188"/>
        <v>452</v>
      </c>
      <c r="I1306" s="8">
        <f t="shared" si="193"/>
        <v>877522</v>
      </c>
      <c r="J1306" s="8">
        <f t="shared" si="198"/>
        <v>877766</v>
      </c>
      <c r="K1306" s="130">
        <v>244</v>
      </c>
      <c r="N1306" s="130">
        <v>175</v>
      </c>
      <c r="O1306" s="130">
        <f t="shared" si="189"/>
        <v>419</v>
      </c>
    </row>
    <row r="1307" spans="1:15">
      <c r="A1307" s="79">
        <v>45864</v>
      </c>
      <c r="B1307" s="8">
        <f t="shared" si="195"/>
        <v>9388</v>
      </c>
      <c r="C1307" s="8">
        <v>9676</v>
      </c>
      <c r="D1307" s="131">
        <f t="shared" si="190"/>
        <v>288</v>
      </c>
      <c r="E1307" s="8">
        <f t="shared" si="191"/>
        <v>8220</v>
      </c>
      <c r="F1307" s="8">
        <v>8580</v>
      </c>
      <c r="G1307" s="130">
        <f t="shared" si="192"/>
        <v>360</v>
      </c>
      <c r="H1307" s="131">
        <f t="shared" si="188"/>
        <v>648</v>
      </c>
      <c r="I1307" s="8">
        <f t="shared" si="193"/>
        <v>877766</v>
      </c>
      <c r="J1307" s="8">
        <f t="shared" si="198"/>
        <v>877976</v>
      </c>
      <c r="K1307" s="130">
        <v>210</v>
      </c>
      <c r="N1307" s="130">
        <v>165</v>
      </c>
      <c r="O1307" s="130">
        <f t="shared" si="189"/>
        <v>375</v>
      </c>
    </row>
    <row r="1308" spans="1:15">
      <c r="A1308" s="79">
        <v>45865</v>
      </c>
      <c r="B1308" s="8">
        <f t="shared" si="195"/>
        <v>9676</v>
      </c>
      <c r="C1308" s="8">
        <v>9981</v>
      </c>
      <c r="D1308" s="131">
        <f t="shared" si="190"/>
        <v>305</v>
      </c>
      <c r="E1308" s="8">
        <f t="shared" si="191"/>
        <v>8580</v>
      </c>
      <c r="F1308" s="8">
        <v>8892</v>
      </c>
      <c r="G1308" s="130">
        <f t="shared" si="192"/>
        <v>312</v>
      </c>
      <c r="H1308" s="131">
        <f t="shared" si="188"/>
        <v>617</v>
      </c>
      <c r="I1308" s="8">
        <f t="shared" si="193"/>
        <v>877976</v>
      </c>
      <c r="J1308" s="8">
        <f t="shared" si="198"/>
        <v>878217</v>
      </c>
      <c r="K1308" s="130">
        <v>241</v>
      </c>
      <c r="N1308" s="130">
        <v>245</v>
      </c>
      <c r="O1308" s="130">
        <f t="shared" si="189"/>
        <v>486</v>
      </c>
    </row>
    <row r="1309" spans="1:15">
      <c r="A1309" s="79">
        <v>45866</v>
      </c>
      <c r="B1309" s="8">
        <f t="shared" si="195"/>
        <v>9981</v>
      </c>
      <c r="C1309" s="8">
        <v>10124</v>
      </c>
      <c r="D1309" s="131">
        <f t="shared" si="190"/>
        <v>143</v>
      </c>
      <c r="E1309" s="8">
        <f t="shared" si="191"/>
        <v>8892</v>
      </c>
      <c r="F1309" s="8">
        <v>9047</v>
      </c>
      <c r="G1309" s="130">
        <f t="shared" si="192"/>
        <v>155</v>
      </c>
      <c r="H1309" s="131">
        <f t="shared" si="188"/>
        <v>298</v>
      </c>
      <c r="I1309" s="8">
        <f t="shared" si="193"/>
        <v>878217</v>
      </c>
      <c r="J1309" s="8">
        <f t="shared" si="198"/>
        <v>878402</v>
      </c>
      <c r="K1309" s="130">
        <v>185</v>
      </c>
      <c r="N1309" s="130">
        <v>165</v>
      </c>
      <c r="O1309" s="130">
        <f t="shared" si="189"/>
        <v>350</v>
      </c>
    </row>
    <row r="1310" spans="1:15">
      <c r="A1310" s="79">
        <v>45867</v>
      </c>
      <c r="B1310" s="8">
        <f t="shared" si="195"/>
        <v>10124</v>
      </c>
      <c r="C1310" s="8">
        <v>10400</v>
      </c>
      <c r="D1310" s="131">
        <f t="shared" si="190"/>
        <v>276</v>
      </c>
      <c r="E1310" s="8">
        <f t="shared" si="191"/>
        <v>9047</v>
      </c>
      <c r="F1310" s="8">
        <v>9345</v>
      </c>
      <c r="G1310" s="130">
        <f t="shared" si="192"/>
        <v>298</v>
      </c>
      <c r="H1310" s="131">
        <f t="shared" si="188"/>
        <v>574</v>
      </c>
      <c r="I1310" s="8">
        <f t="shared" si="193"/>
        <v>878402</v>
      </c>
      <c r="J1310" s="8">
        <f t="shared" si="198"/>
        <v>878594</v>
      </c>
      <c r="K1310" s="130">
        <v>192</v>
      </c>
      <c r="N1310" s="130">
        <v>187</v>
      </c>
      <c r="O1310" s="130">
        <f t="shared" si="189"/>
        <v>379</v>
      </c>
    </row>
    <row r="1311" spans="1:15">
      <c r="A1311" s="79">
        <v>45868</v>
      </c>
      <c r="B1311" s="8">
        <f t="shared" si="195"/>
        <v>10400</v>
      </c>
      <c r="C1311" s="8">
        <v>10689</v>
      </c>
      <c r="D1311" s="131">
        <f t="shared" si="190"/>
        <v>289</v>
      </c>
      <c r="E1311" s="8">
        <f t="shared" si="191"/>
        <v>9345</v>
      </c>
      <c r="F1311" s="8">
        <v>9654</v>
      </c>
      <c r="G1311" s="130">
        <f t="shared" si="192"/>
        <v>309</v>
      </c>
      <c r="H1311" s="131">
        <f t="shared" si="188"/>
        <v>598</v>
      </c>
      <c r="I1311" s="8">
        <f t="shared" si="193"/>
        <v>878594</v>
      </c>
      <c r="J1311" s="8">
        <f t="shared" si="198"/>
        <v>878778</v>
      </c>
      <c r="K1311" s="130">
        <v>184</v>
      </c>
      <c r="N1311" s="130">
        <v>154</v>
      </c>
      <c r="O1311" s="130">
        <f t="shared" si="189"/>
        <v>338</v>
      </c>
    </row>
    <row r="1312" spans="1:15">
      <c r="A1312" s="79">
        <v>45869</v>
      </c>
      <c r="B1312" s="8">
        <f t="shared" si="195"/>
        <v>10689</v>
      </c>
      <c r="C1312" s="8">
        <v>10946</v>
      </c>
      <c r="D1312" s="131">
        <f t="shared" si="190"/>
        <v>257</v>
      </c>
      <c r="E1312" s="8">
        <f t="shared" si="191"/>
        <v>9654</v>
      </c>
      <c r="F1312" s="8">
        <v>9935</v>
      </c>
      <c r="G1312" s="130">
        <f t="shared" si="192"/>
        <v>281</v>
      </c>
      <c r="H1312" s="131">
        <f t="shared" si="188"/>
        <v>538</v>
      </c>
      <c r="I1312" s="8">
        <f t="shared" si="193"/>
        <v>878778</v>
      </c>
      <c r="J1312" s="8">
        <f t="shared" si="198"/>
        <v>878952</v>
      </c>
      <c r="K1312" s="130">
        <v>174</v>
      </c>
      <c r="N1312" s="130">
        <v>187</v>
      </c>
      <c r="O1312" s="130">
        <f t="shared" si="189"/>
        <v>361</v>
      </c>
    </row>
    <row r="1313" spans="1:15">
      <c r="A1313" s="79">
        <v>45870</v>
      </c>
      <c r="B1313" s="8">
        <f t="shared" si="195"/>
        <v>10946</v>
      </c>
      <c r="C1313" s="8">
        <v>11218</v>
      </c>
      <c r="D1313" s="131">
        <f t="shared" si="190"/>
        <v>272</v>
      </c>
      <c r="E1313" s="8">
        <f t="shared" si="191"/>
        <v>9935</v>
      </c>
      <c r="F1313" s="8">
        <v>10218</v>
      </c>
      <c r="G1313" s="130">
        <f t="shared" si="192"/>
        <v>283</v>
      </c>
      <c r="H1313" s="131">
        <f t="shared" si="188"/>
        <v>555</v>
      </c>
      <c r="I1313" s="8">
        <f t="shared" si="193"/>
        <v>878952</v>
      </c>
      <c r="J1313" s="8">
        <f t="shared" si="198"/>
        <v>879107</v>
      </c>
      <c r="K1313" s="130">
        <v>155</v>
      </c>
      <c r="N1313" s="130">
        <v>199</v>
      </c>
      <c r="O1313" s="130">
        <f t="shared" si="189"/>
        <v>354</v>
      </c>
    </row>
    <row r="1314" spans="1:15">
      <c r="A1314" s="79">
        <v>45871</v>
      </c>
      <c r="B1314" s="8">
        <f t="shared" si="195"/>
        <v>11218</v>
      </c>
      <c r="C1314" s="8">
        <v>11439</v>
      </c>
      <c r="D1314" s="131">
        <f t="shared" si="190"/>
        <v>221</v>
      </c>
      <c r="E1314" s="8">
        <f t="shared" si="191"/>
        <v>10218</v>
      </c>
      <c r="F1314" s="8">
        <v>10439</v>
      </c>
      <c r="G1314" s="130">
        <f t="shared" si="192"/>
        <v>221</v>
      </c>
      <c r="H1314" s="131">
        <f t="shared" si="188"/>
        <v>442</v>
      </c>
      <c r="I1314" s="8">
        <f t="shared" si="193"/>
        <v>879107</v>
      </c>
      <c r="J1314" s="8">
        <f t="shared" si="198"/>
        <v>879311</v>
      </c>
      <c r="K1314" s="130">
        <v>204</v>
      </c>
      <c r="N1314" s="130">
        <v>224</v>
      </c>
      <c r="O1314" s="130">
        <f t="shared" si="189"/>
        <v>428</v>
      </c>
    </row>
    <row r="1315" spans="1:15">
      <c r="A1315" s="79">
        <v>45872</v>
      </c>
      <c r="B1315" s="8">
        <f t="shared" si="195"/>
        <v>11439</v>
      </c>
      <c r="C1315" s="8">
        <v>11750</v>
      </c>
      <c r="D1315" s="131">
        <f t="shared" si="190"/>
        <v>311</v>
      </c>
      <c r="E1315" s="8">
        <f t="shared" si="191"/>
        <v>10439</v>
      </c>
      <c r="F1315" s="8">
        <v>10749</v>
      </c>
      <c r="G1315" s="130">
        <f t="shared" si="192"/>
        <v>310</v>
      </c>
      <c r="H1315" s="131">
        <f t="shared" ref="H1315:H1378" si="199">D1315+G1315</f>
        <v>621</v>
      </c>
      <c r="I1315" s="8">
        <f t="shared" si="193"/>
        <v>879311</v>
      </c>
      <c r="J1315" s="8">
        <f t="shared" si="198"/>
        <v>879507</v>
      </c>
      <c r="K1315" s="130">
        <v>196</v>
      </c>
      <c r="N1315" s="130">
        <v>165</v>
      </c>
      <c r="O1315" s="130">
        <f t="shared" si="189"/>
        <v>361</v>
      </c>
    </row>
    <row r="1316" spans="1:15">
      <c r="A1316" s="79">
        <v>45873</v>
      </c>
      <c r="B1316" s="8">
        <f t="shared" si="195"/>
        <v>11750</v>
      </c>
      <c r="C1316" s="8">
        <v>12008</v>
      </c>
      <c r="D1316" s="131">
        <f t="shared" si="190"/>
        <v>258</v>
      </c>
      <c r="E1316" s="8">
        <f t="shared" si="191"/>
        <v>10749</v>
      </c>
      <c r="F1316" s="8">
        <v>10998</v>
      </c>
      <c r="G1316" s="130">
        <f t="shared" si="192"/>
        <v>249</v>
      </c>
      <c r="H1316" s="131">
        <f t="shared" si="199"/>
        <v>507</v>
      </c>
      <c r="I1316" s="8">
        <f t="shared" si="193"/>
        <v>879507</v>
      </c>
      <c r="J1316" s="8">
        <f t="shared" si="198"/>
        <v>879691</v>
      </c>
      <c r="K1316" s="130">
        <v>184</v>
      </c>
      <c r="N1316" s="130">
        <v>158</v>
      </c>
      <c r="O1316" s="130">
        <f t="shared" si="189"/>
        <v>342</v>
      </c>
    </row>
    <row r="1317" spans="1:15">
      <c r="A1317" s="79">
        <v>45874</v>
      </c>
      <c r="B1317" s="8">
        <f t="shared" si="195"/>
        <v>12008</v>
      </c>
      <c r="C1317" s="8">
        <v>12254</v>
      </c>
      <c r="D1317" s="131">
        <f t="shared" si="190"/>
        <v>246</v>
      </c>
      <c r="E1317" s="8">
        <f t="shared" si="191"/>
        <v>10998</v>
      </c>
      <c r="F1317" s="8">
        <v>11288</v>
      </c>
      <c r="G1317" s="130">
        <f t="shared" ref="G1317:G1380" si="200">F1317-E1317</f>
        <v>290</v>
      </c>
      <c r="H1317" s="131">
        <f t="shared" si="199"/>
        <v>536</v>
      </c>
      <c r="I1317" s="8">
        <f t="shared" si="193"/>
        <v>879691</v>
      </c>
      <c r="J1317" s="8">
        <f t="shared" si="198"/>
        <v>879882</v>
      </c>
      <c r="K1317" s="130">
        <v>191</v>
      </c>
      <c r="N1317" s="130">
        <v>147</v>
      </c>
      <c r="O1317" s="130">
        <f t="shared" ref="O1317:O1380" si="201">N1317+K1317</f>
        <v>338</v>
      </c>
    </row>
    <row r="1318" spans="1:15">
      <c r="A1318" s="79">
        <v>45875</v>
      </c>
      <c r="B1318" s="8">
        <f t="shared" si="195"/>
        <v>12254</v>
      </c>
      <c r="C1318" s="8">
        <v>12476</v>
      </c>
      <c r="D1318" s="131">
        <f t="shared" ref="D1318:D1381" si="202">C1318-B1318</f>
        <v>222</v>
      </c>
      <c r="E1318" s="8">
        <f t="shared" ref="E1318:E1381" si="203">F1317</f>
        <v>11288</v>
      </c>
      <c r="F1318" s="8">
        <v>11491</v>
      </c>
      <c r="G1318" s="130">
        <f t="shared" si="200"/>
        <v>203</v>
      </c>
      <c r="H1318" s="131">
        <f t="shared" si="199"/>
        <v>425</v>
      </c>
      <c r="I1318" s="8">
        <f t="shared" ref="I1318:I1381" si="204">J1317</f>
        <v>879882</v>
      </c>
      <c r="J1318" s="8">
        <f t="shared" si="198"/>
        <v>880082</v>
      </c>
      <c r="K1318" s="130">
        <v>200</v>
      </c>
      <c r="N1318" s="130">
        <v>446</v>
      </c>
      <c r="O1318" s="130">
        <f t="shared" si="201"/>
        <v>646</v>
      </c>
    </row>
    <row r="1319" spans="1:15">
      <c r="A1319" s="79">
        <v>45876</v>
      </c>
      <c r="B1319" s="8">
        <f t="shared" si="195"/>
        <v>12476</v>
      </c>
      <c r="C1319" s="8">
        <v>12712</v>
      </c>
      <c r="D1319" s="131">
        <f t="shared" si="202"/>
        <v>236</v>
      </c>
      <c r="E1319" s="8">
        <f t="shared" si="203"/>
        <v>11491</v>
      </c>
      <c r="F1319" s="8">
        <v>11757</v>
      </c>
      <c r="G1319" s="130">
        <f t="shared" si="200"/>
        <v>266</v>
      </c>
      <c r="H1319" s="131">
        <f t="shared" si="199"/>
        <v>502</v>
      </c>
      <c r="I1319" s="8">
        <f t="shared" si="204"/>
        <v>880082</v>
      </c>
      <c r="J1319" s="8">
        <f t="shared" si="198"/>
        <v>880203</v>
      </c>
      <c r="K1319" s="130">
        <v>121</v>
      </c>
      <c r="N1319" s="130">
        <v>199</v>
      </c>
      <c r="O1319" s="130">
        <f t="shared" si="201"/>
        <v>320</v>
      </c>
    </row>
    <row r="1320" spans="1:15">
      <c r="A1320" s="79">
        <v>45877</v>
      </c>
      <c r="B1320" s="8">
        <f t="shared" si="195"/>
        <v>12712</v>
      </c>
      <c r="C1320" s="8">
        <v>12949</v>
      </c>
      <c r="D1320" s="131">
        <f t="shared" si="202"/>
        <v>237</v>
      </c>
      <c r="E1320" s="8">
        <f t="shared" si="203"/>
        <v>11757</v>
      </c>
      <c r="F1320" s="8">
        <v>12002</v>
      </c>
      <c r="G1320" s="130">
        <f t="shared" si="200"/>
        <v>245</v>
      </c>
      <c r="H1320" s="131">
        <f t="shared" si="199"/>
        <v>482</v>
      </c>
      <c r="I1320" s="8">
        <f t="shared" si="204"/>
        <v>880203</v>
      </c>
      <c r="J1320" s="8">
        <f t="shared" si="198"/>
        <v>880391</v>
      </c>
      <c r="K1320" s="130">
        <v>188</v>
      </c>
      <c r="N1320" s="130">
        <v>125</v>
      </c>
      <c r="O1320" s="130">
        <f t="shared" si="201"/>
        <v>313</v>
      </c>
    </row>
    <row r="1321" spans="1:15">
      <c r="A1321" s="79">
        <v>45878</v>
      </c>
      <c r="B1321" s="8">
        <f t="shared" si="195"/>
        <v>12949</v>
      </c>
      <c r="C1321" s="8">
        <v>13160</v>
      </c>
      <c r="D1321" s="131">
        <f t="shared" si="202"/>
        <v>211</v>
      </c>
      <c r="E1321" s="8">
        <f t="shared" si="203"/>
        <v>12002</v>
      </c>
      <c r="F1321" s="8">
        <v>12250</v>
      </c>
      <c r="G1321" s="130">
        <f t="shared" si="200"/>
        <v>248</v>
      </c>
      <c r="H1321" s="131">
        <f t="shared" si="199"/>
        <v>459</v>
      </c>
      <c r="I1321" s="8">
        <f t="shared" si="204"/>
        <v>880391</v>
      </c>
      <c r="J1321" s="8">
        <f t="shared" si="198"/>
        <v>880579</v>
      </c>
      <c r="K1321" s="130">
        <v>188</v>
      </c>
      <c r="N1321" s="130">
        <v>158</v>
      </c>
      <c r="O1321" s="130">
        <f t="shared" si="201"/>
        <v>346</v>
      </c>
    </row>
    <row r="1322" spans="1:15">
      <c r="A1322" s="79">
        <v>45879</v>
      </c>
      <c r="B1322" s="8">
        <f t="shared" si="195"/>
        <v>13160</v>
      </c>
      <c r="C1322" s="8">
        <v>13275</v>
      </c>
      <c r="D1322" s="131">
        <f t="shared" si="202"/>
        <v>115</v>
      </c>
      <c r="E1322" s="8">
        <f t="shared" si="203"/>
        <v>12250</v>
      </c>
      <c r="F1322" s="8">
        <v>12528</v>
      </c>
      <c r="G1322" s="130">
        <f t="shared" si="200"/>
        <v>278</v>
      </c>
      <c r="H1322" s="131">
        <f t="shared" si="199"/>
        <v>393</v>
      </c>
      <c r="I1322" s="8">
        <f t="shared" si="204"/>
        <v>880579</v>
      </c>
      <c r="J1322" s="8">
        <f t="shared" si="198"/>
        <v>880748</v>
      </c>
      <c r="K1322" s="130">
        <v>169</v>
      </c>
      <c r="N1322" s="130">
        <v>187</v>
      </c>
      <c r="O1322" s="130">
        <f t="shared" si="201"/>
        <v>356</v>
      </c>
    </row>
    <row r="1323" spans="1:15">
      <c r="A1323" s="79">
        <v>45880</v>
      </c>
      <c r="B1323" s="8">
        <f t="shared" si="195"/>
        <v>13275</v>
      </c>
      <c r="C1323" s="8">
        <v>13603</v>
      </c>
      <c r="D1323" s="131">
        <f t="shared" si="202"/>
        <v>328</v>
      </c>
      <c r="E1323" s="8">
        <f t="shared" si="203"/>
        <v>12528</v>
      </c>
      <c r="F1323" s="8">
        <v>12786</v>
      </c>
      <c r="G1323" s="130">
        <f t="shared" si="200"/>
        <v>258</v>
      </c>
      <c r="H1323" s="131">
        <f t="shared" si="199"/>
        <v>586</v>
      </c>
      <c r="I1323" s="8">
        <f t="shared" si="204"/>
        <v>880748</v>
      </c>
      <c r="J1323" s="8">
        <f t="shared" si="198"/>
        <v>880928</v>
      </c>
      <c r="K1323" s="130">
        <v>180</v>
      </c>
      <c r="N1323" s="130">
        <v>198</v>
      </c>
      <c r="O1323" s="130">
        <f t="shared" si="201"/>
        <v>378</v>
      </c>
    </row>
    <row r="1324" spans="1:15">
      <c r="A1324" s="79">
        <v>45881</v>
      </c>
      <c r="B1324" s="8">
        <f t="shared" si="195"/>
        <v>13603</v>
      </c>
      <c r="C1324" s="8">
        <v>13807</v>
      </c>
      <c r="D1324" s="131">
        <f t="shared" si="202"/>
        <v>204</v>
      </c>
      <c r="E1324" s="8">
        <f t="shared" si="203"/>
        <v>12786</v>
      </c>
      <c r="F1324" s="8">
        <v>13060</v>
      </c>
      <c r="G1324" s="130">
        <f t="shared" si="200"/>
        <v>274</v>
      </c>
      <c r="H1324" s="131">
        <f t="shared" si="199"/>
        <v>478</v>
      </c>
      <c r="I1324" s="8">
        <f t="shared" si="204"/>
        <v>880928</v>
      </c>
      <c r="J1324" s="8">
        <f t="shared" si="198"/>
        <v>881111</v>
      </c>
      <c r="K1324" s="130">
        <v>183</v>
      </c>
      <c r="N1324" s="130">
        <v>191</v>
      </c>
      <c r="O1324" s="130">
        <f t="shared" si="201"/>
        <v>374</v>
      </c>
    </row>
    <row r="1325" spans="1:15">
      <c r="A1325" s="79">
        <v>45882</v>
      </c>
      <c r="B1325" s="8">
        <f t="shared" si="195"/>
        <v>13807</v>
      </c>
      <c r="C1325" s="8">
        <v>14013</v>
      </c>
      <c r="D1325" s="131">
        <f t="shared" si="202"/>
        <v>206</v>
      </c>
      <c r="E1325" s="8">
        <f t="shared" si="203"/>
        <v>13060</v>
      </c>
      <c r="F1325" s="8">
        <v>13276</v>
      </c>
      <c r="G1325" s="130">
        <f t="shared" si="200"/>
        <v>216</v>
      </c>
      <c r="H1325" s="131">
        <f t="shared" si="199"/>
        <v>422</v>
      </c>
      <c r="I1325" s="8">
        <f t="shared" si="204"/>
        <v>881111</v>
      </c>
      <c r="J1325" s="8">
        <f t="shared" si="198"/>
        <v>881276</v>
      </c>
      <c r="K1325" s="130">
        <v>165</v>
      </c>
      <c r="N1325" s="130">
        <v>196</v>
      </c>
      <c r="O1325" s="130">
        <f t="shared" si="201"/>
        <v>361</v>
      </c>
    </row>
    <row r="1326" spans="1:15">
      <c r="A1326" s="79">
        <v>45883</v>
      </c>
      <c r="B1326" s="8">
        <f t="shared" si="195"/>
        <v>14013</v>
      </c>
      <c r="C1326" s="8">
        <v>14253</v>
      </c>
      <c r="D1326" s="131">
        <f t="shared" si="202"/>
        <v>240</v>
      </c>
      <c r="E1326" s="8">
        <f t="shared" si="203"/>
        <v>13276</v>
      </c>
      <c r="F1326" s="8">
        <v>13560</v>
      </c>
      <c r="G1326" s="130">
        <f t="shared" si="200"/>
        <v>284</v>
      </c>
      <c r="H1326" s="131">
        <f t="shared" si="199"/>
        <v>524</v>
      </c>
      <c r="I1326" s="8">
        <f t="shared" si="204"/>
        <v>881276</v>
      </c>
      <c r="J1326" s="8">
        <f t="shared" si="198"/>
        <v>881478</v>
      </c>
      <c r="K1326" s="130">
        <v>202</v>
      </c>
      <c r="N1326" s="130">
        <v>168</v>
      </c>
      <c r="O1326" s="130">
        <f t="shared" si="201"/>
        <v>370</v>
      </c>
    </row>
    <row r="1327" spans="1:15">
      <c r="A1327" s="79">
        <v>45884</v>
      </c>
      <c r="B1327" s="8">
        <f t="shared" si="195"/>
        <v>14253</v>
      </c>
      <c r="C1327" s="8">
        <v>14454</v>
      </c>
      <c r="D1327" s="131">
        <f t="shared" si="202"/>
        <v>201</v>
      </c>
      <c r="E1327" s="8">
        <f t="shared" si="203"/>
        <v>13560</v>
      </c>
      <c r="F1327" s="8">
        <v>13774</v>
      </c>
      <c r="G1327" s="130">
        <f t="shared" si="200"/>
        <v>214</v>
      </c>
      <c r="H1327" s="131">
        <f t="shared" si="199"/>
        <v>415</v>
      </c>
      <c r="I1327" s="8">
        <f t="shared" si="204"/>
        <v>881478</v>
      </c>
      <c r="J1327" s="8">
        <f t="shared" si="198"/>
        <v>881725</v>
      </c>
      <c r="K1327" s="130">
        <v>247</v>
      </c>
      <c r="N1327" s="130">
        <v>221</v>
      </c>
      <c r="O1327" s="130">
        <f t="shared" si="201"/>
        <v>468</v>
      </c>
    </row>
    <row r="1328" spans="1:15">
      <c r="A1328" s="79">
        <v>45885</v>
      </c>
      <c r="B1328" s="8">
        <f t="shared" si="195"/>
        <v>14454</v>
      </c>
      <c r="C1328" s="8">
        <v>14728</v>
      </c>
      <c r="D1328" s="131">
        <f t="shared" si="202"/>
        <v>274</v>
      </c>
      <c r="E1328" s="8">
        <f t="shared" si="203"/>
        <v>13774</v>
      </c>
      <c r="F1328" s="8">
        <v>14040</v>
      </c>
      <c r="G1328" s="130">
        <f t="shared" si="200"/>
        <v>266</v>
      </c>
      <c r="H1328" s="131">
        <f t="shared" si="199"/>
        <v>540</v>
      </c>
      <c r="I1328" s="8">
        <f t="shared" si="204"/>
        <v>881725</v>
      </c>
      <c r="J1328" s="8">
        <f t="shared" si="198"/>
        <v>881910</v>
      </c>
      <c r="K1328" s="130">
        <v>185</v>
      </c>
      <c r="N1328" s="130">
        <v>245</v>
      </c>
      <c r="O1328" s="130">
        <f t="shared" si="201"/>
        <v>430</v>
      </c>
    </row>
    <row r="1329" spans="1:15">
      <c r="A1329" s="79">
        <v>45886</v>
      </c>
      <c r="B1329" s="8">
        <f t="shared" si="195"/>
        <v>14728</v>
      </c>
      <c r="C1329" s="8">
        <v>14954</v>
      </c>
      <c r="D1329" s="131">
        <f t="shared" si="202"/>
        <v>226</v>
      </c>
      <c r="E1329" s="8">
        <f t="shared" si="203"/>
        <v>14040</v>
      </c>
      <c r="F1329" s="8">
        <v>14248</v>
      </c>
      <c r="G1329" s="130">
        <f t="shared" si="200"/>
        <v>208</v>
      </c>
      <c r="H1329" s="131">
        <f t="shared" si="199"/>
        <v>434</v>
      </c>
      <c r="I1329" s="8">
        <f t="shared" si="204"/>
        <v>881910</v>
      </c>
      <c r="J1329" s="8">
        <f t="shared" si="198"/>
        <v>882066</v>
      </c>
      <c r="K1329" s="130">
        <v>156</v>
      </c>
      <c r="N1329" s="130">
        <v>198</v>
      </c>
      <c r="O1329" s="130">
        <f t="shared" si="201"/>
        <v>354</v>
      </c>
    </row>
    <row r="1330" spans="1:15">
      <c r="A1330" s="79">
        <v>45887</v>
      </c>
      <c r="B1330" s="8">
        <f t="shared" si="195"/>
        <v>14954</v>
      </c>
      <c r="C1330" s="8">
        <v>15120</v>
      </c>
      <c r="D1330" s="131">
        <f t="shared" si="202"/>
        <v>166</v>
      </c>
      <c r="E1330" s="8">
        <f t="shared" si="203"/>
        <v>14248</v>
      </c>
      <c r="F1330" s="8">
        <v>14614</v>
      </c>
      <c r="G1330" s="130">
        <f t="shared" si="200"/>
        <v>366</v>
      </c>
      <c r="H1330" s="131">
        <f t="shared" si="199"/>
        <v>532</v>
      </c>
      <c r="I1330" s="8">
        <f t="shared" si="204"/>
        <v>882066</v>
      </c>
      <c r="J1330" s="8">
        <f t="shared" si="198"/>
        <v>882252</v>
      </c>
      <c r="K1330" s="130">
        <v>186</v>
      </c>
      <c r="N1330" s="130">
        <v>268</v>
      </c>
      <c r="O1330" s="130">
        <f t="shared" si="201"/>
        <v>454</v>
      </c>
    </row>
    <row r="1331" spans="1:15">
      <c r="A1331" s="79">
        <v>45888</v>
      </c>
      <c r="B1331" s="8">
        <f t="shared" ref="B1331:B1394" si="205">C1330</f>
        <v>15120</v>
      </c>
      <c r="C1331" s="8">
        <v>15255</v>
      </c>
      <c r="D1331" s="131">
        <f t="shared" si="202"/>
        <v>135</v>
      </c>
      <c r="E1331" s="8">
        <f t="shared" si="203"/>
        <v>14614</v>
      </c>
      <c r="F1331" s="8">
        <v>14810</v>
      </c>
      <c r="G1331" s="130">
        <f t="shared" si="200"/>
        <v>196</v>
      </c>
      <c r="H1331" s="131">
        <f t="shared" si="199"/>
        <v>331</v>
      </c>
      <c r="I1331" s="8">
        <f t="shared" si="204"/>
        <v>882252</v>
      </c>
      <c r="J1331" s="8">
        <f t="shared" si="198"/>
        <v>882400</v>
      </c>
      <c r="K1331" s="130">
        <v>148</v>
      </c>
      <c r="N1331" s="130">
        <v>232</v>
      </c>
      <c r="O1331" s="130">
        <f t="shared" si="201"/>
        <v>380</v>
      </c>
    </row>
    <row r="1332" spans="1:15">
      <c r="A1332" s="79">
        <v>45889</v>
      </c>
      <c r="B1332" s="8">
        <f t="shared" si="205"/>
        <v>15255</v>
      </c>
      <c r="C1332" s="8">
        <v>15474</v>
      </c>
      <c r="D1332" s="131">
        <f t="shared" si="202"/>
        <v>219</v>
      </c>
      <c r="E1332" s="8">
        <f t="shared" si="203"/>
        <v>14810</v>
      </c>
      <c r="F1332" s="8">
        <v>15087</v>
      </c>
      <c r="G1332" s="130">
        <f t="shared" si="200"/>
        <v>277</v>
      </c>
      <c r="H1332" s="131">
        <f t="shared" si="199"/>
        <v>496</v>
      </c>
      <c r="I1332" s="8">
        <f t="shared" si="204"/>
        <v>882400</v>
      </c>
      <c r="J1332" s="8">
        <f t="shared" si="198"/>
        <v>882529</v>
      </c>
      <c r="K1332" s="130">
        <v>129</v>
      </c>
      <c r="N1332" s="130">
        <v>222</v>
      </c>
      <c r="O1332" s="130">
        <f t="shared" si="201"/>
        <v>351</v>
      </c>
    </row>
    <row r="1333" spans="1:15">
      <c r="A1333" s="79">
        <v>45890</v>
      </c>
      <c r="B1333" s="8">
        <f t="shared" si="205"/>
        <v>15474</v>
      </c>
      <c r="C1333" s="8">
        <v>15697</v>
      </c>
      <c r="D1333" s="131">
        <f t="shared" si="202"/>
        <v>223</v>
      </c>
      <c r="E1333" s="8">
        <f t="shared" si="203"/>
        <v>15087</v>
      </c>
      <c r="F1333" s="8">
        <v>15365</v>
      </c>
      <c r="G1333" s="130">
        <f t="shared" si="200"/>
        <v>278</v>
      </c>
      <c r="H1333" s="131">
        <f t="shared" si="199"/>
        <v>501</v>
      </c>
      <c r="I1333" s="8">
        <f t="shared" si="204"/>
        <v>882529</v>
      </c>
      <c r="J1333" s="8">
        <f t="shared" si="198"/>
        <v>882708</v>
      </c>
      <c r="K1333" s="130">
        <v>179</v>
      </c>
      <c r="N1333" s="130">
        <v>165</v>
      </c>
      <c r="O1333" s="130">
        <f t="shared" si="201"/>
        <v>344</v>
      </c>
    </row>
    <row r="1334" spans="1:15">
      <c r="A1334" s="79">
        <v>45891</v>
      </c>
      <c r="B1334" s="8">
        <f t="shared" si="205"/>
        <v>15697</v>
      </c>
      <c r="C1334" s="8">
        <v>15914</v>
      </c>
      <c r="D1334" s="131">
        <f t="shared" si="202"/>
        <v>217</v>
      </c>
      <c r="E1334" s="8">
        <f t="shared" si="203"/>
        <v>15365</v>
      </c>
      <c r="F1334" s="8">
        <v>15626</v>
      </c>
      <c r="G1334" s="130">
        <f t="shared" si="200"/>
        <v>261</v>
      </c>
      <c r="H1334" s="131">
        <f t="shared" si="199"/>
        <v>478</v>
      </c>
      <c r="I1334" s="8">
        <f t="shared" si="204"/>
        <v>882708</v>
      </c>
      <c r="J1334" s="8">
        <f t="shared" si="198"/>
        <v>882830</v>
      </c>
      <c r="K1334" s="130">
        <v>122</v>
      </c>
      <c r="N1334" s="130">
        <v>187</v>
      </c>
      <c r="O1334" s="130">
        <f t="shared" si="201"/>
        <v>309</v>
      </c>
    </row>
    <row r="1335" spans="1:15">
      <c r="A1335" s="79">
        <v>45892</v>
      </c>
      <c r="B1335" s="8">
        <f t="shared" si="205"/>
        <v>15914</v>
      </c>
      <c r="C1335" s="8">
        <v>15831</v>
      </c>
      <c r="D1335" s="131">
        <f t="shared" si="202"/>
        <v>-83</v>
      </c>
      <c r="E1335" s="8">
        <f t="shared" si="203"/>
        <v>15626</v>
      </c>
      <c r="F1335" s="8">
        <v>15831</v>
      </c>
      <c r="G1335" s="130">
        <f t="shared" si="200"/>
        <v>205</v>
      </c>
      <c r="H1335" s="131">
        <f t="shared" si="199"/>
        <v>122</v>
      </c>
      <c r="I1335" s="8">
        <f t="shared" si="204"/>
        <v>882830</v>
      </c>
      <c r="J1335" s="8">
        <f t="shared" si="198"/>
        <v>883034</v>
      </c>
      <c r="K1335" s="130">
        <v>204</v>
      </c>
      <c r="N1335" s="130">
        <v>325</v>
      </c>
      <c r="O1335" s="130">
        <f t="shared" si="201"/>
        <v>529</v>
      </c>
    </row>
    <row r="1336" spans="1:15">
      <c r="A1336" s="79">
        <v>45893</v>
      </c>
      <c r="B1336" s="8">
        <f t="shared" si="205"/>
        <v>15831</v>
      </c>
      <c r="C1336" s="8">
        <v>16423</v>
      </c>
      <c r="D1336" s="131">
        <f t="shared" si="202"/>
        <v>592</v>
      </c>
      <c r="E1336" s="8">
        <f t="shared" si="203"/>
        <v>15831</v>
      </c>
      <c r="F1336" s="8">
        <v>16057</v>
      </c>
      <c r="G1336" s="130">
        <f t="shared" si="200"/>
        <v>226</v>
      </c>
      <c r="H1336" s="131">
        <f t="shared" si="199"/>
        <v>818</v>
      </c>
      <c r="I1336" s="8">
        <f t="shared" si="204"/>
        <v>883034</v>
      </c>
      <c r="J1336" s="8">
        <f t="shared" si="198"/>
        <v>883219</v>
      </c>
      <c r="K1336" s="130">
        <v>185</v>
      </c>
      <c r="N1336" s="130">
        <v>265</v>
      </c>
      <c r="O1336" s="130">
        <f t="shared" si="201"/>
        <v>450</v>
      </c>
    </row>
    <row r="1337" spans="1:15">
      <c r="A1337" s="79">
        <v>45894</v>
      </c>
      <c r="B1337" s="8">
        <f t="shared" si="205"/>
        <v>16423</v>
      </c>
      <c r="C1337" s="8">
        <v>16687</v>
      </c>
      <c r="D1337" s="131">
        <f t="shared" si="202"/>
        <v>264</v>
      </c>
      <c r="E1337" s="8">
        <f t="shared" si="203"/>
        <v>16057</v>
      </c>
      <c r="F1337" s="8">
        <v>16546</v>
      </c>
      <c r="G1337" s="130">
        <f t="shared" si="200"/>
        <v>489</v>
      </c>
      <c r="H1337" s="131">
        <f t="shared" si="199"/>
        <v>753</v>
      </c>
      <c r="I1337" s="8">
        <f t="shared" si="204"/>
        <v>883219</v>
      </c>
      <c r="J1337" s="8">
        <f t="shared" si="198"/>
        <v>883423</v>
      </c>
      <c r="K1337" s="130">
        <v>204</v>
      </c>
      <c r="N1337" s="130">
        <v>198</v>
      </c>
      <c r="O1337" s="130">
        <f t="shared" si="201"/>
        <v>402</v>
      </c>
    </row>
    <row r="1338" spans="1:15">
      <c r="A1338" s="79">
        <v>45895</v>
      </c>
      <c r="B1338" s="8">
        <f t="shared" si="205"/>
        <v>16687</v>
      </c>
      <c r="C1338" s="8">
        <v>16892</v>
      </c>
      <c r="D1338" s="131">
        <f t="shared" si="202"/>
        <v>205</v>
      </c>
      <c r="E1338" s="8">
        <f t="shared" si="203"/>
        <v>16546</v>
      </c>
      <c r="F1338" s="8">
        <v>16778</v>
      </c>
      <c r="G1338" s="130">
        <f t="shared" si="200"/>
        <v>232</v>
      </c>
      <c r="H1338" s="131">
        <f t="shared" si="199"/>
        <v>437</v>
      </c>
      <c r="I1338" s="8">
        <f t="shared" si="204"/>
        <v>883423</v>
      </c>
      <c r="J1338" s="8">
        <f t="shared" si="198"/>
        <v>883620</v>
      </c>
      <c r="K1338" s="130">
        <v>197</v>
      </c>
      <c r="N1338" s="130">
        <v>187</v>
      </c>
      <c r="O1338" s="130">
        <f t="shared" si="201"/>
        <v>384</v>
      </c>
    </row>
    <row r="1339" spans="1:15">
      <c r="A1339" s="79">
        <v>45896</v>
      </c>
      <c r="B1339" s="8">
        <f t="shared" si="205"/>
        <v>16892</v>
      </c>
      <c r="C1339" s="8">
        <v>17152</v>
      </c>
      <c r="D1339" s="131">
        <f t="shared" si="202"/>
        <v>260</v>
      </c>
      <c r="E1339" s="8">
        <f t="shared" si="203"/>
        <v>16778</v>
      </c>
      <c r="F1339" s="8">
        <v>17023</v>
      </c>
      <c r="G1339" s="130">
        <f t="shared" si="200"/>
        <v>245</v>
      </c>
      <c r="H1339" s="131">
        <f t="shared" si="199"/>
        <v>505</v>
      </c>
      <c r="I1339" s="8">
        <f t="shared" si="204"/>
        <v>883620</v>
      </c>
      <c r="J1339" s="8">
        <f t="shared" si="198"/>
        <v>883844</v>
      </c>
      <c r="K1339" s="130">
        <v>224</v>
      </c>
      <c r="N1339" s="130">
        <v>169</v>
      </c>
      <c r="O1339" s="130">
        <f t="shared" si="201"/>
        <v>393</v>
      </c>
    </row>
    <row r="1340" spans="1:15">
      <c r="A1340" s="79">
        <v>45897</v>
      </c>
      <c r="B1340" s="8">
        <f t="shared" si="205"/>
        <v>17152</v>
      </c>
      <c r="C1340" s="8">
        <v>17382</v>
      </c>
      <c r="D1340" s="131">
        <f t="shared" si="202"/>
        <v>230</v>
      </c>
      <c r="E1340" s="8">
        <f t="shared" si="203"/>
        <v>17023</v>
      </c>
      <c r="F1340" s="8">
        <v>17299</v>
      </c>
      <c r="G1340" s="130">
        <f t="shared" si="200"/>
        <v>276</v>
      </c>
      <c r="H1340" s="131">
        <f t="shared" si="199"/>
        <v>506</v>
      </c>
      <c r="I1340" s="8">
        <f t="shared" si="204"/>
        <v>883844</v>
      </c>
      <c r="J1340" s="8">
        <f t="shared" si="198"/>
        <v>884045</v>
      </c>
      <c r="K1340" s="130">
        <v>201</v>
      </c>
      <c r="N1340" s="130">
        <v>258</v>
      </c>
      <c r="O1340" s="130">
        <f t="shared" si="201"/>
        <v>459</v>
      </c>
    </row>
    <row r="1341" spans="1:15">
      <c r="A1341" s="79">
        <v>45898</v>
      </c>
      <c r="B1341" s="8">
        <f t="shared" si="205"/>
        <v>17382</v>
      </c>
      <c r="C1341" s="8">
        <v>17630</v>
      </c>
      <c r="D1341" s="131">
        <f t="shared" si="202"/>
        <v>248</v>
      </c>
      <c r="E1341" s="8">
        <f t="shared" si="203"/>
        <v>17299</v>
      </c>
      <c r="F1341" s="8">
        <v>17590</v>
      </c>
      <c r="G1341" s="130">
        <f t="shared" si="200"/>
        <v>291</v>
      </c>
      <c r="H1341" s="131">
        <f t="shared" si="199"/>
        <v>539</v>
      </c>
      <c r="I1341" s="8">
        <f t="shared" si="204"/>
        <v>884045</v>
      </c>
      <c r="J1341" s="8">
        <f t="shared" si="198"/>
        <v>884260</v>
      </c>
      <c r="K1341" s="130">
        <v>215</v>
      </c>
      <c r="N1341" s="130">
        <v>245</v>
      </c>
      <c r="O1341" s="130">
        <f t="shared" si="201"/>
        <v>460</v>
      </c>
    </row>
    <row r="1342" spans="1:15">
      <c r="A1342" s="79">
        <v>45899</v>
      </c>
      <c r="B1342" s="8">
        <f t="shared" si="205"/>
        <v>17630</v>
      </c>
      <c r="C1342" s="8">
        <v>17845</v>
      </c>
      <c r="D1342" s="131">
        <f t="shared" si="202"/>
        <v>215</v>
      </c>
      <c r="E1342" s="8">
        <f t="shared" si="203"/>
        <v>17590</v>
      </c>
      <c r="F1342" s="8">
        <v>17865</v>
      </c>
      <c r="G1342" s="130">
        <f t="shared" si="200"/>
        <v>275</v>
      </c>
      <c r="H1342" s="131">
        <f t="shared" si="199"/>
        <v>490</v>
      </c>
      <c r="I1342" s="8">
        <f t="shared" si="204"/>
        <v>884260</v>
      </c>
      <c r="J1342" s="8">
        <f t="shared" si="198"/>
        <v>884426</v>
      </c>
      <c r="K1342" s="130">
        <v>166</v>
      </c>
      <c r="N1342" s="130">
        <v>254</v>
      </c>
      <c r="O1342" s="130">
        <f t="shared" si="201"/>
        <v>420</v>
      </c>
    </row>
    <row r="1343" spans="1:15">
      <c r="A1343" s="79">
        <v>45900</v>
      </c>
      <c r="B1343" s="8">
        <f t="shared" si="205"/>
        <v>17845</v>
      </c>
      <c r="C1343" s="8">
        <v>18102</v>
      </c>
      <c r="D1343" s="131">
        <f t="shared" si="202"/>
        <v>257</v>
      </c>
      <c r="E1343" s="8">
        <f t="shared" si="203"/>
        <v>17865</v>
      </c>
      <c r="F1343" s="8">
        <v>18102</v>
      </c>
      <c r="G1343" s="130">
        <f t="shared" si="200"/>
        <v>237</v>
      </c>
      <c r="H1343" s="131">
        <f t="shared" si="199"/>
        <v>494</v>
      </c>
      <c r="I1343" s="8">
        <f t="shared" si="204"/>
        <v>884426</v>
      </c>
      <c r="J1343" s="8">
        <f t="shared" si="198"/>
        <v>884674</v>
      </c>
      <c r="K1343" s="130">
        <v>248</v>
      </c>
      <c r="N1343" s="130">
        <v>192</v>
      </c>
      <c r="O1343" s="130">
        <f t="shared" si="201"/>
        <v>440</v>
      </c>
    </row>
    <row r="1344" spans="1:15">
      <c r="A1344" s="79">
        <v>45901</v>
      </c>
      <c r="B1344" s="8">
        <f t="shared" si="205"/>
        <v>18102</v>
      </c>
      <c r="C1344" s="8">
        <v>18473</v>
      </c>
      <c r="D1344" s="131">
        <f t="shared" si="202"/>
        <v>371</v>
      </c>
      <c r="E1344" s="8">
        <f t="shared" si="203"/>
        <v>18102</v>
      </c>
      <c r="F1344" s="8">
        <v>18727</v>
      </c>
      <c r="G1344" s="130">
        <f t="shared" si="200"/>
        <v>625</v>
      </c>
      <c r="H1344" s="131">
        <f t="shared" si="199"/>
        <v>996</v>
      </c>
      <c r="I1344" s="8">
        <f t="shared" si="204"/>
        <v>884674</v>
      </c>
      <c r="J1344" s="8">
        <f t="shared" si="198"/>
        <v>884889</v>
      </c>
      <c r="K1344" s="130">
        <v>215</v>
      </c>
      <c r="N1344" s="130">
        <v>164</v>
      </c>
      <c r="O1344" s="130">
        <f t="shared" si="201"/>
        <v>379</v>
      </c>
    </row>
    <row r="1345" spans="1:15">
      <c r="A1345" s="79">
        <v>45902</v>
      </c>
      <c r="B1345" s="8">
        <f t="shared" si="205"/>
        <v>18473</v>
      </c>
      <c r="C1345" s="8">
        <v>18673</v>
      </c>
      <c r="D1345" s="131">
        <f t="shared" si="202"/>
        <v>200</v>
      </c>
      <c r="E1345" s="8">
        <f t="shared" si="203"/>
        <v>18727</v>
      </c>
      <c r="F1345" s="8">
        <v>19032</v>
      </c>
      <c r="G1345" s="130">
        <f t="shared" si="200"/>
        <v>305</v>
      </c>
      <c r="H1345" s="131">
        <f t="shared" si="199"/>
        <v>505</v>
      </c>
      <c r="I1345" s="8">
        <f t="shared" si="204"/>
        <v>884889</v>
      </c>
      <c r="J1345" s="8">
        <f t="shared" si="198"/>
        <v>885046</v>
      </c>
      <c r="K1345" s="130">
        <v>157</v>
      </c>
      <c r="N1345" s="130">
        <v>325</v>
      </c>
      <c r="O1345" s="130">
        <f t="shared" si="201"/>
        <v>482</v>
      </c>
    </row>
    <row r="1346" spans="1:15">
      <c r="A1346" s="79">
        <v>45903</v>
      </c>
      <c r="B1346" s="8">
        <f t="shared" si="205"/>
        <v>18673</v>
      </c>
      <c r="C1346" s="8">
        <v>18912</v>
      </c>
      <c r="D1346" s="131">
        <f t="shared" si="202"/>
        <v>239</v>
      </c>
      <c r="E1346" s="8">
        <f t="shared" si="203"/>
        <v>19032</v>
      </c>
      <c r="F1346" s="8">
        <v>19189</v>
      </c>
      <c r="G1346" s="130">
        <f t="shared" si="200"/>
        <v>157</v>
      </c>
      <c r="H1346" s="131">
        <f t="shared" si="199"/>
        <v>396</v>
      </c>
      <c r="I1346" s="8">
        <f t="shared" si="204"/>
        <v>885046</v>
      </c>
      <c r="J1346" s="8">
        <f t="shared" si="198"/>
        <v>885179</v>
      </c>
      <c r="K1346" s="130">
        <v>133</v>
      </c>
      <c r="N1346" s="130">
        <v>198</v>
      </c>
      <c r="O1346" s="130">
        <f t="shared" si="201"/>
        <v>331</v>
      </c>
    </row>
    <row r="1347" spans="1:15">
      <c r="A1347" s="79">
        <v>45904</v>
      </c>
      <c r="B1347" s="8">
        <f t="shared" si="205"/>
        <v>18912</v>
      </c>
      <c r="C1347" s="8">
        <v>19080</v>
      </c>
      <c r="D1347" s="131">
        <f t="shared" si="202"/>
        <v>168</v>
      </c>
      <c r="E1347" s="8">
        <f t="shared" si="203"/>
        <v>19189</v>
      </c>
      <c r="F1347" s="8">
        <v>19371</v>
      </c>
      <c r="G1347" s="130">
        <f t="shared" si="200"/>
        <v>182</v>
      </c>
      <c r="H1347" s="131">
        <f t="shared" si="199"/>
        <v>350</v>
      </c>
      <c r="I1347" s="8">
        <f t="shared" si="204"/>
        <v>885179</v>
      </c>
      <c r="J1347" s="8">
        <f t="shared" si="198"/>
        <v>885333</v>
      </c>
      <c r="K1347" s="130">
        <v>154</v>
      </c>
      <c r="N1347" s="130">
        <v>197</v>
      </c>
      <c r="O1347" s="130">
        <f t="shared" si="201"/>
        <v>351</v>
      </c>
    </row>
    <row r="1348" spans="1:15">
      <c r="A1348" s="79">
        <v>45905</v>
      </c>
      <c r="B1348" s="8">
        <f t="shared" si="205"/>
        <v>19080</v>
      </c>
      <c r="C1348" s="8">
        <v>19260</v>
      </c>
      <c r="D1348" s="131">
        <f t="shared" si="202"/>
        <v>180</v>
      </c>
      <c r="E1348" s="8">
        <f t="shared" si="203"/>
        <v>19371</v>
      </c>
      <c r="F1348" s="8">
        <v>19582</v>
      </c>
      <c r="G1348" s="130">
        <f t="shared" si="200"/>
        <v>211</v>
      </c>
      <c r="H1348" s="131">
        <f t="shared" si="199"/>
        <v>391</v>
      </c>
      <c r="I1348" s="8">
        <f t="shared" si="204"/>
        <v>885333</v>
      </c>
      <c r="J1348" s="8">
        <f t="shared" si="198"/>
        <v>885483</v>
      </c>
      <c r="K1348" s="130">
        <v>150</v>
      </c>
      <c r="N1348" s="130">
        <v>168</v>
      </c>
      <c r="O1348" s="130">
        <f t="shared" si="201"/>
        <v>318</v>
      </c>
    </row>
    <row r="1349" spans="1:15">
      <c r="A1349" s="79">
        <v>45906</v>
      </c>
      <c r="B1349" s="8">
        <f t="shared" si="205"/>
        <v>19260</v>
      </c>
      <c r="C1349" s="8">
        <v>19484</v>
      </c>
      <c r="D1349" s="131">
        <f t="shared" si="202"/>
        <v>224</v>
      </c>
      <c r="E1349" s="8">
        <f t="shared" si="203"/>
        <v>19582</v>
      </c>
      <c r="F1349" s="8">
        <v>19884</v>
      </c>
      <c r="G1349" s="130">
        <f t="shared" si="200"/>
        <v>302</v>
      </c>
      <c r="H1349" s="131">
        <f t="shared" si="199"/>
        <v>526</v>
      </c>
      <c r="I1349" s="8">
        <f t="shared" si="204"/>
        <v>885483</v>
      </c>
      <c r="J1349" s="8">
        <f t="shared" si="198"/>
        <v>885659</v>
      </c>
      <c r="K1349" s="130">
        <v>176</v>
      </c>
      <c r="N1349" s="130">
        <v>198</v>
      </c>
      <c r="O1349" s="130">
        <f t="shared" si="201"/>
        <v>374</v>
      </c>
    </row>
    <row r="1350" spans="1:15">
      <c r="A1350" s="79">
        <v>45907</v>
      </c>
      <c r="B1350" s="8">
        <f t="shared" si="205"/>
        <v>19484</v>
      </c>
      <c r="C1350" s="8">
        <v>19780</v>
      </c>
      <c r="D1350" s="131">
        <f t="shared" si="202"/>
        <v>296</v>
      </c>
      <c r="E1350" s="8">
        <f t="shared" si="203"/>
        <v>19884</v>
      </c>
      <c r="F1350" s="8">
        <v>20220</v>
      </c>
      <c r="G1350" s="130">
        <f t="shared" si="200"/>
        <v>336</v>
      </c>
      <c r="H1350" s="131">
        <f t="shared" si="199"/>
        <v>632</v>
      </c>
      <c r="I1350" s="8">
        <f t="shared" si="204"/>
        <v>885659</v>
      </c>
      <c r="J1350" s="8">
        <f t="shared" si="198"/>
        <v>885841</v>
      </c>
      <c r="K1350" s="130">
        <v>182</v>
      </c>
      <c r="N1350" s="130">
        <v>206</v>
      </c>
      <c r="O1350" s="130">
        <f t="shared" si="201"/>
        <v>388</v>
      </c>
    </row>
    <row r="1351" spans="1:15">
      <c r="A1351" s="79">
        <v>45908</v>
      </c>
      <c r="B1351" s="8">
        <f t="shared" si="205"/>
        <v>19780</v>
      </c>
      <c r="C1351" s="8">
        <v>20084</v>
      </c>
      <c r="D1351" s="131">
        <f t="shared" si="202"/>
        <v>304</v>
      </c>
      <c r="E1351" s="8">
        <f t="shared" si="203"/>
        <v>20220</v>
      </c>
      <c r="F1351" s="8">
        <v>20426</v>
      </c>
      <c r="G1351" s="130">
        <f t="shared" si="200"/>
        <v>206</v>
      </c>
      <c r="H1351" s="131">
        <f t="shared" si="199"/>
        <v>510</v>
      </c>
      <c r="I1351" s="8">
        <f t="shared" si="204"/>
        <v>885841</v>
      </c>
      <c r="J1351" s="8">
        <f t="shared" si="198"/>
        <v>886047</v>
      </c>
      <c r="K1351" s="130">
        <v>206</v>
      </c>
      <c r="N1351" s="130">
        <v>200</v>
      </c>
      <c r="O1351" s="130">
        <f t="shared" si="201"/>
        <v>406</v>
      </c>
    </row>
    <row r="1352" spans="1:15">
      <c r="A1352" s="79">
        <v>45909</v>
      </c>
      <c r="B1352" s="8">
        <f t="shared" si="205"/>
        <v>20084</v>
      </c>
      <c r="C1352" s="8">
        <v>20304</v>
      </c>
      <c r="D1352" s="131">
        <f t="shared" si="202"/>
        <v>220</v>
      </c>
      <c r="E1352" s="8">
        <f t="shared" si="203"/>
        <v>20426</v>
      </c>
      <c r="F1352" s="8">
        <v>20471</v>
      </c>
      <c r="G1352" s="130">
        <f t="shared" si="200"/>
        <v>45</v>
      </c>
      <c r="H1352" s="131">
        <f t="shared" si="199"/>
        <v>265</v>
      </c>
      <c r="I1352" s="8">
        <f t="shared" si="204"/>
        <v>886047</v>
      </c>
      <c r="J1352" s="8">
        <f t="shared" si="198"/>
        <v>886236</v>
      </c>
      <c r="K1352" s="130">
        <v>189</v>
      </c>
      <c r="N1352" s="130">
        <v>198</v>
      </c>
      <c r="O1352" s="130">
        <f t="shared" si="201"/>
        <v>387</v>
      </c>
    </row>
    <row r="1353" spans="1:15">
      <c r="A1353" s="79">
        <v>45910</v>
      </c>
      <c r="B1353" s="8">
        <f t="shared" si="205"/>
        <v>20304</v>
      </c>
      <c r="C1353" s="8">
        <v>20355</v>
      </c>
      <c r="D1353" s="131">
        <f t="shared" si="202"/>
        <v>51</v>
      </c>
      <c r="E1353" s="8">
        <f t="shared" si="203"/>
        <v>20471</v>
      </c>
      <c r="F1353" s="8">
        <v>20681</v>
      </c>
      <c r="G1353" s="130">
        <f t="shared" si="200"/>
        <v>210</v>
      </c>
      <c r="H1353" s="131">
        <f t="shared" si="199"/>
        <v>261</v>
      </c>
      <c r="I1353" s="8">
        <f t="shared" si="204"/>
        <v>886236</v>
      </c>
      <c r="J1353" s="8">
        <f t="shared" si="198"/>
        <v>886371</v>
      </c>
      <c r="K1353" s="130">
        <v>135</v>
      </c>
      <c r="N1353" s="130">
        <v>265</v>
      </c>
      <c r="O1353" s="130">
        <f t="shared" si="201"/>
        <v>400</v>
      </c>
    </row>
    <row r="1354" spans="1:15">
      <c r="A1354" s="79">
        <v>45911</v>
      </c>
      <c r="B1354" s="8">
        <f t="shared" si="205"/>
        <v>20355</v>
      </c>
      <c r="C1354" s="8">
        <v>20570</v>
      </c>
      <c r="D1354" s="131">
        <f t="shared" si="202"/>
        <v>215</v>
      </c>
      <c r="E1354" s="8">
        <f t="shared" si="203"/>
        <v>20681</v>
      </c>
      <c r="F1354" s="8">
        <v>21032</v>
      </c>
      <c r="G1354" s="130">
        <f t="shared" si="200"/>
        <v>351</v>
      </c>
      <c r="H1354" s="131">
        <f t="shared" si="199"/>
        <v>566</v>
      </c>
      <c r="I1354" s="8">
        <f t="shared" si="204"/>
        <v>886371</v>
      </c>
      <c r="J1354" s="8">
        <f t="shared" si="198"/>
        <v>886623</v>
      </c>
      <c r="K1354" s="130">
        <v>252</v>
      </c>
      <c r="N1354" s="130">
        <v>192</v>
      </c>
      <c r="O1354" s="130">
        <f t="shared" si="201"/>
        <v>444</v>
      </c>
    </row>
    <row r="1355" spans="1:15">
      <c r="A1355" s="79">
        <v>45912</v>
      </c>
      <c r="B1355" s="8">
        <f t="shared" si="205"/>
        <v>20570</v>
      </c>
      <c r="C1355" s="8">
        <v>20853</v>
      </c>
      <c r="D1355" s="131">
        <f t="shared" si="202"/>
        <v>283</v>
      </c>
      <c r="E1355" s="8">
        <f t="shared" si="203"/>
        <v>21032</v>
      </c>
      <c r="F1355" s="8">
        <v>21264</v>
      </c>
      <c r="G1355" s="130">
        <f t="shared" si="200"/>
        <v>232</v>
      </c>
      <c r="H1355" s="131">
        <f t="shared" si="199"/>
        <v>515</v>
      </c>
      <c r="I1355" s="8">
        <f t="shared" si="204"/>
        <v>886623</v>
      </c>
      <c r="J1355" s="8">
        <f t="shared" si="198"/>
        <v>886780</v>
      </c>
      <c r="K1355" s="130">
        <v>157</v>
      </c>
      <c r="N1355" s="130">
        <v>198</v>
      </c>
      <c r="O1355" s="130">
        <f t="shared" si="201"/>
        <v>355</v>
      </c>
    </row>
    <row r="1356" spans="1:15">
      <c r="A1356" s="79">
        <v>45913</v>
      </c>
      <c r="B1356" s="8">
        <f t="shared" si="205"/>
        <v>20853</v>
      </c>
      <c r="C1356" s="8">
        <v>21092</v>
      </c>
      <c r="D1356" s="131">
        <f t="shared" si="202"/>
        <v>239</v>
      </c>
      <c r="E1356" s="8">
        <f t="shared" si="203"/>
        <v>21264</v>
      </c>
      <c r="F1356" s="8">
        <v>21343</v>
      </c>
      <c r="G1356" s="130">
        <f t="shared" si="200"/>
        <v>79</v>
      </c>
      <c r="H1356" s="131">
        <f t="shared" si="199"/>
        <v>318</v>
      </c>
      <c r="I1356" s="8">
        <f t="shared" si="204"/>
        <v>886780</v>
      </c>
      <c r="J1356" s="8">
        <f t="shared" si="198"/>
        <v>887022</v>
      </c>
      <c r="K1356" s="130">
        <v>242</v>
      </c>
      <c r="N1356" s="130">
        <v>226</v>
      </c>
      <c r="O1356" s="130">
        <f t="shared" si="201"/>
        <v>468</v>
      </c>
    </row>
    <row r="1357" spans="1:15">
      <c r="A1357" s="79">
        <v>45914</v>
      </c>
      <c r="B1357" s="8">
        <f t="shared" si="205"/>
        <v>21092</v>
      </c>
      <c r="C1357" s="8">
        <v>21281</v>
      </c>
      <c r="D1357" s="131">
        <f t="shared" si="202"/>
        <v>189</v>
      </c>
      <c r="E1357" s="8">
        <f t="shared" si="203"/>
        <v>21343</v>
      </c>
      <c r="F1357" s="8">
        <v>21811</v>
      </c>
      <c r="G1357" s="130">
        <f t="shared" si="200"/>
        <v>468</v>
      </c>
      <c r="H1357" s="131">
        <f t="shared" si="199"/>
        <v>657</v>
      </c>
      <c r="I1357" s="8">
        <f t="shared" si="204"/>
        <v>887022</v>
      </c>
      <c r="J1357" s="8">
        <f t="shared" si="198"/>
        <v>887268</v>
      </c>
      <c r="K1357" s="130">
        <v>246</v>
      </c>
      <c r="N1357" s="130">
        <v>287</v>
      </c>
      <c r="O1357" s="130">
        <f t="shared" si="201"/>
        <v>533</v>
      </c>
    </row>
    <row r="1358" spans="1:15">
      <c r="A1358" s="79">
        <v>45915</v>
      </c>
      <c r="B1358" s="8">
        <f t="shared" si="205"/>
        <v>21281</v>
      </c>
      <c r="C1358" s="8">
        <v>21517</v>
      </c>
      <c r="D1358" s="131">
        <f t="shared" si="202"/>
        <v>236</v>
      </c>
      <c r="E1358" s="8">
        <f t="shared" si="203"/>
        <v>21811</v>
      </c>
      <c r="F1358" s="8">
        <v>22084</v>
      </c>
      <c r="G1358" s="130">
        <f t="shared" si="200"/>
        <v>273</v>
      </c>
      <c r="H1358" s="131">
        <f t="shared" si="199"/>
        <v>509</v>
      </c>
      <c r="I1358" s="8">
        <f t="shared" si="204"/>
        <v>887268</v>
      </c>
      <c r="J1358" s="8">
        <f t="shared" si="198"/>
        <v>887470</v>
      </c>
      <c r="K1358" s="130">
        <v>202</v>
      </c>
      <c r="N1358" s="130">
        <v>280</v>
      </c>
      <c r="O1358" s="130">
        <f t="shared" si="201"/>
        <v>482</v>
      </c>
    </row>
    <row r="1359" spans="1:15">
      <c r="A1359" s="79">
        <v>45916</v>
      </c>
      <c r="B1359" s="8">
        <f t="shared" si="205"/>
        <v>21517</v>
      </c>
      <c r="C1359" s="8">
        <v>21686</v>
      </c>
      <c r="D1359" s="131">
        <f t="shared" si="202"/>
        <v>169</v>
      </c>
      <c r="E1359" s="8">
        <f t="shared" si="203"/>
        <v>22084</v>
      </c>
      <c r="F1359" s="8">
        <v>22308</v>
      </c>
      <c r="G1359" s="130">
        <f t="shared" si="200"/>
        <v>224</v>
      </c>
      <c r="H1359" s="131">
        <f t="shared" si="199"/>
        <v>393</v>
      </c>
      <c r="I1359" s="8">
        <f t="shared" si="204"/>
        <v>887470</v>
      </c>
      <c r="J1359" s="8">
        <f t="shared" si="198"/>
        <v>887624</v>
      </c>
      <c r="K1359" s="130">
        <v>154</v>
      </c>
      <c r="N1359" s="130">
        <v>214</v>
      </c>
      <c r="O1359" s="130">
        <f t="shared" si="201"/>
        <v>368</v>
      </c>
    </row>
    <row r="1360" spans="1:15">
      <c r="A1360" s="79">
        <v>45917</v>
      </c>
      <c r="B1360" s="8">
        <f t="shared" si="205"/>
        <v>21686</v>
      </c>
      <c r="C1360" s="8">
        <v>21889</v>
      </c>
      <c r="D1360" s="131">
        <f t="shared" si="202"/>
        <v>203</v>
      </c>
      <c r="E1360" s="8">
        <f t="shared" si="203"/>
        <v>22308</v>
      </c>
      <c r="F1360" s="8">
        <v>22372</v>
      </c>
      <c r="G1360" s="130">
        <f t="shared" si="200"/>
        <v>64</v>
      </c>
      <c r="H1360" s="131">
        <f t="shared" si="199"/>
        <v>267</v>
      </c>
      <c r="I1360" s="8">
        <f t="shared" si="204"/>
        <v>887624</v>
      </c>
      <c r="J1360" s="8">
        <f t="shared" si="198"/>
        <v>887750</v>
      </c>
      <c r="K1360" s="130">
        <v>126</v>
      </c>
      <c r="N1360" s="130">
        <v>240</v>
      </c>
      <c r="O1360" s="130">
        <f t="shared" si="201"/>
        <v>366</v>
      </c>
    </row>
    <row r="1361" spans="1:15">
      <c r="A1361" s="79">
        <v>45918</v>
      </c>
      <c r="B1361" s="8">
        <f t="shared" si="205"/>
        <v>21889</v>
      </c>
      <c r="C1361" s="8">
        <v>21959</v>
      </c>
      <c r="D1361" s="131">
        <f t="shared" si="202"/>
        <v>70</v>
      </c>
      <c r="E1361" s="8">
        <f t="shared" si="203"/>
        <v>22372</v>
      </c>
      <c r="F1361" s="8">
        <v>22615</v>
      </c>
      <c r="G1361" s="130">
        <f t="shared" si="200"/>
        <v>243</v>
      </c>
      <c r="H1361" s="131">
        <f t="shared" si="199"/>
        <v>313</v>
      </c>
      <c r="I1361" s="8">
        <f t="shared" si="204"/>
        <v>887750</v>
      </c>
      <c r="J1361" s="8">
        <f t="shared" si="198"/>
        <v>887852</v>
      </c>
      <c r="K1361" s="130">
        <v>102</v>
      </c>
      <c r="N1361" s="130">
        <v>240</v>
      </c>
      <c r="O1361" s="130">
        <f t="shared" si="201"/>
        <v>342</v>
      </c>
    </row>
    <row r="1362" spans="1:15">
      <c r="A1362" s="79">
        <v>45919</v>
      </c>
      <c r="B1362" s="8">
        <f t="shared" si="205"/>
        <v>21959</v>
      </c>
      <c r="C1362" s="8">
        <v>22052</v>
      </c>
      <c r="D1362" s="131">
        <f t="shared" si="202"/>
        <v>93</v>
      </c>
      <c r="E1362" s="8">
        <f t="shared" si="203"/>
        <v>22615</v>
      </c>
      <c r="F1362" s="8">
        <v>22826</v>
      </c>
      <c r="G1362" s="130">
        <f t="shared" si="200"/>
        <v>211</v>
      </c>
      <c r="H1362" s="131">
        <f t="shared" si="199"/>
        <v>304</v>
      </c>
      <c r="I1362" s="8">
        <f t="shared" si="204"/>
        <v>887852</v>
      </c>
      <c r="J1362" s="8">
        <f t="shared" si="198"/>
        <v>887950</v>
      </c>
      <c r="K1362" s="130">
        <v>98</v>
      </c>
      <c r="N1362" s="130">
        <v>201</v>
      </c>
      <c r="O1362" s="130">
        <f t="shared" si="201"/>
        <v>299</v>
      </c>
    </row>
    <row r="1363" spans="1:15">
      <c r="A1363" s="79">
        <v>45920</v>
      </c>
      <c r="B1363" s="8">
        <f t="shared" si="205"/>
        <v>22052</v>
      </c>
      <c r="C1363" s="8">
        <v>22246</v>
      </c>
      <c r="D1363" s="131">
        <f t="shared" si="202"/>
        <v>194</v>
      </c>
      <c r="E1363" s="8">
        <f t="shared" si="203"/>
        <v>22826</v>
      </c>
      <c r="F1363" s="8">
        <v>23131</v>
      </c>
      <c r="G1363" s="130">
        <f t="shared" si="200"/>
        <v>305</v>
      </c>
      <c r="H1363" s="131">
        <f t="shared" si="199"/>
        <v>499</v>
      </c>
      <c r="I1363" s="8">
        <f t="shared" si="204"/>
        <v>887950</v>
      </c>
      <c r="J1363" s="8">
        <f t="shared" ref="J1363:J1426" si="206">I1363+K1363</f>
        <v>888170</v>
      </c>
      <c r="K1363" s="130">
        <v>220</v>
      </c>
      <c r="N1363" s="130">
        <v>289</v>
      </c>
      <c r="O1363" s="130">
        <f t="shared" si="201"/>
        <v>509</v>
      </c>
    </row>
    <row r="1364" spans="1:15">
      <c r="A1364" s="79">
        <v>45921</v>
      </c>
      <c r="B1364" s="8">
        <f t="shared" si="205"/>
        <v>22246</v>
      </c>
      <c r="C1364" s="8">
        <v>22246</v>
      </c>
      <c r="D1364" s="131">
        <f t="shared" si="202"/>
        <v>0</v>
      </c>
      <c r="E1364" s="8">
        <f t="shared" si="203"/>
        <v>23131</v>
      </c>
      <c r="F1364" s="8">
        <v>23327</v>
      </c>
      <c r="G1364" s="130">
        <f t="shared" si="200"/>
        <v>196</v>
      </c>
      <c r="H1364" s="131">
        <f t="shared" si="199"/>
        <v>196</v>
      </c>
      <c r="I1364" s="8">
        <f t="shared" si="204"/>
        <v>888170</v>
      </c>
      <c r="J1364" s="8">
        <f t="shared" si="206"/>
        <v>888315</v>
      </c>
      <c r="K1364" s="130">
        <v>145</v>
      </c>
      <c r="N1364" s="130">
        <v>192</v>
      </c>
      <c r="O1364" s="130">
        <f t="shared" si="201"/>
        <v>337</v>
      </c>
    </row>
    <row r="1365" spans="1:15">
      <c r="A1365" s="79">
        <v>45922</v>
      </c>
      <c r="B1365" s="8">
        <f t="shared" si="205"/>
        <v>22246</v>
      </c>
      <c r="C1365" s="8">
        <v>22246</v>
      </c>
      <c r="D1365" s="131">
        <f t="shared" si="202"/>
        <v>0</v>
      </c>
      <c r="E1365" s="8">
        <f t="shared" si="203"/>
        <v>23327</v>
      </c>
      <c r="F1365" s="8">
        <v>23537</v>
      </c>
      <c r="G1365" s="130">
        <f t="shared" si="200"/>
        <v>210</v>
      </c>
      <c r="H1365" s="131">
        <f t="shared" si="199"/>
        <v>210</v>
      </c>
      <c r="I1365" s="8">
        <f t="shared" si="204"/>
        <v>888315</v>
      </c>
      <c r="J1365" s="8">
        <f t="shared" si="206"/>
        <v>888447</v>
      </c>
      <c r="K1365" s="130">
        <v>132</v>
      </c>
      <c r="N1365" s="130">
        <v>87</v>
      </c>
      <c r="O1365" s="130">
        <f t="shared" si="201"/>
        <v>219</v>
      </c>
    </row>
    <row r="1366" spans="1:15">
      <c r="A1366" s="79">
        <v>45923</v>
      </c>
      <c r="B1366" s="8">
        <f t="shared" si="205"/>
        <v>22246</v>
      </c>
      <c r="C1366" s="8">
        <v>22246</v>
      </c>
      <c r="D1366" s="131">
        <f t="shared" si="202"/>
        <v>0</v>
      </c>
      <c r="E1366" s="8">
        <f t="shared" si="203"/>
        <v>23537</v>
      </c>
      <c r="F1366" s="8">
        <v>23710</v>
      </c>
      <c r="G1366" s="130">
        <f t="shared" si="200"/>
        <v>173</v>
      </c>
      <c r="H1366" s="131">
        <f t="shared" si="199"/>
        <v>173</v>
      </c>
      <c r="I1366" s="8">
        <f t="shared" si="204"/>
        <v>888447</v>
      </c>
      <c r="J1366" s="8">
        <f t="shared" si="206"/>
        <v>888701</v>
      </c>
      <c r="K1366" s="130">
        <v>254</v>
      </c>
      <c r="N1366" s="130">
        <v>76</v>
      </c>
      <c r="O1366" s="130">
        <f t="shared" si="201"/>
        <v>330</v>
      </c>
    </row>
    <row r="1367" spans="1:15">
      <c r="A1367" s="79">
        <v>45924</v>
      </c>
      <c r="B1367" s="8">
        <f t="shared" si="205"/>
        <v>22246</v>
      </c>
      <c r="C1367" s="8">
        <v>22246</v>
      </c>
      <c r="D1367" s="131">
        <f t="shared" si="202"/>
        <v>0</v>
      </c>
      <c r="E1367" s="8">
        <f t="shared" si="203"/>
        <v>23710</v>
      </c>
      <c r="F1367" s="8">
        <v>23996</v>
      </c>
      <c r="G1367" s="130">
        <f t="shared" si="200"/>
        <v>286</v>
      </c>
      <c r="H1367" s="131">
        <f t="shared" si="199"/>
        <v>286</v>
      </c>
      <c r="I1367" s="8">
        <f t="shared" si="204"/>
        <v>888701</v>
      </c>
      <c r="J1367" s="8">
        <f t="shared" si="206"/>
        <v>888848</v>
      </c>
      <c r="K1367" s="130">
        <v>147</v>
      </c>
      <c r="N1367" s="130">
        <v>192</v>
      </c>
      <c r="O1367" s="130">
        <f t="shared" si="201"/>
        <v>339</v>
      </c>
    </row>
    <row r="1368" spans="1:15">
      <c r="A1368" s="79">
        <v>45925</v>
      </c>
      <c r="B1368" s="8">
        <f t="shared" si="205"/>
        <v>22246</v>
      </c>
      <c r="C1368" s="8">
        <v>22246</v>
      </c>
      <c r="D1368" s="131">
        <f t="shared" si="202"/>
        <v>0</v>
      </c>
      <c r="E1368" s="8">
        <f t="shared" si="203"/>
        <v>23996</v>
      </c>
      <c r="F1368" s="8">
        <v>24154</v>
      </c>
      <c r="G1368" s="130">
        <f t="shared" si="200"/>
        <v>158</v>
      </c>
      <c r="H1368" s="131">
        <f t="shared" si="199"/>
        <v>158</v>
      </c>
      <c r="I1368" s="8">
        <f t="shared" si="204"/>
        <v>888848</v>
      </c>
      <c r="J1368" s="8">
        <f t="shared" si="206"/>
        <v>889113</v>
      </c>
      <c r="K1368" s="130">
        <v>265</v>
      </c>
      <c r="N1368" s="130">
        <v>112</v>
      </c>
      <c r="O1368" s="130">
        <f t="shared" si="201"/>
        <v>377</v>
      </c>
    </row>
    <row r="1369" spans="1:15">
      <c r="A1369" s="79">
        <v>45926</v>
      </c>
      <c r="B1369" s="8">
        <f t="shared" si="205"/>
        <v>22246</v>
      </c>
      <c r="C1369" s="8">
        <v>22246</v>
      </c>
      <c r="D1369" s="131">
        <f t="shared" si="202"/>
        <v>0</v>
      </c>
      <c r="E1369" s="8">
        <f t="shared" si="203"/>
        <v>24154</v>
      </c>
      <c r="F1369" s="8">
        <v>24386</v>
      </c>
      <c r="G1369" s="130">
        <f t="shared" si="200"/>
        <v>232</v>
      </c>
      <c r="H1369" s="131">
        <f t="shared" si="199"/>
        <v>232</v>
      </c>
      <c r="I1369" s="8">
        <f t="shared" si="204"/>
        <v>889113</v>
      </c>
      <c r="J1369" s="8">
        <f t="shared" si="206"/>
        <v>889371</v>
      </c>
      <c r="K1369" s="130">
        <v>258</v>
      </c>
      <c r="N1369" s="130">
        <v>256</v>
      </c>
      <c r="O1369" s="130">
        <f t="shared" si="201"/>
        <v>514</v>
      </c>
    </row>
    <row r="1370" spans="1:15">
      <c r="A1370" s="79">
        <v>45927</v>
      </c>
      <c r="B1370" s="8">
        <f t="shared" si="205"/>
        <v>22246</v>
      </c>
      <c r="C1370" s="8">
        <v>22246</v>
      </c>
      <c r="D1370" s="131">
        <f t="shared" si="202"/>
        <v>0</v>
      </c>
      <c r="E1370" s="8">
        <f t="shared" si="203"/>
        <v>24386</v>
      </c>
      <c r="F1370" s="8">
        <v>24614</v>
      </c>
      <c r="G1370" s="130">
        <f t="shared" si="200"/>
        <v>228</v>
      </c>
      <c r="H1370" s="131">
        <f t="shared" si="199"/>
        <v>228</v>
      </c>
      <c r="I1370" s="8">
        <f t="shared" si="204"/>
        <v>889371</v>
      </c>
      <c r="J1370" s="8">
        <f t="shared" si="206"/>
        <v>889527</v>
      </c>
      <c r="K1370" s="130">
        <v>156</v>
      </c>
      <c r="N1370" s="130">
        <v>258</v>
      </c>
      <c r="O1370" s="130">
        <f t="shared" si="201"/>
        <v>414</v>
      </c>
    </row>
    <row r="1371" spans="1:15">
      <c r="A1371" s="79">
        <v>45928</v>
      </c>
      <c r="B1371" s="8">
        <f t="shared" si="205"/>
        <v>22246</v>
      </c>
      <c r="C1371" s="8">
        <v>22246</v>
      </c>
      <c r="D1371" s="131">
        <f t="shared" si="202"/>
        <v>0</v>
      </c>
      <c r="E1371" s="8">
        <f t="shared" si="203"/>
        <v>24614</v>
      </c>
      <c r="F1371" s="8">
        <v>24996</v>
      </c>
      <c r="G1371" s="130">
        <f t="shared" si="200"/>
        <v>382</v>
      </c>
      <c r="H1371" s="131">
        <f t="shared" si="199"/>
        <v>382</v>
      </c>
      <c r="I1371" s="8">
        <f t="shared" si="204"/>
        <v>889527</v>
      </c>
      <c r="J1371" s="8">
        <f t="shared" si="206"/>
        <v>889724</v>
      </c>
      <c r="K1371" s="130">
        <v>197</v>
      </c>
      <c r="N1371" s="130">
        <v>198</v>
      </c>
      <c r="O1371" s="130">
        <f t="shared" si="201"/>
        <v>395</v>
      </c>
    </row>
    <row r="1372" spans="1:15">
      <c r="A1372" s="79">
        <v>45929</v>
      </c>
      <c r="B1372" s="8">
        <f t="shared" si="205"/>
        <v>22246</v>
      </c>
      <c r="C1372" s="8">
        <v>22246</v>
      </c>
      <c r="D1372" s="131">
        <f t="shared" si="202"/>
        <v>0</v>
      </c>
      <c r="E1372" s="8">
        <f t="shared" si="203"/>
        <v>24996</v>
      </c>
      <c r="F1372" s="8">
        <v>25204</v>
      </c>
      <c r="G1372" s="130">
        <f t="shared" si="200"/>
        <v>208</v>
      </c>
      <c r="H1372" s="131">
        <f t="shared" si="199"/>
        <v>208</v>
      </c>
      <c r="I1372" s="8">
        <f t="shared" si="204"/>
        <v>889724</v>
      </c>
      <c r="J1372" s="8">
        <f t="shared" si="206"/>
        <v>889978</v>
      </c>
      <c r="K1372" s="130">
        <v>254</v>
      </c>
      <c r="N1372" s="130">
        <v>187</v>
      </c>
      <c r="O1372" s="130">
        <f t="shared" si="201"/>
        <v>441</v>
      </c>
    </row>
    <row r="1373" spans="1:15">
      <c r="A1373" s="79">
        <v>45930</v>
      </c>
      <c r="B1373" s="8">
        <f t="shared" si="205"/>
        <v>22246</v>
      </c>
      <c r="C1373" s="8">
        <v>22561</v>
      </c>
      <c r="D1373" s="131">
        <f t="shared" si="202"/>
        <v>315</v>
      </c>
      <c r="E1373" s="8">
        <f t="shared" si="203"/>
        <v>25204</v>
      </c>
      <c r="F1373" s="8">
        <v>25434</v>
      </c>
      <c r="G1373" s="130">
        <f t="shared" si="200"/>
        <v>230</v>
      </c>
      <c r="H1373" s="131">
        <f t="shared" si="199"/>
        <v>545</v>
      </c>
      <c r="I1373" s="8">
        <f t="shared" si="204"/>
        <v>889978</v>
      </c>
      <c r="J1373" s="8">
        <f t="shared" si="206"/>
        <v>890214</v>
      </c>
      <c r="K1373" s="130">
        <v>236</v>
      </c>
      <c r="N1373" s="130">
        <v>173</v>
      </c>
      <c r="O1373" s="130">
        <f t="shared" si="201"/>
        <v>409</v>
      </c>
    </row>
    <row r="1374" spans="1:15">
      <c r="A1374" s="79">
        <v>45931</v>
      </c>
      <c r="B1374" s="8">
        <f t="shared" si="205"/>
        <v>22561</v>
      </c>
      <c r="C1374" s="8">
        <v>22516</v>
      </c>
      <c r="D1374" s="131">
        <f t="shared" si="202"/>
        <v>-45</v>
      </c>
      <c r="E1374" s="8">
        <f t="shared" si="203"/>
        <v>25434</v>
      </c>
      <c r="F1374" s="8">
        <v>25703</v>
      </c>
      <c r="G1374" s="130">
        <f t="shared" si="200"/>
        <v>269</v>
      </c>
      <c r="H1374" s="131">
        <f t="shared" si="199"/>
        <v>224</v>
      </c>
      <c r="I1374" s="8">
        <f t="shared" si="204"/>
        <v>890214</v>
      </c>
      <c r="J1374" s="8">
        <f t="shared" si="206"/>
        <v>890461</v>
      </c>
      <c r="K1374" s="130">
        <v>247</v>
      </c>
      <c r="N1374" s="130">
        <v>156</v>
      </c>
      <c r="O1374" s="130">
        <f t="shared" si="201"/>
        <v>403</v>
      </c>
    </row>
    <row r="1375" spans="1:15">
      <c r="A1375" s="79">
        <v>45932</v>
      </c>
      <c r="B1375" s="8">
        <f t="shared" si="205"/>
        <v>22516</v>
      </c>
      <c r="C1375" s="8">
        <v>22516</v>
      </c>
      <c r="D1375" s="131">
        <f t="shared" si="202"/>
        <v>0</v>
      </c>
      <c r="E1375" s="8">
        <f t="shared" si="203"/>
        <v>25703</v>
      </c>
      <c r="F1375" s="8">
        <v>25901</v>
      </c>
      <c r="G1375" s="130">
        <f t="shared" si="200"/>
        <v>198</v>
      </c>
      <c r="H1375" s="131">
        <f t="shared" si="199"/>
        <v>198</v>
      </c>
      <c r="I1375" s="8">
        <f t="shared" si="204"/>
        <v>890461</v>
      </c>
      <c r="J1375" s="8">
        <f t="shared" si="206"/>
        <v>890566</v>
      </c>
      <c r="K1375" s="130">
        <v>105</v>
      </c>
      <c r="N1375" s="130">
        <v>182</v>
      </c>
      <c r="O1375" s="130">
        <f t="shared" si="201"/>
        <v>287</v>
      </c>
    </row>
    <row r="1376" spans="1:15">
      <c r="A1376" s="79">
        <v>45933</v>
      </c>
      <c r="B1376" s="8">
        <f t="shared" si="205"/>
        <v>22516</v>
      </c>
      <c r="C1376" s="8">
        <v>22561</v>
      </c>
      <c r="D1376" s="131">
        <f t="shared" si="202"/>
        <v>45</v>
      </c>
      <c r="E1376" s="8">
        <f t="shared" si="203"/>
        <v>25901</v>
      </c>
      <c r="F1376" s="8">
        <v>26187</v>
      </c>
      <c r="G1376" s="130">
        <f t="shared" si="200"/>
        <v>286</v>
      </c>
      <c r="H1376" s="131">
        <f t="shared" si="199"/>
        <v>331</v>
      </c>
      <c r="I1376" s="8">
        <f t="shared" si="204"/>
        <v>890566</v>
      </c>
      <c r="J1376" s="8">
        <f t="shared" si="206"/>
        <v>890822</v>
      </c>
      <c r="K1376" s="130">
        <v>256</v>
      </c>
      <c r="N1376" s="130">
        <v>196</v>
      </c>
      <c r="O1376" s="130">
        <f t="shared" si="201"/>
        <v>452</v>
      </c>
    </row>
    <row r="1377" spans="1:15">
      <c r="A1377" s="79">
        <v>45934</v>
      </c>
      <c r="B1377" s="8">
        <f t="shared" si="205"/>
        <v>22561</v>
      </c>
      <c r="C1377" s="8">
        <v>22647</v>
      </c>
      <c r="D1377" s="131">
        <f t="shared" si="202"/>
        <v>86</v>
      </c>
      <c r="E1377" s="8">
        <f t="shared" si="203"/>
        <v>26187</v>
      </c>
      <c r="F1377" s="8">
        <v>26454</v>
      </c>
      <c r="G1377" s="130">
        <f t="shared" si="200"/>
        <v>267</v>
      </c>
      <c r="H1377" s="131">
        <f t="shared" si="199"/>
        <v>353</v>
      </c>
      <c r="I1377" s="8">
        <f t="shared" si="204"/>
        <v>890822</v>
      </c>
      <c r="J1377" s="8">
        <f t="shared" si="206"/>
        <v>891047</v>
      </c>
      <c r="K1377" s="130">
        <v>225</v>
      </c>
      <c r="N1377" s="130">
        <v>178</v>
      </c>
      <c r="O1377" s="130">
        <f t="shared" si="201"/>
        <v>403</v>
      </c>
    </row>
    <row r="1378" spans="1:15">
      <c r="A1378" s="79">
        <v>45935</v>
      </c>
      <c r="B1378" s="8">
        <f t="shared" si="205"/>
        <v>22647</v>
      </c>
      <c r="C1378" s="8">
        <v>22676</v>
      </c>
      <c r="D1378" s="131">
        <f t="shared" si="202"/>
        <v>29</v>
      </c>
      <c r="E1378" s="8">
        <f t="shared" si="203"/>
        <v>26454</v>
      </c>
      <c r="F1378" s="8">
        <v>26692</v>
      </c>
      <c r="G1378" s="130">
        <f t="shared" si="200"/>
        <v>238</v>
      </c>
      <c r="H1378" s="131">
        <f t="shared" si="199"/>
        <v>267</v>
      </c>
      <c r="I1378" s="8">
        <f t="shared" si="204"/>
        <v>891047</v>
      </c>
      <c r="J1378" s="8">
        <f t="shared" si="206"/>
        <v>891292</v>
      </c>
      <c r="K1378" s="130">
        <v>245</v>
      </c>
      <c r="N1378" s="130">
        <v>165</v>
      </c>
      <c r="O1378" s="130">
        <f t="shared" si="201"/>
        <v>410</v>
      </c>
    </row>
    <row r="1379" spans="1:15">
      <c r="A1379" s="79">
        <v>45936</v>
      </c>
      <c r="B1379" s="8">
        <f t="shared" si="205"/>
        <v>22676</v>
      </c>
      <c r="C1379" s="8">
        <v>22681</v>
      </c>
      <c r="D1379" s="131">
        <f t="shared" si="202"/>
        <v>5</v>
      </c>
      <c r="E1379" s="8">
        <f t="shared" si="203"/>
        <v>26692</v>
      </c>
      <c r="F1379" s="8">
        <v>26918</v>
      </c>
      <c r="G1379" s="130">
        <f t="shared" si="200"/>
        <v>226</v>
      </c>
      <c r="H1379" s="131">
        <f t="shared" ref="H1379:H1442" si="207">D1379+G1379</f>
        <v>231</v>
      </c>
      <c r="I1379" s="8">
        <f t="shared" si="204"/>
        <v>891292</v>
      </c>
      <c r="J1379" s="8">
        <f t="shared" si="206"/>
        <v>891448</v>
      </c>
      <c r="K1379" s="130">
        <v>156</v>
      </c>
      <c r="N1379" s="130">
        <v>192</v>
      </c>
      <c r="O1379" s="130">
        <f t="shared" si="201"/>
        <v>348</v>
      </c>
    </row>
    <row r="1380" spans="1:15">
      <c r="A1380" s="79">
        <v>45937</v>
      </c>
      <c r="B1380" s="8">
        <f t="shared" si="205"/>
        <v>22681</v>
      </c>
      <c r="C1380" s="8">
        <v>22681</v>
      </c>
      <c r="D1380" s="131">
        <f t="shared" si="202"/>
        <v>0</v>
      </c>
      <c r="E1380" s="8">
        <f t="shared" si="203"/>
        <v>26918</v>
      </c>
      <c r="F1380" s="8">
        <v>27153</v>
      </c>
      <c r="G1380" s="130">
        <f t="shared" si="200"/>
        <v>235</v>
      </c>
      <c r="H1380" s="131">
        <f t="shared" si="207"/>
        <v>235</v>
      </c>
      <c r="I1380" s="8">
        <f t="shared" si="204"/>
        <v>891448</v>
      </c>
      <c r="J1380" s="8">
        <f t="shared" si="206"/>
        <v>891595</v>
      </c>
      <c r="K1380" s="130">
        <v>147</v>
      </c>
      <c r="N1380" s="130">
        <v>235</v>
      </c>
      <c r="O1380" s="130">
        <f t="shared" si="201"/>
        <v>382</v>
      </c>
    </row>
    <row r="1381" spans="1:15">
      <c r="A1381" s="79">
        <v>45938</v>
      </c>
      <c r="B1381" s="8">
        <f t="shared" si="205"/>
        <v>22681</v>
      </c>
      <c r="C1381" s="8">
        <v>22681</v>
      </c>
      <c r="D1381" s="131">
        <f t="shared" si="202"/>
        <v>0</v>
      </c>
      <c r="E1381" s="8">
        <f t="shared" si="203"/>
        <v>27153</v>
      </c>
      <c r="F1381" s="8">
        <v>27333</v>
      </c>
      <c r="G1381" s="130">
        <f t="shared" ref="G1381:G1444" si="208">F1381-E1381</f>
        <v>180</v>
      </c>
      <c r="H1381" s="131">
        <f t="shared" si="207"/>
        <v>180</v>
      </c>
      <c r="I1381" s="8">
        <f t="shared" si="204"/>
        <v>891595</v>
      </c>
      <c r="J1381" s="8">
        <f t="shared" si="206"/>
        <v>891760</v>
      </c>
      <c r="K1381" s="130">
        <v>165</v>
      </c>
      <c r="N1381" s="130">
        <v>235</v>
      </c>
      <c r="O1381" s="130">
        <f t="shared" ref="O1381:O1437" si="209">N1381+K1381</f>
        <v>400</v>
      </c>
    </row>
    <row r="1382" spans="1:15">
      <c r="A1382" s="79">
        <v>45939</v>
      </c>
      <c r="B1382" s="8">
        <f t="shared" si="205"/>
        <v>22681</v>
      </c>
      <c r="C1382" s="8">
        <v>22844</v>
      </c>
      <c r="D1382" s="131">
        <f t="shared" ref="D1382:D1445" si="210">C1382-B1382</f>
        <v>163</v>
      </c>
      <c r="E1382" s="8">
        <f t="shared" ref="E1382:E1445" si="211">F1381</f>
        <v>27333</v>
      </c>
      <c r="F1382" s="8">
        <v>27503</v>
      </c>
      <c r="G1382" s="130">
        <f t="shared" si="208"/>
        <v>170</v>
      </c>
      <c r="H1382" s="131">
        <f t="shared" si="207"/>
        <v>333</v>
      </c>
      <c r="I1382" s="8">
        <f t="shared" ref="I1382:I1445" si="212">J1381</f>
        <v>891760</v>
      </c>
      <c r="J1382" s="8">
        <f t="shared" si="206"/>
        <v>891931</v>
      </c>
      <c r="K1382" s="130">
        <v>171</v>
      </c>
      <c r="N1382" s="130">
        <v>225</v>
      </c>
      <c r="O1382" s="130">
        <f t="shared" si="209"/>
        <v>396</v>
      </c>
    </row>
    <row r="1383" spans="1:15">
      <c r="A1383" s="79">
        <v>45940</v>
      </c>
      <c r="B1383" s="8">
        <f t="shared" si="205"/>
        <v>22844</v>
      </c>
      <c r="C1383" s="8">
        <v>23011</v>
      </c>
      <c r="D1383" s="131">
        <f t="shared" si="210"/>
        <v>167</v>
      </c>
      <c r="E1383" s="8">
        <f t="shared" si="211"/>
        <v>27503</v>
      </c>
      <c r="F1383" s="8">
        <v>27809</v>
      </c>
      <c r="G1383" s="130">
        <f t="shared" si="208"/>
        <v>306</v>
      </c>
      <c r="H1383" s="131">
        <f t="shared" si="207"/>
        <v>473</v>
      </c>
      <c r="I1383" s="8">
        <f t="shared" si="212"/>
        <v>891931</v>
      </c>
      <c r="J1383" s="8">
        <f t="shared" si="206"/>
        <v>892089</v>
      </c>
      <c r="K1383" s="130">
        <v>158</v>
      </c>
      <c r="N1383" s="130">
        <v>201</v>
      </c>
      <c r="O1383" s="130">
        <f t="shared" si="209"/>
        <v>359</v>
      </c>
    </row>
    <row r="1384" spans="1:15">
      <c r="A1384" s="79">
        <v>45941</v>
      </c>
      <c r="B1384" s="8">
        <f t="shared" si="205"/>
        <v>23011</v>
      </c>
      <c r="C1384" s="8">
        <v>23345</v>
      </c>
      <c r="D1384" s="131">
        <f t="shared" si="210"/>
        <v>334</v>
      </c>
      <c r="E1384" s="8">
        <f t="shared" si="211"/>
        <v>27809</v>
      </c>
      <c r="F1384" s="8">
        <v>28023</v>
      </c>
      <c r="G1384" s="130">
        <f t="shared" si="208"/>
        <v>214</v>
      </c>
      <c r="H1384" s="131">
        <f t="shared" si="207"/>
        <v>548</v>
      </c>
      <c r="I1384" s="8">
        <f t="shared" si="212"/>
        <v>892089</v>
      </c>
      <c r="J1384" s="8">
        <f t="shared" si="206"/>
        <v>892314</v>
      </c>
      <c r="K1384" s="130">
        <v>225</v>
      </c>
      <c r="N1384" s="130">
        <v>223</v>
      </c>
      <c r="O1384" s="130">
        <f t="shared" si="209"/>
        <v>448</v>
      </c>
    </row>
    <row r="1385" spans="1:15">
      <c r="A1385" s="79">
        <v>45942</v>
      </c>
      <c r="B1385" s="8">
        <f t="shared" si="205"/>
        <v>23345</v>
      </c>
      <c r="C1385" s="8">
        <v>23645</v>
      </c>
      <c r="D1385" s="131">
        <f t="shared" si="210"/>
        <v>300</v>
      </c>
      <c r="E1385" s="8">
        <f t="shared" si="211"/>
        <v>28023</v>
      </c>
      <c r="F1385" s="8">
        <v>28346</v>
      </c>
      <c r="G1385" s="130">
        <f t="shared" si="208"/>
        <v>323</v>
      </c>
      <c r="H1385" s="131">
        <f t="shared" si="207"/>
        <v>623</v>
      </c>
      <c r="I1385" s="8">
        <f t="shared" si="212"/>
        <v>892314</v>
      </c>
      <c r="J1385" s="8">
        <f t="shared" si="206"/>
        <v>892545</v>
      </c>
      <c r="K1385" s="130">
        <v>231</v>
      </c>
      <c r="N1385" s="130">
        <v>189</v>
      </c>
      <c r="O1385" s="130">
        <f t="shared" si="209"/>
        <v>420</v>
      </c>
    </row>
    <row r="1386" spans="1:15">
      <c r="A1386" s="79">
        <v>45943</v>
      </c>
      <c r="B1386" s="8">
        <f t="shared" si="205"/>
        <v>23645</v>
      </c>
      <c r="C1386" s="8">
        <v>23896</v>
      </c>
      <c r="D1386" s="131">
        <f t="shared" si="210"/>
        <v>251</v>
      </c>
      <c r="E1386" s="8">
        <f t="shared" si="211"/>
        <v>28346</v>
      </c>
      <c r="F1386" s="8">
        <v>28586</v>
      </c>
      <c r="G1386" s="130">
        <f t="shared" si="208"/>
        <v>240</v>
      </c>
      <c r="H1386" s="131">
        <f t="shared" si="207"/>
        <v>491</v>
      </c>
      <c r="I1386" s="8">
        <f t="shared" si="212"/>
        <v>892545</v>
      </c>
      <c r="J1386" s="8">
        <f t="shared" si="206"/>
        <v>892647</v>
      </c>
      <c r="K1386" s="130">
        <v>102</v>
      </c>
      <c r="N1386" s="130">
        <v>236</v>
      </c>
      <c r="O1386" s="130">
        <f t="shared" si="209"/>
        <v>338</v>
      </c>
    </row>
    <row r="1387" spans="1:15">
      <c r="A1387" s="79">
        <v>45944</v>
      </c>
      <c r="B1387" s="8">
        <f t="shared" si="205"/>
        <v>23896</v>
      </c>
      <c r="C1387" s="8">
        <v>24116</v>
      </c>
      <c r="D1387" s="131">
        <f t="shared" si="210"/>
        <v>220</v>
      </c>
      <c r="E1387" s="8">
        <f t="shared" si="211"/>
        <v>28586</v>
      </c>
      <c r="F1387" s="8">
        <v>28730</v>
      </c>
      <c r="G1387" s="130">
        <f t="shared" si="208"/>
        <v>144</v>
      </c>
      <c r="H1387" s="131">
        <f t="shared" si="207"/>
        <v>364</v>
      </c>
      <c r="I1387" s="8">
        <f t="shared" si="212"/>
        <v>892647</v>
      </c>
      <c r="J1387" s="8">
        <f t="shared" si="206"/>
        <v>892794</v>
      </c>
      <c r="K1387" s="130">
        <v>147</v>
      </c>
      <c r="N1387" s="130">
        <v>287</v>
      </c>
      <c r="O1387" s="130">
        <f t="shared" si="209"/>
        <v>434</v>
      </c>
    </row>
    <row r="1388" spans="1:15">
      <c r="A1388" s="79">
        <v>45945</v>
      </c>
      <c r="B1388" s="8">
        <f t="shared" si="205"/>
        <v>24116</v>
      </c>
      <c r="C1388" s="8">
        <v>24330</v>
      </c>
      <c r="D1388" s="131">
        <f t="shared" si="210"/>
        <v>214</v>
      </c>
      <c r="E1388" s="8">
        <f t="shared" si="211"/>
        <v>28730</v>
      </c>
      <c r="F1388" s="8">
        <v>28925</v>
      </c>
      <c r="G1388" s="130">
        <f t="shared" si="208"/>
        <v>195</v>
      </c>
      <c r="H1388" s="131">
        <f t="shared" si="207"/>
        <v>409</v>
      </c>
      <c r="I1388" s="8">
        <f t="shared" si="212"/>
        <v>892794</v>
      </c>
      <c r="J1388" s="8">
        <f t="shared" si="206"/>
        <v>893017</v>
      </c>
      <c r="K1388" s="130">
        <v>223</v>
      </c>
      <c r="N1388" s="130">
        <v>156</v>
      </c>
      <c r="O1388" s="130">
        <f t="shared" si="209"/>
        <v>379</v>
      </c>
    </row>
    <row r="1389" spans="1:15">
      <c r="A1389" s="79">
        <v>45946</v>
      </c>
      <c r="B1389" s="8">
        <f t="shared" si="205"/>
        <v>24330</v>
      </c>
      <c r="C1389" s="8">
        <v>24615</v>
      </c>
      <c r="D1389" s="131">
        <f t="shared" si="210"/>
        <v>285</v>
      </c>
      <c r="E1389" s="8">
        <f t="shared" si="211"/>
        <v>28925</v>
      </c>
      <c r="F1389" s="8">
        <v>29164</v>
      </c>
      <c r="G1389" s="130">
        <f t="shared" si="208"/>
        <v>239</v>
      </c>
      <c r="H1389" s="131">
        <f t="shared" si="207"/>
        <v>524</v>
      </c>
      <c r="I1389" s="8">
        <f t="shared" si="212"/>
        <v>893017</v>
      </c>
      <c r="J1389" s="8">
        <f t="shared" si="206"/>
        <v>893242</v>
      </c>
      <c r="K1389" s="130">
        <v>225</v>
      </c>
      <c r="N1389" s="130">
        <v>179</v>
      </c>
      <c r="O1389" s="130">
        <f t="shared" si="209"/>
        <v>404</v>
      </c>
    </row>
    <row r="1390" spans="1:15">
      <c r="A1390" s="79">
        <v>45947</v>
      </c>
      <c r="B1390" s="8">
        <f t="shared" si="205"/>
        <v>24615</v>
      </c>
      <c r="C1390" s="8">
        <v>24812</v>
      </c>
      <c r="D1390" s="131">
        <f t="shared" si="210"/>
        <v>197</v>
      </c>
      <c r="E1390" s="8">
        <f t="shared" si="211"/>
        <v>29164</v>
      </c>
      <c r="F1390" s="8">
        <v>29415</v>
      </c>
      <c r="G1390" s="130">
        <f t="shared" si="208"/>
        <v>251</v>
      </c>
      <c r="H1390" s="131">
        <f t="shared" si="207"/>
        <v>448</v>
      </c>
      <c r="I1390" s="8">
        <f t="shared" si="212"/>
        <v>893242</v>
      </c>
      <c r="J1390" s="8">
        <f t="shared" si="206"/>
        <v>893387</v>
      </c>
      <c r="K1390" s="130">
        <v>145</v>
      </c>
      <c r="N1390" s="130">
        <v>194</v>
      </c>
      <c r="O1390" s="130">
        <f t="shared" si="209"/>
        <v>339</v>
      </c>
    </row>
    <row r="1391" spans="1:15">
      <c r="A1391" s="79">
        <v>45948</v>
      </c>
      <c r="B1391" s="8">
        <f t="shared" si="205"/>
        <v>24812</v>
      </c>
      <c r="C1391" s="8">
        <v>25081</v>
      </c>
      <c r="D1391" s="131">
        <f t="shared" si="210"/>
        <v>269</v>
      </c>
      <c r="E1391" s="8">
        <f t="shared" si="211"/>
        <v>29415</v>
      </c>
      <c r="F1391" s="8">
        <v>29602</v>
      </c>
      <c r="G1391" s="130">
        <f t="shared" si="208"/>
        <v>187</v>
      </c>
      <c r="H1391" s="131">
        <f t="shared" si="207"/>
        <v>456</v>
      </c>
      <c r="I1391" s="8">
        <f t="shared" si="212"/>
        <v>893387</v>
      </c>
      <c r="J1391" s="8">
        <f t="shared" si="206"/>
        <v>893654</v>
      </c>
      <c r="K1391" s="130">
        <v>267</v>
      </c>
      <c r="N1391" s="130">
        <v>136</v>
      </c>
      <c r="O1391" s="130">
        <f t="shared" si="209"/>
        <v>403</v>
      </c>
    </row>
    <row r="1392" spans="1:15">
      <c r="A1392" s="79">
        <v>45949</v>
      </c>
      <c r="B1392" s="8">
        <f t="shared" si="205"/>
        <v>25081</v>
      </c>
      <c r="C1392" s="8">
        <v>25081</v>
      </c>
      <c r="D1392" s="131">
        <f t="shared" si="210"/>
        <v>0</v>
      </c>
      <c r="E1392" s="8">
        <f t="shared" si="211"/>
        <v>29602</v>
      </c>
      <c r="F1392" s="8">
        <v>29865</v>
      </c>
      <c r="G1392" s="130">
        <f t="shared" si="208"/>
        <v>263</v>
      </c>
      <c r="H1392" s="131">
        <f t="shared" si="207"/>
        <v>263</v>
      </c>
      <c r="I1392" s="8">
        <f t="shared" si="212"/>
        <v>893654</v>
      </c>
      <c r="J1392" s="8">
        <f t="shared" si="206"/>
        <v>893912</v>
      </c>
      <c r="K1392" s="130">
        <v>258</v>
      </c>
      <c r="N1392" s="130">
        <v>194</v>
      </c>
      <c r="O1392" s="130">
        <f t="shared" si="209"/>
        <v>452</v>
      </c>
    </row>
    <row r="1393" spans="1:15">
      <c r="A1393" s="79">
        <v>45950</v>
      </c>
      <c r="B1393" s="8">
        <f t="shared" si="205"/>
        <v>25081</v>
      </c>
      <c r="C1393" s="8">
        <v>25261</v>
      </c>
      <c r="D1393" s="131">
        <f t="shared" si="210"/>
        <v>180</v>
      </c>
      <c r="E1393" s="8">
        <f t="shared" si="211"/>
        <v>29865</v>
      </c>
      <c r="F1393" s="8">
        <v>30160</v>
      </c>
      <c r="G1393" s="130">
        <f t="shared" si="208"/>
        <v>295</v>
      </c>
      <c r="H1393" s="131">
        <f t="shared" si="207"/>
        <v>475</v>
      </c>
      <c r="I1393" s="8">
        <f t="shared" si="212"/>
        <v>893912</v>
      </c>
      <c r="J1393" s="8">
        <f t="shared" si="206"/>
        <v>894068</v>
      </c>
      <c r="K1393" s="130">
        <v>156</v>
      </c>
      <c r="N1393" s="130">
        <v>189</v>
      </c>
      <c r="O1393" s="130">
        <f t="shared" si="209"/>
        <v>345</v>
      </c>
    </row>
    <row r="1394" spans="1:15">
      <c r="A1394" s="79">
        <v>45951</v>
      </c>
      <c r="B1394" s="8">
        <f t="shared" si="205"/>
        <v>25261</v>
      </c>
      <c r="C1394" s="8">
        <v>25261</v>
      </c>
      <c r="D1394" s="131">
        <f t="shared" si="210"/>
        <v>0</v>
      </c>
      <c r="E1394" s="8">
        <f t="shared" si="211"/>
        <v>30160</v>
      </c>
      <c r="F1394" s="8">
        <v>30345</v>
      </c>
      <c r="G1394" s="130">
        <f t="shared" si="208"/>
        <v>185</v>
      </c>
      <c r="H1394" s="131">
        <f t="shared" si="207"/>
        <v>185</v>
      </c>
      <c r="I1394" s="8">
        <f t="shared" si="212"/>
        <v>894068</v>
      </c>
      <c r="J1394" s="8">
        <f t="shared" si="206"/>
        <v>894215</v>
      </c>
      <c r="K1394" s="130">
        <v>147</v>
      </c>
      <c r="N1394" s="130">
        <v>252</v>
      </c>
      <c r="O1394" s="130">
        <f t="shared" si="209"/>
        <v>399</v>
      </c>
    </row>
    <row r="1395" spans="1:15">
      <c r="A1395" s="79">
        <v>45952</v>
      </c>
      <c r="B1395" s="8">
        <f t="shared" ref="B1395:B1458" si="213">C1394</f>
        <v>25261</v>
      </c>
      <c r="C1395" s="8">
        <v>25580</v>
      </c>
      <c r="D1395" s="131">
        <f t="shared" si="210"/>
        <v>319</v>
      </c>
      <c r="E1395" s="8">
        <f t="shared" si="211"/>
        <v>30345</v>
      </c>
      <c r="F1395" s="8">
        <v>30551</v>
      </c>
      <c r="G1395" s="130">
        <f t="shared" si="208"/>
        <v>206</v>
      </c>
      <c r="H1395" s="131">
        <f t="shared" si="207"/>
        <v>525</v>
      </c>
      <c r="I1395" s="8">
        <f t="shared" si="212"/>
        <v>894215</v>
      </c>
      <c r="J1395" s="8">
        <f t="shared" si="206"/>
        <v>894463</v>
      </c>
      <c r="K1395" s="130">
        <v>248</v>
      </c>
      <c r="N1395" s="130">
        <v>182</v>
      </c>
      <c r="O1395" s="130">
        <f t="shared" si="209"/>
        <v>430</v>
      </c>
    </row>
    <row r="1396" spans="1:15">
      <c r="A1396" s="79">
        <v>45953</v>
      </c>
      <c r="B1396" s="8">
        <f t="shared" si="213"/>
        <v>25580</v>
      </c>
      <c r="C1396" s="8">
        <v>25880</v>
      </c>
      <c r="D1396" s="131">
        <f t="shared" si="210"/>
        <v>300</v>
      </c>
      <c r="E1396" s="8">
        <f t="shared" si="211"/>
        <v>30551</v>
      </c>
      <c r="F1396" s="8">
        <v>30741</v>
      </c>
      <c r="G1396" s="130">
        <f t="shared" si="208"/>
        <v>190</v>
      </c>
      <c r="H1396" s="131">
        <f t="shared" si="207"/>
        <v>490</v>
      </c>
      <c r="I1396" s="8">
        <f t="shared" si="212"/>
        <v>894463</v>
      </c>
      <c r="J1396" s="8">
        <f t="shared" si="206"/>
        <v>894568</v>
      </c>
      <c r="K1396" s="130">
        <v>105</v>
      </c>
      <c r="N1396" s="130">
        <v>195</v>
      </c>
      <c r="O1396" s="130">
        <f t="shared" si="209"/>
        <v>300</v>
      </c>
    </row>
    <row r="1397" spans="1:15">
      <c r="A1397" s="79">
        <v>45954</v>
      </c>
      <c r="B1397" s="8">
        <f t="shared" si="213"/>
        <v>25880</v>
      </c>
      <c r="C1397" s="8">
        <v>26087</v>
      </c>
      <c r="D1397" s="131">
        <f t="shared" si="210"/>
        <v>207</v>
      </c>
      <c r="E1397" s="8">
        <f t="shared" si="211"/>
        <v>30741</v>
      </c>
      <c r="F1397" s="8">
        <v>31002</v>
      </c>
      <c r="G1397" s="130">
        <f t="shared" si="208"/>
        <v>261</v>
      </c>
      <c r="H1397" s="131">
        <f t="shared" si="207"/>
        <v>468</v>
      </c>
      <c r="I1397" s="8">
        <f t="shared" si="212"/>
        <v>894568</v>
      </c>
      <c r="J1397" s="8">
        <f t="shared" si="206"/>
        <v>894783</v>
      </c>
      <c r="K1397" s="130">
        <v>215</v>
      </c>
      <c r="N1397" s="130">
        <v>187</v>
      </c>
      <c r="O1397" s="130">
        <f t="shared" si="209"/>
        <v>402</v>
      </c>
    </row>
    <row r="1398" spans="1:15">
      <c r="A1398" s="79">
        <v>45955</v>
      </c>
      <c r="B1398" s="8">
        <f t="shared" si="213"/>
        <v>26087</v>
      </c>
      <c r="C1398" s="8">
        <v>26300</v>
      </c>
      <c r="D1398" s="131">
        <f t="shared" si="210"/>
        <v>213</v>
      </c>
      <c r="E1398" s="8">
        <f t="shared" si="211"/>
        <v>31002</v>
      </c>
      <c r="F1398" s="8">
        <v>31234</v>
      </c>
      <c r="G1398" s="130">
        <f t="shared" si="208"/>
        <v>232</v>
      </c>
      <c r="H1398" s="131">
        <f t="shared" si="207"/>
        <v>445</v>
      </c>
      <c r="I1398" s="8">
        <f t="shared" si="212"/>
        <v>894783</v>
      </c>
      <c r="J1398" s="8">
        <f t="shared" si="206"/>
        <v>895032</v>
      </c>
      <c r="K1398" s="130">
        <v>249</v>
      </c>
      <c r="N1398" s="130">
        <v>219</v>
      </c>
      <c r="O1398" s="130">
        <f t="shared" si="209"/>
        <v>468</v>
      </c>
    </row>
    <row r="1399" spans="1:15">
      <c r="A1399" s="79">
        <v>45956</v>
      </c>
      <c r="B1399" s="8">
        <f t="shared" si="213"/>
        <v>26300</v>
      </c>
      <c r="C1399" s="8">
        <v>26482</v>
      </c>
      <c r="D1399" s="131">
        <f t="shared" si="210"/>
        <v>182</v>
      </c>
      <c r="E1399" s="8">
        <f t="shared" si="211"/>
        <v>31234</v>
      </c>
      <c r="F1399" s="8">
        <v>31480</v>
      </c>
      <c r="G1399" s="130">
        <f t="shared" si="208"/>
        <v>246</v>
      </c>
      <c r="H1399" s="131">
        <f t="shared" si="207"/>
        <v>428</v>
      </c>
      <c r="I1399" s="8">
        <f t="shared" si="212"/>
        <v>895032</v>
      </c>
      <c r="J1399" s="8">
        <f t="shared" si="206"/>
        <v>895297</v>
      </c>
      <c r="K1399" s="130">
        <v>265</v>
      </c>
      <c r="N1399" s="130">
        <v>195</v>
      </c>
      <c r="O1399" s="130">
        <f t="shared" si="209"/>
        <v>460</v>
      </c>
    </row>
    <row r="1400" spans="1:15">
      <c r="A1400" s="79">
        <v>45957</v>
      </c>
      <c r="B1400" s="8">
        <f t="shared" si="213"/>
        <v>26482</v>
      </c>
      <c r="C1400" s="8">
        <v>26744</v>
      </c>
      <c r="D1400" s="131">
        <f t="shared" si="210"/>
        <v>262</v>
      </c>
      <c r="E1400" s="8">
        <f t="shared" si="211"/>
        <v>31480</v>
      </c>
      <c r="F1400" s="8">
        <v>31709</v>
      </c>
      <c r="G1400" s="130">
        <f t="shared" si="208"/>
        <v>229</v>
      </c>
      <c r="H1400" s="131">
        <f t="shared" si="207"/>
        <v>491</v>
      </c>
      <c r="I1400" s="8">
        <f t="shared" si="212"/>
        <v>895297</v>
      </c>
      <c r="J1400" s="8">
        <f t="shared" si="206"/>
        <v>895518</v>
      </c>
      <c r="K1400" s="130">
        <v>221</v>
      </c>
      <c r="N1400" s="130">
        <v>204</v>
      </c>
      <c r="O1400" s="130">
        <f t="shared" si="209"/>
        <v>425</v>
      </c>
    </row>
    <row r="1401" spans="1:15">
      <c r="A1401" s="79">
        <v>45958</v>
      </c>
      <c r="B1401" s="8">
        <f t="shared" si="213"/>
        <v>26744</v>
      </c>
      <c r="C1401" s="8">
        <v>26923</v>
      </c>
      <c r="D1401" s="131">
        <f t="shared" si="210"/>
        <v>179</v>
      </c>
      <c r="E1401" s="8">
        <f t="shared" si="211"/>
        <v>31709</v>
      </c>
      <c r="F1401" s="8">
        <v>31900</v>
      </c>
      <c r="G1401" s="130">
        <f t="shared" si="208"/>
        <v>191</v>
      </c>
      <c r="H1401" s="131">
        <f t="shared" si="207"/>
        <v>370</v>
      </c>
      <c r="I1401" s="8">
        <f t="shared" si="212"/>
        <v>895518</v>
      </c>
      <c r="J1401" s="8">
        <f t="shared" si="206"/>
        <v>895715</v>
      </c>
      <c r="K1401" s="130">
        <v>197</v>
      </c>
      <c r="N1401" s="130">
        <v>186</v>
      </c>
      <c r="O1401" s="130">
        <f t="shared" si="209"/>
        <v>383</v>
      </c>
    </row>
    <row r="1402" spans="1:15">
      <c r="A1402" s="79">
        <v>45959</v>
      </c>
      <c r="B1402" s="8">
        <f t="shared" si="213"/>
        <v>26923</v>
      </c>
      <c r="C1402" s="8">
        <v>27253</v>
      </c>
      <c r="D1402" s="131">
        <f t="shared" si="210"/>
        <v>330</v>
      </c>
      <c r="E1402" s="8">
        <f t="shared" si="211"/>
        <v>31900</v>
      </c>
      <c r="F1402" s="8">
        <v>32055</v>
      </c>
      <c r="G1402" s="130">
        <f t="shared" si="208"/>
        <v>155</v>
      </c>
      <c r="H1402" s="131">
        <f t="shared" si="207"/>
        <v>485</v>
      </c>
      <c r="I1402" s="8">
        <f t="shared" si="212"/>
        <v>895715</v>
      </c>
      <c r="J1402" s="8">
        <f t="shared" si="206"/>
        <v>895895</v>
      </c>
      <c r="K1402" s="130">
        <v>180</v>
      </c>
      <c r="N1402" s="130">
        <v>202</v>
      </c>
      <c r="O1402" s="130">
        <f t="shared" si="209"/>
        <v>382</v>
      </c>
    </row>
    <row r="1403" spans="1:15">
      <c r="A1403" s="79">
        <v>45960</v>
      </c>
      <c r="B1403" s="8">
        <f t="shared" si="213"/>
        <v>27253</v>
      </c>
      <c r="C1403" s="8">
        <v>27850</v>
      </c>
      <c r="D1403" s="131">
        <f t="shared" si="210"/>
        <v>597</v>
      </c>
      <c r="E1403" s="8">
        <f t="shared" si="211"/>
        <v>32055</v>
      </c>
      <c r="F1403" s="8">
        <v>32216</v>
      </c>
      <c r="G1403" s="130">
        <f t="shared" si="208"/>
        <v>161</v>
      </c>
      <c r="H1403" s="131">
        <f t="shared" si="207"/>
        <v>758</v>
      </c>
      <c r="I1403" s="8">
        <f t="shared" si="212"/>
        <v>895895</v>
      </c>
      <c r="J1403" s="8">
        <f t="shared" si="206"/>
        <v>896110</v>
      </c>
      <c r="K1403" s="130">
        <v>215</v>
      </c>
      <c r="N1403" s="130">
        <v>165</v>
      </c>
      <c r="O1403" s="130">
        <f t="shared" si="209"/>
        <v>380</v>
      </c>
    </row>
    <row r="1404" spans="1:15">
      <c r="A1404" s="79">
        <v>45961</v>
      </c>
      <c r="B1404" s="8">
        <f t="shared" si="213"/>
        <v>27850</v>
      </c>
      <c r="C1404" s="8">
        <v>28004</v>
      </c>
      <c r="D1404" s="131">
        <f t="shared" si="210"/>
        <v>154</v>
      </c>
      <c r="E1404" s="8">
        <f t="shared" si="211"/>
        <v>32216</v>
      </c>
      <c r="F1404" s="8">
        <v>32365</v>
      </c>
      <c r="G1404" s="130">
        <f t="shared" si="208"/>
        <v>149</v>
      </c>
      <c r="H1404" s="131">
        <f t="shared" si="207"/>
        <v>303</v>
      </c>
      <c r="I1404" s="8">
        <f t="shared" si="212"/>
        <v>896110</v>
      </c>
      <c r="J1404" s="8">
        <f t="shared" si="206"/>
        <v>896315</v>
      </c>
      <c r="K1404" s="130">
        <v>205</v>
      </c>
      <c r="N1404" s="130">
        <v>174</v>
      </c>
      <c r="O1404" s="130">
        <f t="shared" si="209"/>
        <v>379</v>
      </c>
    </row>
    <row r="1405" spans="1:15">
      <c r="A1405" s="79">
        <v>45962</v>
      </c>
      <c r="B1405" s="8">
        <f t="shared" si="213"/>
        <v>28004</v>
      </c>
      <c r="C1405" s="8">
        <v>28168</v>
      </c>
      <c r="D1405" s="131">
        <f t="shared" si="210"/>
        <v>164</v>
      </c>
      <c r="E1405" s="8">
        <f t="shared" si="211"/>
        <v>32365</v>
      </c>
      <c r="F1405" s="8">
        <v>32684</v>
      </c>
      <c r="G1405" s="130">
        <f t="shared" si="208"/>
        <v>319</v>
      </c>
      <c r="H1405" s="131">
        <f t="shared" si="207"/>
        <v>483</v>
      </c>
      <c r="I1405" s="8">
        <f t="shared" si="212"/>
        <v>896315</v>
      </c>
      <c r="J1405" s="8">
        <f t="shared" si="206"/>
        <v>896538</v>
      </c>
      <c r="K1405" s="130">
        <v>223</v>
      </c>
      <c r="N1405" s="130">
        <v>123</v>
      </c>
      <c r="O1405" s="130">
        <f t="shared" si="209"/>
        <v>346</v>
      </c>
    </row>
    <row r="1406" spans="1:15">
      <c r="A1406" s="79">
        <v>45963</v>
      </c>
      <c r="B1406" s="8">
        <f t="shared" si="213"/>
        <v>28168</v>
      </c>
      <c r="C1406" s="8">
        <v>28466</v>
      </c>
      <c r="D1406" s="131">
        <f t="shared" si="210"/>
        <v>298</v>
      </c>
      <c r="E1406" s="8">
        <f t="shared" si="211"/>
        <v>32684</v>
      </c>
      <c r="F1406" s="8">
        <v>32825</v>
      </c>
      <c r="G1406" s="130">
        <f t="shared" si="208"/>
        <v>141</v>
      </c>
      <c r="H1406" s="131">
        <f t="shared" si="207"/>
        <v>439</v>
      </c>
      <c r="I1406" s="8">
        <f t="shared" si="212"/>
        <v>896538</v>
      </c>
      <c r="J1406" s="8">
        <f t="shared" si="206"/>
        <v>896759</v>
      </c>
      <c r="K1406" s="130">
        <v>221</v>
      </c>
      <c r="N1406" s="130">
        <v>215</v>
      </c>
      <c r="O1406" s="130">
        <f t="shared" si="209"/>
        <v>436</v>
      </c>
    </row>
    <row r="1407" spans="1:15">
      <c r="A1407" s="79">
        <v>45964</v>
      </c>
      <c r="B1407" s="8">
        <f t="shared" si="213"/>
        <v>28466</v>
      </c>
      <c r="C1407" s="8">
        <v>28704</v>
      </c>
      <c r="D1407" s="131">
        <f t="shared" si="210"/>
        <v>238</v>
      </c>
      <c r="E1407" s="8">
        <f t="shared" si="211"/>
        <v>32825</v>
      </c>
      <c r="F1407" s="8">
        <v>33184</v>
      </c>
      <c r="G1407" s="130">
        <f t="shared" si="208"/>
        <v>359</v>
      </c>
      <c r="H1407" s="131">
        <f t="shared" si="207"/>
        <v>597</v>
      </c>
      <c r="I1407" s="8">
        <f t="shared" si="212"/>
        <v>896759</v>
      </c>
      <c r="J1407" s="8">
        <f t="shared" si="206"/>
        <v>896961</v>
      </c>
      <c r="K1407" s="130">
        <v>202</v>
      </c>
      <c r="N1407" s="130">
        <v>198</v>
      </c>
      <c r="O1407" s="130">
        <f t="shared" si="209"/>
        <v>400</v>
      </c>
    </row>
    <row r="1408" spans="1:15">
      <c r="A1408" s="79">
        <v>45965</v>
      </c>
      <c r="B1408" s="8">
        <f t="shared" si="213"/>
        <v>28704</v>
      </c>
      <c r="C1408" s="8">
        <v>28948</v>
      </c>
      <c r="D1408" s="131">
        <f t="shared" si="210"/>
        <v>244</v>
      </c>
      <c r="E1408" s="8">
        <f t="shared" si="211"/>
        <v>33184</v>
      </c>
      <c r="F1408" s="8">
        <v>33389</v>
      </c>
      <c r="G1408" s="130">
        <f t="shared" si="208"/>
        <v>205</v>
      </c>
      <c r="H1408" s="131">
        <f t="shared" si="207"/>
        <v>449</v>
      </c>
      <c r="I1408" s="8">
        <f t="shared" si="212"/>
        <v>896961</v>
      </c>
      <c r="J1408" s="8">
        <f t="shared" si="206"/>
        <v>897182</v>
      </c>
      <c r="K1408" s="130">
        <v>221</v>
      </c>
      <c r="N1408" s="130">
        <v>226</v>
      </c>
      <c r="O1408" s="130">
        <f t="shared" si="209"/>
        <v>447</v>
      </c>
    </row>
    <row r="1409" spans="1:15">
      <c r="A1409" s="79">
        <v>45966</v>
      </c>
      <c r="B1409" s="8">
        <f t="shared" si="213"/>
        <v>28948</v>
      </c>
      <c r="C1409" s="8">
        <v>29169</v>
      </c>
      <c r="D1409" s="131">
        <f t="shared" si="210"/>
        <v>221</v>
      </c>
      <c r="E1409" s="8">
        <f t="shared" si="211"/>
        <v>33389</v>
      </c>
      <c r="F1409" s="8">
        <v>33623</v>
      </c>
      <c r="G1409" s="130">
        <f t="shared" si="208"/>
        <v>234</v>
      </c>
      <c r="H1409" s="131">
        <f t="shared" si="207"/>
        <v>455</v>
      </c>
      <c r="I1409" s="8">
        <f t="shared" si="212"/>
        <v>897182</v>
      </c>
      <c r="J1409" s="8">
        <f t="shared" si="206"/>
        <v>897379</v>
      </c>
      <c r="K1409" s="130">
        <v>197</v>
      </c>
      <c r="N1409" s="130">
        <v>231</v>
      </c>
      <c r="O1409" s="130">
        <f t="shared" si="209"/>
        <v>428</v>
      </c>
    </row>
    <row r="1410" spans="1:15">
      <c r="A1410" s="79">
        <v>45967</v>
      </c>
      <c r="B1410" s="8">
        <f t="shared" si="213"/>
        <v>29169</v>
      </c>
      <c r="C1410" s="8">
        <v>29454</v>
      </c>
      <c r="D1410" s="131">
        <f t="shared" si="210"/>
        <v>285</v>
      </c>
      <c r="E1410" s="8">
        <f t="shared" si="211"/>
        <v>33623</v>
      </c>
      <c r="F1410" s="8">
        <v>33887</v>
      </c>
      <c r="G1410" s="130">
        <f t="shared" si="208"/>
        <v>264</v>
      </c>
      <c r="H1410" s="131">
        <f t="shared" si="207"/>
        <v>549</v>
      </c>
      <c r="I1410" s="8">
        <f t="shared" si="212"/>
        <v>897379</v>
      </c>
      <c r="J1410" s="8">
        <f t="shared" si="206"/>
        <v>897594</v>
      </c>
      <c r="K1410" s="130">
        <v>215</v>
      </c>
      <c r="N1410" s="130">
        <v>231</v>
      </c>
      <c r="O1410" s="130">
        <f t="shared" si="209"/>
        <v>446</v>
      </c>
    </row>
    <row r="1411" spans="1:15">
      <c r="A1411" s="79">
        <v>45968</v>
      </c>
      <c r="B1411" s="8">
        <f t="shared" si="213"/>
        <v>29454</v>
      </c>
      <c r="C1411" s="8">
        <v>29690</v>
      </c>
      <c r="D1411" s="131">
        <f t="shared" si="210"/>
        <v>236</v>
      </c>
      <c r="E1411" s="8">
        <f t="shared" si="211"/>
        <v>33887</v>
      </c>
      <c r="F1411" s="8">
        <v>34104</v>
      </c>
      <c r="G1411" s="130">
        <f t="shared" si="208"/>
        <v>217</v>
      </c>
      <c r="H1411" s="131">
        <f t="shared" si="207"/>
        <v>453</v>
      </c>
      <c r="I1411" s="8">
        <f t="shared" si="212"/>
        <v>897594</v>
      </c>
      <c r="J1411" s="8">
        <f t="shared" si="206"/>
        <v>897761</v>
      </c>
      <c r="K1411" s="130">
        <v>167</v>
      </c>
      <c r="N1411" s="130">
        <v>205</v>
      </c>
      <c r="O1411" s="130">
        <f t="shared" si="209"/>
        <v>372</v>
      </c>
    </row>
    <row r="1412" spans="1:15">
      <c r="A1412" s="79">
        <v>45969</v>
      </c>
      <c r="B1412" s="8">
        <f t="shared" si="213"/>
        <v>29690</v>
      </c>
      <c r="C1412" s="8">
        <v>29918</v>
      </c>
      <c r="D1412" s="131">
        <f t="shared" si="210"/>
        <v>228</v>
      </c>
      <c r="E1412" s="8">
        <f t="shared" si="211"/>
        <v>34104</v>
      </c>
      <c r="F1412" s="8">
        <v>34347</v>
      </c>
      <c r="G1412" s="130">
        <f t="shared" si="208"/>
        <v>243</v>
      </c>
      <c r="H1412" s="131">
        <f t="shared" si="207"/>
        <v>471</v>
      </c>
      <c r="I1412" s="8">
        <f t="shared" si="212"/>
        <v>897761</v>
      </c>
      <c r="J1412" s="8">
        <f t="shared" si="206"/>
        <v>897971</v>
      </c>
      <c r="K1412" s="130">
        <v>210</v>
      </c>
      <c r="N1412" s="130">
        <v>206</v>
      </c>
      <c r="O1412" s="130">
        <f t="shared" si="209"/>
        <v>416</v>
      </c>
    </row>
    <row r="1413" spans="1:15">
      <c r="A1413" s="79">
        <v>45970</v>
      </c>
      <c r="B1413" s="8">
        <f t="shared" si="213"/>
        <v>29918</v>
      </c>
      <c r="C1413" s="8">
        <v>30187</v>
      </c>
      <c r="D1413" s="131">
        <f t="shared" si="210"/>
        <v>269</v>
      </c>
      <c r="E1413" s="8">
        <f t="shared" si="211"/>
        <v>34347</v>
      </c>
      <c r="F1413" s="8">
        <v>34572</v>
      </c>
      <c r="G1413" s="130">
        <f t="shared" si="208"/>
        <v>225</v>
      </c>
      <c r="H1413" s="131">
        <f t="shared" si="207"/>
        <v>494</v>
      </c>
      <c r="I1413" s="8">
        <f t="shared" si="212"/>
        <v>897971</v>
      </c>
      <c r="J1413" s="8">
        <f t="shared" si="206"/>
        <v>898178</v>
      </c>
      <c r="K1413" s="130">
        <v>207</v>
      </c>
      <c r="N1413" s="130">
        <v>197</v>
      </c>
      <c r="O1413" s="130">
        <f t="shared" si="209"/>
        <v>404</v>
      </c>
    </row>
    <row r="1414" spans="1:15">
      <c r="A1414" s="79">
        <v>45971</v>
      </c>
      <c r="B1414" s="8">
        <f t="shared" si="213"/>
        <v>30187</v>
      </c>
      <c r="C1414" s="8">
        <v>30258</v>
      </c>
      <c r="D1414" s="131">
        <f t="shared" si="210"/>
        <v>71</v>
      </c>
      <c r="E1414" s="8">
        <f t="shared" si="211"/>
        <v>34572</v>
      </c>
      <c r="F1414" s="8">
        <v>34872</v>
      </c>
      <c r="G1414" s="130">
        <f t="shared" si="208"/>
        <v>300</v>
      </c>
      <c r="H1414" s="131">
        <f t="shared" si="207"/>
        <v>371</v>
      </c>
      <c r="I1414" s="8">
        <f t="shared" si="212"/>
        <v>898178</v>
      </c>
      <c r="J1414" s="8">
        <f t="shared" si="206"/>
        <v>898323</v>
      </c>
      <c r="K1414" s="130">
        <v>145</v>
      </c>
      <c r="N1414" s="130">
        <v>204</v>
      </c>
      <c r="O1414" s="130">
        <f t="shared" si="209"/>
        <v>349</v>
      </c>
    </row>
    <row r="1415" spans="1:15">
      <c r="A1415" s="79">
        <v>45972</v>
      </c>
      <c r="B1415" s="8">
        <f t="shared" si="213"/>
        <v>30258</v>
      </c>
      <c r="C1415" s="8">
        <v>30682</v>
      </c>
      <c r="D1415" s="131">
        <f t="shared" si="210"/>
        <v>424</v>
      </c>
      <c r="E1415" s="8">
        <f t="shared" si="211"/>
        <v>34872</v>
      </c>
      <c r="F1415" s="8">
        <v>35107</v>
      </c>
      <c r="G1415" s="130">
        <f t="shared" si="208"/>
        <v>235</v>
      </c>
      <c r="H1415" s="131">
        <f t="shared" si="207"/>
        <v>659</v>
      </c>
      <c r="I1415" s="8">
        <f t="shared" si="212"/>
        <v>898323</v>
      </c>
      <c r="J1415" s="8">
        <f t="shared" si="206"/>
        <v>898527</v>
      </c>
      <c r="K1415" s="130">
        <v>204</v>
      </c>
      <c r="N1415" s="130">
        <v>217</v>
      </c>
      <c r="O1415" s="130">
        <f t="shared" si="209"/>
        <v>421</v>
      </c>
    </row>
    <row r="1416" spans="1:15">
      <c r="A1416" s="79">
        <v>45973</v>
      </c>
      <c r="B1416" s="8">
        <f t="shared" si="213"/>
        <v>30682</v>
      </c>
      <c r="C1416" s="8">
        <v>30187</v>
      </c>
      <c r="D1416" s="131">
        <f t="shared" si="210"/>
        <v>-495</v>
      </c>
      <c r="E1416" s="8">
        <f t="shared" si="211"/>
        <v>35107</v>
      </c>
      <c r="F1416" s="8">
        <v>35347</v>
      </c>
      <c r="G1416" s="130">
        <f t="shared" si="208"/>
        <v>240</v>
      </c>
      <c r="H1416" s="131">
        <f t="shared" si="207"/>
        <v>-255</v>
      </c>
      <c r="I1416" s="8">
        <f t="shared" si="212"/>
        <v>898527</v>
      </c>
      <c r="J1416" s="8">
        <f t="shared" si="206"/>
        <v>898707</v>
      </c>
      <c r="K1416" s="130">
        <v>180</v>
      </c>
      <c r="N1416" s="130">
        <v>234</v>
      </c>
      <c r="O1416" s="130">
        <f t="shared" si="209"/>
        <v>414</v>
      </c>
    </row>
    <row r="1417" spans="1:15">
      <c r="A1417" s="79">
        <v>45974</v>
      </c>
      <c r="B1417" s="8">
        <f t="shared" si="213"/>
        <v>30187</v>
      </c>
      <c r="C1417" s="8">
        <v>30946</v>
      </c>
      <c r="D1417" s="131">
        <f t="shared" si="210"/>
        <v>759</v>
      </c>
      <c r="E1417" s="8">
        <f t="shared" si="211"/>
        <v>35347</v>
      </c>
      <c r="F1417" s="8">
        <v>35376</v>
      </c>
      <c r="G1417" s="130">
        <f t="shared" si="208"/>
        <v>29</v>
      </c>
      <c r="H1417" s="131">
        <f t="shared" si="207"/>
        <v>788</v>
      </c>
      <c r="I1417" s="8">
        <f t="shared" si="212"/>
        <v>898707</v>
      </c>
      <c r="J1417" s="8">
        <f t="shared" si="206"/>
        <v>898907</v>
      </c>
      <c r="K1417" s="130">
        <v>200</v>
      </c>
      <c r="N1417" s="130">
        <v>223</v>
      </c>
      <c r="O1417" s="130">
        <f t="shared" si="209"/>
        <v>423</v>
      </c>
    </row>
    <row r="1418" spans="1:15">
      <c r="A1418" s="79">
        <v>45975</v>
      </c>
      <c r="B1418" s="8">
        <f t="shared" si="213"/>
        <v>30946</v>
      </c>
      <c r="C1418" s="8">
        <v>31202</v>
      </c>
      <c r="D1418" s="131">
        <f t="shared" si="210"/>
        <v>256</v>
      </c>
      <c r="E1418" s="8">
        <f t="shared" si="211"/>
        <v>35376</v>
      </c>
      <c r="F1418" s="8">
        <v>35608</v>
      </c>
      <c r="G1418" s="130">
        <f t="shared" si="208"/>
        <v>232</v>
      </c>
      <c r="H1418" s="131">
        <f t="shared" si="207"/>
        <v>488</v>
      </c>
      <c r="I1418" s="8">
        <f t="shared" si="212"/>
        <v>898907</v>
      </c>
      <c r="J1418" s="8">
        <f t="shared" si="206"/>
        <v>899096</v>
      </c>
      <c r="K1418" s="130">
        <v>189</v>
      </c>
      <c r="N1418" s="130">
        <v>245</v>
      </c>
      <c r="O1418" s="130">
        <f t="shared" si="209"/>
        <v>434</v>
      </c>
    </row>
    <row r="1419" spans="1:15">
      <c r="A1419" s="79">
        <v>45976</v>
      </c>
      <c r="B1419" s="8">
        <f t="shared" si="213"/>
        <v>31202</v>
      </c>
      <c r="C1419" s="8">
        <v>31458</v>
      </c>
      <c r="D1419" s="131">
        <f t="shared" si="210"/>
        <v>256</v>
      </c>
      <c r="E1419" s="8">
        <f t="shared" si="211"/>
        <v>35608</v>
      </c>
      <c r="F1419" s="8">
        <v>35831</v>
      </c>
      <c r="G1419" s="130">
        <f t="shared" si="208"/>
        <v>223</v>
      </c>
      <c r="H1419" s="131">
        <f t="shared" si="207"/>
        <v>479</v>
      </c>
      <c r="I1419" s="8">
        <f t="shared" si="212"/>
        <v>899096</v>
      </c>
      <c r="J1419" s="8">
        <f t="shared" si="206"/>
        <v>899303</v>
      </c>
      <c r="K1419" s="130">
        <v>207</v>
      </c>
      <c r="N1419" s="130">
        <v>223</v>
      </c>
      <c r="O1419" s="130">
        <f t="shared" si="209"/>
        <v>430</v>
      </c>
    </row>
    <row r="1420" spans="1:15">
      <c r="A1420" s="79">
        <v>45977</v>
      </c>
      <c r="B1420" s="8">
        <f t="shared" si="213"/>
        <v>31458</v>
      </c>
      <c r="C1420" s="8">
        <v>31909</v>
      </c>
      <c r="D1420" s="131">
        <f t="shared" si="210"/>
        <v>451</v>
      </c>
      <c r="E1420" s="8">
        <f t="shared" si="211"/>
        <v>35831</v>
      </c>
      <c r="F1420" s="8">
        <v>36098</v>
      </c>
      <c r="G1420" s="130">
        <f t="shared" si="208"/>
        <v>267</v>
      </c>
      <c r="H1420" s="131">
        <f t="shared" si="207"/>
        <v>718</v>
      </c>
      <c r="I1420" s="8">
        <f t="shared" si="212"/>
        <v>899303</v>
      </c>
      <c r="J1420" s="8">
        <f t="shared" si="206"/>
        <v>899552</v>
      </c>
      <c r="K1420" s="130">
        <v>249</v>
      </c>
      <c r="N1420" s="130">
        <v>217</v>
      </c>
      <c r="O1420" s="130">
        <f t="shared" si="209"/>
        <v>466</v>
      </c>
    </row>
    <row r="1421" spans="1:15">
      <c r="A1421" s="79">
        <v>45978</v>
      </c>
      <c r="B1421" s="8">
        <f t="shared" si="213"/>
        <v>31909</v>
      </c>
      <c r="C1421" s="8">
        <v>32214</v>
      </c>
      <c r="D1421" s="131">
        <f t="shared" si="210"/>
        <v>305</v>
      </c>
      <c r="E1421" s="8">
        <f t="shared" si="211"/>
        <v>36098</v>
      </c>
      <c r="F1421" s="8">
        <v>36322</v>
      </c>
      <c r="G1421" s="130">
        <f t="shared" si="208"/>
        <v>224</v>
      </c>
      <c r="H1421" s="131">
        <f t="shared" si="207"/>
        <v>529</v>
      </c>
      <c r="I1421" s="8">
        <f t="shared" si="212"/>
        <v>899552</v>
      </c>
      <c r="J1421" s="8">
        <f t="shared" si="206"/>
        <v>899794</v>
      </c>
      <c r="K1421" s="130">
        <v>242</v>
      </c>
      <c r="N1421" s="130">
        <v>224</v>
      </c>
      <c r="O1421" s="130">
        <f t="shared" si="209"/>
        <v>466</v>
      </c>
    </row>
    <row r="1422" spans="1:15">
      <c r="A1422" s="79">
        <v>45979</v>
      </c>
      <c r="B1422" s="8">
        <f t="shared" si="213"/>
        <v>32214</v>
      </c>
      <c r="C1422" s="8">
        <v>32410</v>
      </c>
      <c r="D1422" s="131">
        <f t="shared" si="210"/>
        <v>196</v>
      </c>
      <c r="E1422" s="8">
        <f t="shared" si="211"/>
        <v>36322</v>
      </c>
      <c r="F1422" s="8">
        <v>36470</v>
      </c>
      <c r="G1422" s="130">
        <f t="shared" si="208"/>
        <v>148</v>
      </c>
      <c r="H1422" s="131">
        <f t="shared" si="207"/>
        <v>344</v>
      </c>
      <c r="I1422" s="8">
        <f t="shared" si="212"/>
        <v>899794</v>
      </c>
      <c r="J1422" s="8">
        <f t="shared" si="206"/>
        <v>900002</v>
      </c>
      <c r="K1422" s="130">
        <v>208</v>
      </c>
      <c r="N1422" s="130">
        <v>249</v>
      </c>
      <c r="O1422" s="130">
        <f t="shared" si="209"/>
        <v>457</v>
      </c>
    </row>
    <row r="1423" spans="1:15">
      <c r="A1423" s="79">
        <v>45980</v>
      </c>
      <c r="B1423" s="8">
        <f t="shared" si="213"/>
        <v>32410</v>
      </c>
      <c r="C1423" s="8">
        <v>32702</v>
      </c>
      <c r="D1423" s="131">
        <f t="shared" si="210"/>
        <v>292</v>
      </c>
      <c r="E1423" s="8">
        <f t="shared" si="211"/>
        <v>36470</v>
      </c>
      <c r="F1423" s="8">
        <v>36920</v>
      </c>
      <c r="G1423" s="130">
        <f t="shared" si="208"/>
        <v>450</v>
      </c>
      <c r="H1423" s="131">
        <f t="shared" si="207"/>
        <v>742</v>
      </c>
      <c r="I1423" s="8">
        <f t="shared" si="212"/>
        <v>900002</v>
      </c>
      <c r="J1423" s="8">
        <f t="shared" si="206"/>
        <v>900210</v>
      </c>
      <c r="K1423" s="130">
        <v>208</v>
      </c>
      <c r="N1423" s="130">
        <v>167</v>
      </c>
      <c r="O1423" s="130">
        <f t="shared" si="209"/>
        <v>375</v>
      </c>
    </row>
    <row r="1424" spans="1:15">
      <c r="A1424" s="79">
        <v>45981</v>
      </c>
      <c r="B1424" s="8">
        <f t="shared" si="213"/>
        <v>32702</v>
      </c>
      <c r="C1424" s="8">
        <v>32930</v>
      </c>
      <c r="D1424" s="131">
        <f t="shared" si="210"/>
        <v>228</v>
      </c>
      <c r="E1424" s="8">
        <f t="shared" si="211"/>
        <v>36920</v>
      </c>
      <c r="F1424" s="8">
        <v>37053</v>
      </c>
      <c r="G1424" s="130">
        <f t="shared" si="208"/>
        <v>133</v>
      </c>
      <c r="H1424" s="131">
        <f t="shared" si="207"/>
        <v>361</v>
      </c>
      <c r="I1424" s="8">
        <f t="shared" si="212"/>
        <v>900210</v>
      </c>
      <c r="J1424" s="8">
        <f t="shared" si="206"/>
        <v>900364</v>
      </c>
      <c r="K1424" s="130">
        <v>154</v>
      </c>
      <c r="N1424" s="130">
        <v>215</v>
      </c>
      <c r="O1424" s="130">
        <f t="shared" si="209"/>
        <v>369</v>
      </c>
    </row>
    <row r="1425" spans="1:15">
      <c r="A1425" s="79">
        <v>45982</v>
      </c>
      <c r="B1425" s="8">
        <f t="shared" si="213"/>
        <v>32930</v>
      </c>
      <c r="C1425" s="8">
        <v>33088</v>
      </c>
      <c r="D1425" s="131">
        <f t="shared" si="210"/>
        <v>158</v>
      </c>
      <c r="E1425" s="8">
        <f t="shared" si="211"/>
        <v>37053</v>
      </c>
      <c r="F1425" s="8">
        <v>37266</v>
      </c>
      <c r="G1425" s="130">
        <f t="shared" si="208"/>
        <v>213</v>
      </c>
      <c r="H1425" s="131">
        <f t="shared" si="207"/>
        <v>371</v>
      </c>
      <c r="I1425" s="8">
        <f t="shared" si="212"/>
        <v>900364</v>
      </c>
      <c r="J1425" s="8">
        <f t="shared" si="206"/>
        <v>900630</v>
      </c>
      <c r="K1425" s="130">
        <v>266</v>
      </c>
      <c r="N1425" s="130">
        <v>176</v>
      </c>
      <c r="O1425" s="130">
        <f t="shared" si="209"/>
        <v>442</v>
      </c>
    </row>
    <row r="1426" spans="1:15">
      <c r="A1426" s="79">
        <v>45983</v>
      </c>
      <c r="B1426" s="8">
        <f t="shared" si="213"/>
        <v>33088</v>
      </c>
      <c r="C1426" s="8">
        <v>33292</v>
      </c>
      <c r="D1426" s="131">
        <f t="shared" si="210"/>
        <v>204</v>
      </c>
      <c r="E1426" s="8">
        <f t="shared" si="211"/>
        <v>37266</v>
      </c>
      <c r="F1426" s="8">
        <v>37473</v>
      </c>
      <c r="G1426" s="130">
        <f t="shared" si="208"/>
        <v>207</v>
      </c>
      <c r="H1426" s="131">
        <f t="shared" si="207"/>
        <v>411</v>
      </c>
      <c r="I1426" s="8">
        <f t="shared" si="212"/>
        <v>900630</v>
      </c>
      <c r="J1426" s="8">
        <f t="shared" si="206"/>
        <v>900762</v>
      </c>
      <c r="K1426" s="130">
        <v>132</v>
      </c>
      <c r="N1426" s="130">
        <v>123</v>
      </c>
      <c r="O1426" s="130">
        <f t="shared" si="209"/>
        <v>255</v>
      </c>
    </row>
    <row r="1427" spans="1:15">
      <c r="A1427" s="79">
        <v>45984</v>
      </c>
      <c r="B1427" s="8">
        <f t="shared" si="213"/>
        <v>33292</v>
      </c>
      <c r="C1427" s="8">
        <v>33490</v>
      </c>
      <c r="D1427" s="131">
        <f t="shared" si="210"/>
        <v>198</v>
      </c>
      <c r="E1427" s="8">
        <f t="shared" si="211"/>
        <v>37473</v>
      </c>
      <c r="F1427" s="8">
        <v>37695</v>
      </c>
      <c r="G1427" s="130">
        <f t="shared" si="208"/>
        <v>222</v>
      </c>
      <c r="H1427" s="131">
        <f t="shared" si="207"/>
        <v>420</v>
      </c>
      <c r="I1427" s="8">
        <f t="shared" si="212"/>
        <v>900762</v>
      </c>
      <c r="J1427" s="8">
        <f t="shared" ref="J1427:J1490" si="214">I1427+K1427</f>
        <v>901014</v>
      </c>
      <c r="K1427" s="130">
        <v>252</v>
      </c>
      <c r="N1427" s="130">
        <v>156</v>
      </c>
      <c r="O1427" s="130">
        <f t="shared" si="209"/>
        <v>408</v>
      </c>
    </row>
    <row r="1428" spans="1:15">
      <c r="A1428" s="79">
        <v>45985</v>
      </c>
      <c r="B1428" s="8">
        <f t="shared" si="213"/>
        <v>33490</v>
      </c>
      <c r="C1428" s="8">
        <v>33670</v>
      </c>
      <c r="D1428" s="131">
        <f t="shared" si="210"/>
        <v>180</v>
      </c>
      <c r="E1428" s="8">
        <f t="shared" si="211"/>
        <v>37695</v>
      </c>
      <c r="F1428" s="8">
        <v>37861</v>
      </c>
      <c r="G1428" s="130">
        <f t="shared" si="208"/>
        <v>166</v>
      </c>
      <c r="H1428" s="131">
        <f t="shared" si="207"/>
        <v>346</v>
      </c>
      <c r="I1428" s="8">
        <f t="shared" si="212"/>
        <v>901014</v>
      </c>
      <c r="J1428" s="8">
        <f t="shared" si="214"/>
        <v>901245</v>
      </c>
      <c r="K1428" s="130">
        <v>231</v>
      </c>
      <c r="N1428" s="130">
        <v>187</v>
      </c>
      <c r="O1428" s="130">
        <f t="shared" si="209"/>
        <v>418</v>
      </c>
    </row>
    <row r="1429" spans="1:15">
      <c r="A1429" s="79">
        <v>45986</v>
      </c>
      <c r="B1429" s="8">
        <f t="shared" si="213"/>
        <v>33670</v>
      </c>
      <c r="C1429" s="8">
        <v>34052</v>
      </c>
      <c r="D1429" s="131">
        <f t="shared" si="210"/>
        <v>382</v>
      </c>
      <c r="E1429" s="8">
        <f t="shared" si="211"/>
        <v>37861</v>
      </c>
      <c r="F1429" s="8">
        <v>37987</v>
      </c>
      <c r="G1429" s="130">
        <f t="shared" si="208"/>
        <v>126</v>
      </c>
      <c r="H1429" s="131">
        <f t="shared" si="207"/>
        <v>508</v>
      </c>
      <c r="I1429" s="8">
        <f t="shared" si="212"/>
        <v>901245</v>
      </c>
      <c r="J1429" s="8">
        <f t="shared" si="214"/>
        <v>901390</v>
      </c>
      <c r="K1429" s="130">
        <v>145</v>
      </c>
      <c r="N1429" s="130">
        <v>179</v>
      </c>
      <c r="O1429" s="130">
        <f t="shared" si="209"/>
        <v>324</v>
      </c>
    </row>
    <row r="1430" spans="1:15">
      <c r="A1430" s="79">
        <v>45987</v>
      </c>
      <c r="B1430" s="8">
        <f t="shared" si="213"/>
        <v>34052</v>
      </c>
      <c r="C1430" s="8">
        <v>34210</v>
      </c>
      <c r="D1430" s="131">
        <f t="shared" si="210"/>
        <v>158</v>
      </c>
      <c r="E1430" s="8">
        <f t="shared" si="211"/>
        <v>37987</v>
      </c>
      <c r="F1430" s="8">
        <v>38221</v>
      </c>
      <c r="G1430" s="130">
        <f t="shared" si="208"/>
        <v>234</v>
      </c>
      <c r="H1430" s="131">
        <f t="shared" si="207"/>
        <v>392</v>
      </c>
      <c r="I1430" s="8">
        <f t="shared" si="212"/>
        <v>901390</v>
      </c>
      <c r="J1430" s="8">
        <f t="shared" si="214"/>
        <v>901632</v>
      </c>
      <c r="K1430" s="130">
        <v>242</v>
      </c>
      <c r="N1430" s="130">
        <v>199</v>
      </c>
      <c r="O1430" s="130">
        <f t="shared" si="209"/>
        <v>441</v>
      </c>
    </row>
    <row r="1431" spans="1:15">
      <c r="A1431" s="79">
        <v>45988</v>
      </c>
      <c r="B1431" s="8">
        <f t="shared" si="213"/>
        <v>34210</v>
      </c>
      <c r="C1431" s="8">
        <v>34367</v>
      </c>
      <c r="D1431" s="131">
        <f t="shared" si="210"/>
        <v>157</v>
      </c>
      <c r="E1431" s="8">
        <f t="shared" si="211"/>
        <v>38221</v>
      </c>
      <c r="F1431" s="8">
        <v>38221</v>
      </c>
      <c r="G1431" s="130">
        <f t="shared" si="208"/>
        <v>0</v>
      </c>
      <c r="H1431" s="131">
        <f t="shared" si="207"/>
        <v>157</v>
      </c>
      <c r="I1431" s="8">
        <f t="shared" si="212"/>
        <v>901632</v>
      </c>
      <c r="J1431" s="8">
        <f t="shared" si="214"/>
        <v>901796</v>
      </c>
      <c r="K1431" s="130">
        <v>164</v>
      </c>
      <c r="N1431" s="130">
        <v>142</v>
      </c>
      <c r="O1431" s="130">
        <f t="shared" si="209"/>
        <v>306</v>
      </c>
    </row>
    <row r="1432" spans="1:15">
      <c r="A1432" s="79">
        <v>45989</v>
      </c>
      <c r="B1432" s="8">
        <f t="shared" si="213"/>
        <v>34367</v>
      </c>
      <c r="C1432" s="8">
        <v>34578</v>
      </c>
      <c r="D1432" s="131">
        <f t="shared" si="210"/>
        <v>211</v>
      </c>
      <c r="E1432" s="8">
        <f t="shared" si="211"/>
        <v>38221</v>
      </c>
      <c r="F1432" s="8">
        <v>38277</v>
      </c>
      <c r="G1432" s="130">
        <f t="shared" si="208"/>
        <v>56</v>
      </c>
      <c r="H1432" s="131">
        <f t="shared" si="207"/>
        <v>267</v>
      </c>
      <c r="I1432" s="8">
        <f t="shared" si="212"/>
        <v>901796</v>
      </c>
      <c r="J1432" s="8">
        <f t="shared" si="214"/>
        <v>902069</v>
      </c>
      <c r="K1432" s="130">
        <v>273</v>
      </c>
      <c r="N1432" s="130">
        <v>130</v>
      </c>
      <c r="O1432" s="130">
        <f t="shared" si="209"/>
        <v>403</v>
      </c>
    </row>
    <row r="1433" spans="1:15">
      <c r="A1433" s="79">
        <v>45990</v>
      </c>
      <c r="B1433" s="8">
        <f t="shared" si="213"/>
        <v>34578</v>
      </c>
      <c r="C1433" s="8">
        <v>34667</v>
      </c>
      <c r="D1433" s="131">
        <f t="shared" si="210"/>
        <v>89</v>
      </c>
      <c r="E1433" s="8">
        <f t="shared" si="211"/>
        <v>38277</v>
      </c>
      <c r="F1433" s="8">
        <v>38368</v>
      </c>
      <c r="G1433" s="130">
        <f t="shared" si="208"/>
        <v>91</v>
      </c>
      <c r="H1433" s="131">
        <f t="shared" si="207"/>
        <v>180</v>
      </c>
      <c r="I1433" s="8">
        <f t="shared" si="212"/>
        <v>902069</v>
      </c>
      <c r="J1433" s="8">
        <f t="shared" si="214"/>
        <v>902316</v>
      </c>
      <c r="K1433" s="130">
        <v>247</v>
      </c>
      <c r="N1433" s="130">
        <v>150</v>
      </c>
      <c r="O1433" s="130">
        <f t="shared" si="209"/>
        <v>397</v>
      </c>
    </row>
    <row r="1434" spans="1:15">
      <c r="A1434" s="79">
        <v>45991</v>
      </c>
      <c r="B1434" s="8">
        <f t="shared" si="213"/>
        <v>34667</v>
      </c>
      <c r="C1434" s="8">
        <v>34779</v>
      </c>
      <c r="D1434" s="131">
        <f t="shared" si="210"/>
        <v>112</v>
      </c>
      <c r="E1434" s="8">
        <f t="shared" si="211"/>
        <v>38368</v>
      </c>
      <c r="F1434" s="8">
        <v>38477</v>
      </c>
      <c r="G1434" s="130">
        <f t="shared" si="208"/>
        <v>109</v>
      </c>
      <c r="H1434" s="131">
        <f t="shared" si="207"/>
        <v>221</v>
      </c>
      <c r="I1434" s="8">
        <f t="shared" si="212"/>
        <v>902316</v>
      </c>
      <c r="J1434" s="8">
        <f t="shared" si="214"/>
        <v>902430</v>
      </c>
      <c r="K1434" s="130">
        <v>114</v>
      </c>
      <c r="N1434" s="130">
        <v>78</v>
      </c>
      <c r="O1434" s="130">
        <f t="shared" si="209"/>
        <v>192</v>
      </c>
    </row>
    <row r="1435" spans="1:15">
      <c r="A1435" s="79">
        <v>45992</v>
      </c>
      <c r="B1435" s="8">
        <f t="shared" si="213"/>
        <v>34779</v>
      </c>
      <c r="C1435" s="8">
        <v>35300</v>
      </c>
      <c r="D1435" s="131">
        <f t="shared" si="210"/>
        <v>521</v>
      </c>
      <c r="E1435" s="8">
        <f t="shared" si="211"/>
        <v>38477</v>
      </c>
      <c r="F1435" s="8">
        <v>38895</v>
      </c>
      <c r="G1435" s="130">
        <f t="shared" si="208"/>
        <v>418</v>
      </c>
      <c r="H1435" s="131">
        <f t="shared" si="207"/>
        <v>939</v>
      </c>
      <c r="I1435" s="8">
        <f t="shared" si="212"/>
        <v>902430</v>
      </c>
      <c r="J1435" s="8">
        <f t="shared" si="214"/>
        <v>902667</v>
      </c>
      <c r="K1435" s="130">
        <v>237</v>
      </c>
      <c r="N1435" s="130">
        <v>103</v>
      </c>
      <c r="O1435" s="130">
        <f t="shared" si="209"/>
        <v>340</v>
      </c>
    </row>
    <row r="1436" spans="1:15">
      <c r="A1436" s="79">
        <v>45993</v>
      </c>
      <c r="B1436" s="8">
        <f t="shared" si="213"/>
        <v>35300</v>
      </c>
      <c r="C1436" s="8">
        <v>35700</v>
      </c>
      <c r="D1436" s="131">
        <f t="shared" si="210"/>
        <v>400</v>
      </c>
      <c r="E1436" s="8">
        <f t="shared" si="211"/>
        <v>38895</v>
      </c>
      <c r="F1436" s="8">
        <v>39262</v>
      </c>
      <c r="G1436" s="130">
        <f t="shared" si="208"/>
        <v>367</v>
      </c>
      <c r="H1436" s="131">
        <f t="shared" si="207"/>
        <v>767</v>
      </c>
      <c r="I1436" s="8">
        <f t="shared" si="212"/>
        <v>902667</v>
      </c>
      <c r="J1436" s="8">
        <v>902890</v>
      </c>
      <c r="K1436" s="130">
        <f>J1436-I1436</f>
        <v>223</v>
      </c>
      <c r="N1436" s="130">
        <v>256</v>
      </c>
      <c r="O1436" s="130">
        <f t="shared" si="209"/>
        <v>479</v>
      </c>
    </row>
    <row r="1437" spans="1:15">
      <c r="A1437" s="79">
        <v>45994</v>
      </c>
      <c r="B1437" s="8">
        <f t="shared" si="213"/>
        <v>35700</v>
      </c>
      <c r="C1437" s="8">
        <v>36001</v>
      </c>
      <c r="D1437" s="131">
        <f t="shared" si="210"/>
        <v>301</v>
      </c>
      <c r="E1437" s="8">
        <f t="shared" si="211"/>
        <v>39262</v>
      </c>
      <c r="F1437" s="8">
        <v>39575</v>
      </c>
      <c r="G1437" s="130">
        <f t="shared" si="208"/>
        <v>313</v>
      </c>
      <c r="H1437" s="131">
        <f t="shared" si="207"/>
        <v>614</v>
      </c>
      <c r="I1437" s="8">
        <f>J1436</f>
        <v>902890</v>
      </c>
      <c r="J1437" s="8">
        <f>I1437+K1437</f>
        <v>903107</v>
      </c>
      <c r="K1437" s="130">
        <v>217</v>
      </c>
      <c r="N1437" s="130">
        <v>201</v>
      </c>
      <c r="O1437" s="130">
        <f t="shared" si="209"/>
        <v>418</v>
      </c>
    </row>
    <row r="1438" spans="1:15">
      <c r="A1438" s="79">
        <v>45995</v>
      </c>
      <c r="B1438" s="8">
        <f t="shared" si="213"/>
        <v>36001</v>
      </c>
      <c r="D1438" s="131">
        <f t="shared" si="210"/>
        <v>-36001</v>
      </c>
      <c r="E1438" s="8">
        <f t="shared" si="211"/>
        <v>39575</v>
      </c>
      <c r="G1438" s="130">
        <f t="shared" si="208"/>
        <v>-39575</v>
      </c>
      <c r="H1438" s="131">
        <f t="shared" si="207"/>
        <v>-75576</v>
      </c>
      <c r="I1438" s="8">
        <f>J1437</f>
        <v>903107</v>
      </c>
      <c r="K1438" s="130">
        <f t="shared" ref="K1438:K1444" si="215">J1438-I1438</f>
        <v>-903107</v>
      </c>
      <c r="N1438" s="130">
        <v>201</v>
      </c>
      <c r="O1438" s="130">
        <f>N1438+K1438</f>
        <v>-902906</v>
      </c>
    </row>
    <row r="1439" spans="1:15">
      <c r="A1439" s="79">
        <v>45996</v>
      </c>
      <c r="B1439" s="8">
        <f t="shared" si="213"/>
        <v>0</v>
      </c>
      <c r="D1439" s="131">
        <f t="shared" si="210"/>
        <v>0</v>
      </c>
      <c r="E1439" s="8">
        <f t="shared" si="211"/>
        <v>0</v>
      </c>
      <c r="G1439" s="130">
        <f t="shared" si="208"/>
        <v>0</v>
      </c>
      <c r="H1439" s="131">
        <f t="shared" si="207"/>
        <v>0</v>
      </c>
      <c r="I1439" s="8">
        <f>J1438</f>
        <v>0</v>
      </c>
      <c r="J1439" s="8">
        <f t="shared" ca="1" si="214"/>
        <v>0</v>
      </c>
      <c r="K1439" s="130">
        <f ca="1">J1439-I1439</f>
        <v>0</v>
      </c>
      <c r="O1439" s="130">
        <f t="shared" ref="O1439:O1502" ca="1" si="216">N1439+K1439</f>
        <v>0</v>
      </c>
    </row>
    <row r="1440" spans="1:15">
      <c r="A1440" s="79">
        <v>45997</v>
      </c>
      <c r="B1440" s="8">
        <f t="shared" si="213"/>
        <v>0</v>
      </c>
      <c r="D1440" s="131">
        <f t="shared" si="210"/>
        <v>0</v>
      </c>
      <c r="E1440" s="8">
        <f t="shared" si="211"/>
        <v>0</v>
      </c>
      <c r="G1440" s="130">
        <f t="shared" si="208"/>
        <v>0</v>
      </c>
      <c r="H1440" s="131">
        <f t="shared" si="207"/>
        <v>0</v>
      </c>
      <c r="I1440" s="8">
        <f t="shared" ca="1" si="212"/>
        <v>0</v>
      </c>
      <c r="J1440" s="8">
        <f t="shared" ca="1" si="214"/>
        <v>0</v>
      </c>
      <c r="K1440" s="130">
        <f t="shared" ca="1" si="215"/>
        <v>0</v>
      </c>
      <c r="O1440" s="130">
        <f t="shared" ca="1" si="216"/>
        <v>0</v>
      </c>
    </row>
    <row r="1441" spans="1:15">
      <c r="A1441" s="79">
        <v>45998</v>
      </c>
      <c r="B1441" s="8">
        <f t="shared" si="213"/>
        <v>0</v>
      </c>
      <c r="D1441" s="131">
        <f t="shared" si="210"/>
        <v>0</v>
      </c>
      <c r="E1441" s="8">
        <f t="shared" si="211"/>
        <v>0</v>
      </c>
      <c r="G1441" s="130">
        <f t="shared" si="208"/>
        <v>0</v>
      </c>
      <c r="H1441" s="131">
        <f t="shared" si="207"/>
        <v>0</v>
      </c>
      <c r="I1441" s="8">
        <f t="shared" ca="1" si="212"/>
        <v>0</v>
      </c>
      <c r="J1441" s="8">
        <f t="shared" ca="1" si="214"/>
        <v>0</v>
      </c>
      <c r="K1441" s="130">
        <f t="shared" ca="1" si="215"/>
        <v>0</v>
      </c>
      <c r="O1441" s="130">
        <f t="shared" ca="1" si="216"/>
        <v>0</v>
      </c>
    </row>
    <row r="1442" spans="1:15">
      <c r="A1442" s="79">
        <v>45999</v>
      </c>
      <c r="B1442" s="8">
        <f t="shared" si="213"/>
        <v>0</v>
      </c>
      <c r="D1442" s="131">
        <f t="shared" si="210"/>
        <v>0</v>
      </c>
      <c r="E1442" s="8">
        <f t="shared" si="211"/>
        <v>0</v>
      </c>
      <c r="G1442" s="130">
        <f t="shared" si="208"/>
        <v>0</v>
      </c>
      <c r="H1442" s="131">
        <f t="shared" si="207"/>
        <v>0</v>
      </c>
      <c r="I1442" s="8">
        <f t="shared" ca="1" si="212"/>
        <v>0</v>
      </c>
      <c r="J1442" s="8">
        <f t="shared" ca="1" si="214"/>
        <v>0</v>
      </c>
      <c r="K1442" s="130">
        <f t="shared" ca="1" si="215"/>
        <v>0</v>
      </c>
      <c r="O1442" s="130">
        <f t="shared" ca="1" si="216"/>
        <v>0</v>
      </c>
    </row>
    <row r="1443" spans="1:15">
      <c r="A1443" s="79">
        <v>46000</v>
      </c>
      <c r="B1443" s="8">
        <f t="shared" si="213"/>
        <v>0</v>
      </c>
      <c r="D1443" s="131">
        <f t="shared" si="210"/>
        <v>0</v>
      </c>
      <c r="E1443" s="8">
        <f t="shared" si="211"/>
        <v>0</v>
      </c>
      <c r="G1443" s="130">
        <f t="shared" si="208"/>
        <v>0</v>
      </c>
      <c r="H1443" s="131">
        <f t="shared" ref="H1443:H1506" si="217">D1443+G1443</f>
        <v>0</v>
      </c>
      <c r="I1443" s="8">
        <f t="shared" ca="1" si="212"/>
        <v>0</v>
      </c>
      <c r="J1443" s="8">
        <f t="shared" ca="1" si="214"/>
        <v>0</v>
      </c>
      <c r="K1443" s="130">
        <f t="shared" ca="1" si="215"/>
        <v>0</v>
      </c>
      <c r="O1443" s="130">
        <f t="shared" ca="1" si="216"/>
        <v>0</v>
      </c>
    </row>
    <row r="1444" spans="1:15">
      <c r="A1444" s="79">
        <v>46001</v>
      </c>
      <c r="B1444" s="8">
        <f t="shared" si="213"/>
        <v>0</v>
      </c>
      <c r="D1444" s="131">
        <f t="shared" si="210"/>
        <v>0</v>
      </c>
      <c r="E1444" s="8">
        <f t="shared" si="211"/>
        <v>0</v>
      </c>
      <c r="G1444" s="130">
        <f t="shared" si="208"/>
        <v>0</v>
      </c>
      <c r="H1444" s="131">
        <f t="shared" si="217"/>
        <v>0</v>
      </c>
      <c r="I1444" s="8">
        <f t="shared" ca="1" si="212"/>
        <v>0</v>
      </c>
      <c r="J1444" s="8">
        <f t="shared" ca="1" si="214"/>
        <v>0</v>
      </c>
      <c r="K1444" s="130">
        <f t="shared" ca="1" si="215"/>
        <v>0</v>
      </c>
      <c r="O1444" s="130">
        <f t="shared" ca="1" si="216"/>
        <v>0</v>
      </c>
    </row>
    <row r="1445" spans="1:15">
      <c r="A1445" s="79">
        <v>46002</v>
      </c>
      <c r="B1445" s="8">
        <f t="shared" si="213"/>
        <v>0</v>
      </c>
      <c r="D1445" s="131">
        <f t="shared" si="210"/>
        <v>0</v>
      </c>
      <c r="E1445" s="8">
        <f t="shared" si="211"/>
        <v>0</v>
      </c>
      <c r="G1445" s="130">
        <f t="shared" ref="G1445:G1508" si="218">F1445-E1445</f>
        <v>0</v>
      </c>
      <c r="H1445" s="131">
        <f t="shared" si="217"/>
        <v>0</v>
      </c>
      <c r="I1445" s="8">
        <f t="shared" ca="1" si="212"/>
        <v>0</v>
      </c>
      <c r="J1445" s="8">
        <f t="shared" ca="1" si="214"/>
        <v>0</v>
      </c>
      <c r="K1445" s="130">
        <f t="shared" ref="K1445:K1508" ca="1" si="219">J1445-I1445</f>
        <v>0</v>
      </c>
      <c r="O1445" s="130">
        <f t="shared" ca="1" si="216"/>
        <v>0</v>
      </c>
    </row>
    <row r="1446" spans="1:15">
      <c r="A1446" s="79">
        <v>46003</v>
      </c>
      <c r="B1446" s="8">
        <f t="shared" si="213"/>
        <v>0</v>
      </c>
      <c r="D1446" s="131">
        <f t="shared" ref="D1446:D1509" si="220">C1446-B1446</f>
        <v>0</v>
      </c>
      <c r="E1446" s="8">
        <f t="shared" ref="E1446:E1509" si="221">F1445</f>
        <v>0</v>
      </c>
      <c r="G1446" s="130">
        <f t="shared" si="218"/>
        <v>0</v>
      </c>
      <c r="H1446" s="131">
        <f t="shared" si="217"/>
        <v>0</v>
      </c>
      <c r="I1446" s="8">
        <f t="shared" ref="I1446:I1509" ca="1" si="222">J1445</f>
        <v>0</v>
      </c>
      <c r="J1446" s="8">
        <f t="shared" ca="1" si="214"/>
        <v>0</v>
      </c>
      <c r="K1446" s="130">
        <f t="shared" ca="1" si="219"/>
        <v>0</v>
      </c>
      <c r="O1446" s="130">
        <f t="shared" ca="1" si="216"/>
        <v>0</v>
      </c>
    </row>
    <row r="1447" spans="1:15">
      <c r="A1447" s="79">
        <v>46004</v>
      </c>
      <c r="B1447" s="8">
        <f t="shared" si="213"/>
        <v>0</v>
      </c>
      <c r="D1447" s="131">
        <f t="shared" si="220"/>
        <v>0</v>
      </c>
      <c r="E1447" s="8">
        <f t="shared" si="221"/>
        <v>0</v>
      </c>
      <c r="G1447" s="130">
        <f t="shared" si="218"/>
        <v>0</v>
      </c>
      <c r="H1447" s="131">
        <f t="shared" si="217"/>
        <v>0</v>
      </c>
      <c r="I1447" s="8">
        <f t="shared" ca="1" si="222"/>
        <v>0</v>
      </c>
      <c r="J1447" s="8">
        <f t="shared" ca="1" si="214"/>
        <v>0</v>
      </c>
      <c r="K1447" s="130">
        <f t="shared" ca="1" si="219"/>
        <v>0</v>
      </c>
      <c r="O1447" s="130">
        <f t="shared" ca="1" si="216"/>
        <v>0</v>
      </c>
    </row>
    <row r="1448" spans="1:15">
      <c r="A1448" s="79">
        <v>46005</v>
      </c>
      <c r="B1448" s="8">
        <f t="shared" si="213"/>
        <v>0</v>
      </c>
      <c r="D1448" s="131">
        <f t="shared" si="220"/>
        <v>0</v>
      </c>
      <c r="E1448" s="8">
        <f t="shared" si="221"/>
        <v>0</v>
      </c>
      <c r="G1448" s="130">
        <f t="shared" si="218"/>
        <v>0</v>
      </c>
      <c r="H1448" s="131">
        <f t="shared" si="217"/>
        <v>0</v>
      </c>
      <c r="I1448" s="8">
        <f ca="1">J1447</f>
        <v>0</v>
      </c>
      <c r="J1448" s="8">
        <f t="shared" ca="1" si="214"/>
        <v>0</v>
      </c>
      <c r="K1448" s="130">
        <f t="shared" ca="1" si="219"/>
        <v>0</v>
      </c>
      <c r="O1448" s="130">
        <f t="shared" ca="1" si="216"/>
        <v>0</v>
      </c>
    </row>
    <row r="1449" spans="1:15">
      <c r="A1449" s="79">
        <v>46006</v>
      </c>
      <c r="B1449" s="8">
        <f t="shared" si="213"/>
        <v>0</v>
      </c>
      <c r="D1449" s="131">
        <f t="shared" si="220"/>
        <v>0</v>
      </c>
      <c r="E1449" s="8">
        <f t="shared" si="221"/>
        <v>0</v>
      </c>
      <c r="G1449" s="130">
        <f t="shared" si="218"/>
        <v>0</v>
      </c>
      <c r="H1449" s="131">
        <f t="shared" si="217"/>
        <v>0</v>
      </c>
      <c r="I1449" s="8">
        <f t="shared" ca="1" si="222"/>
        <v>0</v>
      </c>
      <c r="J1449" s="8">
        <f t="shared" ca="1" si="214"/>
        <v>0</v>
      </c>
      <c r="K1449" s="130">
        <f t="shared" ca="1" si="219"/>
        <v>0</v>
      </c>
      <c r="O1449" s="130">
        <f t="shared" ca="1" si="216"/>
        <v>0</v>
      </c>
    </row>
    <row r="1450" spans="1:15">
      <c r="A1450" s="79">
        <v>46007</v>
      </c>
      <c r="B1450" s="8">
        <f t="shared" si="213"/>
        <v>0</v>
      </c>
      <c r="D1450" s="131">
        <f t="shared" si="220"/>
        <v>0</v>
      </c>
      <c r="E1450" s="8">
        <f t="shared" si="221"/>
        <v>0</v>
      </c>
      <c r="G1450" s="130">
        <f t="shared" si="218"/>
        <v>0</v>
      </c>
      <c r="H1450" s="131">
        <f t="shared" si="217"/>
        <v>0</v>
      </c>
      <c r="I1450" s="8">
        <f t="shared" ca="1" si="222"/>
        <v>0</v>
      </c>
      <c r="J1450" s="8">
        <f t="shared" ca="1" si="214"/>
        <v>0</v>
      </c>
      <c r="K1450" s="130">
        <f t="shared" ca="1" si="219"/>
        <v>0</v>
      </c>
      <c r="O1450" s="130">
        <f t="shared" ca="1" si="216"/>
        <v>0</v>
      </c>
    </row>
    <row r="1451" spans="1:15">
      <c r="A1451" s="79">
        <v>46008</v>
      </c>
      <c r="B1451" s="8">
        <f t="shared" si="213"/>
        <v>0</v>
      </c>
      <c r="D1451" s="131">
        <f t="shared" si="220"/>
        <v>0</v>
      </c>
      <c r="E1451" s="8">
        <f t="shared" si="221"/>
        <v>0</v>
      </c>
      <c r="G1451" s="130">
        <f t="shared" si="218"/>
        <v>0</v>
      </c>
      <c r="H1451" s="131">
        <f t="shared" si="217"/>
        <v>0</v>
      </c>
      <c r="I1451" s="8">
        <f t="shared" ca="1" si="222"/>
        <v>0</v>
      </c>
      <c r="J1451" s="8">
        <f t="shared" ca="1" si="214"/>
        <v>0</v>
      </c>
      <c r="K1451" s="130">
        <f t="shared" ca="1" si="219"/>
        <v>0</v>
      </c>
      <c r="O1451" s="130">
        <f t="shared" ca="1" si="216"/>
        <v>0</v>
      </c>
    </row>
    <row r="1452" spans="1:15">
      <c r="A1452" s="79">
        <v>46009</v>
      </c>
      <c r="B1452" s="8">
        <f t="shared" si="213"/>
        <v>0</v>
      </c>
      <c r="D1452" s="131">
        <f t="shared" si="220"/>
        <v>0</v>
      </c>
      <c r="E1452" s="8">
        <f t="shared" si="221"/>
        <v>0</v>
      </c>
      <c r="G1452" s="130">
        <f t="shared" si="218"/>
        <v>0</v>
      </c>
      <c r="H1452" s="131">
        <f t="shared" si="217"/>
        <v>0</v>
      </c>
      <c r="I1452" s="8">
        <f t="shared" ca="1" si="222"/>
        <v>0</v>
      </c>
      <c r="J1452" s="8">
        <f t="shared" ca="1" si="214"/>
        <v>0</v>
      </c>
      <c r="K1452" s="130">
        <f t="shared" ca="1" si="219"/>
        <v>0</v>
      </c>
      <c r="O1452" s="130">
        <f t="shared" ca="1" si="216"/>
        <v>0</v>
      </c>
    </row>
    <row r="1453" spans="1:15">
      <c r="A1453" s="79">
        <v>46010</v>
      </c>
      <c r="B1453" s="8">
        <f t="shared" si="213"/>
        <v>0</v>
      </c>
      <c r="D1453" s="131">
        <f t="shared" si="220"/>
        <v>0</v>
      </c>
      <c r="E1453" s="8">
        <f t="shared" si="221"/>
        <v>0</v>
      </c>
      <c r="G1453" s="130">
        <f t="shared" si="218"/>
        <v>0</v>
      </c>
      <c r="H1453" s="131">
        <f t="shared" si="217"/>
        <v>0</v>
      </c>
      <c r="I1453" s="8">
        <f t="shared" ca="1" si="222"/>
        <v>0</v>
      </c>
      <c r="J1453" s="8">
        <f t="shared" ca="1" si="214"/>
        <v>0</v>
      </c>
      <c r="K1453" s="130">
        <f t="shared" ca="1" si="219"/>
        <v>0</v>
      </c>
      <c r="O1453" s="130">
        <f t="shared" ca="1" si="216"/>
        <v>0</v>
      </c>
    </row>
    <row r="1454" spans="1:15">
      <c r="A1454" s="79">
        <v>46011</v>
      </c>
      <c r="B1454" s="8">
        <f t="shared" si="213"/>
        <v>0</v>
      </c>
      <c r="D1454" s="131">
        <f t="shared" si="220"/>
        <v>0</v>
      </c>
      <c r="E1454" s="8">
        <f t="shared" si="221"/>
        <v>0</v>
      </c>
      <c r="G1454" s="130">
        <f t="shared" si="218"/>
        <v>0</v>
      </c>
      <c r="H1454" s="131">
        <f t="shared" si="217"/>
        <v>0</v>
      </c>
      <c r="I1454" s="8">
        <f t="shared" ca="1" si="222"/>
        <v>0</v>
      </c>
      <c r="J1454" s="8">
        <f t="shared" ca="1" si="214"/>
        <v>0</v>
      </c>
      <c r="K1454" s="130">
        <f t="shared" ca="1" si="219"/>
        <v>0</v>
      </c>
      <c r="O1454" s="130">
        <f t="shared" ca="1" si="216"/>
        <v>0</v>
      </c>
    </row>
    <row r="1455" spans="1:15">
      <c r="A1455" s="79">
        <v>46012</v>
      </c>
      <c r="B1455" s="8">
        <f t="shared" si="213"/>
        <v>0</v>
      </c>
      <c r="D1455" s="131">
        <f t="shared" si="220"/>
        <v>0</v>
      </c>
      <c r="E1455" s="8">
        <f t="shared" si="221"/>
        <v>0</v>
      </c>
      <c r="G1455" s="130">
        <f t="shared" si="218"/>
        <v>0</v>
      </c>
      <c r="H1455" s="131">
        <f t="shared" si="217"/>
        <v>0</v>
      </c>
      <c r="I1455" s="8">
        <f t="shared" ca="1" si="222"/>
        <v>0</v>
      </c>
      <c r="J1455" s="8">
        <f t="shared" ca="1" si="214"/>
        <v>0</v>
      </c>
      <c r="K1455" s="130">
        <f t="shared" ca="1" si="219"/>
        <v>0</v>
      </c>
      <c r="O1455" s="130">
        <f t="shared" ca="1" si="216"/>
        <v>0</v>
      </c>
    </row>
    <row r="1456" spans="1:15">
      <c r="A1456" s="79">
        <v>46013</v>
      </c>
      <c r="B1456" s="8">
        <f t="shared" si="213"/>
        <v>0</v>
      </c>
      <c r="D1456" s="131">
        <f t="shared" si="220"/>
        <v>0</v>
      </c>
      <c r="E1456" s="8">
        <f t="shared" si="221"/>
        <v>0</v>
      </c>
      <c r="G1456" s="130">
        <f t="shared" si="218"/>
        <v>0</v>
      </c>
      <c r="H1456" s="131">
        <f t="shared" si="217"/>
        <v>0</v>
      </c>
      <c r="I1456" s="8">
        <f t="shared" ca="1" si="222"/>
        <v>0</v>
      </c>
      <c r="J1456" s="8">
        <f t="shared" ca="1" si="214"/>
        <v>0</v>
      </c>
      <c r="K1456" s="130">
        <f t="shared" ca="1" si="219"/>
        <v>0</v>
      </c>
      <c r="O1456" s="130">
        <f t="shared" ca="1" si="216"/>
        <v>0</v>
      </c>
    </row>
    <row r="1457" spans="1:15">
      <c r="A1457" s="79">
        <v>46014</v>
      </c>
      <c r="B1457" s="8">
        <f t="shared" si="213"/>
        <v>0</v>
      </c>
      <c r="D1457" s="131">
        <f t="shared" si="220"/>
        <v>0</v>
      </c>
      <c r="E1457" s="8">
        <f t="shared" si="221"/>
        <v>0</v>
      </c>
      <c r="G1457" s="130">
        <f t="shared" si="218"/>
        <v>0</v>
      </c>
      <c r="H1457" s="131">
        <f t="shared" si="217"/>
        <v>0</v>
      </c>
      <c r="I1457" s="8">
        <f t="shared" ca="1" si="222"/>
        <v>0</v>
      </c>
      <c r="J1457" s="8">
        <f t="shared" ca="1" si="214"/>
        <v>0</v>
      </c>
      <c r="K1457" s="130">
        <f t="shared" ca="1" si="219"/>
        <v>0</v>
      </c>
      <c r="O1457" s="130">
        <f t="shared" ca="1" si="216"/>
        <v>0</v>
      </c>
    </row>
    <row r="1458" spans="1:15">
      <c r="A1458" s="79">
        <v>46015</v>
      </c>
      <c r="B1458" s="8">
        <f t="shared" si="213"/>
        <v>0</v>
      </c>
      <c r="D1458" s="131">
        <f t="shared" si="220"/>
        <v>0</v>
      </c>
      <c r="E1458" s="8">
        <f t="shared" si="221"/>
        <v>0</v>
      </c>
      <c r="G1458" s="130">
        <f t="shared" si="218"/>
        <v>0</v>
      </c>
      <c r="H1458" s="131">
        <f t="shared" si="217"/>
        <v>0</v>
      </c>
      <c r="I1458" s="8">
        <f t="shared" ca="1" si="222"/>
        <v>0</v>
      </c>
      <c r="J1458" s="8">
        <f t="shared" ca="1" si="214"/>
        <v>0</v>
      </c>
      <c r="K1458" s="130">
        <f t="shared" ca="1" si="219"/>
        <v>0</v>
      </c>
      <c r="O1458" s="130">
        <f t="shared" ca="1" si="216"/>
        <v>0</v>
      </c>
    </row>
    <row r="1459" spans="1:15">
      <c r="A1459" s="79">
        <v>46016</v>
      </c>
      <c r="B1459" s="8">
        <f t="shared" ref="B1459:B1522" si="223">C1458</f>
        <v>0</v>
      </c>
      <c r="D1459" s="131">
        <f t="shared" si="220"/>
        <v>0</v>
      </c>
      <c r="E1459" s="8">
        <f t="shared" si="221"/>
        <v>0</v>
      </c>
      <c r="G1459" s="130">
        <f t="shared" si="218"/>
        <v>0</v>
      </c>
      <c r="H1459" s="131">
        <f t="shared" si="217"/>
        <v>0</v>
      </c>
      <c r="I1459" s="8">
        <f t="shared" ca="1" si="222"/>
        <v>0</v>
      </c>
      <c r="J1459" s="8">
        <f t="shared" ca="1" si="214"/>
        <v>0</v>
      </c>
      <c r="K1459" s="130">
        <f t="shared" ca="1" si="219"/>
        <v>0</v>
      </c>
      <c r="O1459" s="130">
        <f t="shared" ca="1" si="216"/>
        <v>0</v>
      </c>
    </row>
    <row r="1460" spans="1:15">
      <c r="A1460" s="79">
        <v>46017</v>
      </c>
      <c r="B1460" s="8">
        <f t="shared" si="223"/>
        <v>0</v>
      </c>
      <c r="D1460" s="131">
        <f t="shared" si="220"/>
        <v>0</v>
      </c>
      <c r="E1460" s="8">
        <f t="shared" si="221"/>
        <v>0</v>
      </c>
      <c r="G1460" s="130">
        <f t="shared" si="218"/>
        <v>0</v>
      </c>
      <c r="H1460" s="131">
        <f t="shared" si="217"/>
        <v>0</v>
      </c>
      <c r="I1460" s="8">
        <f t="shared" ca="1" si="222"/>
        <v>0</v>
      </c>
      <c r="J1460" s="8">
        <f t="shared" ca="1" si="214"/>
        <v>0</v>
      </c>
      <c r="K1460" s="130">
        <f t="shared" ca="1" si="219"/>
        <v>0</v>
      </c>
      <c r="O1460" s="130">
        <f t="shared" ca="1" si="216"/>
        <v>0</v>
      </c>
    </row>
    <row r="1461" spans="1:15">
      <c r="A1461" s="79">
        <v>46018</v>
      </c>
      <c r="B1461" s="8">
        <f t="shared" si="223"/>
        <v>0</v>
      </c>
      <c r="D1461" s="131">
        <f t="shared" si="220"/>
        <v>0</v>
      </c>
      <c r="E1461" s="8">
        <f t="shared" si="221"/>
        <v>0</v>
      </c>
      <c r="G1461" s="130">
        <f t="shared" si="218"/>
        <v>0</v>
      </c>
      <c r="H1461" s="131">
        <f t="shared" si="217"/>
        <v>0</v>
      </c>
      <c r="I1461" s="8">
        <f t="shared" ca="1" si="222"/>
        <v>0</v>
      </c>
      <c r="J1461" s="8">
        <f t="shared" ca="1" si="214"/>
        <v>0</v>
      </c>
      <c r="K1461" s="130">
        <f t="shared" ca="1" si="219"/>
        <v>0</v>
      </c>
      <c r="O1461" s="130">
        <f t="shared" ca="1" si="216"/>
        <v>0</v>
      </c>
    </row>
    <row r="1462" spans="1:15">
      <c r="A1462" s="79">
        <v>46019</v>
      </c>
      <c r="B1462" s="8">
        <f t="shared" si="223"/>
        <v>0</v>
      </c>
      <c r="D1462" s="131">
        <f t="shared" si="220"/>
        <v>0</v>
      </c>
      <c r="E1462" s="8">
        <f t="shared" si="221"/>
        <v>0</v>
      </c>
      <c r="G1462" s="130">
        <f t="shared" si="218"/>
        <v>0</v>
      </c>
      <c r="H1462" s="131">
        <f t="shared" si="217"/>
        <v>0</v>
      </c>
      <c r="I1462" s="8">
        <f t="shared" ca="1" si="222"/>
        <v>0</v>
      </c>
      <c r="J1462" s="8">
        <f t="shared" ca="1" si="214"/>
        <v>0</v>
      </c>
      <c r="K1462" s="130">
        <f t="shared" ca="1" si="219"/>
        <v>0</v>
      </c>
      <c r="O1462" s="130">
        <f t="shared" ca="1" si="216"/>
        <v>0</v>
      </c>
    </row>
    <row r="1463" spans="1:15">
      <c r="A1463" s="79">
        <v>46020</v>
      </c>
      <c r="B1463" s="8">
        <f t="shared" si="223"/>
        <v>0</v>
      </c>
      <c r="D1463" s="131">
        <f t="shared" si="220"/>
        <v>0</v>
      </c>
      <c r="E1463" s="8">
        <f t="shared" si="221"/>
        <v>0</v>
      </c>
      <c r="G1463" s="130">
        <f t="shared" si="218"/>
        <v>0</v>
      </c>
      <c r="H1463" s="131">
        <f t="shared" si="217"/>
        <v>0</v>
      </c>
      <c r="I1463" s="8">
        <f t="shared" ca="1" si="222"/>
        <v>0</v>
      </c>
      <c r="J1463" s="8">
        <f t="shared" ca="1" si="214"/>
        <v>0</v>
      </c>
      <c r="K1463" s="130">
        <f t="shared" ca="1" si="219"/>
        <v>0</v>
      </c>
      <c r="O1463" s="130">
        <f t="shared" ca="1" si="216"/>
        <v>0</v>
      </c>
    </row>
    <row r="1464" spans="1:15">
      <c r="A1464" s="79">
        <v>46021</v>
      </c>
      <c r="B1464" s="8">
        <f t="shared" si="223"/>
        <v>0</v>
      </c>
      <c r="D1464" s="131">
        <f t="shared" si="220"/>
        <v>0</v>
      </c>
      <c r="E1464" s="8">
        <f t="shared" si="221"/>
        <v>0</v>
      </c>
      <c r="G1464" s="130">
        <f t="shared" si="218"/>
        <v>0</v>
      </c>
      <c r="H1464" s="131">
        <f t="shared" si="217"/>
        <v>0</v>
      </c>
      <c r="I1464" s="8">
        <f t="shared" ca="1" si="222"/>
        <v>0</v>
      </c>
      <c r="J1464" s="8">
        <f t="shared" ca="1" si="214"/>
        <v>0</v>
      </c>
      <c r="K1464" s="130">
        <f t="shared" ca="1" si="219"/>
        <v>0</v>
      </c>
      <c r="O1464" s="130">
        <f t="shared" ca="1" si="216"/>
        <v>0</v>
      </c>
    </row>
    <row r="1465" spans="1:15">
      <c r="A1465" s="79">
        <v>46022</v>
      </c>
      <c r="B1465" s="8">
        <f t="shared" si="223"/>
        <v>0</v>
      </c>
      <c r="D1465" s="131">
        <f t="shared" si="220"/>
        <v>0</v>
      </c>
      <c r="E1465" s="8">
        <f t="shared" si="221"/>
        <v>0</v>
      </c>
      <c r="G1465" s="130">
        <f t="shared" si="218"/>
        <v>0</v>
      </c>
      <c r="H1465" s="131">
        <f t="shared" si="217"/>
        <v>0</v>
      </c>
      <c r="I1465" s="8">
        <f t="shared" ca="1" si="222"/>
        <v>0</v>
      </c>
      <c r="J1465" s="8">
        <f t="shared" ca="1" si="214"/>
        <v>0</v>
      </c>
      <c r="K1465" s="130">
        <f t="shared" ca="1" si="219"/>
        <v>0</v>
      </c>
      <c r="O1465" s="130">
        <f t="shared" ca="1" si="216"/>
        <v>0</v>
      </c>
    </row>
    <row r="1466" spans="1:15">
      <c r="A1466" s="79">
        <v>46023</v>
      </c>
      <c r="B1466" s="8">
        <f t="shared" si="223"/>
        <v>0</v>
      </c>
      <c r="D1466" s="131">
        <f t="shared" si="220"/>
        <v>0</v>
      </c>
      <c r="E1466" s="8">
        <f t="shared" si="221"/>
        <v>0</v>
      </c>
      <c r="G1466" s="130">
        <f t="shared" si="218"/>
        <v>0</v>
      </c>
      <c r="H1466" s="131">
        <f t="shared" si="217"/>
        <v>0</v>
      </c>
      <c r="I1466" s="8">
        <f t="shared" ca="1" si="222"/>
        <v>0</v>
      </c>
      <c r="J1466" s="8">
        <f t="shared" ca="1" si="214"/>
        <v>0</v>
      </c>
      <c r="K1466" s="130">
        <f t="shared" ca="1" si="219"/>
        <v>0</v>
      </c>
      <c r="O1466" s="130">
        <f t="shared" ca="1" si="216"/>
        <v>0</v>
      </c>
    </row>
    <row r="1467" spans="1:15">
      <c r="A1467" s="79">
        <v>46024</v>
      </c>
      <c r="B1467" s="8">
        <f t="shared" si="223"/>
        <v>0</v>
      </c>
      <c r="D1467" s="131">
        <f t="shared" si="220"/>
        <v>0</v>
      </c>
      <c r="E1467" s="8">
        <f t="shared" si="221"/>
        <v>0</v>
      </c>
      <c r="G1467" s="130">
        <f t="shared" si="218"/>
        <v>0</v>
      </c>
      <c r="H1467" s="131">
        <f t="shared" si="217"/>
        <v>0</v>
      </c>
      <c r="I1467" s="8">
        <f t="shared" ca="1" si="222"/>
        <v>0</v>
      </c>
      <c r="J1467" s="8">
        <f t="shared" ca="1" si="214"/>
        <v>0</v>
      </c>
      <c r="K1467" s="130">
        <f t="shared" ca="1" si="219"/>
        <v>0</v>
      </c>
      <c r="O1467" s="130">
        <f t="shared" ca="1" si="216"/>
        <v>0</v>
      </c>
    </row>
    <row r="1468" spans="1:15">
      <c r="A1468" s="79">
        <v>46025</v>
      </c>
      <c r="B1468" s="8">
        <f t="shared" si="223"/>
        <v>0</v>
      </c>
      <c r="D1468" s="131">
        <f t="shared" si="220"/>
        <v>0</v>
      </c>
      <c r="E1468" s="8">
        <f t="shared" si="221"/>
        <v>0</v>
      </c>
      <c r="G1468" s="130">
        <f t="shared" si="218"/>
        <v>0</v>
      </c>
      <c r="H1468" s="131">
        <f t="shared" si="217"/>
        <v>0</v>
      </c>
      <c r="I1468" s="8">
        <f t="shared" ca="1" si="222"/>
        <v>0</v>
      </c>
      <c r="J1468" s="8">
        <f t="shared" ca="1" si="214"/>
        <v>0</v>
      </c>
      <c r="K1468" s="130">
        <f t="shared" ca="1" si="219"/>
        <v>0</v>
      </c>
      <c r="O1468" s="130">
        <f t="shared" ca="1" si="216"/>
        <v>0</v>
      </c>
    </row>
    <row r="1469" spans="1:15">
      <c r="A1469" s="79">
        <v>46026</v>
      </c>
      <c r="B1469" s="8">
        <f t="shared" si="223"/>
        <v>0</v>
      </c>
      <c r="D1469" s="131">
        <f t="shared" si="220"/>
        <v>0</v>
      </c>
      <c r="E1469" s="8">
        <f t="shared" si="221"/>
        <v>0</v>
      </c>
      <c r="G1469" s="130">
        <f t="shared" si="218"/>
        <v>0</v>
      </c>
      <c r="H1469" s="131">
        <f t="shared" si="217"/>
        <v>0</v>
      </c>
      <c r="I1469" s="8">
        <f t="shared" ca="1" si="222"/>
        <v>0</v>
      </c>
      <c r="J1469" s="8">
        <f t="shared" ca="1" si="214"/>
        <v>0</v>
      </c>
      <c r="K1469" s="130">
        <f t="shared" ca="1" si="219"/>
        <v>0</v>
      </c>
      <c r="O1469" s="130">
        <f t="shared" ca="1" si="216"/>
        <v>0</v>
      </c>
    </row>
    <row r="1470" spans="1:15">
      <c r="A1470" s="79">
        <v>46027</v>
      </c>
      <c r="B1470" s="8">
        <f t="shared" si="223"/>
        <v>0</v>
      </c>
      <c r="D1470" s="131">
        <f t="shared" si="220"/>
        <v>0</v>
      </c>
      <c r="E1470" s="8">
        <f t="shared" si="221"/>
        <v>0</v>
      </c>
      <c r="G1470" s="130">
        <f t="shared" si="218"/>
        <v>0</v>
      </c>
      <c r="H1470" s="131">
        <f t="shared" si="217"/>
        <v>0</v>
      </c>
      <c r="I1470" s="8">
        <f t="shared" ca="1" si="222"/>
        <v>0</v>
      </c>
      <c r="J1470" s="8">
        <f t="shared" ca="1" si="214"/>
        <v>0</v>
      </c>
      <c r="K1470" s="130">
        <f t="shared" ca="1" si="219"/>
        <v>0</v>
      </c>
      <c r="O1470" s="130">
        <f t="shared" ca="1" si="216"/>
        <v>0</v>
      </c>
    </row>
    <row r="1471" spans="1:15">
      <c r="A1471" s="79">
        <v>46028</v>
      </c>
      <c r="B1471" s="8">
        <f t="shared" si="223"/>
        <v>0</v>
      </c>
      <c r="D1471" s="131">
        <f t="shared" si="220"/>
        <v>0</v>
      </c>
      <c r="E1471" s="8">
        <f t="shared" si="221"/>
        <v>0</v>
      </c>
      <c r="G1471" s="130">
        <f t="shared" si="218"/>
        <v>0</v>
      </c>
      <c r="H1471" s="131">
        <f t="shared" si="217"/>
        <v>0</v>
      </c>
      <c r="I1471" s="8">
        <f t="shared" ca="1" si="222"/>
        <v>0</v>
      </c>
      <c r="J1471" s="8">
        <f t="shared" ca="1" si="214"/>
        <v>0</v>
      </c>
      <c r="K1471" s="130">
        <f t="shared" ca="1" si="219"/>
        <v>0</v>
      </c>
      <c r="O1471" s="130">
        <f t="shared" ca="1" si="216"/>
        <v>0</v>
      </c>
    </row>
    <row r="1472" spans="1:15">
      <c r="A1472" s="79">
        <v>46029</v>
      </c>
      <c r="B1472" s="8">
        <f t="shared" si="223"/>
        <v>0</v>
      </c>
      <c r="D1472" s="131">
        <f t="shared" si="220"/>
        <v>0</v>
      </c>
      <c r="E1472" s="8">
        <f t="shared" si="221"/>
        <v>0</v>
      </c>
      <c r="G1472" s="130">
        <f t="shared" si="218"/>
        <v>0</v>
      </c>
      <c r="H1472" s="131">
        <f t="shared" si="217"/>
        <v>0</v>
      </c>
      <c r="I1472" s="8">
        <f t="shared" ca="1" si="222"/>
        <v>0</v>
      </c>
      <c r="J1472" s="8">
        <f t="shared" ca="1" si="214"/>
        <v>0</v>
      </c>
      <c r="K1472" s="130">
        <f t="shared" ca="1" si="219"/>
        <v>0</v>
      </c>
      <c r="O1472" s="130">
        <f t="shared" ca="1" si="216"/>
        <v>0</v>
      </c>
    </row>
    <row r="1473" spans="1:15">
      <c r="A1473" s="79">
        <v>46030</v>
      </c>
      <c r="B1473" s="8">
        <f t="shared" si="223"/>
        <v>0</v>
      </c>
      <c r="D1473" s="131">
        <f t="shared" si="220"/>
        <v>0</v>
      </c>
      <c r="E1473" s="8">
        <f t="shared" si="221"/>
        <v>0</v>
      </c>
      <c r="G1473" s="130">
        <f t="shared" si="218"/>
        <v>0</v>
      </c>
      <c r="H1473" s="131">
        <f t="shared" si="217"/>
        <v>0</v>
      </c>
      <c r="I1473" s="8">
        <f t="shared" ca="1" si="222"/>
        <v>0</v>
      </c>
      <c r="J1473" s="8">
        <f t="shared" ca="1" si="214"/>
        <v>0</v>
      </c>
      <c r="K1473" s="130">
        <f t="shared" ca="1" si="219"/>
        <v>0</v>
      </c>
      <c r="O1473" s="130">
        <f t="shared" ca="1" si="216"/>
        <v>0</v>
      </c>
    </row>
    <row r="1474" spans="1:15">
      <c r="A1474" s="79">
        <v>46031</v>
      </c>
      <c r="B1474" s="8">
        <f t="shared" si="223"/>
        <v>0</v>
      </c>
      <c r="D1474" s="131">
        <f t="shared" si="220"/>
        <v>0</v>
      </c>
      <c r="E1474" s="8">
        <f t="shared" si="221"/>
        <v>0</v>
      </c>
      <c r="G1474" s="130">
        <f t="shared" si="218"/>
        <v>0</v>
      </c>
      <c r="H1474" s="131">
        <f t="shared" si="217"/>
        <v>0</v>
      </c>
      <c r="I1474" s="8">
        <f t="shared" ca="1" si="222"/>
        <v>0</v>
      </c>
      <c r="J1474" s="8">
        <f t="shared" ca="1" si="214"/>
        <v>0</v>
      </c>
      <c r="K1474" s="130">
        <f t="shared" ca="1" si="219"/>
        <v>0</v>
      </c>
      <c r="O1474" s="130">
        <f t="shared" ca="1" si="216"/>
        <v>0</v>
      </c>
    </row>
    <row r="1475" spans="1:15">
      <c r="A1475" s="79">
        <v>46032</v>
      </c>
      <c r="B1475" s="8">
        <f t="shared" si="223"/>
        <v>0</v>
      </c>
      <c r="D1475" s="131">
        <f t="shared" si="220"/>
        <v>0</v>
      </c>
      <c r="E1475" s="8">
        <f t="shared" si="221"/>
        <v>0</v>
      </c>
      <c r="G1475" s="130">
        <f t="shared" si="218"/>
        <v>0</v>
      </c>
      <c r="H1475" s="131">
        <f t="shared" si="217"/>
        <v>0</v>
      </c>
      <c r="I1475" s="8">
        <f t="shared" ca="1" si="222"/>
        <v>0</v>
      </c>
      <c r="J1475" s="8">
        <f t="shared" ca="1" si="214"/>
        <v>0</v>
      </c>
      <c r="K1475" s="130">
        <f t="shared" ca="1" si="219"/>
        <v>0</v>
      </c>
      <c r="O1475" s="130">
        <f t="shared" ca="1" si="216"/>
        <v>0</v>
      </c>
    </row>
    <row r="1476" spans="1:15">
      <c r="A1476" s="79">
        <v>46033</v>
      </c>
      <c r="B1476" s="8">
        <f t="shared" si="223"/>
        <v>0</v>
      </c>
      <c r="D1476" s="131">
        <f t="shared" si="220"/>
        <v>0</v>
      </c>
      <c r="E1476" s="8">
        <f t="shared" si="221"/>
        <v>0</v>
      </c>
      <c r="G1476" s="130">
        <f t="shared" si="218"/>
        <v>0</v>
      </c>
      <c r="H1476" s="131">
        <f t="shared" si="217"/>
        <v>0</v>
      </c>
      <c r="I1476" s="8">
        <f t="shared" ca="1" si="222"/>
        <v>0</v>
      </c>
      <c r="J1476" s="8">
        <f t="shared" ca="1" si="214"/>
        <v>0</v>
      </c>
      <c r="K1476" s="130">
        <f t="shared" ca="1" si="219"/>
        <v>0</v>
      </c>
      <c r="O1476" s="130">
        <f t="shared" ca="1" si="216"/>
        <v>0</v>
      </c>
    </row>
    <row r="1477" spans="1:15">
      <c r="A1477" s="79">
        <v>46034</v>
      </c>
      <c r="B1477" s="8">
        <f t="shared" si="223"/>
        <v>0</v>
      </c>
      <c r="D1477" s="131">
        <f t="shared" si="220"/>
        <v>0</v>
      </c>
      <c r="E1477" s="8">
        <f t="shared" si="221"/>
        <v>0</v>
      </c>
      <c r="G1477" s="130">
        <f t="shared" si="218"/>
        <v>0</v>
      </c>
      <c r="H1477" s="131">
        <f t="shared" si="217"/>
        <v>0</v>
      </c>
      <c r="I1477" s="8">
        <f t="shared" ca="1" si="222"/>
        <v>0</v>
      </c>
      <c r="J1477" s="8">
        <f t="shared" ca="1" si="214"/>
        <v>0</v>
      </c>
      <c r="K1477" s="130">
        <f t="shared" ca="1" si="219"/>
        <v>0</v>
      </c>
      <c r="O1477" s="130">
        <f t="shared" ca="1" si="216"/>
        <v>0</v>
      </c>
    </row>
    <row r="1478" spans="1:15">
      <c r="A1478" s="79">
        <v>46035</v>
      </c>
      <c r="B1478" s="8">
        <f t="shared" si="223"/>
        <v>0</v>
      </c>
      <c r="D1478" s="131">
        <f t="shared" si="220"/>
        <v>0</v>
      </c>
      <c r="E1478" s="8">
        <f t="shared" si="221"/>
        <v>0</v>
      </c>
      <c r="G1478" s="130">
        <f t="shared" si="218"/>
        <v>0</v>
      </c>
      <c r="H1478" s="131">
        <f t="shared" si="217"/>
        <v>0</v>
      </c>
      <c r="I1478" s="8">
        <f t="shared" ca="1" si="222"/>
        <v>0</v>
      </c>
      <c r="J1478" s="8">
        <f t="shared" ca="1" si="214"/>
        <v>0</v>
      </c>
      <c r="K1478" s="130">
        <f t="shared" ca="1" si="219"/>
        <v>0</v>
      </c>
      <c r="O1478" s="130">
        <f t="shared" ca="1" si="216"/>
        <v>0</v>
      </c>
    </row>
    <row r="1479" spans="1:15">
      <c r="A1479" s="79">
        <v>46036</v>
      </c>
      <c r="B1479" s="8">
        <f t="shared" si="223"/>
        <v>0</v>
      </c>
      <c r="D1479" s="131">
        <f t="shared" si="220"/>
        <v>0</v>
      </c>
      <c r="E1479" s="8">
        <f t="shared" si="221"/>
        <v>0</v>
      </c>
      <c r="G1479" s="130">
        <f t="shared" si="218"/>
        <v>0</v>
      </c>
      <c r="H1479" s="131">
        <f t="shared" si="217"/>
        <v>0</v>
      </c>
      <c r="I1479" s="8">
        <f t="shared" ca="1" si="222"/>
        <v>0</v>
      </c>
      <c r="J1479" s="8">
        <f t="shared" ca="1" si="214"/>
        <v>0</v>
      </c>
      <c r="K1479" s="130">
        <f t="shared" ca="1" si="219"/>
        <v>0</v>
      </c>
      <c r="O1479" s="130">
        <f t="shared" ca="1" si="216"/>
        <v>0</v>
      </c>
    </row>
    <row r="1480" spans="1:15">
      <c r="A1480" s="79">
        <v>46037</v>
      </c>
      <c r="B1480" s="8">
        <f t="shared" si="223"/>
        <v>0</v>
      </c>
      <c r="D1480" s="131">
        <f t="shared" si="220"/>
        <v>0</v>
      </c>
      <c r="E1480" s="8">
        <f t="shared" si="221"/>
        <v>0</v>
      </c>
      <c r="G1480" s="130">
        <f t="shared" si="218"/>
        <v>0</v>
      </c>
      <c r="H1480" s="131">
        <f t="shared" si="217"/>
        <v>0</v>
      </c>
      <c r="I1480" s="8">
        <f t="shared" ca="1" si="222"/>
        <v>0</v>
      </c>
      <c r="J1480" s="8">
        <f t="shared" ca="1" si="214"/>
        <v>0</v>
      </c>
      <c r="K1480" s="130">
        <f t="shared" ca="1" si="219"/>
        <v>0</v>
      </c>
      <c r="O1480" s="130">
        <f t="shared" ca="1" si="216"/>
        <v>0</v>
      </c>
    </row>
    <row r="1481" spans="1:15">
      <c r="A1481" s="79">
        <v>46038</v>
      </c>
      <c r="B1481" s="8">
        <f t="shared" si="223"/>
        <v>0</v>
      </c>
      <c r="D1481" s="131">
        <f t="shared" si="220"/>
        <v>0</v>
      </c>
      <c r="E1481" s="8">
        <f t="shared" si="221"/>
        <v>0</v>
      </c>
      <c r="G1481" s="130">
        <f t="shared" si="218"/>
        <v>0</v>
      </c>
      <c r="H1481" s="131">
        <f t="shared" si="217"/>
        <v>0</v>
      </c>
      <c r="I1481" s="8">
        <f t="shared" ca="1" si="222"/>
        <v>0</v>
      </c>
      <c r="J1481" s="8">
        <f t="shared" ca="1" si="214"/>
        <v>0</v>
      </c>
      <c r="K1481" s="130">
        <f t="shared" ca="1" si="219"/>
        <v>0</v>
      </c>
      <c r="O1481" s="130">
        <f t="shared" ca="1" si="216"/>
        <v>0</v>
      </c>
    </row>
    <row r="1482" spans="1:15">
      <c r="A1482" s="79">
        <v>46039</v>
      </c>
      <c r="B1482" s="8">
        <f t="shared" si="223"/>
        <v>0</v>
      </c>
      <c r="D1482" s="131">
        <f t="shared" si="220"/>
        <v>0</v>
      </c>
      <c r="E1482" s="8">
        <f t="shared" si="221"/>
        <v>0</v>
      </c>
      <c r="G1482" s="130">
        <f t="shared" si="218"/>
        <v>0</v>
      </c>
      <c r="H1482" s="131">
        <f t="shared" si="217"/>
        <v>0</v>
      </c>
      <c r="I1482" s="8">
        <f t="shared" ca="1" si="222"/>
        <v>0</v>
      </c>
      <c r="J1482" s="8">
        <f t="shared" ca="1" si="214"/>
        <v>0</v>
      </c>
      <c r="K1482" s="130">
        <f t="shared" ca="1" si="219"/>
        <v>0</v>
      </c>
      <c r="O1482" s="130">
        <f t="shared" ca="1" si="216"/>
        <v>0</v>
      </c>
    </row>
    <row r="1483" spans="1:15">
      <c r="A1483" s="79">
        <v>46040</v>
      </c>
      <c r="B1483" s="8">
        <f t="shared" si="223"/>
        <v>0</v>
      </c>
      <c r="D1483" s="131">
        <f t="shared" si="220"/>
        <v>0</v>
      </c>
      <c r="E1483" s="8">
        <f t="shared" si="221"/>
        <v>0</v>
      </c>
      <c r="G1483" s="130">
        <f t="shared" si="218"/>
        <v>0</v>
      </c>
      <c r="H1483" s="131">
        <f t="shared" si="217"/>
        <v>0</v>
      </c>
      <c r="I1483" s="8">
        <f t="shared" ca="1" si="222"/>
        <v>0</v>
      </c>
      <c r="J1483" s="8">
        <f t="shared" ca="1" si="214"/>
        <v>0</v>
      </c>
      <c r="K1483" s="130">
        <f t="shared" ca="1" si="219"/>
        <v>0</v>
      </c>
      <c r="O1483" s="130">
        <f t="shared" ca="1" si="216"/>
        <v>0</v>
      </c>
    </row>
    <row r="1484" spans="1:15">
      <c r="A1484" s="79">
        <v>46041</v>
      </c>
      <c r="B1484" s="8">
        <f t="shared" si="223"/>
        <v>0</v>
      </c>
      <c r="D1484" s="131">
        <f t="shared" si="220"/>
        <v>0</v>
      </c>
      <c r="E1484" s="8">
        <f t="shared" si="221"/>
        <v>0</v>
      </c>
      <c r="G1484" s="130">
        <f t="shared" si="218"/>
        <v>0</v>
      </c>
      <c r="H1484" s="131">
        <f t="shared" si="217"/>
        <v>0</v>
      </c>
      <c r="I1484" s="8">
        <f t="shared" ca="1" si="222"/>
        <v>0</v>
      </c>
      <c r="J1484" s="8">
        <f t="shared" ca="1" si="214"/>
        <v>0</v>
      </c>
      <c r="K1484" s="130">
        <f t="shared" ca="1" si="219"/>
        <v>0</v>
      </c>
      <c r="O1484" s="130">
        <f t="shared" ca="1" si="216"/>
        <v>0</v>
      </c>
    </row>
    <row r="1485" spans="1:15">
      <c r="A1485" s="79">
        <v>46042</v>
      </c>
      <c r="B1485" s="8">
        <f t="shared" si="223"/>
        <v>0</v>
      </c>
      <c r="D1485" s="131">
        <f t="shared" si="220"/>
        <v>0</v>
      </c>
      <c r="E1485" s="8">
        <f t="shared" si="221"/>
        <v>0</v>
      </c>
      <c r="G1485" s="130">
        <f t="shared" si="218"/>
        <v>0</v>
      </c>
      <c r="H1485" s="131">
        <f t="shared" si="217"/>
        <v>0</v>
      </c>
      <c r="I1485" s="8">
        <f t="shared" ca="1" si="222"/>
        <v>0</v>
      </c>
      <c r="J1485" s="8">
        <f t="shared" ca="1" si="214"/>
        <v>0</v>
      </c>
      <c r="K1485" s="130">
        <f t="shared" ca="1" si="219"/>
        <v>0</v>
      </c>
      <c r="O1485" s="130">
        <f t="shared" ca="1" si="216"/>
        <v>0</v>
      </c>
    </row>
    <row r="1486" spans="1:15">
      <c r="A1486" s="79">
        <v>46043</v>
      </c>
      <c r="B1486" s="8">
        <f t="shared" si="223"/>
        <v>0</v>
      </c>
      <c r="D1486" s="131">
        <f t="shared" si="220"/>
        <v>0</v>
      </c>
      <c r="E1486" s="8">
        <f t="shared" si="221"/>
        <v>0</v>
      </c>
      <c r="G1486" s="130">
        <f t="shared" si="218"/>
        <v>0</v>
      </c>
      <c r="H1486" s="131">
        <f t="shared" si="217"/>
        <v>0</v>
      </c>
      <c r="I1486" s="8">
        <f t="shared" ca="1" si="222"/>
        <v>0</v>
      </c>
      <c r="J1486" s="8">
        <f t="shared" ca="1" si="214"/>
        <v>0</v>
      </c>
      <c r="K1486" s="130">
        <f t="shared" ca="1" si="219"/>
        <v>0</v>
      </c>
      <c r="O1486" s="130">
        <f t="shared" ca="1" si="216"/>
        <v>0</v>
      </c>
    </row>
    <row r="1487" spans="1:15">
      <c r="A1487" s="79">
        <v>46044</v>
      </c>
      <c r="B1487" s="8">
        <f t="shared" si="223"/>
        <v>0</v>
      </c>
      <c r="D1487" s="131">
        <f t="shared" si="220"/>
        <v>0</v>
      </c>
      <c r="E1487" s="8">
        <f t="shared" si="221"/>
        <v>0</v>
      </c>
      <c r="G1487" s="130">
        <f t="shared" si="218"/>
        <v>0</v>
      </c>
      <c r="H1487" s="131">
        <f t="shared" si="217"/>
        <v>0</v>
      </c>
      <c r="I1487" s="8">
        <f t="shared" ca="1" si="222"/>
        <v>0</v>
      </c>
      <c r="J1487" s="8">
        <f t="shared" ca="1" si="214"/>
        <v>0</v>
      </c>
      <c r="K1487" s="130">
        <f t="shared" ca="1" si="219"/>
        <v>0</v>
      </c>
      <c r="O1487" s="130">
        <f t="shared" ca="1" si="216"/>
        <v>0</v>
      </c>
    </row>
    <row r="1488" spans="1:15">
      <c r="A1488" s="79">
        <v>46045</v>
      </c>
      <c r="B1488" s="8">
        <f t="shared" si="223"/>
        <v>0</v>
      </c>
      <c r="D1488" s="131">
        <f t="shared" si="220"/>
        <v>0</v>
      </c>
      <c r="E1488" s="8">
        <f t="shared" si="221"/>
        <v>0</v>
      </c>
      <c r="G1488" s="130">
        <f t="shared" si="218"/>
        <v>0</v>
      </c>
      <c r="H1488" s="131">
        <f t="shared" si="217"/>
        <v>0</v>
      </c>
      <c r="I1488" s="8">
        <f t="shared" ca="1" si="222"/>
        <v>0</v>
      </c>
      <c r="J1488" s="8">
        <f t="shared" ca="1" si="214"/>
        <v>0</v>
      </c>
      <c r="K1488" s="130">
        <f t="shared" ca="1" si="219"/>
        <v>0</v>
      </c>
      <c r="O1488" s="130">
        <f t="shared" ca="1" si="216"/>
        <v>0</v>
      </c>
    </row>
    <row r="1489" spans="1:15">
      <c r="A1489" s="79">
        <v>46046</v>
      </c>
      <c r="B1489" s="8">
        <f t="shared" si="223"/>
        <v>0</v>
      </c>
      <c r="D1489" s="131">
        <f t="shared" si="220"/>
        <v>0</v>
      </c>
      <c r="E1489" s="8">
        <f t="shared" si="221"/>
        <v>0</v>
      </c>
      <c r="G1489" s="130">
        <f t="shared" si="218"/>
        <v>0</v>
      </c>
      <c r="H1489" s="131">
        <f t="shared" si="217"/>
        <v>0</v>
      </c>
      <c r="I1489" s="8">
        <f t="shared" ca="1" si="222"/>
        <v>0</v>
      </c>
      <c r="J1489" s="8">
        <f t="shared" ca="1" si="214"/>
        <v>0</v>
      </c>
      <c r="K1489" s="130">
        <f t="shared" ca="1" si="219"/>
        <v>0</v>
      </c>
      <c r="O1489" s="130">
        <f t="shared" ca="1" si="216"/>
        <v>0</v>
      </c>
    </row>
    <row r="1490" spans="1:15">
      <c r="A1490" s="79">
        <v>46047</v>
      </c>
      <c r="B1490" s="8">
        <f t="shared" si="223"/>
        <v>0</v>
      </c>
      <c r="D1490" s="131">
        <f t="shared" si="220"/>
        <v>0</v>
      </c>
      <c r="E1490" s="8">
        <f t="shared" si="221"/>
        <v>0</v>
      </c>
      <c r="G1490" s="130">
        <f t="shared" si="218"/>
        <v>0</v>
      </c>
      <c r="H1490" s="131">
        <f t="shared" si="217"/>
        <v>0</v>
      </c>
      <c r="I1490" s="8">
        <f t="shared" ca="1" si="222"/>
        <v>0</v>
      </c>
      <c r="J1490" s="8">
        <f t="shared" ca="1" si="214"/>
        <v>0</v>
      </c>
      <c r="K1490" s="130">
        <f t="shared" ca="1" si="219"/>
        <v>0</v>
      </c>
      <c r="O1490" s="130">
        <f t="shared" ca="1" si="216"/>
        <v>0</v>
      </c>
    </row>
    <row r="1491" spans="1:15">
      <c r="A1491" s="79">
        <v>46048</v>
      </c>
      <c r="B1491" s="8">
        <f t="shared" si="223"/>
        <v>0</v>
      </c>
      <c r="D1491" s="131">
        <f t="shared" si="220"/>
        <v>0</v>
      </c>
      <c r="E1491" s="8">
        <f t="shared" si="221"/>
        <v>0</v>
      </c>
      <c r="G1491" s="130">
        <f t="shared" si="218"/>
        <v>0</v>
      </c>
      <c r="H1491" s="131">
        <f t="shared" si="217"/>
        <v>0</v>
      </c>
      <c r="I1491" s="8">
        <f t="shared" ca="1" si="222"/>
        <v>0</v>
      </c>
      <c r="J1491" s="8">
        <f t="shared" ref="J1491:J1554" ca="1" si="224">I1491+K1491</f>
        <v>0</v>
      </c>
      <c r="K1491" s="130">
        <f t="shared" ca="1" si="219"/>
        <v>0</v>
      </c>
      <c r="O1491" s="130">
        <f t="shared" ca="1" si="216"/>
        <v>0</v>
      </c>
    </row>
    <row r="1492" spans="1:15">
      <c r="A1492" s="79">
        <v>46049</v>
      </c>
      <c r="B1492" s="8">
        <f t="shared" si="223"/>
        <v>0</v>
      </c>
      <c r="D1492" s="131">
        <f t="shared" si="220"/>
        <v>0</v>
      </c>
      <c r="E1492" s="8">
        <f t="shared" si="221"/>
        <v>0</v>
      </c>
      <c r="G1492" s="130">
        <f t="shared" si="218"/>
        <v>0</v>
      </c>
      <c r="H1492" s="131">
        <f t="shared" si="217"/>
        <v>0</v>
      </c>
      <c r="I1492" s="8">
        <f t="shared" ca="1" si="222"/>
        <v>0</v>
      </c>
      <c r="J1492" s="8">
        <f t="shared" ca="1" si="224"/>
        <v>0</v>
      </c>
      <c r="K1492" s="130">
        <f t="shared" ca="1" si="219"/>
        <v>0</v>
      </c>
      <c r="O1492" s="130">
        <f t="shared" ca="1" si="216"/>
        <v>0</v>
      </c>
    </row>
    <row r="1493" spans="1:15">
      <c r="A1493" s="79">
        <v>46050</v>
      </c>
      <c r="B1493" s="8">
        <f t="shared" si="223"/>
        <v>0</v>
      </c>
      <c r="D1493" s="131">
        <f t="shared" si="220"/>
        <v>0</v>
      </c>
      <c r="E1493" s="8">
        <f t="shared" si="221"/>
        <v>0</v>
      </c>
      <c r="G1493" s="130">
        <f t="shared" si="218"/>
        <v>0</v>
      </c>
      <c r="H1493" s="131">
        <f t="shared" si="217"/>
        <v>0</v>
      </c>
      <c r="I1493" s="8">
        <f t="shared" ca="1" si="222"/>
        <v>0</v>
      </c>
      <c r="J1493" s="8">
        <f t="shared" ca="1" si="224"/>
        <v>0</v>
      </c>
      <c r="K1493" s="130">
        <f t="shared" ca="1" si="219"/>
        <v>0</v>
      </c>
      <c r="O1493" s="130">
        <f t="shared" ca="1" si="216"/>
        <v>0</v>
      </c>
    </row>
    <row r="1494" spans="1:15">
      <c r="A1494" s="79">
        <v>46051</v>
      </c>
      <c r="B1494" s="8">
        <f t="shared" si="223"/>
        <v>0</v>
      </c>
      <c r="D1494" s="131">
        <f t="shared" si="220"/>
        <v>0</v>
      </c>
      <c r="E1494" s="8">
        <f t="shared" si="221"/>
        <v>0</v>
      </c>
      <c r="G1494" s="130">
        <f t="shared" si="218"/>
        <v>0</v>
      </c>
      <c r="H1494" s="131">
        <f t="shared" si="217"/>
        <v>0</v>
      </c>
      <c r="I1494" s="8">
        <f t="shared" ca="1" si="222"/>
        <v>0</v>
      </c>
      <c r="J1494" s="8">
        <f t="shared" ca="1" si="224"/>
        <v>0</v>
      </c>
      <c r="K1494" s="130">
        <f t="shared" ca="1" si="219"/>
        <v>0</v>
      </c>
      <c r="O1494" s="130">
        <f t="shared" ca="1" si="216"/>
        <v>0</v>
      </c>
    </row>
    <row r="1495" spans="1:15">
      <c r="A1495" s="79">
        <v>46052</v>
      </c>
      <c r="B1495" s="8">
        <f t="shared" si="223"/>
        <v>0</v>
      </c>
      <c r="D1495" s="131">
        <f t="shared" si="220"/>
        <v>0</v>
      </c>
      <c r="E1495" s="8">
        <f t="shared" si="221"/>
        <v>0</v>
      </c>
      <c r="G1495" s="130">
        <f t="shared" si="218"/>
        <v>0</v>
      </c>
      <c r="H1495" s="131">
        <f t="shared" si="217"/>
        <v>0</v>
      </c>
      <c r="I1495" s="8">
        <f t="shared" ca="1" si="222"/>
        <v>0</v>
      </c>
      <c r="J1495" s="8">
        <f t="shared" ca="1" si="224"/>
        <v>0</v>
      </c>
      <c r="K1495" s="130">
        <f t="shared" ca="1" si="219"/>
        <v>0</v>
      </c>
      <c r="O1495" s="130">
        <f t="shared" ca="1" si="216"/>
        <v>0</v>
      </c>
    </row>
    <row r="1496" spans="1:15">
      <c r="A1496" s="79">
        <v>46053</v>
      </c>
      <c r="B1496" s="8">
        <f t="shared" si="223"/>
        <v>0</v>
      </c>
      <c r="D1496" s="131">
        <f t="shared" si="220"/>
        <v>0</v>
      </c>
      <c r="E1496" s="8">
        <f t="shared" si="221"/>
        <v>0</v>
      </c>
      <c r="G1496" s="130">
        <f t="shared" si="218"/>
        <v>0</v>
      </c>
      <c r="H1496" s="131">
        <f t="shared" si="217"/>
        <v>0</v>
      </c>
      <c r="I1496" s="8">
        <f t="shared" ca="1" si="222"/>
        <v>0</v>
      </c>
      <c r="J1496" s="8">
        <f t="shared" ca="1" si="224"/>
        <v>0</v>
      </c>
      <c r="K1496" s="130">
        <f t="shared" ca="1" si="219"/>
        <v>0</v>
      </c>
      <c r="O1496" s="130">
        <f t="shared" ca="1" si="216"/>
        <v>0</v>
      </c>
    </row>
    <row r="1497" spans="1:15">
      <c r="A1497" s="79">
        <v>46054</v>
      </c>
      <c r="B1497" s="8">
        <f t="shared" si="223"/>
        <v>0</v>
      </c>
      <c r="D1497" s="131">
        <f t="shared" si="220"/>
        <v>0</v>
      </c>
      <c r="E1497" s="8">
        <f t="shared" si="221"/>
        <v>0</v>
      </c>
      <c r="G1497" s="130">
        <f t="shared" si="218"/>
        <v>0</v>
      </c>
      <c r="H1497" s="131">
        <f t="shared" si="217"/>
        <v>0</v>
      </c>
      <c r="I1497" s="8">
        <f t="shared" ca="1" si="222"/>
        <v>0</v>
      </c>
      <c r="J1497" s="8">
        <f t="shared" ca="1" si="224"/>
        <v>0</v>
      </c>
      <c r="K1497" s="130">
        <f t="shared" ca="1" si="219"/>
        <v>0</v>
      </c>
      <c r="O1497" s="130">
        <f t="shared" ca="1" si="216"/>
        <v>0</v>
      </c>
    </row>
    <row r="1498" spans="1:15">
      <c r="A1498" s="79">
        <v>46055</v>
      </c>
      <c r="B1498" s="8">
        <f t="shared" si="223"/>
        <v>0</v>
      </c>
      <c r="D1498" s="131">
        <f t="shared" si="220"/>
        <v>0</v>
      </c>
      <c r="E1498" s="8">
        <f t="shared" si="221"/>
        <v>0</v>
      </c>
      <c r="G1498" s="130">
        <f t="shared" si="218"/>
        <v>0</v>
      </c>
      <c r="H1498" s="131">
        <f t="shared" si="217"/>
        <v>0</v>
      </c>
      <c r="I1498" s="8">
        <f t="shared" ca="1" si="222"/>
        <v>0</v>
      </c>
      <c r="J1498" s="8">
        <f t="shared" ca="1" si="224"/>
        <v>0</v>
      </c>
      <c r="K1498" s="130">
        <f t="shared" ca="1" si="219"/>
        <v>0</v>
      </c>
      <c r="O1498" s="130">
        <f t="shared" ca="1" si="216"/>
        <v>0</v>
      </c>
    </row>
    <row r="1499" spans="1:15">
      <c r="A1499" s="79">
        <v>46056</v>
      </c>
      <c r="B1499" s="8">
        <f t="shared" si="223"/>
        <v>0</v>
      </c>
      <c r="D1499" s="131">
        <f t="shared" si="220"/>
        <v>0</v>
      </c>
      <c r="E1499" s="8">
        <f t="shared" si="221"/>
        <v>0</v>
      </c>
      <c r="G1499" s="130">
        <f t="shared" si="218"/>
        <v>0</v>
      </c>
      <c r="H1499" s="131">
        <f t="shared" si="217"/>
        <v>0</v>
      </c>
      <c r="I1499" s="8">
        <f t="shared" ca="1" si="222"/>
        <v>0</v>
      </c>
      <c r="J1499" s="8">
        <f t="shared" ca="1" si="224"/>
        <v>0</v>
      </c>
      <c r="K1499" s="130">
        <f t="shared" ca="1" si="219"/>
        <v>0</v>
      </c>
      <c r="O1499" s="130">
        <f t="shared" ca="1" si="216"/>
        <v>0</v>
      </c>
    </row>
    <row r="1500" spans="1:15">
      <c r="A1500" s="79">
        <v>46057</v>
      </c>
      <c r="B1500" s="8">
        <f t="shared" si="223"/>
        <v>0</v>
      </c>
      <c r="D1500" s="131">
        <f t="shared" si="220"/>
        <v>0</v>
      </c>
      <c r="E1500" s="8">
        <f t="shared" si="221"/>
        <v>0</v>
      </c>
      <c r="G1500" s="130">
        <f t="shared" si="218"/>
        <v>0</v>
      </c>
      <c r="H1500" s="131">
        <f t="shared" si="217"/>
        <v>0</v>
      </c>
      <c r="I1500" s="8">
        <f t="shared" ca="1" si="222"/>
        <v>0</v>
      </c>
      <c r="J1500" s="8">
        <f t="shared" ca="1" si="224"/>
        <v>0</v>
      </c>
      <c r="K1500" s="130">
        <f t="shared" ca="1" si="219"/>
        <v>0</v>
      </c>
      <c r="O1500" s="130">
        <f t="shared" ca="1" si="216"/>
        <v>0</v>
      </c>
    </row>
    <row r="1501" spans="1:15">
      <c r="A1501" s="79">
        <v>46058</v>
      </c>
      <c r="B1501" s="8">
        <f t="shared" si="223"/>
        <v>0</v>
      </c>
      <c r="D1501" s="131">
        <f t="shared" si="220"/>
        <v>0</v>
      </c>
      <c r="E1501" s="8">
        <f t="shared" si="221"/>
        <v>0</v>
      </c>
      <c r="G1501" s="130">
        <f t="shared" si="218"/>
        <v>0</v>
      </c>
      <c r="H1501" s="131">
        <f t="shared" si="217"/>
        <v>0</v>
      </c>
      <c r="I1501" s="8">
        <f t="shared" ca="1" si="222"/>
        <v>0</v>
      </c>
      <c r="J1501" s="8">
        <f t="shared" ca="1" si="224"/>
        <v>0</v>
      </c>
      <c r="K1501" s="130">
        <f t="shared" ca="1" si="219"/>
        <v>0</v>
      </c>
      <c r="O1501" s="130">
        <f t="shared" ca="1" si="216"/>
        <v>0</v>
      </c>
    </row>
    <row r="1502" spans="1:15">
      <c r="A1502" s="79">
        <v>46059</v>
      </c>
      <c r="B1502" s="8">
        <f t="shared" si="223"/>
        <v>0</v>
      </c>
      <c r="D1502" s="131">
        <f t="shared" si="220"/>
        <v>0</v>
      </c>
      <c r="E1502" s="8">
        <f t="shared" si="221"/>
        <v>0</v>
      </c>
      <c r="G1502" s="130">
        <f t="shared" si="218"/>
        <v>0</v>
      </c>
      <c r="H1502" s="131">
        <f t="shared" si="217"/>
        <v>0</v>
      </c>
      <c r="I1502" s="8">
        <f t="shared" ca="1" si="222"/>
        <v>0</v>
      </c>
      <c r="J1502" s="8">
        <f t="shared" ca="1" si="224"/>
        <v>0</v>
      </c>
      <c r="K1502" s="130">
        <f t="shared" ca="1" si="219"/>
        <v>0</v>
      </c>
      <c r="O1502" s="130">
        <f t="shared" ca="1" si="216"/>
        <v>0</v>
      </c>
    </row>
    <row r="1503" spans="1:15">
      <c r="A1503" s="79">
        <v>46060</v>
      </c>
      <c r="B1503" s="8">
        <f t="shared" si="223"/>
        <v>0</v>
      </c>
      <c r="D1503" s="131">
        <f t="shared" si="220"/>
        <v>0</v>
      </c>
      <c r="E1503" s="8">
        <f t="shared" si="221"/>
        <v>0</v>
      </c>
      <c r="G1503" s="130">
        <f t="shared" si="218"/>
        <v>0</v>
      </c>
      <c r="H1503" s="131">
        <f t="shared" si="217"/>
        <v>0</v>
      </c>
      <c r="I1503" s="8">
        <f t="shared" ca="1" si="222"/>
        <v>0</v>
      </c>
      <c r="J1503" s="8">
        <f t="shared" ca="1" si="224"/>
        <v>0</v>
      </c>
      <c r="K1503" s="130">
        <f t="shared" ca="1" si="219"/>
        <v>0</v>
      </c>
      <c r="O1503" s="130">
        <f t="shared" ref="O1503:O1566" ca="1" si="225">N1503+K1503</f>
        <v>0</v>
      </c>
    </row>
    <row r="1504" spans="1:15">
      <c r="A1504" s="79">
        <v>46061</v>
      </c>
      <c r="B1504" s="8">
        <f t="shared" si="223"/>
        <v>0</v>
      </c>
      <c r="D1504" s="131">
        <f t="shared" si="220"/>
        <v>0</v>
      </c>
      <c r="E1504" s="8">
        <f t="shared" si="221"/>
        <v>0</v>
      </c>
      <c r="G1504" s="130">
        <f t="shared" si="218"/>
        <v>0</v>
      </c>
      <c r="H1504" s="131">
        <f t="shared" si="217"/>
        <v>0</v>
      </c>
      <c r="I1504" s="8">
        <f t="shared" ca="1" si="222"/>
        <v>0</v>
      </c>
      <c r="J1504" s="8">
        <f t="shared" ca="1" si="224"/>
        <v>0</v>
      </c>
      <c r="K1504" s="130">
        <f t="shared" ca="1" si="219"/>
        <v>0</v>
      </c>
      <c r="O1504" s="130">
        <f t="shared" ca="1" si="225"/>
        <v>0</v>
      </c>
    </row>
    <row r="1505" spans="1:15">
      <c r="A1505" s="79">
        <v>46062</v>
      </c>
      <c r="B1505" s="8">
        <f t="shared" si="223"/>
        <v>0</v>
      </c>
      <c r="D1505" s="131">
        <f t="shared" si="220"/>
        <v>0</v>
      </c>
      <c r="E1505" s="8">
        <f t="shared" si="221"/>
        <v>0</v>
      </c>
      <c r="G1505" s="130">
        <f t="shared" si="218"/>
        <v>0</v>
      </c>
      <c r="H1505" s="131">
        <f t="shared" si="217"/>
        <v>0</v>
      </c>
      <c r="I1505" s="8">
        <f t="shared" ca="1" si="222"/>
        <v>0</v>
      </c>
      <c r="J1505" s="8">
        <f t="shared" ca="1" si="224"/>
        <v>0</v>
      </c>
      <c r="K1505" s="130">
        <f t="shared" ca="1" si="219"/>
        <v>0</v>
      </c>
      <c r="O1505" s="130">
        <f t="shared" ca="1" si="225"/>
        <v>0</v>
      </c>
    </row>
    <row r="1506" spans="1:15">
      <c r="A1506" s="79">
        <v>46063</v>
      </c>
      <c r="B1506" s="8">
        <f t="shared" si="223"/>
        <v>0</v>
      </c>
      <c r="D1506" s="131">
        <f t="shared" si="220"/>
        <v>0</v>
      </c>
      <c r="E1506" s="8">
        <f t="shared" si="221"/>
        <v>0</v>
      </c>
      <c r="G1506" s="130">
        <f t="shared" si="218"/>
        <v>0</v>
      </c>
      <c r="H1506" s="131">
        <f t="shared" si="217"/>
        <v>0</v>
      </c>
      <c r="I1506" s="8">
        <f t="shared" ca="1" si="222"/>
        <v>0</v>
      </c>
      <c r="J1506" s="8">
        <f t="shared" ca="1" si="224"/>
        <v>0</v>
      </c>
      <c r="K1506" s="130">
        <f t="shared" ca="1" si="219"/>
        <v>0</v>
      </c>
      <c r="O1506" s="130">
        <f t="shared" ca="1" si="225"/>
        <v>0</v>
      </c>
    </row>
    <row r="1507" spans="1:15">
      <c r="A1507" s="79">
        <v>46064</v>
      </c>
      <c r="B1507" s="8">
        <f t="shared" si="223"/>
        <v>0</v>
      </c>
      <c r="D1507" s="131">
        <f t="shared" si="220"/>
        <v>0</v>
      </c>
      <c r="E1507" s="8">
        <f t="shared" si="221"/>
        <v>0</v>
      </c>
      <c r="G1507" s="130">
        <f t="shared" si="218"/>
        <v>0</v>
      </c>
      <c r="H1507" s="131">
        <f t="shared" ref="H1507:H1570" si="226">D1507+G1507</f>
        <v>0</v>
      </c>
      <c r="I1507" s="8">
        <f t="shared" ca="1" si="222"/>
        <v>0</v>
      </c>
      <c r="J1507" s="8">
        <f t="shared" ca="1" si="224"/>
        <v>0</v>
      </c>
      <c r="K1507" s="130">
        <f t="shared" ca="1" si="219"/>
        <v>0</v>
      </c>
      <c r="O1507" s="130">
        <f t="shared" ca="1" si="225"/>
        <v>0</v>
      </c>
    </row>
    <row r="1508" spans="1:15">
      <c r="A1508" s="79">
        <v>46065</v>
      </c>
      <c r="B1508" s="8">
        <f t="shared" si="223"/>
        <v>0</v>
      </c>
      <c r="D1508" s="131">
        <f t="shared" si="220"/>
        <v>0</v>
      </c>
      <c r="E1508" s="8">
        <f t="shared" si="221"/>
        <v>0</v>
      </c>
      <c r="G1508" s="130">
        <f t="shared" si="218"/>
        <v>0</v>
      </c>
      <c r="H1508" s="131">
        <f t="shared" si="226"/>
        <v>0</v>
      </c>
      <c r="I1508" s="8">
        <f t="shared" ca="1" si="222"/>
        <v>0</v>
      </c>
      <c r="J1508" s="8">
        <f t="shared" ca="1" si="224"/>
        <v>0</v>
      </c>
      <c r="K1508" s="130">
        <f t="shared" ca="1" si="219"/>
        <v>0</v>
      </c>
      <c r="O1508" s="130">
        <f t="shared" ca="1" si="225"/>
        <v>0</v>
      </c>
    </row>
    <row r="1509" spans="1:15">
      <c r="A1509" s="79">
        <v>46066</v>
      </c>
      <c r="B1509" s="8">
        <f t="shared" si="223"/>
        <v>0</v>
      </c>
      <c r="D1509" s="131">
        <f t="shared" si="220"/>
        <v>0</v>
      </c>
      <c r="E1509" s="8">
        <f t="shared" si="221"/>
        <v>0</v>
      </c>
      <c r="G1509" s="130">
        <f t="shared" ref="G1509:G1572" si="227">F1509-E1509</f>
        <v>0</v>
      </c>
      <c r="H1509" s="131">
        <f t="shared" si="226"/>
        <v>0</v>
      </c>
      <c r="I1509" s="8">
        <f t="shared" ca="1" si="222"/>
        <v>0</v>
      </c>
      <c r="J1509" s="8">
        <f t="shared" ca="1" si="224"/>
        <v>0</v>
      </c>
      <c r="K1509" s="130">
        <f t="shared" ref="K1509:K1572" ca="1" si="228">J1509-I1509</f>
        <v>0</v>
      </c>
      <c r="O1509" s="130">
        <f t="shared" ca="1" si="225"/>
        <v>0</v>
      </c>
    </row>
    <row r="1510" spans="1:15">
      <c r="A1510" s="79">
        <v>46067</v>
      </c>
      <c r="B1510" s="8">
        <f t="shared" si="223"/>
        <v>0</v>
      </c>
      <c r="D1510" s="131">
        <f t="shared" ref="D1510:D1573" si="229">C1510-B1510</f>
        <v>0</v>
      </c>
      <c r="E1510" s="8">
        <f t="shared" ref="E1510:E1573" si="230">F1509</f>
        <v>0</v>
      </c>
      <c r="G1510" s="130">
        <f t="shared" si="227"/>
        <v>0</v>
      </c>
      <c r="H1510" s="131">
        <f t="shared" si="226"/>
        <v>0</v>
      </c>
      <c r="I1510" s="8">
        <f t="shared" ref="I1510:I1573" ca="1" si="231">J1509</f>
        <v>0</v>
      </c>
      <c r="J1510" s="8">
        <f t="shared" ca="1" si="224"/>
        <v>0</v>
      </c>
      <c r="K1510" s="130">
        <f t="shared" ca="1" si="228"/>
        <v>0</v>
      </c>
      <c r="O1510" s="130">
        <f t="shared" ca="1" si="225"/>
        <v>0</v>
      </c>
    </row>
    <row r="1511" spans="1:15">
      <c r="A1511" s="79">
        <v>46068</v>
      </c>
      <c r="B1511" s="8">
        <f t="shared" si="223"/>
        <v>0</v>
      </c>
      <c r="D1511" s="131">
        <f t="shared" si="229"/>
        <v>0</v>
      </c>
      <c r="E1511" s="8">
        <f t="shared" si="230"/>
        <v>0</v>
      </c>
      <c r="G1511" s="130">
        <f t="shared" si="227"/>
        <v>0</v>
      </c>
      <c r="H1511" s="131">
        <f t="shared" si="226"/>
        <v>0</v>
      </c>
      <c r="I1511" s="8">
        <f t="shared" ca="1" si="231"/>
        <v>0</v>
      </c>
      <c r="J1511" s="8">
        <f t="shared" ca="1" si="224"/>
        <v>0</v>
      </c>
      <c r="K1511" s="130">
        <f t="shared" ca="1" si="228"/>
        <v>0</v>
      </c>
      <c r="O1511" s="130">
        <f t="shared" ca="1" si="225"/>
        <v>0</v>
      </c>
    </row>
    <row r="1512" spans="1:15">
      <c r="A1512" s="79">
        <v>46069</v>
      </c>
      <c r="B1512" s="8">
        <f t="shared" si="223"/>
        <v>0</v>
      </c>
      <c r="D1512" s="131">
        <f t="shared" si="229"/>
        <v>0</v>
      </c>
      <c r="E1512" s="8">
        <f t="shared" si="230"/>
        <v>0</v>
      </c>
      <c r="G1512" s="130">
        <f t="shared" si="227"/>
        <v>0</v>
      </c>
      <c r="H1512" s="131">
        <f t="shared" si="226"/>
        <v>0</v>
      </c>
      <c r="I1512" s="8">
        <f t="shared" ca="1" si="231"/>
        <v>0</v>
      </c>
      <c r="J1512" s="8">
        <f t="shared" ca="1" si="224"/>
        <v>0</v>
      </c>
      <c r="K1512" s="130">
        <f t="shared" ca="1" si="228"/>
        <v>0</v>
      </c>
      <c r="O1512" s="130">
        <f t="shared" ca="1" si="225"/>
        <v>0</v>
      </c>
    </row>
    <row r="1513" spans="1:15">
      <c r="A1513" s="79">
        <v>46070</v>
      </c>
      <c r="B1513" s="8">
        <f t="shared" si="223"/>
        <v>0</v>
      </c>
      <c r="D1513" s="131">
        <f t="shared" si="229"/>
        <v>0</v>
      </c>
      <c r="E1513" s="8">
        <f t="shared" si="230"/>
        <v>0</v>
      </c>
      <c r="G1513" s="130">
        <f t="shared" si="227"/>
        <v>0</v>
      </c>
      <c r="H1513" s="131">
        <f t="shared" si="226"/>
        <v>0</v>
      </c>
      <c r="I1513" s="8">
        <f t="shared" ca="1" si="231"/>
        <v>0</v>
      </c>
      <c r="J1513" s="8">
        <f t="shared" ca="1" si="224"/>
        <v>0</v>
      </c>
      <c r="K1513" s="130">
        <f t="shared" ca="1" si="228"/>
        <v>0</v>
      </c>
      <c r="O1513" s="130">
        <f t="shared" ca="1" si="225"/>
        <v>0</v>
      </c>
    </row>
    <row r="1514" spans="1:15">
      <c r="A1514" s="79">
        <v>46071</v>
      </c>
      <c r="B1514" s="8">
        <f t="shared" si="223"/>
        <v>0</v>
      </c>
      <c r="D1514" s="131">
        <f t="shared" si="229"/>
        <v>0</v>
      </c>
      <c r="E1514" s="8">
        <f t="shared" si="230"/>
        <v>0</v>
      </c>
      <c r="G1514" s="130">
        <f t="shared" si="227"/>
        <v>0</v>
      </c>
      <c r="H1514" s="131">
        <f t="shared" si="226"/>
        <v>0</v>
      </c>
      <c r="I1514" s="8">
        <f t="shared" ca="1" si="231"/>
        <v>0</v>
      </c>
      <c r="J1514" s="8">
        <f t="shared" ca="1" si="224"/>
        <v>0</v>
      </c>
      <c r="K1514" s="130">
        <f t="shared" ca="1" si="228"/>
        <v>0</v>
      </c>
      <c r="O1514" s="130">
        <f t="shared" ca="1" si="225"/>
        <v>0</v>
      </c>
    </row>
    <row r="1515" spans="1:15">
      <c r="A1515" s="79">
        <v>46072</v>
      </c>
      <c r="B1515" s="8">
        <f t="shared" si="223"/>
        <v>0</v>
      </c>
      <c r="D1515" s="131">
        <f t="shared" si="229"/>
        <v>0</v>
      </c>
      <c r="E1515" s="8">
        <f t="shared" si="230"/>
        <v>0</v>
      </c>
      <c r="G1515" s="130">
        <f t="shared" si="227"/>
        <v>0</v>
      </c>
      <c r="H1515" s="131">
        <f t="shared" si="226"/>
        <v>0</v>
      </c>
      <c r="I1515" s="8">
        <f t="shared" ca="1" si="231"/>
        <v>0</v>
      </c>
      <c r="J1515" s="8">
        <f t="shared" ca="1" si="224"/>
        <v>0</v>
      </c>
      <c r="K1515" s="130">
        <f t="shared" ca="1" si="228"/>
        <v>0</v>
      </c>
      <c r="O1515" s="130">
        <f t="shared" ca="1" si="225"/>
        <v>0</v>
      </c>
    </row>
    <row r="1516" spans="1:15">
      <c r="A1516" s="79">
        <v>46073</v>
      </c>
      <c r="B1516" s="8">
        <f t="shared" si="223"/>
        <v>0</v>
      </c>
      <c r="D1516" s="131">
        <f t="shared" si="229"/>
        <v>0</v>
      </c>
      <c r="E1516" s="8">
        <f t="shared" si="230"/>
        <v>0</v>
      </c>
      <c r="G1516" s="130">
        <f t="shared" si="227"/>
        <v>0</v>
      </c>
      <c r="H1516" s="131">
        <f t="shared" si="226"/>
        <v>0</v>
      </c>
      <c r="I1516" s="8">
        <f t="shared" ca="1" si="231"/>
        <v>0</v>
      </c>
      <c r="J1516" s="8">
        <f t="shared" ca="1" si="224"/>
        <v>0</v>
      </c>
      <c r="K1516" s="130">
        <f t="shared" ca="1" si="228"/>
        <v>0</v>
      </c>
      <c r="O1516" s="130">
        <f t="shared" ca="1" si="225"/>
        <v>0</v>
      </c>
    </row>
    <row r="1517" spans="1:15">
      <c r="A1517" s="79">
        <v>46074</v>
      </c>
      <c r="B1517" s="8">
        <f t="shared" si="223"/>
        <v>0</v>
      </c>
      <c r="D1517" s="131">
        <f t="shared" si="229"/>
        <v>0</v>
      </c>
      <c r="E1517" s="8">
        <f t="shared" si="230"/>
        <v>0</v>
      </c>
      <c r="G1517" s="130">
        <f t="shared" si="227"/>
        <v>0</v>
      </c>
      <c r="H1517" s="131">
        <f t="shared" si="226"/>
        <v>0</v>
      </c>
      <c r="I1517" s="8">
        <f t="shared" ca="1" si="231"/>
        <v>0</v>
      </c>
      <c r="J1517" s="8">
        <f t="shared" ca="1" si="224"/>
        <v>0</v>
      </c>
      <c r="K1517" s="130">
        <f t="shared" ca="1" si="228"/>
        <v>0</v>
      </c>
      <c r="O1517" s="130">
        <f t="shared" ca="1" si="225"/>
        <v>0</v>
      </c>
    </row>
    <row r="1518" spans="1:15">
      <c r="A1518" s="79">
        <v>46075</v>
      </c>
      <c r="B1518" s="8">
        <f t="shared" si="223"/>
        <v>0</v>
      </c>
      <c r="D1518" s="131">
        <f t="shared" si="229"/>
        <v>0</v>
      </c>
      <c r="E1518" s="8">
        <f t="shared" si="230"/>
        <v>0</v>
      </c>
      <c r="G1518" s="130">
        <f t="shared" si="227"/>
        <v>0</v>
      </c>
      <c r="H1518" s="131">
        <f t="shared" si="226"/>
        <v>0</v>
      </c>
      <c r="I1518" s="8">
        <f t="shared" ca="1" si="231"/>
        <v>0</v>
      </c>
      <c r="J1518" s="8">
        <f t="shared" ca="1" si="224"/>
        <v>0</v>
      </c>
      <c r="K1518" s="130">
        <f t="shared" ca="1" si="228"/>
        <v>0</v>
      </c>
      <c r="O1518" s="130">
        <f t="shared" ca="1" si="225"/>
        <v>0</v>
      </c>
    </row>
    <row r="1519" spans="1:15">
      <c r="A1519" s="79">
        <v>46076</v>
      </c>
      <c r="B1519" s="8">
        <f t="shared" si="223"/>
        <v>0</v>
      </c>
      <c r="D1519" s="131">
        <f t="shared" si="229"/>
        <v>0</v>
      </c>
      <c r="E1519" s="8">
        <f t="shared" si="230"/>
        <v>0</v>
      </c>
      <c r="G1519" s="130">
        <f t="shared" si="227"/>
        <v>0</v>
      </c>
      <c r="H1519" s="131">
        <f t="shared" si="226"/>
        <v>0</v>
      </c>
      <c r="I1519" s="8">
        <f t="shared" ca="1" si="231"/>
        <v>0</v>
      </c>
      <c r="J1519" s="8">
        <f t="shared" ca="1" si="224"/>
        <v>0</v>
      </c>
      <c r="K1519" s="130">
        <f t="shared" ca="1" si="228"/>
        <v>0</v>
      </c>
      <c r="O1519" s="130">
        <f t="shared" ca="1" si="225"/>
        <v>0</v>
      </c>
    </row>
    <row r="1520" spans="1:15">
      <c r="A1520" s="79">
        <v>46077</v>
      </c>
      <c r="B1520" s="8">
        <f t="shared" si="223"/>
        <v>0</v>
      </c>
      <c r="D1520" s="131">
        <f t="shared" si="229"/>
        <v>0</v>
      </c>
      <c r="E1520" s="8">
        <f t="shared" si="230"/>
        <v>0</v>
      </c>
      <c r="G1520" s="130">
        <f t="shared" si="227"/>
        <v>0</v>
      </c>
      <c r="H1520" s="131">
        <f t="shared" si="226"/>
        <v>0</v>
      </c>
      <c r="I1520" s="8">
        <f t="shared" ca="1" si="231"/>
        <v>0</v>
      </c>
      <c r="J1520" s="8">
        <f t="shared" ca="1" si="224"/>
        <v>0</v>
      </c>
      <c r="K1520" s="130">
        <f t="shared" ca="1" si="228"/>
        <v>0</v>
      </c>
      <c r="O1520" s="130">
        <f t="shared" ca="1" si="225"/>
        <v>0</v>
      </c>
    </row>
    <row r="1521" spans="1:15">
      <c r="A1521" s="79">
        <v>46078</v>
      </c>
      <c r="B1521" s="8">
        <f t="shared" si="223"/>
        <v>0</v>
      </c>
      <c r="D1521" s="131">
        <f t="shared" si="229"/>
        <v>0</v>
      </c>
      <c r="E1521" s="8">
        <f t="shared" si="230"/>
        <v>0</v>
      </c>
      <c r="G1521" s="130">
        <f t="shared" si="227"/>
        <v>0</v>
      </c>
      <c r="H1521" s="131">
        <f t="shared" si="226"/>
        <v>0</v>
      </c>
      <c r="I1521" s="8">
        <f t="shared" ca="1" si="231"/>
        <v>0</v>
      </c>
      <c r="J1521" s="8">
        <f t="shared" ca="1" si="224"/>
        <v>0</v>
      </c>
      <c r="K1521" s="130">
        <f t="shared" ca="1" si="228"/>
        <v>0</v>
      </c>
      <c r="O1521" s="130">
        <f t="shared" ca="1" si="225"/>
        <v>0</v>
      </c>
    </row>
    <row r="1522" spans="1:15">
      <c r="A1522" s="79">
        <v>46079</v>
      </c>
      <c r="B1522" s="8">
        <f t="shared" si="223"/>
        <v>0</v>
      </c>
      <c r="D1522" s="131">
        <f t="shared" si="229"/>
        <v>0</v>
      </c>
      <c r="E1522" s="8">
        <f t="shared" si="230"/>
        <v>0</v>
      </c>
      <c r="G1522" s="130">
        <f t="shared" si="227"/>
        <v>0</v>
      </c>
      <c r="H1522" s="131">
        <f t="shared" si="226"/>
        <v>0</v>
      </c>
      <c r="I1522" s="8">
        <f t="shared" ca="1" si="231"/>
        <v>0</v>
      </c>
      <c r="J1522" s="8">
        <f t="shared" ca="1" si="224"/>
        <v>0</v>
      </c>
      <c r="K1522" s="130">
        <f t="shared" ca="1" si="228"/>
        <v>0</v>
      </c>
      <c r="O1522" s="130">
        <f t="shared" ca="1" si="225"/>
        <v>0</v>
      </c>
    </row>
    <row r="1523" spans="1:15">
      <c r="A1523" s="79">
        <v>46080</v>
      </c>
      <c r="B1523" s="8">
        <f t="shared" ref="B1523:B1586" si="232">C1522</f>
        <v>0</v>
      </c>
      <c r="D1523" s="131">
        <f t="shared" si="229"/>
        <v>0</v>
      </c>
      <c r="E1523" s="8">
        <f t="shared" si="230"/>
        <v>0</v>
      </c>
      <c r="G1523" s="130">
        <f t="shared" si="227"/>
        <v>0</v>
      </c>
      <c r="H1523" s="131">
        <f t="shared" si="226"/>
        <v>0</v>
      </c>
      <c r="I1523" s="8">
        <f t="shared" ca="1" si="231"/>
        <v>0</v>
      </c>
      <c r="J1523" s="8">
        <f t="shared" ca="1" si="224"/>
        <v>0</v>
      </c>
      <c r="K1523" s="130">
        <f t="shared" ca="1" si="228"/>
        <v>0</v>
      </c>
      <c r="O1523" s="130">
        <f t="shared" ca="1" si="225"/>
        <v>0</v>
      </c>
    </row>
    <row r="1524" spans="1:15">
      <c r="A1524" s="79">
        <v>46081</v>
      </c>
      <c r="B1524" s="8">
        <f t="shared" si="232"/>
        <v>0</v>
      </c>
      <c r="D1524" s="131">
        <f t="shared" si="229"/>
        <v>0</v>
      </c>
      <c r="E1524" s="8">
        <f t="shared" si="230"/>
        <v>0</v>
      </c>
      <c r="G1524" s="130">
        <f t="shared" si="227"/>
        <v>0</v>
      </c>
      <c r="H1524" s="131">
        <f t="shared" si="226"/>
        <v>0</v>
      </c>
      <c r="I1524" s="8">
        <f t="shared" ca="1" si="231"/>
        <v>0</v>
      </c>
      <c r="J1524" s="8">
        <f t="shared" ca="1" si="224"/>
        <v>0</v>
      </c>
      <c r="K1524" s="130">
        <f t="shared" ca="1" si="228"/>
        <v>0</v>
      </c>
      <c r="O1524" s="130">
        <f t="shared" ca="1" si="225"/>
        <v>0</v>
      </c>
    </row>
    <row r="1525" spans="1:15">
      <c r="A1525" s="79">
        <v>46082</v>
      </c>
      <c r="B1525" s="8">
        <f t="shared" si="232"/>
        <v>0</v>
      </c>
      <c r="D1525" s="131">
        <f t="shared" si="229"/>
        <v>0</v>
      </c>
      <c r="E1525" s="8">
        <f t="shared" si="230"/>
        <v>0</v>
      </c>
      <c r="G1525" s="130">
        <f t="shared" si="227"/>
        <v>0</v>
      </c>
      <c r="H1525" s="131">
        <f t="shared" si="226"/>
        <v>0</v>
      </c>
      <c r="I1525" s="8">
        <f t="shared" ca="1" si="231"/>
        <v>0</v>
      </c>
      <c r="J1525" s="8">
        <f t="shared" ca="1" si="224"/>
        <v>0</v>
      </c>
      <c r="K1525" s="130">
        <f t="shared" ca="1" si="228"/>
        <v>0</v>
      </c>
      <c r="O1525" s="130">
        <f t="shared" ca="1" si="225"/>
        <v>0</v>
      </c>
    </row>
    <row r="1526" spans="1:15">
      <c r="A1526" s="79">
        <v>46083</v>
      </c>
      <c r="B1526" s="8">
        <f t="shared" si="232"/>
        <v>0</v>
      </c>
      <c r="D1526" s="131">
        <f t="shared" si="229"/>
        <v>0</v>
      </c>
      <c r="E1526" s="8">
        <f t="shared" si="230"/>
        <v>0</v>
      </c>
      <c r="G1526" s="130">
        <f t="shared" si="227"/>
        <v>0</v>
      </c>
      <c r="H1526" s="131">
        <f t="shared" si="226"/>
        <v>0</v>
      </c>
      <c r="I1526" s="8">
        <f t="shared" ca="1" si="231"/>
        <v>0</v>
      </c>
      <c r="J1526" s="8">
        <f t="shared" ca="1" si="224"/>
        <v>0</v>
      </c>
      <c r="K1526" s="130">
        <f t="shared" ca="1" si="228"/>
        <v>0</v>
      </c>
      <c r="O1526" s="130">
        <f t="shared" ca="1" si="225"/>
        <v>0</v>
      </c>
    </row>
    <row r="1527" spans="1:15">
      <c r="A1527" s="79">
        <v>46084</v>
      </c>
      <c r="B1527" s="8">
        <f t="shared" si="232"/>
        <v>0</v>
      </c>
      <c r="D1527" s="131">
        <f t="shared" si="229"/>
        <v>0</v>
      </c>
      <c r="E1527" s="8">
        <f t="shared" si="230"/>
        <v>0</v>
      </c>
      <c r="G1527" s="130">
        <f t="shared" si="227"/>
        <v>0</v>
      </c>
      <c r="H1527" s="131">
        <f t="shared" si="226"/>
        <v>0</v>
      </c>
      <c r="I1527" s="8">
        <f t="shared" ca="1" si="231"/>
        <v>0</v>
      </c>
      <c r="J1527" s="8">
        <f t="shared" ca="1" si="224"/>
        <v>0</v>
      </c>
      <c r="K1527" s="130">
        <f t="shared" ca="1" si="228"/>
        <v>0</v>
      </c>
      <c r="O1527" s="130">
        <f t="shared" ca="1" si="225"/>
        <v>0</v>
      </c>
    </row>
    <row r="1528" spans="1:15">
      <c r="A1528" s="79">
        <v>46085</v>
      </c>
      <c r="B1528" s="8">
        <f t="shared" si="232"/>
        <v>0</v>
      </c>
      <c r="D1528" s="131">
        <f t="shared" si="229"/>
        <v>0</v>
      </c>
      <c r="E1528" s="8">
        <f t="shared" si="230"/>
        <v>0</v>
      </c>
      <c r="G1528" s="130">
        <f t="shared" si="227"/>
        <v>0</v>
      </c>
      <c r="H1528" s="131">
        <f t="shared" si="226"/>
        <v>0</v>
      </c>
      <c r="I1528" s="8">
        <f t="shared" ca="1" si="231"/>
        <v>0</v>
      </c>
      <c r="J1528" s="8">
        <f t="shared" ca="1" si="224"/>
        <v>0</v>
      </c>
      <c r="K1528" s="130">
        <f t="shared" ca="1" si="228"/>
        <v>0</v>
      </c>
      <c r="O1528" s="130">
        <f t="shared" ca="1" si="225"/>
        <v>0</v>
      </c>
    </row>
    <row r="1529" spans="1:15">
      <c r="A1529" s="79">
        <v>46086</v>
      </c>
      <c r="B1529" s="8">
        <f t="shared" si="232"/>
        <v>0</v>
      </c>
      <c r="D1529" s="131">
        <f t="shared" si="229"/>
        <v>0</v>
      </c>
      <c r="E1529" s="8">
        <f t="shared" si="230"/>
        <v>0</v>
      </c>
      <c r="G1529" s="130">
        <f t="shared" si="227"/>
        <v>0</v>
      </c>
      <c r="H1529" s="131">
        <f t="shared" si="226"/>
        <v>0</v>
      </c>
      <c r="I1529" s="8">
        <f t="shared" ca="1" si="231"/>
        <v>0</v>
      </c>
      <c r="J1529" s="8">
        <f t="shared" ca="1" si="224"/>
        <v>0</v>
      </c>
      <c r="K1529" s="130">
        <f t="shared" ca="1" si="228"/>
        <v>0</v>
      </c>
      <c r="O1529" s="130">
        <f t="shared" ca="1" si="225"/>
        <v>0</v>
      </c>
    </row>
    <row r="1530" spans="1:15">
      <c r="A1530" s="79">
        <v>46087</v>
      </c>
      <c r="B1530" s="8">
        <f t="shared" si="232"/>
        <v>0</v>
      </c>
      <c r="D1530" s="131">
        <f t="shared" si="229"/>
        <v>0</v>
      </c>
      <c r="E1530" s="8">
        <f t="shared" si="230"/>
        <v>0</v>
      </c>
      <c r="G1530" s="130">
        <f t="shared" si="227"/>
        <v>0</v>
      </c>
      <c r="H1530" s="131">
        <f t="shared" si="226"/>
        <v>0</v>
      </c>
      <c r="I1530" s="8">
        <f t="shared" ca="1" si="231"/>
        <v>0</v>
      </c>
      <c r="J1530" s="8">
        <f t="shared" ca="1" si="224"/>
        <v>0</v>
      </c>
      <c r="K1530" s="130">
        <f t="shared" ca="1" si="228"/>
        <v>0</v>
      </c>
      <c r="O1530" s="130">
        <f t="shared" ca="1" si="225"/>
        <v>0</v>
      </c>
    </row>
    <row r="1531" spans="1:15">
      <c r="A1531" s="79">
        <v>46088</v>
      </c>
      <c r="B1531" s="8">
        <f t="shared" si="232"/>
        <v>0</v>
      </c>
      <c r="D1531" s="131">
        <f t="shared" si="229"/>
        <v>0</v>
      </c>
      <c r="E1531" s="8">
        <f t="shared" si="230"/>
        <v>0</v>
      </c>
      <c r="G1531" s="130">
        <f t="shared" si="227"/>
        <v>0</v>
      </c>
      <c r="H1531" s="131">
        <f t="shared" si="226"/>
        <v>0</v>
      </c>
      <c r="I1531" s="8">
        <f t="shared" ca="1" si="231"/>
        <v>0</v>
      </c>
      <c r="J1531" s="8">
        <f t="shared" ca="1" si="224"/>
        <v>0</v>
      </c>
      <c r="K1531" s="130">
        <f t="shared" ca="1" si="228"/>
        <v>0</v>
      </c>
      <c r="O1531" s="130">
        <f t="shared" ca="1" si="225"/>
        <v>0</v>
      </c>
    </row>
    <row r="1532" spans="1:15">
      <c r="A1532" s="79">
        <v>46089</v>
      </c>
      <c r="B1532" s="8">
        <f t="shared" si="232"/>
        <v>0</v>
      </c>
      <c r="D1532" s="131">
        <f t="shared" si="229"/>
        <v>0</v>
      </c>
      <c r="E1532" s="8">
        <f t="shared" si="230"/>
        <v>0</v>
      </c>
      <c r="G1532" s="130">
        <f t="shared" si="227"/>
        <v>0</v>
      </c>
      <c r="H1532" s="131">
        <f t="shared" si="226"/>
        <v>0</v>
      </c>
      <c r="I1532" s="8">
        <f t="shared" ca="1" si="231"/>
        <v>0</v>
      </c>
      <c r="J1532" s="8">
        <f t="shared" ca="1" si="224"/>
        <v>0</v>
      </c>
      <c r="K1532" s="130">
        <f t="shared" ca="1" si="228"/>
        <v>0</v>
      </c>
      <c r="O1532" s="130">
        <f t="shared" ca="1" si="225"/>
        <v>0</v>
      </c>
    </row>
    <row r="1533" spans="1:15">
      <c r="A1533" s="79">
        <v>46090</v>
      </c>
      <c r="B1533" s="8">
        <f t="shared" si="232"/>
        <v>0</v>
      </c>
      <c r="D1533" s="131">
        <f t="shared" si="229"/>
        <v>0</v>
      </c>
      <c r="E1533" s="8">
        <f t="shared" si="230"/>
        <v>0</v>
      </c>
      <c r="G1533" s="130">
        <f t="shared" si="227"/>
        <v>0</v>
      </c>
      <c r="H1533" s="131">
        <f t="shared" si="226"/>
        <v>0</v>
      </c>
      <c r="I1533" s="8">
        <f t="shared" ca="1" si="231"/>
        <v>0</v>
      </c>
      <c r="J1533" s="8">
        <f t="shared" ca="1" si="224"/>
        <v>0</v>
      </c>
      <c r="K1533" s="130">
        <f t="shared" ca="1" si="228"/>
        <v>0</v>
      </c>
      <c r="O1533" s="130">
        <f t="shared" ca="1" si="225"/>
        <v>0</v>
      </c>
    </row>
    <row r="1534" spans="1:15">
      <c r="A1534" s="79">
        <v>46091</v>
      </c>
      <c r="B1534" s="8">
        <f t="shared" si="232"/>
        <v>0</v>
      </c>
      <c r="D1534" s="131">
        <f t="shared" si="229"/>
        <v>0</v>
      </c>
      <c r="E1534" s="8">
        <f t="shared" si="230"/>
        <v>0</v>
      </c>
      <c r="G1534" s="130">
        <f t="shared" si="227"/>
        <v>0</v>
      </c>
      <c r="H1534" s="131">
        <f t="shared" si="226"/>
        <v>0</v>
      </c>
      <c r="I1534" s="8">
        <f t="shared" ca="1" si="231"/>
        <v>0</v>
      </c>
      <c r="J1534" s="8">
        <f t="shared" ca="1" si="224"/>
        <v>0</v>
      </c>
      <c r="K1534" s="130">
        <f t="shared" ca="1" si="228"/>
        <v>0</v>
      </c>
      <c r="O1534" s="130">
        <f t="shared" ca="1" si="225"/>
        <v>0</v>
      </c>
    </row>
    <row r="1535" spans="1:15">
      <c r="A1535" s="79">
        <v>46092</v>
      </c>
      <c r="B1535" s="8">
        <f t="shared" si="232"/>
        <v>0</v>
      </c>
      <c r="D1535" s="131">
        <f t="shared" si="229"/>
        <v>0</v>
      </c>
      <c r="E1535" s="8">
        <f t="shared" si="230"/>
        <v>0</v>
      </c>
      <c r="G1535" s="130">
        <f t="shared" si="227"/>
        <v>0</v>
      </c>
      <c r="H1535" s="131">
        <f t="shared" si="226"/>
        <v>0</v>
      </c>
      <c r="I1535" s="8">
        <f t="shared" ca="1" si="231"/>
        <v>0</v>
      </c>
      <c r="J1535" s="8">
        <f t="shared" ca="1" si="224"/>
        <v>0</v>
      </c>
      <c r="K1535" s="130">
        <f t="shared" ca="1" si="228"/>
        <v>0</v>
      </c>
      <c r="O1535" s="130">
        <f t="shared" ca="1" si="225"/>
        <v>0</v>
      </c>
    </row>
    <row r="1536" spans="1:15">
      <c r="A1536" s="79">
        <v>46093</v>
      </c>
      <c r="B1536" s="8">
        <f t="shared" si="232"/>
        <v>0</v>
      </c>
      <c r="D1536" s="131">
        <f t="shared" si="229"/>
        <v>0</v>
      </c>
      <c r="E1536" s="8">
        <f t="shared" si="230"/>
        <v>0</v>
      </c>
      <c r="G1536" s="130">
        <f t="shared" si="227"/>
        <v>0</v>
      </c>
      <c r="H1536" s="131">
        <f t="shared" si="226"/>
        <v>0</v>
      </c>
      <c r="I1536" s="8">
        <f t="shared" ca="1" si="231"/>
        <v>0</v>
      </c>
      <c r="J1536" s="8">
        <f t="shared" ca="1" si="224"/>
        <v>0</v>
      </c>
      <c r="K1536" s="130">
        <f t="shared" ca="1" si="228"/>
        <v>0</v>
      </c>
      <c r="O1536" s="130">
        <f t="shared" ca="1" si="225"/>
        <v>0</v>
      </c>
    </row>
    <row r="1537" spans="1:15">
      <c r="A1537" s="79">
        <v>46094</v>
      </c>
      <c r="B1537" s="8">
        <f t="shared" si="232"/>
        <v>0</v>
      </c>
      <c r="D1537" s="131">
        <f t="shared" si="229"/>
        <v>0</v>
      </c>
      <c r="E1537" s="8">
        <f t="shared" si="230"/>
        <v>0</v>
      </c>
      <c r="G1537" s="130">
        <f t="shared" si="227"/>
        <v>0</v>
      </c>
      <c r="H1537" s="131">
        <f t="shared" si="226"/>
        <v>0</v>
      </c>
      <c r="I1537" s="8">
        <f t="shared" ca="1" si="231"/>
        <v>0</v>
      </c>
      <c r="J1537" s="8">
        <f t="shared" ca="1" si="224"/>
        <v>0</v>
      </c>
      <c r="K1537" s="130">
        <f t="shared" ca="1" si="228"/>
        <v>0</v>
      </c>
      <c r="O1537" s="130">
        <f t="shared" ca="1" si="225"/>
        <v>0</v>
      </c>
    </row>
    <row r="1538" spans="1:15">
      <c r="A1538" s="79">
        <v>46095</v>
      </c>
      <c r="B1538" s="8">
        <f t="shared" si="232"/>
        <v>0</v>
      </c>
      <c r="D1538" s="131">
        <f t="shared" si="229"/>
        <v>0</v>
      </c>
      <c r="E1538" s="8">
        <f t="shared" si="230"/>
        <v>0</v>
      </c>
      <c r="G1538" s="130">
        <f t="shared" si="227"/>
        <v>0</v>
      </c>
      <c r="H1538" s="131">
        <f t="shared" si="226"/>
        <v>0</v>
      </c>
      <c r="I1538" s="8">
        <f t="shared" ca="1" si="231"/>
        <v>0</v>
      </c>
      <c r="J1538" s="8">
        <f t="shared" ca="1" si="224"/>
        <v>0</v>
      </c>
      <c r="K1538" s="130">
        <f t="shared" ca="1" si="228"/>
        <v>0</v>
      </c>
      <c r="O1538" s="130">
        <f t="shared" ca="1" si="225"/>
        <v>0</v>
      </c>
    </row>
    <row r="1539" spans="1:15">
      <c r="A1539" s="79">
        <v>46096</v>
      </c>
      <c r="B1539" s="8">
        <f t="shared" si="232"/>
        <v>0</v>
      </c>
      <c r="D1539" s="131">
        <f t="shared" si="229"/>
        <v>0</v>
      </c>
      <c r="E1539" s="8">
        <f t="shared" si="230"/>
        <v>0</v>
      </c>
      <c r="G1539" s="130">
        <f t="shared" si="227"/>
        <v>0</v>
      </c>
      <c r="H1539" s="131">
        <f t="shared" si="226"/>
        <v>0</v>
      </c>
      <c r="I1539" s="8">
        <f t="shared" ca="1" si="231"/>
        <v>0</v>
      </c>
      <c r="J1539" s="8">
        <f t="shared" ca="1" si="224"/>
        <v>0</v>
      </c>
      <c r="K1539" s="130">
        <f t="shared" ca="1" si="228"/>
        <v>0</v>
      </c>
      <c r="O1539" s="130">
        <f t="shared" ca="1" si="225"/>
        <v>0</v>
      </c>
    </row>
    <row r="1540" spans="1:15">
      <c r="A1540" s="79">
        <v>46097</v>
      </c>
      <c r="B1540" s="8">
        <f t="shared" si="232"/>
        <v>0</v>
      </c>
      <c r="D1540" s="131">
        <f t="shared" si="229"/>
        <v>0</v>
      </c>
      <c r="E1540" s="8">
        <f t="shared" si="230"/>
        <v>0</v>
      </c>
      <c r="G1540" s="130">
        <f t="shared" si="227"/>
        <v>0</v>
      </c>
      <c r="H1540" s="131">
        <f t="shared" si="226"/>
        <v>0</v>
      </c>
      <c r="I1540" s="8">
        <f t="shared" ca="1" si="231"/>
        <v>0</v>
      </c>
      <c r="J1540" s="8">
        <f t="shared" ca="1" si="224"/>
        <v>0</v>
      </c>
      <c r="K1540" s="130">
        <f t="shared" ca="1" si="228"/>
        <v>0</v>
      </c>
      <c r="O1540" s="130">
        <f t="shared" ca="1" si="225"/>
        <v>0</v>
      </c>
    </row>
    <row r="1541" spans="1:15">
      <c r="A1541" s="79">
        <v>46098</v>
      </c>
      <c r="B1541" s="8">
        <f t="shared" si="232"/>
        <v>0</v>
      </c>
      <c r="D1541" s="131">
        <f t="shared" si="229"/>
        <v>0</v>
      </c>
      <c r="E1541" s="8">
        <f t="shared" si="230"/>
        <v>0</v>
      </c>
      <c r="G1541" s="130">
        <f t="shared" si="227"/>
        <v>0</v>
      </c>
      <c r="H1541" s="131">
        <f t="shared" si="226"/>
        <v>0</v>
      </c>
      <c r="I1541" s="8">
        <f t="shared" ca="1" si="231"/>
        <v>0</v>
      </c>
      <c r="J1541" s="8">
        <f t="shared" ca="1" si="224"/>
        <v>0</v>
      </c>
      <c r="K1541" s="130">
        <f t="shared" ca="1" si="228"/>
        <v>0</v>
      </c>
      <c r="O1541" s="130">
        <f t="shared" ca="1" si="225"/>
        <v>0</v>
      </c>
    </row>
    <row r="1542" spans="1:15">
      <c r="A1542" s="79">
        <v>46099</v>
      </c>
      <c r="B1542" s="8">
        <f t="shared" si="232"/>
        <v>0</v>
      </c>
      <c r="D1542" s="131">
        <f t="shared" si="229"/>
        <v>0</v>
      </c>
      <c r="E1542" s="8">
        <f t="shared" si="230"/>
        <v>0</v>
      </c>
      <c r="G1542" s="130">
        <f t="shared" si="227"/>
        <v>0</v>
      </c>
      <c r="H1542" s="131">
        <f t="shared" si="226"/>
        <v>0</v>
      </c>
      <c r="I1542" s="8">
        <f t="shared" ca="1" si="231"/>
        <v>0</v>
      </c>
      <c r="J1542" s="8">
        <f t="shared" ca="1" si="224"/>
        <v>0</v>
      </c>
      <c r="K1542" s="130">
        <f t="shared" ca="1" si="228"/>
        <v>0</v>
      </c>
      <c r="O1542" s="130">
        <f t="shared" ca="1" si="225"/>
        <v>0</v>
      </c>
    </row>
    <row r="1543" spans="1:15">
      <c r="A1543" s="79">
        <v>46100</v>
      </c>
      <c r="B1543" s="8">
        <f t="shared" si="232"/>
        <v>0</v>
      </c>
      <c r="D1543" s="131">
        <f t="shared" si="229"/>
        <v>0</v>
      </c>
      <c r="E1543" s="8">
        <f t="shared" si="230"/>
        <v>0</v>
      </c>
      <c r="G1543" s="130">
        <f t="shared" si="227"/>
        <v>0</v>
      </c>
      <c r="H1543" s="131">
        <f t="shared" si="226"/>
        <v>0</v>
      </c>
      <c r="I1543" s="8">
        <f t="shared" ca="1" si="231"/>
        <v>0</v>
      </c>
      <c r="J1543" s="8">
        <f t="shared" ca="1" si="224"/>
        <v>0</v>
      </c>
      <c r="K1543" s="130">
        <f t="shared" ca="1" si="228"/>
        <v>0</v>
      </c>
      <c r="O1543" s="130">
        <f t="shared" ca="1" si="225"/>
        <v>0</v>
      </c>
    </row>
    <row r="1544" spans="1:15">
      <c r="A1544" s="79">
        <v>46101</v>
      </c>
      <c r="B1544" s="8">
        <f t="shared" si="232"/>
        <v>0</v>
      </c>
      <c r="D1544" s="131">
        <f t="shared" si="229"/>
        <v>0</v>
      </c>
      <c r="E1544" s="8">
        <f t="shared" si="230"/>
        <v>0</v>
      </c>
      <c r="G1544" s="130">
        <f t="shared" si="227"/>
        <v>0</v>
      </c>
      <c r="H1544" s="131">
        <f t="shared" si="226"/>
        <v>0</v>
      </c>
      <c r="I1544" s="8">
        <f t="shared" ca="1" si="231"/>
        <v>0</v>
      </c>
      <c r="J1544" s="8">
        <f t="shared" ca="1" si="224"/>
        <v>0</v>
      </c>
      <c r="K1544" s="130">
        <f t="shared" ca="1" si="228"/>
        <v>0</v>
      </c>
      <c r="O1544" s="130">
        <f t="shared" ca="1" si="225"/>
        <v>0</v>
      </c>
    </row>
    <row r="1545" spans="1:15">
      <c r="A1545" s="79">
        <v>46102</v>
      </c>
      <c r="B1545" s="8">
        <f t="shared" si="232"/>
        <v>0</v>
      </c>
      <c r="D1545" s="131">
        <f t="shared" si="229"/>
        <v>0</v>
      </c>
      <c r="E1545" s="8">
        <f t="shared" si="230"/>
        <v>0</v>
      </c>
      <c r="G1545" s="130">
        <f t="shared" si="227"/>
        <v>0</v>
      </c>
      <c r="H1545" s="131">
        <f t="shared" si="226"/>
        <v>0</v>
      </c>
      <c r="I1545" s="8">
        <f t="shared" ca="1" si="231"/>
        <v>0</v>
      </c>
      <c r="J1545" s="8">
        <f t="shared" ca="1" si="224"/>
        <v>0</v>
      </c>
      <c r="K1545" s="130">
        <f t="shared" ca="1" si="228"/>
        <v>0</v>
      </c>
      <c r="O1545" s="130">
        <f t="shared" ca="1" si="225"/>
        <v>0</v>
      </c>
    </row>
    <row r="1546" spans="1:15">
      <c r="A1546" s="79">
        <v>46103</v>
      </c>
      <c r="B1546" s="8">
        <f t="shared" si="232"/>
        <v>0</v>
      </c>
      <c r="D1546" s="131">
        <f t="shared" si="229"/>
        <v>0</v>
      </c>
      <c r="E1546" s="8">
        <f t="shared" si="230"/>
        <v>0</v>
      </c>
      <c r="G1546" s="130">
        <f t="shared" si="227"/>
        <v>0</v>
      </c>
      <c r="H1546" s="131">
        <f t="shared" si="226"/>
        <v>0</v>
      </c>
      <c r="I1546" s="8">
        <f t="shared" ca="1" si="231"/>
        <v>0</v>
      </c>
      <c r="J1546" s="8">
        <f t="shared" ca="1" si="224"/>
        <v>0</v>
      </c>
      <c r="K1546" s="130">
        <f t="shared" ca="1" si="228"/>
        <v>0</v>
      </c>
      <c r="O1546" s="130">
        <f t="shared" ca="1" si="225"/>
        <v>0</v>
      </c>
    </row>
    <row r="1547" spans="1:15">
      <c r="A1547" s="79">
        <v>46104</v>
      </c>
      <c r="B1547" s="8">
        <f t="shared" si="232"/>
        <v>0</v>
      </c>
      <c r="D1547" s="131">
        <f t="shared" si="229"/>
        <v>0</v>
      </c>
      <c r="E1547" s="8">
        <f t="shared" si="230"/>
        <v>0</v>
      </c>
      <c r="G1547" s="130">
        <f t="shared" si="227"/>
        <v>0</v>
      </c>
      <c r="H1547" s="131">
        <f t="shared" si="226"/>
        <v>0</v>
      </c>
      <c r="I1547" s="8">
        <f t="shared" ca="1" si="231"/>
        <v>0</v>
      </c>
      <c r="J1547" s="8">
        <f t="shared" ca="1" si="224"/>
        <v>0</v>
      </c>
      <c r="K1547" s="130">
        <f t="shared" ca="1" si="228"/>
        <v>0</v>
      </c>
      <c r="O1547" s="130">
        <f t="shared" ca="1" si="225"/>
        <v>0</v>
      </c>
    </row>
    <row r="1548" spans="1:15">
      <c r="A1548" s="79">
        <v>46105</v>
      </c>
      <c r="B1548" s="8">
        <f t="shared" si="232"/>
        <v>0</v>
      </c>
      <c r="D1548" s="131">
        <f t="shared" si="229"/>
        <v>0</v>
      </c>
      <c r="E1548" s="8">
        <f t="shared" si="230"/>
        <v>0</v>
      </c>
      <c r="G1548" s="130">
        <f t="shared" si="227"/>
        <v>0</v>
      </c>
      <c r="H1548" s="131">
        <f t="shared" si="226"/>
        <v>0</v>
      </c>
      <c r="I1548" s="8">
        <f t="shared" ca="1" si="231"/>
        <v>0</v>
      </c>
      <c r="J1548" s="8">
        <f t="shared" ca="1" si="224"/>
        <v>0</v>
      </c>
      <c r="K1548" s="130">
        <f t="shared" ca="1" si="228"/>
        <v>0</v>
      </c>
      <c r="O1548" s="130">
        <f t="shared" ca="1" si="225"/>
        <v>0</v>
      </c>
    </row>
    <row r="1549" spans="1:15">
      <c r="A1549" s="79">
        <v>46106</v>
      </c>
      <c r="B1549" s="8">
        <f t="shared" si="232"/>
        <v>0</v>
      </c>
      <c r="D1549" s="131">
        <f t="shared" si="229"/>
        <v>0</v>
      </c>
      <c r="E1549" s="8">
        <f t="shared" si="230"/>
        <v>0</v>
      </c>
      <c r="G1549" s="130">
        <f t="shared" si="227"/>
        <v>0</v>
      </c>
      <c r="H1549" s="131">
        <f t="shared" si="226"/>
        <v>0</v>
      </c>
      <c r="I1549" s="8">
        <f t="shared" ca="1" si="231"/>
        <v>0</v>
      </c>
      <c r="J1549" s="8">
        <f t="shared" ca="1" si="224"/>
        <v>0</v>
      </c>
      <c r="K1549" s="130">
        <f t="shared" ca="1" si="228"/>
        <v>0</v>
      </c>
      <c r="O1549" s="130">
        <f t="shared" ca="1" si="225"/>
        <v>0</v>
      </c>
    </row>
    <row r="1550" spans="1:15">
      <c r="A1550" s="79">
        <v>46107</v>
      </c>
      <c r="B1550" s="8">
        <f t="shared" si="232"/>
        <v>0</v>
      </c>
      <c r="D1550" s="131">
        <f t="shared" si="229"/>
        <v>0</v>
      </c>
      <c r="E1550" s="8">
        <f t="shared" si="230"/>
        <v>0</v>
      </c>
      <c r="G1550" s="130">
        <f t="shared" si="227"/>
        <v>0</v>
      </c>
      <c r="H1550" s="131">
        <f t="shared" si="226"/>
        <v>0</v>
      </c>
      <c r="I1550" s="8">
        <f t="shared" ca="1" si="231"/>
        <v>0</v>
      </c>
      <c r="J1550" s="8">
        <f t="shared" ca="1" si="224"/>
        <v>0</v>
      </c>
      <c r="K1550" s="130">
        <f t="shared" ca="1" si="228"/>
        <v>0</v>
      </c>
      <c r="O1550" s="130">
        <f t="shared" ca="1" si="225"/>
        <v>0</v>
      </c>
    </row>
    <row r="1551" spans="1:15">
      <c r="A1551" s="79">
        <v>46108</v>
      </c>
      <c r="B1551" s="8">
        <f t="shared" si="232"/>
        <v>0</v>
      </c>
      <c r="D1551" s="131">
        <f t="shared" si="229"/>
        <v>0</v>
      </c>
      <c r="E1551" s="8">
        <f t="shared" si="230"/>
        <v>0</v>
      </c>
      <c r="G1551" s="130">
        <f t="shared" si="227"/>
        <v>0</v>
      </c>
      <c r="H1551" s="131">
        <f t="shared" si="226"/>
        <v>0</v>
      </c>
      <c r="I1551" s="8">
        <f t="shared" ca="1" si="231"/>
        <v>0</v>
      </c>
      <c r="J1551" s="8">
        <f t="shared" ca="1" si="224"/>
        <v>0</v>
      </c>
      <c r="K1551" s="130">
        <f t="shared" ca="1" si="228"/>
        <v>0</v>
      </c>
      <c r="O1551" s="130">
        <f t="shared" ca="1" si="225"/>
        <v>0</v>
      </c>
    </row>
    <row r="1552" spans="1:15">
      <c r="A1552" s="79">
        <v>46109</v>
      </c>
      <c r="B1552" s="8">
        <f t="shared" si="232"/>
        <v>0</v>
      </c>
      <c r="D1552" s="131">
        <f t="shared" si="229"/>
        <v>0</v>
      </c>
      <c r="E1552" s="8">
        <f t="shared" si="230"/>
        <v>0</v>
      </c>
      <c r="G1552" s="130">
        <f t="shared" si="227"/>
        <v>0</v>
      </c>
      <c r="H1552" s="131">
        <f t="shared" si="226"/>
        <v>0</v>
      </c>
      <c r="I1552" s="8">
        <f t="shared" ca="1" si="231"/>
        <v>0</v>
      </c>
      <c r="J1552" s="8">
        <f t="shared" ca="1" si="224"/>
        <v>0</v>
      </c>
      <c r="K1552" s="130">
        <f t="shared" ca="1" si="228"/>
        <v>0</v>
      </c>
      <c r="O1552" s="130">
        <f t="shared" ca="1" si="225"/>
        <v>0</v>
      </c>
    </row>
    <row r="1553" spans="1:15">
      <c r="A1553" s="79">
        <v>46110</v>
      </c>
      <c r="B1553" s="8">
        <f t="shared" si="232"/>
        <v>0</v>
      </c>
      <c r="D1553" s="131">
        <f t="shared" si="229"/>
        <v>0</v>
      </c>
      <c r="E1553" s="8">
        <f t="shared" si="230"/>
        <v>0</v>
      </c>
      <c r="G1553" s="130">
        <f t="shared" si="227"/>
        <v>0</v>
      </c>
      <c r="H1553" s="131">
        <f t="shared" si="226"/>
        <v>0</v>
      </c>
      <c r="I1553" s="8">
        <f t="shared" ca="1" si="231"/>
        <v>0</v>
      </c>
      <c r="J1553" s="8">
        <f t="shared" ca="1" si="224"/>
        <v>0</v>
      </c>
      <c r="K1553" s="130">
        <f t="shared" ca="1" si="228"/>
        <v>0</v>
      </c>
      <c r="O1553" s="130">
        <f t="shared" ca="1" si="225"/>
        <v>0</v>
      </c>
    </row>
    <row r="1554" spans="1:15">
      <c r="A1554" s="79">
        <v>46111</v>
      </c>
      <c r="B1554" s="8">
        <f t="shared" si="232"/>
        <v>0</v>
      </c>
      <c r="D1554" s="131">
        <f t="shared" si="229"/>
        <v>0</v>
      </c>
      <c r="E1554" s="8">
        <f t="shared" si="230"/>
        <v>0</v>
      </c>
      <c r="G1554" s="130">
        <f t="shared" si="227"/>
        <v>0</v>
      </c>
      <c r="H1554" s="131">
        <f t="shared" si="226"/>
        <v>0</v>
      </c>
      <c r="I1554" s="8">
        <f t="shared" ca="1" si="231"/>
        <v>0</v>
      </c>
      <c r="J1554" s="8">
        <f t="shared" ca="1" si="224"/>
        <v>0</v>
      </c>
      <c r="K1554" s="130">
        <f t="shared" ca="1" si="228"/>
        <v>0</v>
      </c>
      <c r="O1554" s="130">
        <f t="shared" ca="1" si="225"/>
        <v>0</v>
      </c>
    </row>
    <row r="1555" spans="1:15">
      <c r="A1555" s="79">
        <v>46112</v>
      </c>
      <c r="B1555" s="8">
        <f t="shared" si="232"/>
        <v>0</v>
      </c>
      <c r="D1555" s="131">
        <f t="shared" si="229"/>
        <v>0</v>
      </c>
      <c r="E1555" s="8">
        <f t="shared" si="230"/>
        <v>0</v>
      </c>
      <c r="G1555" s="130">
        <f t="shared" si="227"/>
        <v>0</v>
      </c>
      <c r="H1555" s="131">
        <f t="shared" si="226"/>
        <v>0</v>
      </c>
      <c r="I1555" s="8">
        <f t="shared" ca="1" si="231"/>
        <v>0</v>
      </c>
      <c r="J1555" s="8">
        <f t="shared" ref="J1555:J1618" ca="1" si="233">I1555+K1555</f>
        <v>0</v>
      </c>
      <c r="K1555" s="130">
        <f t="shared" ca="1" si="228"/>
        <v>0</v>
      </c>
      <c r="O1555" s="130">
        <f t="shared" ca="1" si="225"/>
        <v>0</v>
      </c>
    </row>
    <row r="1556" spans="1:15">
      <c r="A1556" s="79">
        <v>46113</v>
      </c>
      <c r="B1556" s="8">
        <f t="shared" si="232"/>
        <v>0</v>
      </c>
      <c r="D1556" s="131">
        <f t="shared" si="229"/>
        <v>0</v>
      </c>
      <c r="E1556" s="8">
        <f t="shared" si="230"/>
        <v>0</v>
      </c>
      <c r="G1556" s="130">
        <f t="shared" si="227"/>
        <v>0</v>
      </c>
      <c r="H1556" s="131">
        <f t="shared" si="226"/>
        <v>0</v>
      </c>
      <c r="I1556" s="8">
        <f t="shared" ca="1" si="231"/>
        <v>0</v>
      </c>
      <c r="J1556" s="8">
        <f t="shared" ca="1" si="233"/>
        <v>0</v>
      </c>
      <c r="K1556" s="130">
        <f t="shared" ca="1" si="228"/>
        <v>0</v>
      </c>
      <c r="O1556" s="130">
        <f t="shared" ca="1" si="225"/>
        <v>0</v>
      </c>
    </row>
    <row r="1557" spans="1:15">
      <c r="A1557" s="79">
        <v>46114</v>
      </c>
      <c r="B1557" s="8">
        <f t="shared" si="232"/>
        <v>0</v>
      </c>
      <c r="D1557" s="131">
        <f t="shared" si="229"/>
        <v>0</v>
      </c>
      <c r="E1557" s="8">
        <f t="shared" si="230"/>
        <v>0</v>
      </c>
      <c r="G1557" s="130">
        <f t="shared" si="227"/>
        <v>0</v>
      </c>
      <c r="H1557" s="131">
        <f t="shared" si="226"/>
        <v>0</v>
      </c>
      <c r="I1557" s="8">
        <f t="shared" ca="1" si="231"/>
        <v>0</v>
      </c>
      <c r="J1557" s="8">
        <f t="shared" ca="1" si="233"/>
        <v>0</v>
      </c>
      <c r="K1557" s="130">
        <f t="shared" ca="1" si="228"/>
        <v>0</v>
      </c>
      <c r="O1557" s="130">
        <f t="shared" ca="1" si="225"/>
        <v>0</v>
      </c>
    </row>
    <row r="1558" spans="1:15">
      <c r="A1558" s="79">
        <v>46115</v>
      </c>
      <c r="B1558" s="8">
        <f t="shared" si="232"/>
        <v>0</v>
      </c>
      <c r="D1558" s="131">
        <f t="shared" si="229"/>
        <v>0</v>
      </c>
      <c r="E1558" s="8">
        <f t="shared" si="230"/>
        <v>0</v>
      </c>
      <c r="G1558" s="130">
        <f t="shared" si="227"/>
        <v>0</v>
      </c>
      <c r="H1558" s="131">
        <f t="shared" si="226"/>
        <v>0</v>
      </c>
      <c r="I1558" s="8">
        <f t="shared" ca="1" si="231"/>
        <v>0</v>
      </c>
      <c r="J1558" s="8">
        <f t="shared" ca="1" si="233"/>
        <v>0</v>
      </c>
      <c r="K1558" s="130">
        <f t="shared" ca="1" si="228"/>
        <v>0</v>
      </c>
      <c r="O1558" s="130">
        <f t="shared" ca="1" si="225"/>
        <v>0</v>
      </c>
    </row>
    <row r="1559" spans="1:15">
      <c r="A1559" s="79">
        <v>46116</v>
      </c>
      <c r="B1559" s="8">
        <f t="shared" si="232"/>
        <v>0</v>
      </c>
      <c r="D1559" s="131">
        <f t="shared" si="229"/>
        <v>0</v>
      </c>
      <c r="E1559" s="8">
        <f t="shared" si="230"/>
        <v>0</v>
      </c>
      <c r="G1559" s="130">
        <f t="shared" si="227"/>
        <v>0</v>
      </c>
      <c r="H1559" s="131">
        <f t="shared" si="226"/>
        <v>0</v>
      </c>
      <c r="I1559" s="8">
        <f t="shared" ca="1" si="231"/>
        <v>0</v>
      </c>
      <c r="J1559" s="8">
        <f t="shared" ca="1" si="233"/>
        <v>0</v>
      </c>
      <c r="K1559" s="130">
        <f t="shared" ca="1" si="228"/>
        <v>0</v>
      </c>
      <c r="O1559" s="130">
        <f t="shared" ca="1" si="225"/>
        <v>0</v>
      </c>
    </row>
    <row r="1560" spans="1:15">
      <c r="A1560" s="79">
        <v>46117</v>
      </c>
      <c r="B1560" s="8">
        <f t="shared" si="232"/>
        <v>0</v>
      </c>
      <c r="D1560" s="131">
        <f t="shared" si="229"/>
        <v>0</v>
      </c>
      <c r="E1560" s="8">
        <f t="shared" si="230"/>
        <v>0</v>
      </c>
      <c r="G1560" s="130">
        <f t="shared" si="227"/>
        <v>0</v>
      </c>
      <c r="H1560" s="131">
        <f t="shared" si="226"/>
        <v>0</v>
      </c>
      <c r="I1560" s="8">
        <f t="shared" ca="1" si="231"/>
        <v>0</v>
      </c>
      <c r="J1560" s="8">
        <f t="shared" ca="1" si="233"/>
        <v>0</v>
      </c>
      <c r="K1560" s="130">
        <f t="shared" ca="1" si="228"/>
        <v>0</v>
      </c>
      <c r="O1560" s="130">
        <f t="shared" ca="1" si="225"/>
        <v>0</v>
      </c>
    </row>
    <row r="1561" spans="1:15">
      <c r="A1561" s="79">
        <v>46118</v>
      </c>
      <c r="B1561" s="8">
        <f t="shared" si="232"/>
        <v>0</v>
      </c>
      <c r="D1561" s="131">
        <f t="shared" si="229"/>
        <v>0</v>
      </c>
      <c r="E1561" s="8">
        <f t="shared" si="230"/>
        <v>0</v>
      </c>
      <c r="G1561" s="130">
        <f t="shared" si="227"/>
        <v>0</v>
      </c>
      <c r="H1561" s="131">
        <f t="shared" si="226"/>
        <v>0</v>
      </c>
      <c r="I1561" s="8">
        <f t="shared" ca="1" si="231"/>
        <v>0</v>
      </c>
      <c r="J1561" s="8">
        <f t="shared" ca="1" si="233"/>
        <v>0</v>
      </c>
      <c r="K1561" s="130">
        <f t="shared" ca="1" si="228"/>
        <v>0</v>
      </c>
      <c r="O1561" s="130">
        <f t="shared" ca="1" si="225"/>
        <v>0</v>
      </c>
    </row>
    <row r="1562" spans="1:15">
      <c r="A1562" s="79">
        <v>46119</v>
      </c>
      <c r="B1562" s="8">
        <f t="shared" si="232"/>
        <v>0</v>
      </c>
      <c r="D1562" s="131">
        <f t="shared" si="229"/>
        <v>0</v>
      </c>
      <c r="E1562" s="8">
        <f t="shared" si="230"/>
        <v>0</v>
      </c>
      <c r="G1562" s="130">
        <f t="shared" si="227"/>
        <v>0</v>
      </c>
      <c r="H1562" s="131">
        <f t="shared" si="226"/>
        <v>0</v>
      </c>
      <c r="I1562" s="8">
        <f t="shared" ca="1" si="231"/>
        <v>0</v>
      </c>
      <c r="J1562" s="8">
        <f t="shared" ca="1" si="233"/>
        <v>0</v>
      </c>
      <c r="K1562" s="130">
        <f t="shared" ca="1" si="228"/>
        <v>0</v>
      </c>
      <c r="O1562" s="130">
        <f t="shared" ca="1" si="225"/>
        <v>0</v>
      </c>
    </row>
    <row r="1563" spans="1:15">
      <c r="A1563" s="79">
        <v>46120</v>
      </c>
      <c r="B1563" s="8">
        <f t="shared" si="232"/>
        <v>0</v>
      </c>
      <c r="D1563" s="131">
        <f t="shared" si="229"/>
        <v>0</v>
      </c>
      <c r="E1563" s="8">
        <f t="shared" si="230"/>
        <v>0</v>
      </c>
      <c r="G1563" s="130">
        <f t="shared" si="227"/>
        <v>0</v>
      </c>
      <c r="H1563" s="131">
        <f t="shared" si="226"/>
        <v>0</v>
      </c>
      <c r="I1563" s="8">
        <f t="shared" ca="1" si="231"/>
        <v>0</v>
      </c>
      <c r="J1563" s="8">
        <f t="shared" ca="1" si="233"/>
        <v>0</v>
      </c>
      <c r="K1563" s="130">
        <f t="shared" ca="1" si="228"/>
        <v>0</v>
      </c>
      <c r="O1563" s="130">
        <f t="shared" ca="1" si="225"/>
        <v>0</v>
      </c>
    </row>
    <row r="1564" spans="1:15">
      <c r="A1564" s="79">
        <v>46121</v>
      </c>
      <c r="B1564" s="8">
        <f t="shared" si="232"/>
        <v>0</v>
      </c>
      <c r="D1564" s="131">
        <f t="shared" si="229"/>
        <v>0</v>
      </c>
      <c r="E1564" s="8">
        <f t="shared" si="230"/>
        <v>0</v>
      </c>
      <c r="G1564" s="130">
        <f t="shared" si="227"/>
        <v>0</v>
      </c>
      <c r="H1564" s="131">
        <f t="shared" si="226"/>
        <v>0</v>
      </c>
      <c r="I1564" s="8">
        <f t="shared" ca="1" si="231"/>
        <v>0</v>
      </c>
      <c r="J1564" s="8">
        <f t="shared" ca="1" si="233"/>
        <v>0</v>
      </c>
      <c r="K1564" s="130">
        <f t="shared" ca="1" si="228"/>
        <v>0</v>
      </c>
      <c r="O1564" s="130">
        <f t="shared" ca="1" si="225"/>
        <v>0</v>
      </c>
    </row>
    <row r="1565" spans="1:15">
      <c r="A1565" s="79">
        <v>46122</v>
      </c>
      <c r="B1565" s="8">
        <f t="shared" si="232"/>
        <v>0</v>
      </c>
      <c r="D1565" s="131">
        <f t="shared" si="229"/>
        <v>0</v>
      </c>
      <c r="E1565" s="8">
        <f t="shared" si="230"/>
        <v>0</v>
      </c>
      <c r="G1565" s="130">
        <f t="shared" si="227"/>
        <v>0</v>
      </c>
      <c r="H1565" s="131">
        <f t="shared" si="226"/>
        <v>0</v>
      </c>
      <c r="I1565" s="8">
        <f t="shared" ca="1" si="231"/>
        <v>0</v>
      </c>
      <c r="J1565" s="8">
        <f t="shared" ca="1" si="233"/>
        <v>0</v>
      </c>
      <c r="K1565" s="130">
        <f t="shared" ca="1" si="228"/>
        <v>0</v>
      </c>
      <c r="O1565" s="130">
        <f t="shared" ca="1" si="225"/>
        <v>0</v>
      </c>
    </row>
    <row r="1566" spans="1:15">
      <c r="A1566" s="79">
        <v>46123</v>
      </c>
      <c r="B1566" s="8">
        <f t="shared" si="232"/>
        <v>0</v>
      </c>
      <c r="D1566" s="131">
        <f t="shared" si="229"/>
        <v>0</v>
      </c>
      <c r="E1566" s="8">
        <f t="shared" si="230"/>
        <v>0</v>
      </c>
      <c r="G1566" s="130">
        <f t="shared" si="227"/>
        <v>0</v>
      </c>
      <c r="H1566" s="131">
        <f t="shared" si="226"/>
        <v>0</v>
      </c>
      <c r="I1566" s="8">
        <f t="shared" ca="1" si="231"/>
        <v>0</v>
      </c>
      <c r="J1566" s="8">
        <f t="shared" ca="1" si="233"/>
        <v>0</v>
      </c>
      <c r="K1566" s="130">
        <f t="shared" ca="1" si="228"/>
        <v>0</v>
      </c>
      <c r="O1566" s="130">
        <f t="shared" ca="1" si="225"/>
        <v>0</v>
      </c>
    </row>
    <row r="1567" spans="1:15">
      <c r="A1567" s="79">
        <v>46124</v>
      </c>
      <c r="B1567" s="8">
        <f t="shared" si="232"/>
        <v>0</v>
      </c>
      <c r="D1567" s="131">
        <f t="shared" si="229"/>
        <v>0</v>
      </c>
      <c r="E1567" s="8">
        <f t="shared" si="230"/>
        <v>0</v>
      </c>
      <c r="G1567" s="130">
        <f t="shared" si="227"/>
        <v>0</v>
      </c>
      <c r="H1567" s="131">
        <f t="shared" si="226"/>
        <v>0</v>
      </c>
      <c r="I1567" s="8">
        <f t="shared" ca="1" si="231"/>
        <v>0</v>
      </c>
      <c r="J1567" s="8">
        <f t="shared" ca="1" si="233"/>
        <v>0</v>
      </c>
      <c r="K1567" s="130">
        <f t="shared" ca="1" si="228"/>
        <v>0</v>
      </c>
      <c r="O1567" s="130">
        <f t="shared" ref="O1567:O1630" ca="1" si="234">N1567+K1567</f>
        <v>0</v>
      </c>
    </row>
    <row r="1568" spans="1:15">
      <c r="A1568" s="79">
        <v>46125</v>
      </c>
      <c r="B1568" s="8">
        <f t="shared" si="232"/>
        <v>0</v>
      </c>
      <c r="D1568" s="131">
        <f t="shared" si="229"/>
        <v>0</v>
      </c>
      <c r="E1568" s="8">
        <f t="shared" si="230"/>
        <v>0</v>
      </c>
      <c r="G1568" s="130">
        <f t="shared" si="227"/>
        <v>0</v>
      </c>
      <c r="H1568" s="131">
        <f t="shared" si="226"/>
        <v>0</v>
      </c>
      <c r="I1568" s="8">
        <f t="shared" ca="1" si="231"/>
        <v>0</v>
      </c>
      <c r="J1568" s="8">
        <f t="shared" ca="1" si="233"/>
        <v>0</v>
      </c>
      <c r="K1568" s="130">
        <f t="shared" ca="1" si="228"/>
        <v>0</v>
      </c>
      <c r="O1568" s="130">
        <f t="shared" ca="1" si="234"/>
        <v>0</v>
      </c>
    </row>
    <row r="1569" spans="1:15">
      <c r="A1569" s="79">
        <v>46126</v>
      </c>
      <c r="B1569" s="8">
        <f t="shared" si="232"/>
        <v>0</v>
      </c>
      <c r="D1569" s="131">
        <f t="shared" si="229"/>
        <v>0</v>
      </c>
      <c r="E1569" s="8">
        <f t="shared" si="230"/>
        <v>0</v>
      </c>
      <c r="G1569" s="130">
        <f t="shared" si="227"/>
        <v>0</v>
      </c>
      <c r="H1569" s="131">
        <f t="shared" si="226"/>
        <v>0</v>
      </c>
      <c r="I1569" s="8">
        <f t="shared" ca="1" si="231"/>
        <v>0</v>
      </c>
      <c r="J1569" s="8">
        <f t="shared" ca="1" si="233"/>
        <v>0</v>
      </c>
      <c r="K1569" s="130">
        <f t="shared" ca="1" si="228"/>
        <v>0</v>
      </c>
      <c r="O1569" s="130">
        <f t="shared" ca="1" si="234"/>
        <v>0</v>
      </c>
    </row>
    <row r="1570" spans="1:15">
      <c r="A1570" s="79">
        <v>46127</v>
      </c>
      <c r="B1570" s="8">
        <f t="shared" si="232"/>
        <v>0</v>
      </c>
      <c r="D1570" s="131">
        <f t="shared" si="229"/>
        <v>0</v>
      </c>
      <c r="E1570" s="8">
        <f t="shared" si="230"/>
        <v>0</v>
      </c>
      <c r="G1570" s="130">
        <f t="shared" si="227"/>
        <v>0</v>
      </c>
      <c r="H1570" s="131">
        <f t="shared" si="226"/>
        <v>0</v>
      </c>
      <c r="I1570" s="8">
        <f t="shared" ca="1" si="231"/>
        <v>0</v>
      </c>
      <c r="J1570" s="8">
        <f t="shared" ca="1" si="233"/>
        <v>0</v>
      </c>
      <c r="K1570" s="130">
        <f t="shared" ca="1" si="228"/>
        <v>0</v>
      </c>
      <c r="O1570" s="130">
        <f t="shared" ca="1" si="234"/>
        <v>0</v>
      </c>
    </row>
    <row r="1571" spans="1:15">
      <c r="A1571" s="79">
        <v>46128</v>
      </c>
      <c r="B1571" s="8">
        <f t="shared" si="232"/>
        <v>0</v>
      </c>
      <c r="D1571" s="131">
        <f t="shared" si="229"/>
        <v>0</v>
      </c>
      <c r="E1571" s="8">
        <f t="shared" si="230"/>
        <v>0</v>
      </c>
      <c r="G1571" s="130">
        <f t="shared" si="227"/>
        <v>0</v>
      </c>
      <c r="H1571" s="131">
        <f t="shared" ref="H1571:H1634" si="235">D1571+G1571</f>
        <v>0</v>
      </c>
      <c r="I1571" s="8">
        <f t="shared" ca="1" si="231"/>
        <v>0</v>
      </c>
      <c r="J1571" s="8">
        <f t="shared" ca="1" si="233"/>
        <v>0</v>
      </c>
      <c r="K1571" s="130">
        <f t="shared" ca="1" si="228"/>
        <v>0</v>
      </c>
      <c r="O1571" s="130">
        <f t="shared" ca="1" si="234"/>
        <v>0</v>
      </c>
    </row>
    <row r="1572" spans="1:15">
      <c r="A1572" s="79">
        <v>46129</v>
      </c>
      <c r="B1572" s="8">
        <f t="shared" si="232"/>
        <v>0</v>
      </c>
      <c r="D1572" s="131">
        <f t="shared" si="229"/>
        <v>0</v>
      </c>
      <c r="E1572" s="8">
        <f t="shared" si="230"/>
        <v>0</v>
      </c>
      <c r="G1572" s="130">
        <f t="shared" si="227"/>
        <v>0</v>
      </c>
      <c r="H1572" s="131">
        <f t="shared" si="235"/>
        <v>0</v>
      </c>
      <c r="I1572" s="8">
        <f t="shared" ca="1" si="231"/>
        <v>0</v>
      </c>
      <c r="J1572" s="8">
        <f t="shared" ca="1" si="233"/>
        <v>0</v>
      </c>
      <c r="K1572" s="130">
        <f t="shared" ca="1" si="228"/>
        <v>0</v>
      </c>
      <c r="O1572" s="130">
        <f t="shared" ca="1" si="234"/>
        <v>0</v>
      </c>
    </row>
    <row r="1573" spans="1:15">
      <c r="A1573" s="79">
        <v>46130</v>
      </c>
      <c r="B1573" s="8">
        <f t="shared" si="232"/>
        <v>0</v>
      </c>
      <c r="D1573" s="131">
        <f t="shared" si="229"/>
        <v>0</v>
      </c>
      <c r="E1573" s="8">
        <f t="shared" si="230"/>
        <v>0</v>
      </c>
      <c r="G1573" s="130">
        <f t="shared" ref="G1573:G1636" si="236">F1573-E1573</f>
        <v>0</v>
      </c>
      <c r="H1573" s="131">
        <f t="shared" si="235"/>
        <v>0</v>
      </c>
      <c r="I1573" s="8">
        <f t="shared" ca="1" si="231"/>
        <v>0</v>
      </c>
      <c r="J1573" s="8">
        <f t="shared" ca="1" si="233"/>
        <v>0</v>
      </c>
      <c r="K1573" s="130">
        <f t="shared" ref="K1573:K1636" ca="1" si="237">J1573-I1573</f>
        <v>0</v>
      </c>
      <c r="O1573" s="130">
        <f t="shared" ca="1" si="234"/>
        <v>0</v>
      </c>
    </row>
    <row r="1574" spans="1:15">
      <c r="A1574" s="79">
        <v>46131</v>
      </c>
      <c r="B1574" s="8">
        <f t="shared" si="232"/>
        <v>0</v>
      </c>
      <c r="D1574" s="131">
        <f t="shared" ref="D1574:D1637" si="238">C1574-B1574</f>
        <v>0</v>
      </c>
      <c r="E1574" s="8">
        <f t="shared" ref="E1574:E1637" si="239">F1573</f>
        <v>0</v>
      </c>
      <c r="G1574" s="130">
        <f t="shared" si="236"/>
        <v>0</v>
      </c>
      <c r="H1574" s="131">
        <f t="shared" si="235"/>
        <v>0</v>
      </c>
      <c r="I1574" s="8">
        <f t="shared" ref="I1574:I1637" ca="1" si="240">J1573</f>
        <v>0</v>
      </c>
      <c r="J1574" s="8">
        <f t="shared" ca="1" si="233"/>
        <v>0</v>
      </c>
      <c r="K1574" s="130">
        <f t="shared" ca="1" si="237"/>
        <v>0</v>
      </c>
      <c r="O1574" s="130">
        <f t="shared" ca="1" si="234"/>
        <v>0</v>
      </c>
    </row>
    <row r="1575" spans="1:15">
      <c r="A1575" s="79">
        <v>46132</v>
      </c>
      <c r="B1575" s="8">
        <f t="shared" si="232"/>
        <v>0</v>
      </c>
      <c r="D1575" s="131">
        <f t="shared" si="238"/>
        <v>0</v>
      </c>
      <c r="E1575" s="8">
        <f t="shared" si="239"/>
        <v>0</v>
      </c>
      <c r="G1575" s="130">
        <f t="shared" si="236"/>
        <v>0</v>
      </c>
      <c r="H1575" s="131">
        <f t="shared" si="235"/>
        <v>0</v>
      </c>
      <c r="I1575" s="8">
        <f t="shared" ca="1" si="240"/>
        <v>0</v>
      </c>
      <c r="J1575" s="8">
        <f t="shared" ca="1" si="233"/>
        <v>0</v>
      </c>
      <c r="K1575" s="130">
        <f t="shared" ca="1" si="237"/>
        <v>0</v>
      </c>
      <c r="O1575" s="130">
        <f t="shared" ca="1" si="234"/>
        <v>0</v>
      </c>
    </row>
    <row r="1576" spans="1:15">
      <c r="A1576" s="79">
        <v>46133</v>
      </c>
      <c r="B1576" s="8">
        <f t="shared" si="232"/>
        <v>0</v>
      </c>
      <c r="D1576" s="131">
        <f t="shared" si="238"/>
        <v>0</v>
      </c>
      <c r="E1576" s="8">
        <f t="shared" si="239"/>
        <v>0</v>
      </c>
      <c r="G1576" s="130">
        <f t="shared" si="236"/>
        <v>0</v>
      </c>
      <c r="H1576" s="131">
        <f t="shared" si="235"/>
        <v>0</v>
      </c>
      <c r="I1576" s="8">
        <f t="shared" ca="1" si="240"/>
        <v>0</v>
      </c>
      <c r="J1576" s="8">
        <f t="shared" ca="1" si="233"/>
        <v>0</v>
      </c>
      <c r="K1576" s="130">
        <f t="shared" ca="1" si="237"/>
        <v>0</v>
      </c>
      <c r="O1576" s="130">
        <f t="shared" ca="1" si="234"/>
        <v>0</v>
      </c>
    </row>
    <row r="1577" spans="1:15">
      <c r="A1577" s="79">
        <v>46134</v>
      </c>
      <c r="B1577" s="8">
        <f t="shared" si="232"/>
        <v>0</v>
      </c>
      <c r="D1577" s="131">
        <f t="shared" si="238"/>
        <v>0</v>
      </c>
      <c r="E1577" s="8">
        <f t="shared" si="239"/>
        <v>0</v>
      </c>
      <c r="G1577" s="130">
        <f t="shared" si="236"/>
        <v>0</v>
      </c>
      <c r="H1577" s="131">
        <f t="shared" si="235"/>
        <v>0</v>
      </c>
      <c r="I1577" s="8">
        <f t="shared" ca="1" si="240"/>
        <v>0</v>
      </c>
      <c r="J1577" s="8">
        <f t="shared" ca="1" si="233"/>
        <v>0</v>
      </c>
      <c r="K1577" s="130">
        <f t="shared" ca="1" si="237"/>
        <v>0</v>
      </c>
      <c r="O1577" s="130">
        <f t="shared" ca="1" si="234"/>
        <v>0</v>
      </c>
    </row>
    <row r="1578" spans="1:15">
      <c r="A1578" s="79">
        <v>46135</v>
      </c>
      <c r="B1578" s="8">
        <f t="shared" si="232"/>
        <v>0</v>
      </c>
      <c r="D1578" s="131">
        <f t="shared" si="238"/>
        <v>0</v>
      </c>
      <c r="E1578" s="8">
        <f t="shared" si="239"/>
        <v>0</v>
      </c>
      <c r="G1578" s="130">
        <f t="shared" si="236"/>
        <v>0</v>
      </c>
      <c r="H1578" s="131">
        <f t="shared" si="235"/>
        <v>0</v>
      </c>
      <c r="I1578" s="8">
        <f t="shared" ca="1" si="240"/>
        <v>0</v>
      </c>
      <c r="J1578" s="8">
        <f t="shared" ca="1" si="233"/>
        <v>0</v>
      </c>
      <c r="K1578" s="130">
        <f t="shared" ca="1" si="237"/>
        <v>0</v>
      </c>
      <c r="O1578" s="130">
        <f t="shared" ca="1" si="234"/>
        <v>0</v>
      </c>
    </row>
    <row r="1579" spans="1:15">
      <c r="A1579" s="79">
        <v>46136</v>
      </c>
      <c r="B1579" s="8">
        <f t="shared" si="232"/>
        <v>0</v>
      </c>
      <c r="D1579" s="131">
        <f t="shared" si="238"/>
        <v>0</v>
      </c>
      <c r="E1579" s="8">
        <f t="shared" si="239"/>
        <v>0</v>
      </c>
      <c r="G1579" s="130">
        <f t="shared" si="236"/>
        <v>0</v>
      </c>
      <c r="H1579" s="131">
        <f t="shared" si="235"/>
        <v>0</v>
      </c>
      <c r="I1579" s="8">
        <f t="shared" ca="1" si="240"/>
        <v>0</v>
      </c>
      <c r="J1579" s="8">
        <f t="shared" ca="1" si="233"/>
        <v>0</v>
      </c>
      <c r="K1579" s="130">
        <f t="shared" ca="1" si="237"/>
        <v>0</v>
      </c>
      <c r="O1579" s="130">
        <f t="shared" ca="1" si="234"/>
        <v>0</v>
      </c>
    </row>
    <row r="1580" spans="1:15">
      <c r="A1580" s="79">
        <v>46137</v>
      </c>
      <c r="B1580" s="8">
        <f t="shared" si="232"/>
        <v>0</v>
      </c>
      <c r="D1580" s="131">
        <f t="shared" si="238"/>
        <v>0</v>
      </c>
      <c r="E1580" s="8">
        <f t="shared" si="239"/>
        <v>0</v>
      </c>
      <c r="G1580" s="130">
        <f t="shared" si="236"/>
        <v>0</v>
      </c>
      <c r="H1580" s="131">
        <f t="shared" si="235"/>
        <v>0</v>
      </c>
      <c r="I1580" s="8">
        <f t="shared" ca="1" si="240"/>
        <v>0</v>
      </c>
      <c r="J1580" s="8">
        <f t="shared" ca="1" si="233"/>
        <v>0</v>
      </c>
      <c r="K1580" s="130">
        <f t="shared" ca="1" si="237"/>
        <v>0</v>
      </c>
      <c r="O1580" s="130">
        <f t="shared" ca="1" si="234"/>
        <v>0</v>
      </c>
    </row>
    <row r="1581" spans="1:15">
      <c r="A1581" s="79">
        <v>46138</v>
      </c>
      <c r="B1581" s="8">
        <f t="shared" si="232"/>
        <v>0</v>
      </c>
      <c r="D1581" s="131">
        <f t="shared" si="238"/>
        <v>0</v>
      </c>
      <c r="E1581" s="8">
        <f t="shared" si="239"/>
        <v>0</v>
      </c>
      <c r="G1581" s="130">
        <f t="shared" si="236"/>
        <v>0</v>
      </c>
      <c r="H1581" s="131">
        <f t="shared" si="235"/>
        <v>0</v>
      </c>
      <c r="I1581" s="8">
        <f t="shared" ca="1" si="240"/>
        <v>0</v>
      </c>
      <c r="J1581" s="8">
        <f t="shared" ca="1" si="233"/>
        <v>0</v>
      </c>
      <c r="K1581" s="130">
        <f t="shared" ca="1" si="237"/>
        <v>0</v>
      </c>
      <c r="O1581" s="130">
        <f t="shared" ca="1" si="234"/>
        <v>0</v>
      </c>
    </row>
    <row r="1582" spans="1:15">
      <c r="A1582" s="79">
        <v>46139</v>
      </c>
      <c r="B1582" s="8">
        <f t="shared" si="232"/>
        <v>0</v>
      </c>
      <c r="D1582" s="131">
        <f t="shared" si="238"/>
        <v>0</v>
      </c>
      <c r="E1582" s="8">
        <f t="shared" si="239"/>
        <v>0</v>
      </c>
      <c r="G1582" s="130">
        <f t="shared" si="236"/>
        <v>0</v>
      </c>
      <c r="H1582" s="131">
        <f t="shared" si="235"/>
        <v>0</v>
      </c>
      <c r="I1582" s="8">
        <f t="shared" ca="1" si="240"/>
        <v>0</v>
      </c>
      <c r="J1582" s="8">
        <f t="shared" ca="1" si="233"/>
        <v>0</v>
      </c>
      <c r="K1582" s="130">
        <f t="shared" ca="1" si="237"/>
        <v>0</v>
      </c>
      <c r="O1582" s="130">
        <f t="shared" ca="1" si="234"/>
        <v>0</v>
      </c>
    </row>
    <row r="1583" spans="1:15">
      <c r="A1583" s="79">
        <v>46140</v>
      </c>
      <c r="B1583" s="8">
        <f t="shared" si="232"/>
        <v>0</v>
      </c>
      <c r="D1583" s="131">
        <f t="shared" si="238"/>
        <v>0</v>
      </c>
      <c r="E1583" s="8">
        <f t="shared" si="239"/>
        <v>0</v>
      </c>
      <c r="G1583" s="130">
        <f t="shared" si="236"/>
        <v>0</v>
      </c>
      <c r="H1583" s="131">
        <f t="shared" si="235"/>
        <v>0</v>
      </c>
      <c r="I1583" s="8">
        <f t="shared" ca="1" si="240"/>
        <v>0</v>
      </c>
      <c r="J1583" s="8">
        <f t="shared" ca="1" si="233"/>
        <v>0</v>
      </c>
      <c r="K1583" s="130">
        <f t="shared" ca="1" si="237"/>
        <v>0</v>
      </c>
      <c r="O1583" s="130">
        <f t="shared" ca="1" si="234"/>
        <v>0</v>
      </c>
    </row>
    <row r="1584" spans="1:15">
      <c r="A1584" s="79">
        <v>46141</v>
      </c>
      <c r="B1584" s="8">
        <f t="shared" si="232"/>
        <v>0</v>
      </c>
      <c r="D1584" s="131">
        <f t="shared" si="238"/>
        <v>0</v>
      </c>
      <c r="E1584" s="8">
        <f t="shared" si="239"/>
        <v>0</v>
      </c>
      <c r="G1584" s="130">
        <f t="shared" si="236"/>
        <v>0</v>
      </c>
      <c r="H1584" s="131">
        <f t="shared" si="235"/>
        <v>0</v>
      </c>
      <c r="I1584" s="8">
        <f t="shared" ca="1" si="240"/>
        <v>0</v>
      </c>
      <c r="J1584" s="8">
        <f t="shared" ca="1" si="233"/>
        <v>0</v>
      </c>
      <c r="K1584" s="130">
        <f t="shared" ca="1" si="237"/>
        <v>0</v>
      </c>
      <c r="O1584" s="130">
        <f t="shared" ca="1" si="234"/>
        <v>0</v>
      </c>
    </row>
    <row r="1585" spans="1:15">
      <c r="A1585" s="79">
        <v>46142</v>
      </c>
      <c r="B1585" s="8">
        <f t="shared" si="232"/>
        <v>0</v>
      </c>
      <c r="D1585" s="131">
        <f t="shared" si="238"/>
        <v>0</v>
      </c>
      <c r="E1585" s="8">
        <f t="shared" si="239"/>
        <v>0</v>
      </c>
      <c r="G1585" s="130">
        <f t="shared" si="236"/>
        <v>0</v>
      </c>
      <c r="H1585" s="131">
        <f t="shared" si="235"/>
        <v>0</v>
      </c>
      <c r="I1585" s="8">
        <f t="shared" ca="1" si="240"/>
        <v>0</v>
      </c>
      <c r="J1585" s="8">
        <f t="shared" ca="1" si="233"/>
        <v>0</v>
      </c>
      <c r="K1585" s="130">
        <f t="shared" ca="1" si="237"/>
        <v>0</v>
      </c>
      <c r="O1585" s="130">
        <f t="shared" ca="1" si="234"/>
        <v>0</v>
      </c>
    </row>
    <row r="1586" spans="1:15">
      <c r="A1586" s="79">
        <v>46143</v>
      </c>
      <c r="B1586" s="8">
        <f t="shared" si="232"/>
        <v>0</v>
      </c>
      <c r="D1586" s="131">
        <f t="shared" si="238"/>
        <v>0</v>
      </c>
      <c r="E1586" s="8">
        <f t="shared" si="239"/>
        <v>0</v>
      </c>
      <c r="G1586" s="130">
        <f t="shared" si="236"/>
        <v>0</v>
      </c>
      <c r="H1586" s="131">
        <f t="shared" si="235"/>
        <v>0</v>
      </c>
      <c r="I1586" s="8">
        <f t="shared" ca="1" si="240"/>
        <v>0</v>
      </c>
      <c r="J1586" s="8">
        <f t="shared" ca="1" si="233"/>
        <v>0</v>
      </c>
      <c r="K1586" s="130">
        <f t="shared" ca="1" si="237"/>
        <v>0</v>
      </c>
      <c r="O1586" s="130">
        <f t="shared" ca="1" si="234"/>
        <v>0</v>
      </c>
    </row>
    <row r="1587" spans="1:15">
      <c r="A1587" s="79">
        <v>46144</v>
      </c>
      <c r="B1587" s="8">
        <f t="shared" ref="B1587:B1650" si="241">C1586</f>
        <v>0</v>
      </c>
      <c r="D1587" s="131">
        <f t="shared" si="238"/>
        <v>0</v>
      </c>
      <c r="E1587" s="8">
        <f t="shared" si="239"/>
        <v>0</v>
      </c>
      <c r="G1587" s="130">
        <f t="shared" si="236"/>
        <v>0</v>
      </c>
      <c r="H1587" s="131">
        <f t="shared" si="235"/>
        <v>0</v>
      </c>
      <c r="I1587" s="8">
        <f t="shared" ca="1" si="240"/>
        <v>0</v>
      </c>
      <c r="J1587" s="8">
        <f t="shared" ca="1" si="233"/>
        <v>0</v>
      </c>
      <c r="K1587" s="130">
        <f t="shared" ca="1" si="237"/>
        <v>0</v>
      </c>
      <c r="O1587" s="130">
        <f t="shared" ca="1" si="234"/>
        <v>0</v>
      </c>
    </row>
    <row r="1588" spans="1:15">
      <c r="A1588" s="79">
        <v>46145</v>
      </c>
      <c r="B1588" s="8">
        <f t="shared" si="241"/>
        <v>0</v>
      </c>
      <c r="D1588" s="131">
        <f t="shared" si="238"/>
        <v>0</v>
      </c>
      <c r="E1588" s="8">
        <f t="shared" si="239"/>
        <v>0</v>
      </c>
      <c r="G1588" s="130">
        <f t="shared" si="236"/>
        <v>0</v>
      </c>
      <c r="H1588" s="131">
        <f t="shared" si="235"/>
        <v>0</v>
      </c>
      <c r="I1588" s="8">
        <f t="shared" ca="1" si="240"/>
        <v>0</v>
      </c>
      <c r="J1588" s="8">
        <f t="shared" ca="1" si="233"/>
        <v>0</v>
      </c>
      <c r="K1588" s="130">
        <f t="shared" ca="1" si="237"/>
        <v>0</v>
      </c>
      <c r="O1588" s="130">
        <f t="shared" ca="1" si="234"/>
        <v>0</v>
      </c>
    </row>
    <row r="1589" spans="1:15">
      <c r="A1589" s="79">
        <v>46146</v>
      </c>
      <c r="B1589" s="8">
        <f t="shared" si="241"/>
        <v>0</v>
      </c>
      <c r="D1589" s="131">
        <f t="shared" si="238"/>
        <v>0</v>
      </c>
      <c r="E1589" s="8">
        <f t="shared" si="239"/>
        <v>0</v>
      </c>
      <c r="G1589" s="130">
        <f t="shared" si="236"/>
        <v>0</v>
      </c>
      <c r="H1589" s="131">
        <f t="shared" si="235"/>
        <v>0</v>
      </c>
      <c r="I1589" s="8">
        <f t="shared" ca="1" si="240"/>
        <v>0</v>
      </c>
      <c r="J1589" s="8">
        <f t="shared" ca="1" si="233"/>
        <v>0</v>
      </c>
      <c r="K1589" s="130">
        <f t="shared" ca="1" si="237"/>
        <v>0</v>
      </c>
      <c r="O1589" s="130">
        <f t="shared" ca="1" si="234"/>
        <v>0</v>
      </c>
    </row>
    <row r="1590" spans="1:15">
      <c r="A1590" s="79">
        <v>46147</v>
      </c>
      <c r="B1590" s="8">
        <f t="shared" si="241"/>
        <v>0</v>
      </c>
      <c r="D1590" s="131">
        <f t="shared" si="238"/>
        <v>0</v>
      </c>
      <c r="E1590" s="8">
        <f t="shared" si="239"/>
        <v>0</v>
      </c>
      <c r="G1590" s="130">
        <f t="shared" si="236"/>
        <v>0</v>
      </c>
      <c r="H1590" s="131">
        <f t="shared" si="235"/>
        <v>0</v>
      </c>
      <c r="I1590" s="8">
        <f t="shared" ca="1" si="240"/>
        <v>0</v>
      </c>
      <c r="J1590" s="8">
        <f t="shared" ca="1" si="233"/>
        <v>0</v>
      </c>
      <c r="K1590" s="130">
        <f t="shared" ca="1" si="237"/>
        <v>0</v>
      </c>
      <c r="O1590" s="130">
        <f t="shared" ca="1" si="234"/>
        <v>0</v>
      </c>
    </row>
    <row r="1591" spans="1:15">
      <c r="A1591" s="79">
        <v>46148</v>
      </c>
      <c r="B1591" s="8">
        <f t="shared" si="241"/>
        <v>0</v>
      </c>
      <c r="D1591" s="131">
        <f t="shared" si="238"/>
        <v>0</v>
      </c>
      <c r="E1591" s="8">
        <f t="shared" si="239"/>
        <v>0</v>
      </c>
      <c r="G1591" s="130">
        <f t="shared" si="236"/>
        <v>0</v>
      </c>
      <c r="H1591" s="131">
        <f t="shared" si="235"/>
        <v>0</v>
      </c>
      <c r="I1591" s="8">
        <f t="shared" ca="1" si="240"/>
        <v>0</v>
      </c>
      <c r="J1591" s="8">
        <f t="shared" ca="1" si="233"/>
        <v>0</v>
      </c>
      <c r="K1591" s="130">
        <f t="shared" ca="1" si="237"/>
        <v>0</v>
      </c>
      <c r="O1591" s="130">
        <f t="shared" ca="1" si="234"/>
        <v>0</v>
      </c>
    </row>
    <row r="1592" spans="1:15">
      <c r="A1592" s="79">
        <v>46149</v>
      </c>
      <c r="B1592" s="8">
        <f t="shared" si="241"/>
        <v>0</v>
      </c>
      <c r="D1592" s="131">
        <f t="shared" si="238"/>
        <v>0</v>
      </c>
      <c r="E1592" s="8">
        <f t="shared" si="239"/>
        <v>0</v>
      </c>
      <c r="G1592" s="130">
        <f t="shared" si="236"/>
        <v>0</v>
      </c>
      <c r="H1592" s="131">
        <f t="shared" si="235"/>
        <v>0</v>
      </c>
      <c r="I1592" s="8">
        <f t="shared" ca="1" si="240"/>
        <v>0</v>
      </c>
      <c r="J1592" s="8">
        <f t="shared" ca="1" si="233"/>
        <v>0</v>
      </c>
      <c r="K1592" s="130">
        <f t="shared" ca="1" si="237"/>
        <v>0</v>
      </c>
      <c r="O1592" s="130">
        <f t="shared" ca="1" si="234"/>
        <v>0</v>
      </c>
    </row>
    <row r="1593" spans="1:15">
      <c r="A1593" s="79">
        <v>46150</v>
      </c>
      <c r="B1593" s="8">
        <f t="shared" si="241"/>
        <v>0</v>
      </c>
      <c r="D1593" s="131">
        <f t="shared" si="238"/>
        <v>0</v>
      </c>
      <c r="E1593" s="8">
        <f t="shared" si="239"/>
        <v>0</v>
      </c>
      <c r="G1593" s="130">
        <f t="shared" si="236"/>
        <v>0</v>
      </c>
      <c r="H1593" s="131">
        <f t="shared" si="235"/>
        <v>0</v>
      </c>
      <c r="I1593" s="8">
        <f t="shared" ca="1" si="240"/>
        <v>0</v>
      </c>
      <c r="J1593" s="8">
        <f t="shared" ca="1" si="233"/>
        <v>0</v>
      </c>
      <c r="K1593" s="130">
        <f t="shared" ca="1" si="237"/>
        <v>0</v>
      </c>
      <c r="O1593" s="130">
        <f t="shared" ca="1" si="234"/>
        <v>0</v>
      </c>
    </row>
    <row r="1594" spans="1:15">
      <c r="A1594" s="79">
        <v>46151</v>
      </c>
      <c r="B1594" s="8">
        <f t="shared" si="241"/>
        <v>0</v>
      </c>
      <c r="D1594" s="131">
        <f t="shared" si="238"/>
        <v>0</v>
      </c>
      <c r="E1594" s="8">
        <f t="shared" si="239"/>
        <v>0</v>
      </c>
      <c r="G1594" s="130">
        <f t="shared" si="236"/>
        <v>0</v>
      </c>
      <c r="H1594" s="131">
        <f t="shared" si="235"/>
        <v>0</v>
      </c>
      <c r="I1594" s="8">
        <f t="shared" ca="1" si="240"/>
        <v>0</v>
      </c>
      <c r="J1594" s="8">
        <f t="shared" ca="1" si="233"/>
        <v>0</v>
      </c>
      <c r="K1594" s="130">
        <f t="shared" ca="1" si="237"/>
        <v>0</v>
      </c>
      <c r="O1594" s="130">
        <f t="shared" ca="1" si="234"/>
        <v>0</v>
      </c>
    </row>
    <row r="1595" spans="1:15">
      <c r="A1595" s="79">
        <v>46152</v>
      </c>
      <c r="B1595" s="8">
        <f t="shared" si="241"/>
        <v>0</v>
      </c>
      <c r="D1595" s="131">
        <f t="shared" si="238"/>
        <v>0</v>
      </c>
      <c r="E1595" s="8">
        <f t="shared" si="239"/>
        <v>0</v>
      </c>
      <c r="G1595" s="130">
        <f t="shared" si="236"/>
        <v>0</v>
      </c>
      <c r="H1595" s="131">
        <f t="shared" si="235"/>
        <v>0</v>
      </c>
      <c r="I1595" s="8">
        <f t="shared" ca="1" si="240"/>
        <v>0</v>
      </c>
      <c r="J1595" s="8">
        <f t="shared" ca="1" si="233"/>
        <v>0</v>
      </c>
      <c r="K1595" s="130">
        <f t="shared" ca="1" si="237"/>
        <v>0</v>
      </c>
      <c r="O1595" s="130">
        <f t="shared" ca="1" si="234"/>
        <v>0</v>
      </c>
    </row>
    <row r="1596" spans="1:15">
      <c r="A1596" s="79">
        <v>46153</v>
      </c>
      <c r="B1596" s="8">
        <f t="shared" si="241"/>
        <v>0</v>
      </c>
      <c r="D1596" s="131">
        <f t="shared" si="238"/>
        <v>0</v>
      </c>
      <c r="E1596" s="8">
        <f t="shared" si="239"/>
        <v>0</v>
      </c>
      <c r="G1596" s="130">
        <f t="shared" si="236"/>
        <v>0</v>
      </c>
      <c r="H1596" s="131">
        <f t="shared" si="235"/>
        <v>0</v>
      </c>
      <c r="I1596" s="8">
        <f t="shared" ca="1" si="240"/>
        <v>0</v>
      </c>
      <c r="J1596" s="8">
        <f t="shared" ca="1" si="233"/>
        <v>0</v>
      </c>
      <c r="K1596" s="130">
        <f t="shared" ca="1" si="237"/>
        <v>0</v>
      </c>
      <c r="O1596" s="130">
        <f t="shared" ca="1" si="234"/>
        <v>0</v>
      </c>
    </row>
    <row r="1597" spans="1:15">
      <c r="A1597" s="79">
        <v>46154</v>
      </c>
      <c r="B1597" s="8">
        <f t="shared" si="241"/>
        <v>0</v>
      </c>
      <c r="D1597" s="131">
        <f t="shared" si="238"/>
        <v>0</v>
      </c>
      <c r="E1597" s="8">
        <f t="shared" si="239"/>
        <v>0</v>
      </c>
      <c r="G1597" s="130">
        <f t="shared" si="236"/>
        <v>0</v>
      </c>
      <c r="H1597" s="131">
        <f t="shared" si="235"/>
        <v>0</v>
      </c>
      <c r="I1597" s="8">
        <f t="shared" ca="1" si="240"/>
        <v>0</v>
      </c>
      <c r="J1597" s="8">
        <f t="shared" ca="1" si="233"/>
        <v>0</v>
      </c>
      <c r="K1597" s="130">
        <f t="shared" ca="1" si="237"/>
        <v>0</v>
      </c>
      <c r="O1597" s="130">
        <f t="shared" ca="1" si="234"/>
        <v>0</v>
      </c>
    </row>
    <row r="1598" spans="1:15">
      <c r="A1598" s="79">
        <v>46155</v>
      </c>
      <c r="B1598" s="8">
        <f t="shared" si="241"/>
        <v>0</v>
      </c>
      <c r="D1598" s="131">
        <f t="shared" si="238"/>
        <v>0</v>
      </c>
      <c r="E1598" s="8">
        <f t="shared" si="239"/>
        <v>0</v>
      </c>
      <c r="G1598" s="130">
        <f t="shared" si="236"/>
        <v>0</v>
      </c>
      <c r="H1598" s="131">
        <f t="shared" si="235"/>
        <v>0</v>
      </c>
      <c r="I1598" s="8">
        <f t="shared" ca="1" si="240"/>
        <v>0</v>
      </c>
      <c r="J1598" s="8">
        <f t="shared" ca="1" si="233"/>
        <v>0</v>
      </c>
      <c r="K1598" s="130">
        <f t="shared" ca="1" si="237"/>
        <v>0</v>
      </c>
      <c r="O1598" s="130">
        <f t="shared" ca="1" si="234"/>
        <v>0</v>
      </c>
    </row>
    <row r="1599" spans="1:15">
      <c r="A1599" s="79">
        <v>46156</v>
      </c>
      <c r="B1599" s="8">
        <f t="shared" si="241"/>
        <v>0</v>
      </c>
      <c r="D1599" s="131">
        <f t="shared" si="238"/>
        <v>0</v>
      </c>
      <c r="E1599" s="8">
        <f t="shared" si="239"/>
        <v>0</v>
      </c>
      <c r="G1599" s="130">
        <f t="shared" si="236"/>
        <v>0</v>
      </c>
      <c r="H1599" s="131">
        <f t="shared" si="235"/>
        <v>0</v>
      </c>
      <c r="I1599" s="8">
        <f t="shared" ca="1" si="240"/>
        <v>0</v>
      </c>
      <c r="J1599" s="8">
        <f t="shared" ca="1" si="233"/>
        <v>0</v>
      </c>
      <c r="K1599" s="130">
        <f t="shared" ca="1" si="237"/>
        <v>0</v>
      </c>
      <c r="O1599" s="130">
        <f t="shared" ca="1" si="234"/>
        <v>0</v>
      </c>
    </row>
    <row r="1600" spans="1:15">
      <c r="A1600" s="79">
        <v>46157</v>
      </c>
      <c r="B1600" s="8">
        <f t="shared" si="241"/>
        <v>0</v>
      </c>
      <c r="D1600" s="131">
        <f t="shared" si="238"/>
        <v>0</v>
      </c>
      <c r="E1600" s="8">
        <f t="shared" si="239"/>
        <v>0</v>
      </c>
      <c r="G1600" s="130">
        <f t="shared" si="236"/>
        <v>0</v>
      </c>
      <c r="H1600" s="131">
        <f t="shared" si="235"/>
        <v>0</v>
      </c>
      <c r="I1600" s="8">
        <f t="shared" ca="1" si="240"/>
        <v>0</v>
      </c>
      <c r="J1600" s="8">
        <f t="shared" ca="1" si="233"/>
        <v>0</v>
      </c>
      <c r="K1600" s="130">
        <f t="shared" ca="1" si="237"/>
        <v>0</v>
      </c>
      <c r="O1600" s="130">
        <f t="shared" ca="1" si="234"/>
        <v>0</v>
      </c>
    </row>
    <row r="1601" spans="1:15">
      <c r="A1601" s="79">
        <v>46158</v>
      </c>
      <c r="B1601" s="8">
        <f t="shared" si="241"/>
        <v>0</v>
      </c>
      <c r="D1601" s="131">
        <f t="shared" si="238"/>
        <v>0</v>
      </c>
      <c r="E1601" s="8">
        <f t="shared" si="239"/>
        <v>0</v>
      </c>
      <c r="G1601" s="130">
        <f t="shared" si="236"/>
        <v>0</v>
      </c>
      <c r="H1601" s="131">
        <f t="shared" si="235"/>
        <v>0</v>
      </c>
      <c r="I1601" s="8">
        <f t="shared" ca="1" si="240"/>
        <v>0</v>
      </c>
      <c r="J1601" s="8">
        <f t="shared" ca="1" si="233"/>
        <v>0</v>
      </c>
      <c r="K1601" s="130">
        <f t="shared" ca="1" si="237"/>
        <v>0</v>
      </c>
      <c r="O1601" s="130">
        <f t="shared" ca="1" si="234"/>
        <v>0</v>
      </c>
    </row>
    <row r="1602" spans="1:15">
      <c r="A1602" s="79">
        <v>46159</v>
      </c>
      <c r="B1602" s="8">
        <f t="shared" si="241"/>
        <v>0</v>
      </c>
      <c r="D1602" s="131">
        <f t="shared" si="238"/>
        <v>0</v>
      </c>
      <c r="E1602" s="8">
        <f t="shared" si="239"/>
        <v>0</v>
      </c>
      <c r="G1602" s="130">
        <f t="shared" si="236"/>
        <v>0</v>
      </c>
      <c r="H1602" s="131">
        <f t="shared" si="235"/>
        <v>0</v>
      </c>
      <c r="I1602" s="8">
        <f t="shared" ca="1" si="240"/>
        <v>0</v>
      </c>
      <c r="J1602" s="8">
        <f t="shared" ca="1" si="233"/>
        <v>0</v>
      </c>
      <c r="K1602" s="130">
        <f t="shared" ca="1" si="237"/>
        <v>0</v>
      </c>
      <c r="O1602" s="130">
        <f t="shared" ca="1" si="234"/>
        <v>0</v>
      </c>
    </row>
    <row r="1603" spans="1:15">
      <c r="A1603" s="79">
        <v>46160</v>
      </c>
      <c r="B1603" s="8">
        <f t="shared" si="241"/>
        <v>0</v>
      </c>
      <c r="D1603" s="131">
        <f t="shared" si="238"/>
        <v>0</v>
      </c>
      <c r="E1603" s="8">
        <f t="shared" si="239"/>
        <v>0</v>
      </c>
      <c r="G1603" s="130">
        <f t="shared" si="236"/>
        <v>0</v>
      </c>
      <c r="H1603" s="131">
        <f t="shared" si="235"/>
        <v>0</v>
      </c>
      <c r="I1603" s="8">
        <f t="shared" ca="1" si="240"/>
        <v>0</v>
      </c>
      <c r="J1603" s="8">
        <f t="shared" ca="1" si="233"/>
        <v>0</v>
      </c>
      <c r="K1603" s="130">
        <f t="shared" ca="1" si="237"/>
        <v>0</v>
      </c>
      <c r="O1603" s="130">
        <f t="shared" ca="1" si="234"/>
        <v>0</v>
      </c>
    </row>
    <row r="1604" spans="1:15">
      <c r="A1604" s="79">
        <v>46161</v>
      </c>
      <c r="B1604" s="8">
        <f t="shared" si="241"/>
        <v>0</v>
      </c>
      <c r="D1604" s="131">
        <f t="shared" si="238"/>
        <v>0</v>
      </c>
      <c r="E1604" s="8">
        <f t="shared" si="239"/>
        <v>0</v>
      </c>
      <c r="G1604" s="130">
        <f t="shared" si="236"/>
        <v>0</v>
      </c>
      <c r="H1604" s="131">
        <f t="shared" si="235"/>
        <v>0</v>
      </c>
      <c r="I1604" s="8">
        <f t="shared" ca="1" si="240"/>
        <v>0</v>
      </c>
      <c r="J1604" s="8">
        <f t="shared" ca="1" si="233"/>
        <v>0</v>
      </c>
      <c r="K1604" s="130">
        <f t="shared" ca="1" si="237"/>
        <v>0</v>
      </c>
      <c r="O1604" s="130">
        <f t="shared" ca="1" si="234"/>
        <v>0</v>
      </c>
    </row>
    <row r="1605" spans="1:15">
      <c r="A1605" s="79">
        <v>46162</v>
      </c>
      <c r="B1605" s="8">
        <f t="shared" si="241"/>
        <v>0</v>
      </c>
      <c r="D1605" s="131">
        <f t="shared" si="238"/>
        <v>0</v>
      </c>
      <c r="E1605" s="8">
        <f t="shared" si="239"/>
        <v>0</v>
      </c>
      <c r="G1605" s="130">
        <f t="shared" si="236"/>
        <v>0</v>
      </c>
      <c r="H1605" s="131">
        <f t="shared" si="235"/>
        <v>0</v>
      </c>
      <c r="I1605" s="8">
        <f t="shared" ca="1" si="240"/>
        <v>0</v>
      </c>
      <c r="J1605" s="8">
        <f t="shared" ca="1" si="233"/>
        <v>0</v>
      </c>
      <c r="K1605" s="130">
        <f t="shared" ca="1" si="237"/>
        <v>0</v>
      </c>
      <c r="O1605" s="130">
        <f t="shared" ca="1" si="234"/>
        <v>0</v>
      </c>
    </row>
    <row r="1606" spans="1:15">
      <c r="A1606" s="79">
        <v>46163</v>
      </c>
      <c r="B1606" s="8">
        <f t="shared" si="241"/>
        <v>0</v>
      </c>
      <c r="D1606" s="131">
        <f t="shared" si="238"/>
        <v>0</v>
      </c>
      <c r="E1606" s="8">
        <f t="shared" si="239"/>
        <v>0</v>
      </c>
      <c r="G1606" s="130">
        <f t="shared" si="236"/>
        <v>0</v>
      </c>
      <c r="H1606" s="131">
        <f t="shared" si="235"/>
        <v>0</v>
      </c>
      <c r="I1606" s="8">
        <f t="shared" ca="1" si="240"/>
        <v>0</v>
      </c>
      <c r="J1606" s="8">
        <f t="shared" ca="1" si="233"/>
        <v>0</v>
      </c>
      <c r="K1606" s="130">
        <f t="shared" ca="1" si="237"/>
        <v>0</v>
      </c>
      <c r="O1606" s="130">
        <f t="shared" ca="1" si="234"/>
        <v>0</v>
      </c>
    </row>
    <row r="1607" spans="1:15">
      <c r="A1607" s="79">
        <v>46164</v>
      </c>
      <c r="B1607" s="8">
        <f t="shared" si="241"/>
        <v>0</v>
      </c>
      <c r="D1607" s="131">
        <f t="shared" si="238"/>
        <v>0</v>
      </c>
      <c r="E1607" s="8">
        <f t="shared" si="239"/>
        <v>0</v>
      </c>
      <c r="G1607" s="130">
        <f t="shared" si="236"/>
        <v>0</v>
      </c>
      <c r="H1607" s="131">
        <f t="shared" si="235"/>
        <v>0</v>
      </c>
      <c r="I1607" s="8">
        <f t="shared" ca="1" si="240"/>
        <v>0</v>
      </c>
      <c r="J1607" s="8">
        <f t="shared" ca="1" si="233"/>
        <v>0</v>
      </c>
      <c r="K1607" s="130">
        <f t="shared" ca="1" si="237"/>
        <v>0</v>
      </c>
      <c r="O1607" s="130">
        <f t="shared" ca="1" si="234"/>
        <v>0</v>
      </c>
    </row>
    <row r="1608" spans="1:15">
      <c r="A1608" s="79">
        <v>46165</v>
      </c>
      <c r="B1608" s="8">
        <f t="shared" si="241"/>
        <v>0</v>
      </c>
      <c r="D1608" s="131">
        <f t="shared" si="238"/>
        <v>0</v>
      </c>
      <c r="E1608" s="8">
        <f t="shared" si="239"/>
        <v>0</v>
      </c>
      <c r="G1608" s="130">
        <f t="shared" si="236"/>
        <v>0</v>
      </c>
      <c r="H1608" s="131">
        <f t="shared" si="235"/>
        <v>0</v>
      </c>
      <c r="I1608" s="8">
        <f t="shared" ca="1" si="240"/>
        <v>0</v>
      </c>
      <c r="J1608" s="8">
        <f t="shared" ca="1" si="233"/>
        <v>0</v>
      </c>
      <c r="K1608" s="130">
        <f t="shared" ca="1" si="237"/>
        <v>0</v>
      </c>
      <c r="O1608" s="130">
        <f t="shared" ca="1" si="234"/>
        <v>0</v>
      </c>
    </row>
    <row r="1609" spans="1:15">
      <c r="A1609" s="79">
        <v>46166</v>
      </c>
      <c r="B1609" s="8">
        <f t="shared" si="241"/>
        <v>0</v>
      </c>
      <c r="D1609" s="131">
        <f t="shared" si="238"/>
        <v>0</v>
      </c>
      <c r="E1609" s="8">
        <f t="shared" si="239"/>
        <v>0</v>
      </c>
      <c r="G1609" s="130">
        <f t="shared" si="236"/>
        <v>0</v>
      </c>
      <c r="H1609" s="131">
        <f t="shared" si="235"/>
        <v>0</v>
      </c>
      <c r="I1609" s="8">
        <f t="shared" ca="1" si="240"/>
        <v>0</v>
      </c>
      <c r="J1609" s="8">
        <f t="shared" ca="1" si="233"/>
        <v>0</v>
      </c>
      <c r="K1609" s="130">
        <f t="shared" ca="1" si="237"/>
        <v>0</v>
      </c>
      <c r="O1609" s="130">
        <f t="shared" ca="1" si="234"/>
        <v>0</v>
      </c>
    </row>
    <row r="1610" spans="1:15">
      <c r="A1610" s="79">
        <v>46167</v>
      </c>
      <c r="B1610" s="8">
        <f t="shared" si="241"/>
        <v>0</v>
      </c>
      <c r="D1610" s="131">
        <f t="shared" si="238"/>
        <v>0</v>
      </c>
      <c r="E1610" s="8">
        <f t="shared" si="239"/>
        <v>0</v>
      </c>
      <c r="G1610" s="130">
        <f t="shared" si="236"/>
        <v>0</v>
      </c>
      <c r="H1610" s="131">
        <f t="shared" si="235"/>
        <v>0</v>
      </c>
      <c r="I1610" s="8">
        <f t="shared" ca="1" si="240"/>
        <v>0</v>
      </c>
      <c r="J1610" s="8">
        <f t="shared" ca="1" si="233"/>
        <v>0</v>
      </c>
      <c r="K1610" s="130">
        <f t="shared" ca="1" si="237"/>
        <v>0</v>
      </c>
      <c r="O1610" s="130">
        <f t="shared" ca="1" si="234"/>
        <v>0</v>
      </c>
    </row>
    <row r="1611" spans="1:15">
      <c r="A1611" s="79">
        <v>46168</v>
      </c>
      <c r="B1611" s="8">
        <f t="shared" si="241"/>
        <v>0</v>
      </c>
      <c r="D1611" s="131">
        <f t="shared" si="238"/>
        <v>0</v>
      </c>
      <c r="E1611" s="8">
        <f t="shared" si="239"/>
        <v>0</v>
      </c>
      <c r="G1611" s="130">
        <f t="shared" si="236"/>
        <v>0</v>
      </c>
      <c r="H1611" s="131">
        <f t="shared" si="235"/>
        <v>0</v>
      </c>
      <c r="I1611" s="8">
        <f t="shared" ca="1" si="240"/>
        <v>0</v>
      </c>
      <c r="J1611" s="8">
        <f t="shared" ca="1" si="233"/>
        <v>0</v>
      </c>
      <c r="K1611" s="130">
        <f t="shared" ca="1" si="237"/>
        <v>0</v>
      </c>
      <c r="O1611" s="130">
        <f t="shared" ca="1" si="234"/>
        <v>0</v>
      </c>
    </row>
    <row r="1612" spans="1:15">
      <c r="A1612" s="79">
        <v>46169</v>
      </c>
      <c r="B1612" s="8">
        <f t="shared" si="241"/>
        <v>0</v>
      </c>
      <c r="D1612" s="131">
        <f t="shared" si="238"/>
        <v>0</v>
      </c>
      <c r="E1612" s="8">
        <f t="shared" si="239"/>
        <v>0</v>
      </c>
      <c r="G1612" s="130">
        <f t="shared" si="236"/>
        <v>0</v>
      </c>
      <c r="H1612" s="131">
        <f t="shared" si="235"/>
        <v>0</v>
      </c>
      <c r="I1612" s="8">
        <f t="shared" ca="1" si="240"/>
        <v>0</v>
      </c>
      <c r="J1612" s="8">
        <f t="shared" ca="1" si="233"/>
        <v>0</v>
      </c>
      <c r="K1612" s="130">
        <f t="shared" ca="1" si="237"/>
        <v>0</v>
      </c>
      <c r="O1612" s="130">
        <f t="shared" ca="1" si="234"/>
        <v>0</v>
      </c>
    </row>
    <row r="1613" spans="1:15">
      <c r="A1613" s="79">
        <v>46170</v>
      </c>
      <c r="B1613" s="8">
        <f t="shared" si="241"/>
        <v>0</v>
      </c>
      <c r="D1613" s="131">
        <f t="shared" si="238"/>
        <v>0</v>
      </c>
      <c r="E1613" s="8">
        <f t="shared" si="239"/>
        <v>0</v>
      </c>
      <c r="G1613" s="130">
        <f t="shared" si="236"/>
        <v>0</v>
      </c>
      <c r="H1613" s="131">
        <f t="shared" si="235"/>
        <v>0</v>
      </c>
      <c r="I1613" s="8">
        <f t="shared" ca="1" si="240"/>
        <v>0</v>
      </c>
      <c r="J1613" s="8">
        <f t="shared" ca="1" si="233"/>
        <v>0</v>
      </c>
      <c r="K1613" s="130">
        <f t="shared" ca="1" si="237"/>
        <v>0</v>
      </c>
      <c r="O1613" s="130">
        <f t="shared" ca="1" si="234"/>
        <v>0</v>
      </c>
    </row>
    <row r="1614" spans="1:15">
      <c r="A1614" s="79">
        <v>46171</v>
      </c>
      <c r="B1614" s="8">
        <f t="shared" si="241"/>
        <v>0</v>
      </c>
      <c r="D1614" s="131">
        <f t="shared" si="238"/>
        <v>0</v>
      </c>
      <c r="E1614" s="8">
        <f t="shared" si="239"/>
        <v>0</v>
      </c>
      <c r="G1614" s="130">
        <f t="shared" si="236"/>
        <v>0</v>
      </c>
      <c r="H1614" s="131">
        <f t="shared" si="235"/>
        <v>0</v>
      </c>
      <c r="I1614" s="8">
        <f t="shared" ca="1" si="240"/>
        <v>0</v>
      </c>
      <c r="J1614" s="8">
        <f t="shared" ca="1" si="233"/>
        <v>0</v>
      </c>
      <c r="K1614" s="130">
        <f t="shared" ca="1" si="237"/>
        <v>0</v>
      </c>
      <c r="O1614" s="130">
        <f t="shared" ca="1" si="234"/>
        <v>0</v>
      </c>
    </row>
    <row r="1615" spans="1:15">
      <c r="A1615" s="79">
        <v>46172</v>
      </c>
      <c r="B1615" s="8">
        <f t="shared" si="241"/>
        <v>0</v>
      </c>
      <c r="D1615" s="131">
        <f t="shared" si="238"/>
        <v>0</v>
      </c>
      <c r="E1615" s="8">
        <f t="shared" si="239"/>
        <v>0</v>
      </c>
      <c r="G1615" s="130">
        <f t="shared" si="236"/>
        <v>0</v>
      </c>
      <c r="H1615" s="131">
        <f t="shared" si="235"/>
        <v>0</v>
      </c>
      <c r="I1615" s="8">
        <f t="shared" ca="1" si="240"/>
        <v>0</v>
      </c>
      <c r="J1615" s="8">
        <f t="shared" ca="1" si="233"/>
        <v>0</v>
      </c>
      <c r="K1615" s="130">
        <f t="shared" ca="1" si="237"/>
        <v>0</v>
      </c>
      <c r="O1615" s="130">
        <f t="shared" ca="1" si="234"/>
        <v>0</v>
      </c>
    </row>
    <row r="1616" spans="1:15">
      <c r="A1616" s="79">
        <v>46173</v>
      </c>
      <c r="B1616" s="8">
        <f t="shared" si="241"/>
        <v>0</v>
      </c>
      <c r="D1616" s="131">
        <f t="shared" si="238"/>
        <v>0</v>
      </c>
      <c r="E1616" s="8">
        <f t="shared" si="239"/>
        <v>0</v>
      </c>
      <c r="G1616" s="130">
        <f t="shared" si="236"/>
        <v>0</v>
      </c>
      <c r="H1616" s="131">
        <f t="shared" si="235"/>
        <v>0</v>
      </c>
      <c r="I1616" s="8">
        <f t="shared" ca="1" si="240"/>
        <v>0</v>
      </c>
      <c r="J1616" s="8">
        <f t="shared" ca="1" si="233"/>
        <v>0</v>
      </c>
      <c r="K1616" s="130">
        <f t="shared" ca="1" si="237"/>
        <v>0</v>
      </c>
      <c r="O1616" s="130">
        <f t="shared" ca="1" si="234"/>
        <v>0</v>
      </c>
    </row>
    <row r="1617" spans="1:15">
      <c r="A1617" s="79">
        <v>46174</v>
      </c>
      <c r="B1617" s="8">
        <f t="shared" si="241"/>
        <v>0</v>
      </c>
      <c r="D1617" s="131">
        <f t="shared" si="238"/>
        <v>0</v>
      </c>
      <c r="E1617" s="8">
        <f t="shared" si="239"/>
        <v>0</v>
      </c>
      <c r="G1617" s="130">
        <f t="shared" si="236"/>
        <v>0</v>
      </c>
      <c r="H1617" s="131">
        <f t="shared" si="235"/>
        <v>0</v>
      </c>
      <c r="I1617" s="8">
        <f t="shared" ca="1" si="240"/>
        <v>0</v>
      </c>
      <c r="J1617" s="8">
        <f t="shared" ca="1" si="233"/>
        <v>0</v>
      </c>
      <c r="K1617" s="130">
        <f t="shared" ca="1" si="237"/>
        <v>0</v>
      </c>
      <c r="O1617" s="130">
        <f t="shared" ca="1" si="234"/>
        <v>0</v>
      </c>
    </row>
    <row r="1618" spans="1:15">
      <c r="A1618" s="79">
        <v>46175</v>
      </c>
      <c r="B1618" s="8">
        <f t="shared" si="241"/>
        <v>0</v>
      </c>
      <c r="D1618" s="131">
        <f t="shared" si="238"/>
        <v>0</v>
      </c>
      <c r="E1618" s="8">
        <f t="shared" si="239"/>
        <v>0</v>
      </c>
      <c r="G1618" s="130">
        <f t="shared" si="236"/>
        <v>0</v>
      </c>
      <c r="H1618" s="131">
        <f t="shared" si="235"/>
        <v>0</v>
      </c>
      <c r="I1618" s="8">
        <f t="shared" ca="1" si="240"/>
        <v>0</v>
      </c>
      <c r="J1618" s="8">
        <f t="shared" ca="1" si="233"/>
        <v>0</v>
      </c>
      <c r="K1618" s="130">
        <f t="shared" ca="1" si="237"/>
        <v>0</v>
      </c>
      <c r="O1618" s="130">
        <f t="shared" ca="1" si="234"/>
        <v>0</v>
      </c>
    </row>
    <row r="1619" spans="1:15">
      <c r="A1619" s="79">
        <v>46176</v>
      </c>
      <c r="B1619" s="8">
        <f t="shared" si="241"/>
        <v>0</v>
      </c>
      <c r="D1619" s="131">
        <f t="shared" si="238"/>
        <v>0</v>
      </c>
      <c r="E1619" s="8">
        <f t="shared" si="239"/>
        <v>0</v>
      </c>
      <c r="G1619" s="130">
        <f t="shared" si="236"/>
        <v>0</v>
      </c>
      <c r="H1619" s="131">
        <f t="shared" si="235"/>
        <v>0</v>
      </c>
      <c r="I1619" s="8">
        <f t="shared" ca="1" si="240"/>
        <v>0</v>
      </c>
      <c r="J1619" s="8">
        <f t="shared" ref="J1619:J1682" ca="1" si="242">I1619+K1619</f>
        <v>0</v>
      </c>
      <c r="K1619" s="130">
        <f t="shared" ca="1" si="237"/>
        <v>0</v>
      </c>
      <c r="O1619" s="130">
        <f t="shared" ca="1" si="234"/>
        <v>0</v>
      </c>
    </row>
    <row r="1620" spans="1:15">
      <c r="A1620" s="79">
        <v>46177</v>
      </c>
      <c r="B1620" s="8">
        <f t="shared" si="241"/>
        <v>0</v>
      </c>
      <c r="D1620" s="131">
        <f t="shared" si="238"/>
        <v>0</v>
      </c>
      <c r="E1620" s="8">
        <f t="shared" si="239"/>
        <v>0</v>
      </c>
      <c r="G1620" s="130">
        <f t="shared" si="236"/>
        <v>0</v>
      </c>
      <c r="H1620" s="131">
        <f t="shared" si="235"/>
        <v>0</v>
      </c>
      <c r="I1620" s="8">
        <f t="shared" ca="1" si="240"/>
        <v>0</v>
      </c>
      <c r="J1620" s="8">
        <f t="shared" ca="1" si="242"/>
        <v>0</v>
      </c>
      <c r="K1620" s="130">
        <f t="shared" ca="1" si="237"/>
        <v>0</v>
      </c>
      <c r="O1620" s="130">
        <f t="shared" ca="1" si="234"/>
        <v>0</v>
      </c>
    </row>
    <row r="1621" spans="1:15">
      <c r="A1621" s="79">
        <v>46178</v>
      </c>
      <c r="B1621" s="8">
        <f t="shared" si="241"/>
        <v>0</v>
      </c>
      <c r="D1621" s="131">
        <f t="shared" si="238"/>
        <v>0</v>
      </c>
      <c r="E1621" s="8">
        <f t="shared" si="239"/>
        <v>0</v>
      </c>
      <c r="G1621" s="130">
        <f t="shared" si="236"/>
        <v>0</v>
      </c>
      <c r="H1621" s="131">
        <f t="shared" si="235"/>
        <v>0</v>
      </c>
      <c r="I1621" s="8">
        <f t="shared" ca="1" si="240"/>
        <v>0</v>
      </c>
      <c r="J1621" s="8">
        <f t="shared" ca="1" si="242"/>
        <v>0</v>
      </c>
      <c r="K1621" s="130">
        <f t="shared" ca="1" si="237"/>
        <v>0</v>
      </c>
      <c r="O1621" s="130">
        <f t="shared" ca="1" si="234"/>
        <v>0</v>
      </c>
    </row>
    <row r="1622" spans="1:15">
      <c r="A1622" s="79">
        <v>46179</v>
      </c>
      <c r="B1622" s="8">
        <f t="shared" si="241"/>
        <v>0</v>
      </c>
      <c r="D1622" s="131">
        <f t="shared" si="238"/>
        <v>0</v>
      </c>
      <c r="E1622" s="8">
        <f t="shared" si="239"/>
        <v>0</v>
      </c>
      <c r="G1622" s="130">
        <f t="shared" si="236"/>
        <v>0</v>
      </c>
      <c r="H1622" s="131">
        <f t="shared" si="235"/>
        <v>0</v>
      </c>
      <c r="I1622" s="8">
        <f t="shared" ca="1" si="240"/>
        <v>0</v>
      </c>
      <c r="J1622" s="8">
        <f t="shared" ca="1" si="242"/>
        <v>0</v>
      </c>
      <c r="K1622" s="130">
        <f t="shared" ca="1" si="237"/>
        <v>0</v>
      </c>
      <c r="O1622" s="130">
        <f t="shared" ca="1" si="234"/>
        <v>0</v>
      </c>
    </row>
    <row r="1623" spans="1:15">
      <c r="A1623" s="79">
        <v>46180</v>
      </c>
      <c r="B1623" s="8">
        <f t="shared" si="241"/>
        <v>0</v>
      </c>
      <c r="D1623" s="131">
        <f t="shared" si="238"/>
        <v>0</v>
      </c>
      <c r="E1623" s="8">
        <f t="shared" si="239"/>
        <v>0</v>
      </c>
      <c r="G1623" s="130">
        <f t="shared" si="236"/>
        <v>0</v>
      </c>
      <c r="H1623" s="131">
        <f t="shared" si="235"/>
        <v>0</v>
      </c>
      <c r="I1623" s="8">
        <f t="shared" ca="1" si="240"/>
        <v>0</v>
      </c>
      <c r="J1623" s="8">
        <f t="shared" ca="1" si="242"/>
        <v>0</v>
      </c>
      <c r="K1623" s="130">
        <f t="shared" ca="1" si="237"/>
        <v>0</v>
      </c>
      <c r="O1623" s="130">
        <f t="shared" ca="1" si="234"/>
        <v>0</v>
      </c>
    </row>
    <row r="1624" spans="1:15">
      <c r="A1624" s="79">
        <v>46181</v>
      </c>
      <c r="B1624" s="8">
        <f t="shared" si="241"/>
        <v>0</v>
      </c>
      <c r="D1624" s="131">
        <f t="shared" si="238"/>
        <v>0</v>
      </c>
      <c r="E1624" s="8">
        <f t="shared" si="239"/>
        <v>0</v>
      </c>
      <c r="G1624" s="130">
        <f t="shared" si="236"/>
        <v>0</v>
      </c>
      <c r="H1624" s="131">
        <f t="shared" si="235"/>
        <v>0</v>
      </c>
      <c r="I1624" s="8">
        <f t="shared" ca="1" si="240"/>
        <v>0</v>
      </c>
      <c r="J1624" s="8">
        <f t="shared" ca="1" si="242"/>
        <v>0</v>
      </c>
      <c r="K1624" s="130">
        <f t="shared" ca="1" si="237"/>
        <v>0</v>
      </c>
      <c r="O1624" s="130">
        <f t="shared" ca="1" si="234"/>
        <v>0</v>
      </c>
    </row>
    <row r="1625" spans="1:15">
      <c r="A1625" s="79">
        <v>46182</v>
      </c>
      <c r="B1625" s="8">
        <f t="shared" si="241"/>
        <v>0</v>
      </c>
      <c r="D1625" s="131">
        <f t="shared" si="238"/>
        <v>0</v>
      </c>
      <c r="E1625" s="8">
        <f t="shared" si="239"/>
        <v>0</v>
      </c>
      <c r="G1625" s="130">
        <f t="shared" si="236"/>
        <v>0</v>
      </c>
      <c r="H1625" s="131">
        <f t="shared" si="235"/>
        <v>0</v>
      </c>
      <c r="I1625" s="8">
        <f t="shared" ca="1" si="240"/>
        <v>0</v>
      </c>
      <c r="J1625" s="8">
        <f t="shared" ca="1" si="242"/>
        <v>0</v>
      </c>
      <c r="K1625" s="130">
        <f t="shared" ca="1" si="237"/>
        <v>0</v>
      </c>
      <c r="O1625" s="130">
        <f t="shared" ca="1" si="234"/>
        <v>0</v>
      </c>
    </row>
    <row r="1626" spans="1:15">
      <c r="A1626" s="79">
        <v>46183</v>
      </c>
      <c r="B1626" s="8">
        <f t="shared" si="241"/>
        <v>0</v>
      </c>
      <c r="D1626" s="131">
        <f t="shared" si="238"/>
        <v>0</v>
      </c>
      <c r="E1626" s="8">
        <f t="shared" si="239"/>
        <v>0</v>
      </c>
      <c r="G1626" s="130">
        <f t="shared" si="236"/>
        <v>0</v>
      </c>
      <c r="H1626" s="131">
        <f t="shared" si="235"/>
        <v>0</v>
      </c>
      <c r="I1626" s="8">
        <f t="shared" ca="1" si="240"/>
        <v>0</v>
      </c>
      <c r="J1626" s="8">
        <f t="shared" ca="1" si="242"/>
        <v>0</v>
      </c>
      <c r="K1626" s="130">
        <f t="shared" ca="1" si="237"/>
        <v>0</v>
      </c>
      <c r="O1626" s="130">
        <f t="shared" ca="1" si="234"/>
        <v>0</v>
      </c>
    </row>
    <row r="1627" spans="1:15">
      <c r="A1627" s="79">
        <v>46184</v>
      </c>
      <c r="B1627" s="8">
        <f t="shared" si="241"/>
        <v>0</v>
      </c>
      <c r="D1627" s="131">
        <f t="shared" si="238"/>
        <v>0</v>
      </c>
      <c r="E1627" s="8">
        <f t="shared" si="239"/>
        <v>0</v>
      </c>
      <c r="G1627" s="130">
        <f t="shared" si="236"/>
        <v>0</v>
      </c>
      <c r="H1627" s="131">
        <f t="shared" si="235"/>
        <v>0</v>
      </c>
      <c r="I1627" s="8">
        <f t="shared" ca="1" si="240"/>
        <v>0</v>
      </c>
      <c r="J1627" s="8">
        <f t="shared" ca="1" si="242"/>
        <v>0</v>
      </c>
      <c r="K1627" s="130">
        <f t="shared" ca="1" si="237"/>
        <v>0</v>
      </c>
      <c r="O1627" s="130">
        <f t="shared" ca="1" si="234"/>
        <v>0</v>
      </c>
    </row>
    <row r="1628" spans="1:15">
      <c r="A1628" s="79">
        <v>46185</v>
      </c>
      <c r="B1628" s="8">
        <f t="shared" si="241"/>
        <v>0</v>
      </c>
      <c r="D1628" s="131">
        <f t="shared" si="238"/>
        <v>0</v>
      </c>
      <c r="E1628" s="8">
        <f t="shared" si="239"/>
        <v>0</v>
      </c>
      <c r="G1628" s="130">
        <f t="shared" si="236"/>
        <v>0</v>
      </c>
      <c r="H1628" s="131">
        <f t="shared" si="235"/>
        <v>0</v>
      </c>
      <c r="I1628" s="8">
        <f t="shared" ca="1" si="240"/>
        <v>0</v>
      </c>
      <c r="J1628" s="8">
        <f t="shared" ca="1" si="242"/>
        <v>0</v>
      </c>
      <c r="K1628" s="130">
        <f t="shared" ca="1" si="237"/>
        <v>0</v>
      </c>
      <c r="O1628" s="130">
        <f t="shared" ca="1" si="234"/>
        <v>0</v>
      </c>
    </row>
    <row r="1629" spans="1:15">
      <c r="A1629" s="79">
        <v>46186</v>
      </c>
      <c r="B1629" s="8">
        <f t="shared" si="241"/>
        <v>0</v>
      </c>
      <c r="D1629" s="131">
        <f t="shared" si="238"/>
        <v>0</v>
      </c>
      <c r="E1629" s="8">
        <f t="shared" si="239"/>
        <v>0</v>
      </c>
      <c r="G1629" s="130">
        <f t="shared" si="236"/>
        <v>0</v>
      </c>
      <c r="H1629" s="131">
        <f t="shared" si="235"/>
        <v>0</v>
      </c>
      <c r="I1629" s="8">
        <f t="shared" ca="1" si="240"/>
        <v>0</v>
      </c>
      <c r="J1629" s="8">
        <f t="shared" ca="1" si="242"/>
        <v>0</v>
      </c>
      <c r="K1629" s="130">
        <f t="shared" ca="1" si="237"/>
        <v>0</v>
      </c>
      <c r="O1629" s="130">
        <f t="shared" ca="1" si="234"/>
        <v>0</v>
      </c>
    </row>
    <row r="1630" spans="1:15">
      <c r="A1630" s="79">
        <v>46187</v>
      </c>
      <c r="B1630" s="8">
        <f t="shared" si="241"/>
        <v>0</v>
      </c>
      <c r="D1630" s="131">
        <f t="shared" si="238"/>
        <v>0</v>
      </c>
      <c r="E1630" s="8">
        <f t="shared" si="239"/>
        <v>0</v>
      </c>
      <c r="G1630" s="130">
        <f t="shared" si="236"/>
        <v>0</v>
      </c>
      <c r="H1630" s="131">
        <f t="shared" si="235"/>
        <v>0</v>
      </c>
      <c r="I1630" s="8">
        <f t="shared" ca="1" si="240"/>
        <v>0</v>
      </c>
      <c r="J1630" s="8">
        <f t="shared" ca="1" si="242"/>
        <v>0</v>
      </c>
      <c r="K1630" s="130">
        <f t="shared" ca="1" si="237"/>
        <v>0</v>
      </c>
      <c r="O1630" s="130">
        <f t="shared" ca="1" si="234"/>
        <v>0</v>
      </c>
    </row>
    <row r="1631" spans="1:15">
      <c r="A1631" s="79">
        <v>46188</v>
      </c>
      <c r="B1631" s="8">
        <f t="shared" si="241"/>
        <v>0</v>
      </c>
      <c r="D1631" s="131">
        <f t="shared" si="238"/>
        <v>0</v>
      </c>
      <c r="E1631" s="8">
        <f t="shared" si="239"/>
        <v>0</v>
      </c>
      <c r="G1631" s="130">
        <f t="shared" si="236"/>
        <v>0</v>
      </c>
      <c r="H1631" s="131">
        <f t="shared" si="235"/>
        <v>0</v>
      </c>
      <c r="I1631" s="8">
        <f t="shared" ca="1" si="240"/>
        <v>0</v>
      </c>
      <c r="J1631" s="8">
        <f t="shared" ca="1" si="242"/>
        <v>0</v>
      </c>
      <c r="K1631" s="130">
        <f t="shared" ca="1" si="237"/>
        <v>0</v>
      </c>
      <c r="O1631" s="130">
        <f t="shared" ref="O1631:O1694" ca="1" si="243">N1631+K1631</f>
        <v>0</v>
      </c>
    </row>
    <row r="1632" spans="1:15">
      <c r="A1632" s="79">
        <v>46189</v>
      </c>
      <c r="B1632" s="8">
        <f t="shared" si="241"/>
        <v>0</v>
      </c>
      <c r="D1632" s="131">
        <f t="shared" si="238"/>
        <v>0</v>
      </c>
      <c r="E1632" s="8">
        <f t="shared" si="239"/>
        <v>0</v>
      </c>
      <c r="G1632" s="130">
        <f t="shared" si="236"/>
        <v>0</v>
      </c>
      <c r="H1632" s="131">
        <f t="shared" si="235"/>
        <v>0</v>
      </c>
      <c r="I1632" s="8">
        <f t="shared" ca="1" si="240"/>
        <v>0</v>
      </c>
      <c r="J1632" s="8">
        <f t="shared" ca="1" si="242"/>
        <v>0</v>
      </c>
      <c r="K1632" s="130">
        <f t="shared" ca="1" si="237"/>
        <v>0</v>
      </c>
      <c r="O1632" s="130">
        <f t="shared" ca="1" si="243"/>
        <v>0</v>
      </c>
    </row>
    <row r="1633" spans="1:15">
      <c r="A1633" s="79">
        <v>46190</v>
      </c>
      <c r="B1633" s="8">
        <f t="shared" si="241"/>
        <v>0</v>
      </c>
      <c r="D1633" s="131">
        <f t="shared" si="238"/>
        <v>0</v>
      </c>
      <c r="E1633" s="8">
        <f t="shared" si="239"/>
        <v>0</v>
      </c>
      <c r="G1633" s="130">
        <f t="shared" si="236"/>
        <v>0</v>
      </c>
      <c r="H1633" s="131">
        <f t="shared" si="235"/>
        <v>0</v>
      </c>
      <c r="I1633" s="8">
        <f t="shared" ca="1" si="240"/>
        <v>0</v>
      </c>
      <c r="J1633" s="8">
        <f t="shared" ca="1" si="242"/>
        <v>0</v>
      </c>
      <c r="K1633" s="130">
        <f t="shared" ca="1" si="237"/>
        <v>0</v>
      </c>
      <c r="O1633" s="130">
        <f t="shared" ca="1" si="243"/>
        <v>0</v>
      </c>
    </row>
    <row r="1634" spans="1:15">
      <c r="A1634" s="79">
        <v>46191</v>
      </c>
      <c r="B1634" s="8">
        <f t="shared" si="241"/>
        <v>0</v>
      </c>
      <c r="D1634" s="131">
        <f t="shared" si="238"/>
        <v>0</v>
      </c>
      <c r="E1634" s="8">
        <f t="shared" si="239"/>
        <v>0</v>
      </c>
      <c r="G1634" s="130">
        <f t="shared" si="236"/>
        <v>0</v>
      </c>
      <c r="H1634" s="131">
        <f t="shared" si="235"/>
        <v>0</v>
      </c>
      <c r="I1634" s="8">
        <f t="shared" ca="1" si="240"/>
        <v>0</v>
      </c>
      <c r="J1634" s="8">
        <f t="shared" ca="1" si="242"/>
        <v>0</v>
      </c>
      <c r="K1634" s="130">
        <f t="shared" ca="1" si="237"/>
        <v>0</v>
      </c>
      <c r="O1634" s="130">
        <f t="shared" ca="1" si="243"/>
        <v>0</v>
      </c>
    </row>
    <row r="1635" spans="1:15">
      <c r="A1635" s="79">
        <v>46192</v>
      </c>
      <c r="B1635" s="8">
        <f t="shared" si="241"/>
        <v>0</v>
      </c>
      <c r="D1635" s="131">
        <f t="shared" si="238"/>
        <v>0</v>
      </c>
      <c r="E1635" s="8">
        <f t="shared" si="239"/>
        <v>0</v>
      </c>
      <c r="G1635" s="130">
        <f t="shared" si="236"/>
        <v>0</v>
      </c>
      <c r="H1635" s="131">
        <f t="shared" ref="H1635:H1698" si="244">D1635+G1635</f>
        <v>0</v>
      </c>
      <c r="I1635" s="8">
        <f t="shared" ca="1" si="240"/>
        <v>0</v>
      </c>
      <c r="J1635" s="8">
        <f t="shared" ca="1" si="242"/>
        <v>0</v>
      </c>
      <c r="K1635" s="130">
        <f t="shared" ca="1" si="237"/>
        <v>0</v>
      </c>
      <c r="O1635" s="130">
        <f t="shared" ca="1" si="243"/>
        <v>0</v>
      </c>
    </row>
    <row r="1636" spans="1:15">
      <c r="A1636" s="79">
        <v>46193</v>
      </c>
      <c r="B1636" s="8">
        <f t="shared" si="241"/>
        <v>0</v>
      </c>
      <c r="D1636" s="131">
        <f t="shared" si="238"/>
        <v>0</v>
      </c>
      <c r="E1636" s="8">
        <f t="shared" si="239"/>
        <v>0</v>
      </c>
      <c r="G1636" s="130">
        <f t="shared" si="236"/>
        <v>0</v>
      </c>
      <c r="H1636" s="131">
        <f t="shared" si="244"/>
        <v>0</v>
      </c>
      <c r="I1636" s="8">
        <f t="shared" ca="1" si="240"/>
        <v>0</v>
      </c>
      <c r="J1636" s="8">
        <f t="shared" ca="1" si="242"/>
        <v>0</v>
      </c>
      <c r="K1636" s="130">
        <f t="shared" ca="1" si="237"/>
        <v>0</v>
      </c>
      <c r="O1636" s="130">
        <f t="shared" ca="1" si="243"/>
        <v>0</v>
      </c>
    </row>
    <row r="1637" spans="1:15">
      <c r="A1637" s="79">
        <v>46194</v>
      </c>
      <c r="B1637" s="8">
        <f t="shared" si="241"/>
        <v>0</v>
      </c>
      <c r="D1637" s="131">
        <f t="shared" si="238"/>
        <v>0</v>
      </c>
      <c r="E1637" s="8">
        <f t="shared" si="239"/>
        <v>0</v>
      </c>
      <c r="G1637" s="130">
        <f t="shared" ref="G1637:G1700" si="245">F1637-E1637</f>
        <v>0</v>
      </c>
      <c r="H1637" s="131">
        <f t="shared" si="244"/>
        <v>0</v>
      </c>
      <c r="I1637" s="8">
        <f t="shared" ca="1" si="240"/>
        <v>0</v>
      </c>
      <c r="J1637" s="8">
        <f t="shared" ca="1" si="242"/>
        <v>0</v>
      </c>
      <c r="K1637" s="130">
        <f t="shared" ref="K1637:K1700" ca="1" si="246">J1637-I1637</f>
        <v>0</v>
      </c>
      <c r="O1637" s="130">
        <f t="shared" ca="1" si="243"/>
        <v>0</v>
      </c>
    </row>
    <row r="1638" spans="1:15">
      <c r="A1638" s="79">
        <v>46195</v>
      </c>
      <c r="B1638" s="8">
        <f t="shared" si="241"/>
        <v>0</v>
      </c>
      <c r="D1638" s="131">
        <f t="shared" ref="D1638:D1701" si="247">C1638-B1638</f>
        <v>0</v>
      </c>
      <c r="E1638" s="8">
        <f t="shared" ref="E1638:E1701" si="248">F1637</f>
        <v>0</v>
      </c>
      <c r="G1638" s="130">
        <f t="shared" si="245"/>
        <v>0</v>
      </c>
      <c r="H1638" s="131">
        <f t="shared" si="244"/>
        <v>0</v>
      </c>
      <c r="I1638" s="8">
        <f t="shared" ref="I1638:I1701" ca="1" si="249">J1637</f>
        <v>0</v>
      </c>
      <c r="J1638" s="8">
        <f t="shared" ca="1" si="242"/>
        <v>0</v>
      </c>
      <c r="K1638" s="130">
        <f t="shared" ca="1" si="246"/>
        <v>0</v>
      </c>
      <c r="O1638" s="130">
        <f t="shared" ca="1" si="243"/>
        <v>0</v>
      </c>
    </row>
    <row r="1639" spans="1:15">
      <c r="A1639" s="79">
        <v>46196</v>
      </c>
      <c r="B1639" s="8">
        <f t="shared" si="241"/>
        <v>0</v>
      </c>
      <c r="D1639" s="131">
        <f t="shared" si="247"/>
        <v>0</v>
      </c>
      <c r="E1639" s="8">
        <f t="shared" si="248"/>
        <v>0</v>
      </c>
      <c r="G1639" s="130">
        <f t="shared" si="245"/>
        <v>0</v>
      </c>
      <c r="H1639" s="131">
        <f t="shared" si="244"/>
        <v>0</v>
      </c>
      <c r="I1639" s="8">
        <f t="shared" ca="1" si="249"/>
        <v>0</v>
      </c>
      <c r="J1639" s="8">
        <f t="shared" ca="1" si="242"/>
        <v>0</v>
      </c>
      <c r="K1639" s="130">
        <f t="shared" ca="1" si="246"/>
        <v>0</v>
      </c>
      <c r="O1639" s="130">
        <f t="shared" ca="1" si="243"/>
        <v>0</v>
      </c>
    </row>
    <row r="1640" spans="1:15">
      <c r="A1640" s="79">
        <v>46197</v>
      </c>
      <c r="B1640" s="8">
        <f t="shared" si="241"/>
        <v>0</v>
      </c>
      <c r="D1640" s="131">
        <f t="shared" si="247"/>
        <v>0</v>
      </c>
      <c r="E1640" s="8">
        <f t="shared" si="248"/>
        <v>0</v>
      </c>
      <c r="G1640" s="130">
        <f t="shared" si="245"/>
        <v>0</v>
      </c>
      <c r="H1640" s="131">
        <f t="shared" si="244"/>
        <v>0</v>
      </c>
      <c r="I1640" s="8">
        <f t="shared" ca="1" si="249"/>
        <v>0</v>
      </c>
      <c r="J1640" s="8">
        <f t="shared" ca="1" si="242"/>
        <v>0</v>
      </c>
      <c r="K1640" s="130">
        <f t="shared" ca="1" si="246"/>
        <v>0</v>
      </c>
      <c r="O1640" s="130">
        <f t="shared" ca="1" si="243"/>
        <v>0</v>
      </c>
    </row>
    <row r="1641" spans="1:15">
      <c r="A1641" s="79">
        <v>46198</v>
      </c>
      <c r="B1641" s="8">
        <f t="shared" si="241"/>
        <v>0</v>
      </c>
      <c r="D1641" s="131">
        <f t="shared" si="247"/>
        <v>0</v>
      </c>
      <c r="E1641" s="8">
        <f t="shared" si="248"/>
        <v>0</v>
      </c>
      <c r="G1641" s="130">
        <f t="shared" si="245"/>
        <v>0</v>
      </c>
      <c r="H1641" s="131">
        <f t="shared" si="244"/>
        <v>0</v>
      </c>
      <c r="I1641" s="8">
        <f t="shared" ca="1" si="249"/>
        <v>0</v>
      </c>
      <c r="J1641" s="8">
        <f t="shared" ca="1" si="242"/>
        <v>0</v>
      </c>
      <c r="K1641" s="130">
        <f t="shared" ca="1" si="246"/>
        <v>0</v>
      </c>
      <c r="O1641" s="130">
        <f t="shared" ca="1" si="243"/>
        <v>0</v>
      </c>
    </row>
    <row r="1642" spans="1:15">
      <c r="A1642" s="79">
        <v>46199</v>
      </c>
      <c r="B1642" s="8">
        <f t="shared" si="241"/>
        <v>0</v>
      </c>
      <c r="D1642" s="131">
        <f t="shared" si="247"/>
        <v>0</v>
      </c>
      <c r="E1642" s="8">
        <f t="shared" si="248"/>
        <v>0</v>
      </c>
      <c r="G1642" s="130">
        <f t="shared" si="245"/>
        <v>0</v>
      </c>
      <c r="H1642" s="131">
        <f t="shared" si="244"/>
        <v>0</v>
      </c>
      <c r="I1642" s="8">
        <f t="shared" ca="1" si="249"/>
        <v>0</v>
      </c>
      <c r="J1642" s="8">
        <f t="shared" ca="1" si="242"/>
        <v>0</v>
      </c>
      <c r="K1642" s="130">
        <f t="shared" ca="1" si="246"/>
        <v>0</v>
      </c>
      <c r="O1642" s="130">
        <f t="shared" ca="1" si="243"/>
        <v>0</v>
      </c>
    </row>
    <row r="1643" spans="1:15">
      <c r="A1643" s="79">
        <v>46200</v>
      </c>
      <c r="B1643" s="8">
        <f t="shared" si="241"/>
        <v>0</v>
      </c>
      <c r="D1643" s="131">
        <f t="shared" si="247"/>
        <v>0</v>
      </c>
      <c r="E1643" s="8">
        <f t="shared" si="248"/>
        <v>0</v>
      </c>
      <c r="G1643" s="130">
        <f t="shared" si="245"/>
        <v>0</v>
      </c>
      <c r="H1643" s="131">
        <f t="shared" si="244"/>
        <v>0</v>
      </c>
      <c r="I1643" s="8">
        <f t="shared" ca="1" si="249"/>
        <v>0</v>
      </c>
      <c r="J1643" s="8">
        <f t="shared" ca="1" si="242"/>
        <v>0</v>
      </c>
      <c r="K1643" s="130">
        <f t="shared" ca="1" si="246"/>
        <v>0</v>
      </c>
      <c r="O1643" s="130">
        <f t="shared" ca="1" si="243"/>
        <v>0</v>
      </c>
    </row>
    <row r="1644" spans="1:15">
      <c r="A1644" s="79">
        <v>46201</v>
      </c>
      <c r="B1644" s="8">
        <f t="shared" si="241"/>
        <v>0</v>
      </c>
      <c r="D1644" s="131">
        <f t="shared" si="247"/>
        <v>0</v>
      </c>
      <c r="E1644" s="8">
        <f t="shared" si="248"/>
        <v>0</v>
      </c>
      <c r="G1644" s="130">
        <f t="shared" si="245"/>
        <v>0</v>
      </c>
      <c r="H1644" s="131">
        <f t="shared" si="244"/>
        <v>0</v>
      </c>
      <c r="I1644" s="8">
        <f t="shared" ca="1" si="249"/>
        <v>0</v>
      </c>
      <c r="J1644" s="8">
        <f t="shared" ca="1" si="242"/>
        <v>0</v>
      </c>
      <c r="K1644" s="130">
        <f t="shared" ca="1" si="246"/>
        <v>0</v>
      </c>
      <c r="O1644" s="130">
        <f t="shared" ca="1" si="243"/>
        <v>0</v>
      </c>
    </row>
    <row r="1645" spans="1:15">
      <c r="A1645" s="79">
        <v>46202</v>
      </c>
      <c r="B1645" s="8">
        <f t="shared" si="241"/>
        <v>0</v>
      </c>
      <c r="D1645" s="131">
        <f t="shared" si="247"/>
        <v>0</v>
      </c>
      <c r="E1645" s="8">
        <f t="shared" si="248"/>
        <v>0</v>
      </c>
      <c r="G1645" s="130">
        <f t="shared" si="245"/>
        <v>0</v>
      </c>
      <c r="H1645" s="131">
        <f t="shared" si="244"/>
        <v>0</v>
      </c>
      <c r="I1645" s="8">
        <f t="shared" ca="1" si="249"/>
        <v>0</v>
      </c>
      <c r="J1645" s="8">
        <f t="shared" ca="1" si="242"/>
        <v>0</v>
      </c>
      <c r="K1645" s="130">
        <f t="shared" ca="1" si="246"/>
        <v>0</v>
      </c>
      <c r="O1645" s="130">
        <f t="shared" ca="1" si="243"/>
        <v>0</v>
      </c>
    </row>
    <row r="1646" spans="1:15">
      <c r="A1646" s="79">
        <v>46203</v>
      </c>
      <c r="B1646" s="8">
        <f t="shared" si="241"/>
        <v>0</v>
      </c>
      <c r="D1646" s="131">
        <f t="shared" si="247"/>
        <v>0</v>
      </c>
      <c r="E1646" s="8">
        <f t="shared" si="248"/>
        <v>0</v>
      </c>
      <c r="G1646" s="130">
        <f t="shared" si="245"/>
        <v>0</v>
      </c>
      <c r="H1646" s="131">
        <f t="shared" si="244"/>
        <v>0</v>
      </c>
      <c r="I1646" s="8">
        <f t="shared" ca="1" si="249"/>
        <v>0</v>
      </c>
      <c r="J1646" s="8">
        <f t="shared" ca="1" si="242"/>
        <v>0</v>
      </c>
      <c r="K1646" s="130">
        <f t="shared" ca="1" si="246"/>
        <v>0</v>
      </c>
      <c r="O1646" s="130">
        <f t="shared" ca="1" si="243"/>
        <v>0</v>
      </c>
    </row>
    <row r="1647" spans="1:15">
      <c r="A1647" s="79">
        <v>46204</v>
      </c>
      <c r="B1647" s="8">
        <f t="shared" si="241"/>
        <v>0</v>
      </c>
      <c r="D1647" s="131">
        <f t="shared" si="247"/>
        <v>0</v>
      </c>
      <c r="E1647" s="8">
        <f t="shared" si="248"/>
        <v>0</v>
      </c>
      <c r="G1647" s="130">
        <f t="shared" si="245"/>
        <v>0</v>
      </c>
      <c r="H1647" s="131">
        <f t="shared" si="244"/>
        <v>0</v>
      </c>
      <c r="I1647" s="8">
        <f t="shared" ca="1" si="249"/>
        <v>0</v>
      </c>
      <c r="J1647" s="8">
        <f t="shared" ca="1" si="242"/>
        <v>0</v>
      </c>
      <c r="K1647" s="130">
        <f t="shared" ca="1" si="246"/>
        <v>0</v>
      </c>
      <c r="O1647" s="130">
        <f t="shared" ca="1" si="243"/>
        <v>0</v>
      </c>
    </row>
    <row r="1648" spans="1:15">
      <c r="A1648" s="79">
        <v>46205</v>
      </c>
      <c r="B1648" s="8">
        <f t="shared" si="241"/>
        <v>0</v>
      </c>
      <c r="D1648" s="131">
        <f t="shared" si="247"/>
        <v>0</v>
      </c>
      <c r="E1648" s="8">
        <f t="shared" si="248"/>
        <v>0</v>
      </c>
      <c r="G1648" s="130">
        <f t="shared" si="245"/>
        <v>0</v>
      </c>
      <c r="H1648" s="131">
        <f t="shared" si="244"/>
        <v>0</v>
      </c>
      <c r="I1648" s="8">
        <f t="shared" ca="1" si="249"/>
        <v>0</v>
      </c>
      <c r="J1648" s="8">
        <f t="shared" ca="1" si="242"/>
        <v>0</v>
      </c>
      <c r="K1648" s="130">
        <f t="shared" ca="1" si="246"/>
        <v>0</v>
      </c>
      <c r="O1648" s="130">
        <f t="shared" ca="1" si="243"/>
        <v>0</v>
      </c>
    </row>
    <row r="1649" spans="1:15">
      <c r="A1649" s="79">
        <v>46206</v>
      </c>
      <c r="B1649" s="8">
        <f t="shared" si="241"/>
        <v>0</v>
      </c>
      <c r="D1649" s="131">
        <f t="shared" si="247"/>
        <v>0</v>
      </c>
      <c r="E1649" s="8">
        <f t="shared" si="248"/>
        <v>0</v>
      </c>
      <c r="G1649" s="130">
        <f t="shared" si="245"/>
        <v>0</v>
      </c>
      <c r="H1649" s="131">
        <f t="shared" si="244"/>
        <v>0</v>
      </c>
      <c r="I1649" s="8">
        <f t="shared" ca="1" si="249"/>
        <v>0</v>
      </c>
      <c r="J1649" s="8">
        <f t="shared" ca="1" si="242"/>
        <v>0</v>
      </c>
      <c r="K1649" s="130">
        <f t="shared" ca="1" si="246"/>
        <v>0</v>
      </c>
      <c r="O1649" s="130">
        <f t="shared" ca="1" si="243"/>
        <v>0</v>
      </c>
    </row>
    <row r="1650" spans="1:15">
      <c r="A1650" s="79">
        <v>46207</v>
      </c>
      <c r="B1650" s="8">
        <f t="shared" si="241"/>
        <v>0</v>
      </c>
      <c r="D1650" s="131">
        <f t="shared" si="247"/>
        <v>0</v>
      </c>
      <c r="E1650" s="8">
        <f t="shared" si="248"/>
        <v>0</v>
      </c>
      <c r="G1650" s="130">
        <f t="shared" si="245"/>
        <v>0</v>
      </c>
      <c r="H1650" s="131">
        <f t="shared" si="244"/>
        <v>0</v>
      </c>
      <c r="I1650" s="8">
        <f t="shared" ca="1" si="249"/>
        <v>0</v>
      </c>
      <c r="J1650" s="8">
        <f t="shared" ca="1" si="242"/>
        <v>0</v>
      </c>
      <c r="K1650" s="130">
        <f t="shared" ca="1" si="246"/>
        <v>0</v>
      </c>
      <c r="O1650" s="130">
        <f t="shared" ca="1" si="243"/>
        <v>0</v>
      </c>
    </row>
    <row r="1651" spans="1:15">
      <c r="A1651" s="79">
        <v>46208</v>
      </c>
      <c r="B1651" s="8">
        <f t="shared" ref="B1651:B1714" si="250">C1650</f>
        <v>0</v>
      </c>
      <c r="D1651" s="131">
        <f t="shared" si="247"/>
        <v>0</v>
      </c>
      <c r="E1651" s="8">
        <f t="shared" si="248"/>
        <v>0</v>
      </c>
      <c r="G1651" s="130">
        <f t="shared" si="245"/>
        <v>0</v>
      </c>
      <c r="H1651" s="131">
        <f t="shared" si="244"/>
        <v>0</v>
      </c>
      <c r="I1651" s="8">
        <f t="shared" ca="1" si="249"/>
        <v>0</v>
      </c>
      <c r="J1651" s="8">
        <f t="shared" ca="1" si="242"/>
        <v>0</v>
      </c>
      <c r="K1651" s="130">
        <f t="shared" ca="1" si="246"/>
        <v>0</v>
      </c>
      <c r="O1651" s="130">
        <f t="shared" ca="1" si="243"/>
        <v>0</v>
      </c>
    </row>
    <row r="1652" spans="1:15">
      <c r="A1652" s="79">
        <v>46209</v>
      </c>
      <c r="B1652" s="8">
        <f t="shared" si="250"/>
        <v>0</v>
      </c>
      <c r="D1652" s="131">
        <f t="shared" si="247"/>
        <v>0</v>
      </c>
      <c r="E1652" s="8">
        <f t="shared" si="248"/>
        <v>0</v>
      </c>
      <c r="G1652" s="130">
        <f t="shared" si="245"/>
        <v>0</v>
      </c>
      <c r="H1652" s="131">
        <f t="shared" si="244"/>
        <v>0</v>
      </c>
      <c r="I1652" s="8">
        <f t="shared" ca="1" si="249"/>
        <v>0</v>
      </c>
      <c r="J1652" s="8">
        <f t="shared" ca="1" si="242"/>
        <v>0</v>
      </c>
      <c r="K1652" s="130">
        <f t="shared" ca="1" si="246"/>
        <v>0</v>
      </c>
      <c r="O1652" s="130">
        <f t="shared" ca="1" si="243"/>
        <v>0</v>
      </c>
    </row>
    <row r="1653" spans="1:15">
      <c r="A1653" s="79">
        <v>46210</v>
      </c>
      <c r="B1653" s="8">
        <f t="shared" si="250"/>
        <v>0</v>
      </c>
      <c r="D1653" s="131">
        <f t="shared" si="247"/>
        <v>0</v>
      </c>
      <c r="E1653" s="8">
        <f t="shared" si="248"/>
        <v>0</v>
      </c>
      <c r="G1653" s="130">
        <f t="shared" si="245"/>
        <v>0</v>
      </c>
      <c r="H1653" s="131">
        <f t="shared" si="244"/>
        <v>0</v>
      </c>
      <c r="I1653" s="8">
        <f t="shared" ca="1" si="249"/>
        <v>0</v>
      </c>
      <c r="J1653" s="8">
        <f t="shared" ca="1" si="242"/>
        <v>0</v>
      </c>
      <c r="K1653" s="130">
        <f t="shared" ca="1" si="246"/>
        <v>0</v>
      </c>
      <c r="O1653" s="130">
        <f t="shared" ca="1" si="243"/>
        <v>0</v>
      </c>
    </row>
    <row r="1654" spans="1:15">
      <c r="A1654" s="79">
        <v>46211</v>
      </c>
      <c r="B1654" s="8">
        <f t="shared" si="250"/>
        <v>0</v>
      </c>
      <c r="D1654" s="131">
        <f t="shared" si="247"/>
        <v>0</v>
      </c>
      <c r="E1654" s="8">
        <f t="shared" si="248"/>
        <v>0</v>
      </c>
      <c r="G1654" s="130">
        <f t="shared" si="245"/>
        <v>0</v>
      </c>
      <c r="H1654" s="131">
        <f t="shared" si="244"/>
        <v>0</v>
      </c>
      <c r="I1654" s="8">
        <f t="shared" ca="1" si="249"/>
        <v>0</v>
      </c>
      <c r="J1654" s="8">
        <f t="shared" ca="1" si="242"/>
        <v>0</v>
      </c>
      <c r="K1654" s="130">
        <f t="shared" ca="1" si="246"/>
        <v>0</v>
      </c>
      <c r="O1654" s="130">
        <f t="shared" ca="1" si="243"/>
        <v>0</v>
      </c>
    </row>
    <row r="1655" spans="1:15">
      <c r="A1655" s="79">
        <v>46212</v>
      </c>
      <c r="B1655" s="8">
        <f t="shared" si="250"/>
        <v>0</v>
      </c>
      <c r="D1655" s="131">
        <f t="shared" si="247"/>
        <v>0</v>
      </c>
      <c r="E1655" s="8">
        <f t="shared" si="248"/>
        <v>0</v>
      </c>
      <c r="G1655" s="130">
        <f t="shared" si="245"/>
        <v>0</v>
      </c>
      <c r="H1655" s="131">
        <f t="shared" si="244"/>
        <v>0</v>
      </c>
      <c r="I1655" s="8">
        <f t="shared" ca="1" si="249"/>
        <v>0</v>
      </c>
      <c r="J1655" s="8">
        <f t="shared" ca="1" si="242"/>
        <v>0</v>
      </c>
      <c r="K1655" s="130">
        <f t="shared" ca="1" si="246"/>
        <v>0</v>
      </c>
      <c r="O1655" s="130">
        <f t="shared" ca="1" si="243"/>
        <v>0</v>
      </c>
    </row>
    <row r="1656" spans="1:15">
      <c r="A1656" s="79">
        <v>46213</v>
      </c>
      <c r="B1656" s="8">
        <f t="shared" si="250"/>
        <v>0</v>
      </c>
      <c r="D1656" s="131">
        <f t="shared" si="247"/>
        <v>0</v>
      </c>
      <c r="E1656" s="8">
        <f t="shared" si="248"/>
        <v>0</v>
      </c>
      <c r="G1656" s="130">
        <f t="shared" si="245"/>
        <v>0</v>
      </c>
      <c r="H1656" s="131">
        <f t="shared" si="244"/>
        <v>0</v>
      </c>
      <c r="I1656" s="8">
        <f t="shared" ca="1" si="249"/>
        <v>0</v>
      </c>
      <c r="J1656" s="8">
        <f t="shared" ca="1" si="242"/>
        <v>0</v>
      </c>
      <c r="K1656" s="130">
        <f t="shared" ca="1" si="246"/>
        <v>0</v>
      </c>
      <c r="O1656" s="130">
        <f t="shared" ca="1" si="243"/>
        <v>0</v>
      </c>
    </row>
    <row r="1657" spans="1:15">
      <c r="A1657" s="79">
        <v>46214</v>
      </c>
      <c r="B1657" s="8">
        <f t="shared" si="250"/>
        <v>0</v>
      </c>
      <c r="D1657" s="131">
        <f t="shared" si="247"/>
        <v>0</v>
      </c>
      <c r="E1657" s="8">
        <f t="shared" si="248"/>
        <v>0</v>
      </c>
      <c r="G1657" s="130">
        <f t="shared" si="245"/>
        <v>0</v>
      </c>
      <c r="H1657" s="131">
        <f t="shared" si="244"/>
        <v>0</v>
      </c>
      <c r="I1657" s="8">
        <f t="shared" ca="1" si="249"/>
        <v>0</v>
      </c>
      <c r="J1657" s="8">
        <f t="shared" ca="1" si="242"/>
        <v>0</v>
      </c>
      <c r="K1657" s="130">
        <f t="shared" ca="1" si="246"/>
        <v>0</v>
      </c>
      <c r="O1657" s="130">
        <f t="shared" ca="1" si="243"/>
        <v>0</v>
      </c>
    </row>
    <row r="1658" spans="1:15">
      <c r="A1658" s="79">
        <v>46215</v>
      </c>
      <c r="B1658" s="8">
        <f t="shared" si="250"/>
        <v>0</v>
      </c>
      <c r="D1658" s="131">
        <f t="shared" si="247"/>
        <v>0</v>
      </c>
      <c r="E1658" s="8">
        <f t="shared" si="248"/>
        <v>0</v>
      </c>
      <c r="G1658" s="130">
        <f t="shared" si="245"/>
        <v>0</v>
      </c>
      <c r="H1658" s="131">
        <f t="shared" si="244"/>
        <v>0</v>
      </c>
      <c r="I1658" s="8">
        <f t="shared" ca="1" si="249"/>
        <v>0</v>
      </c>
      <c r="J1658" s="8">
        <f t="shared" ca="1" si="242"/>
        <v>0</v>
      </c>
      <c r="K1658" s="130">
        <f t="shared" ca="1" si="246"/>
        <v>0</v>
      </c>
      <c r="O1658" s="130">
        <f t="shared" ca="1" si="243"/>
        <v>0</v>
      </c>
    </row>
    <row r="1659" spans="1:15">
      <c r="A1659" s="79">
        <v>46216</v>
      </c>
      <c r="B1659" s="8">
        <f t="shared" si="250"/>
        <v>0</v>
      </c>
      <c r="D1659" s="131">
        <f t="shared" si="247"/>
        <v>0</v>
      </c>
      <c r="E1659" s="8">
        <f t="shared" si="248"/>
        <v>0</v>
      </c>
      <c r="G1659" s="130">
        <f t="shared" si="245"/>
        <v>0</v>
      </c>
      <c r="H1659" s="131">
        <f t="shared" si="244"/>
        <v>0</v>
      </c>
      <c r="I1659" s="8">
        <f t="shared" ca="1" si="249"/>
        <v>0</v>
      </c>
      <c r="J1659" s="8">
        <f t="shared" ca="1" si="242"/>
        <v>0</v>
      </c>
      <c r="K1659" s="130">
        <f t="shared" ca="1" si="246"/>
        <v>0</v>
      </c>
      <c r="O1659" s="130">
        <f t="shared" ca="1" si="243"/>
        <v>0</v>
      </c>
    </row>
    <row r="1660" spans="1:15">
      <c r="A1660" s="79">
        <v>46217</v>
      </c>
      <c r="B1660" s="8">
        <f t="shared" si="250"/>
        <v>0</v>
      </c>
      <c r="D1660" s="131">
        <f t="shared" si="247"/>
        <v>0</v>
      </c>
      <c r="E1660" s="8">
        <f t="shared" si="248"/>
        <v>0</v>
      </c>
      <c r="G1660" s="130">
        <f t="shared" si="245"/>
        <v>0</v>
      </c>
      <c r="H1660" s="131">
        <f t="shared" si="244"/>
        <v>0</v>
      </c>
      <c r="I1660" s="8">
        <f t="shared" ca="1" si="249"/>
        <v>0</v>
      </c>
      <c r="J1660" s="8">
        <f t="shared" ca="1" si="242"/>
        <v>0</v>
      </c>
      <c r="K1660" s="130">
        <f t="shared" ca="1" si="246"/>
        <v>0</v>
      </c>
      <c r="O1660" s="130">
        <f t="shared" ca="1" si="243"/>
        <v>0</v>
      </c>
    </row>
    <row r="1661" spans="1:15">
      <c r="A1661" s="79">
        <v>46218</v>
      </c>
      <c r="B1661" s="8">
        <f t="shared" si="250"/>
        <v>0</v>
      </c>
      <c r="D1661" s="131">
        <f t="shared" si="247"/>
        <v>0</v>
      </c>
      <c r="E1661" s="8">
        <f t="shared" si="248"/>
        <v>0</v>
      </c>
      <c r="G1661" s="130">
        <f t="shared" si="245"/>
        <v>0</v>
      </c>
      <c r="H1661" s="131">
        <f t="shared" si="244"/>
        <v>0</v>
      </c>
      <c r="I1661" s="8">
        <f t="shared" ca="1" si="249"/>
        <v>0</v>
      </c>
      <c r="J1661" s="8">
        <f t="shared" ca="1" si="242"/>
        <v>0</v>
      </c>
      <c r="K1661" s="130">
        <f t="shared" ca="1" si="246"/>
        <v>0</v>
      </c>
      <c r="O1661" s="130">
        <f t="shared" ca="1" si="243"/>
        <v>0</v>
      </c>
    </row>
    <row r="1662" spans="1:15">
      <c r="A1662" s="79">
        <v>46219</v>
      </c>
      <c r="B1662" s="8">
        <f t="shared" si="250"/>
        <v>0</v>
      </c>
      <c r="D1662" s="131">
        <f t="shared" si="247"/>
        <v>0</v>
      </c>
      <c r="E1662" s="8">
        <f t="shared" si="248"/>
        <v>0</v>
      </c>
      <c r="G1662" s="130">
        <f t="shared" si="245"/>
        <v>0</v>
      </c>
      <c r="H1662" s="131">
        <f t="shared" si="244"/>
        <v>0</v>
      </c>
      <c r="I1662" s="8">
        <f t="shared" ca="1" si="249"/>
        <v>0</v>
      </c>
      <c r="J1662" s="8">
        <f t="shared" ca="1" si="242"/>
        <v>0</v>
      </c>
      <c r="K1662" s="130">
        <f t="shared" ca="1" si="246"/>
        <v>0</v>
      </c>
      <c r="O1662" s="130">
        <f t="shared" ca="1" si="243"/>
        <v>0</v>
      </c>
    </row>
    <row r="1663" spans="1:15">
      <c r="A1663" s="79">
        <v>46220</v>
      </c>
      <c r="B1663" s="8">
        <f t="shared" si="250"/>
        <v>0</v>
      </c>
      <c r="D1663" s="131">
        <f t="shared" si="247"/>
        <v>0</v>
      </c>
      <c r="E1663" s="8">
        <f t="shared" si="248"/>
        <v>0</v>
      </c>
      <c r="G1663" s="130">
        <f t="shared" si="245"/>
        <v>0</v>
      </c>
      <c r="H1663" s="131">
        <f t="shared" si="244"/>
        <v>0</v>
      </c>
      <c r="I1663" s="8">
        <f t="shared" ca="1" si="249"/>
        <v>0</v>
      </c>
      <c r="J1663" s="8">
        <f t="shared" ca="1" si="242"/>
        <v>0</v>
      </c>
      <c r="K1663" s="130">
        <f t="shared" ca="1" si="246"/>
        <v>0</v>
      </c>
      <c r="O1663" s="130">
        <f t="shared" ca="1" si="243"/>
        <v>0</v>
      </c>
    </row>
    <row r="1664" spans="1:15">
      <c r="A1664" s="79">
        <v>46221</v>
      </c>
      <c r="B1664" s="8">
        <f t="shared" si="250"/>
        <v>0</v>
      </c>
      <c r="D1664" s="131">
        <f t="shared" si="247"/>
        <v>0</v>
      </c>
      <c r="E1664" s="8">
        <f t="shared" si="248"/>
        <v>0</v>
      </c>
      <c r="G1664" s="130">
        <f t="shared" si="245"/>
        <v>0</v>
      </c>
      <c r="H1664" s="131">
        <f t="shared" si="244"/>
        <v>0</v>
      </c>
      <c r="I1664" s="8">
        <f t="shared" ca="1" si="249"/>
        <v>0</v>
      </c>
      <c r="J1664" s="8">
        <f t="shared" ca="1" si="242"/>
        <v>0</v>
      </c>
      <c r="K1664" s="130">
        <f t="shared" ca="1" si="246"/>
        <v>0</v>
      </c>
      <c r="O1664" s="130">
        <f t="shared" ca="1" si="243"/>
        <v>0</v>
      </c>
    </row>
    <row r="1665" spans="1:15">
      <c r="A1665" s="79">
        <v>46222</v>
      </c>
      <c r="B1665" s="8">
        <f t="shared" si="250"/>
        <v>0</v>
      </c>
      <c r="D1665" s="131">
        <f t="shared" si="247"/>
        <v>0</v>
      </c>
      <c r="E1665" s="8">
        <f t="shared" si="248"/>
        <v>0</v>
      </c>
      <c r="G1665" s="130">
        <f t="shared" si="245"/>
        <v>0</v>
      </c>
      <c r="H1665" s="131">
        <f t="shared" si="244"/>
        <v>0</v>
      </c>
      <c r="I1665" s="8">
        <f t="shared" ca="1" si="249"/>
        <v>0</v>
      </c>
      <c r="J1665" s="8">
        <f t="shared" ca="1" si="242"/>
        <v>0</v>
      </c>
      <c r="K1665" s="130">
        <f t="shared" ca="1" si="246"/>
        <v>0</v>
      </c>
      <c r="O1665" s="130">
        <f t="shared" ca="1" si="243"/>
        <v>0</v>
      </c>
    </row>
    <row r="1666" spans="1:15">
      <c r="A1666" s="79">
        <v>46223</v>
      </c>
      <c r="B1666" s="8">
        <f t="shared" si="250"/>
        <v>0</v>
      </c>
      <c r="D1666" s="131">
        <f t="shared" si="247"/>
        <v>0</v>
      </c>
      <c r="E1666" s="8">
        <f t="shared" si="248"/>
        <v>0</v>
      </c>
      <c r="G1666" s="130">
        <f t="shared" si="245"/>
        <v>0</v>
      </c>
      <c r="H1666" s="131">
        <f t="shared" si="244"/>
        <v>0</v>
      </c>
      <c r="I1666" s="8">
        <f t="shared" ca="1" si="249"/>
        <v>0</v>
      </c>
      <c r="J1666" s="8">
        <f t="shared" ca="1" si="242"/>
        <v>0</v>
      </c>
      <c r="K1666" s="130">
        <f t="shared" ca="1" si="246"/>
        <v>0</v>
      </c>
      <c r="O1666" s="130">
        <f t="shared" ca="1" si="243"/>
        <v>0</v>
      </c>
    </row>
    <row r="1667" spans="1:15">
      <c r="A1667" s="79">
        <v>46224</v>
      </c>
      <c r="B1667" s="8">
        <f t="shared" si="250"/>
        <v>0</v>
      </c>
      <c r="D1667" s="131">
        <f t="shared" si="247"/>
        <v>0</v>
      </c>
      <c r="E1667" s="8">
        <f t="shared" si="248"/>
        <v>0</v>
      </c>
      <c r="G1667" s="130">
        <f t="shared" si="245"/>
        <v>0</v>
      </c>
      <c r="H1667" s="131">
        <f t="shared" si="244"/>
        <v>0</v>
      </c>
      <c r="I1667" s="8">
        <f t="shared" ca="1" si="249"/>
        <v>0</v>
      </c>
      <c r="J1667" s="8">
        <f t="shared" ca="1" si="242"/>
        <v>0</v>
      </c>
      <c r="K1667" s="130">
        <f t="shared" ca="1" si="246"/>
        <v>0</v>
      </c>
      <c r="O1667" s="130">
        <f t="shared" ca="1" si="243"/>
        <v>0</v>
      </c>
    </row>
    <row r="1668" spans="1:15">
      <c r="A1668" s="79">
        <v>46225</v>
      </c>
      <c r="B1668" s="8">
        <f t="shared" si="250"/>
        <v>0</v>
      </c>
      <c r="D1668" s="131">
        <f t="shared" si="247"/>
        <v>0</v>
      </c>
      <c r="E1668" s="8">
        <f t="shared" si="248"/>
        <v>0</v>
      </c>
      <c r="G1668" s="130">
        <f t="shared" si="245"/>
        <v>0</v>
      </c>
      <c r="H1668" s="131">
        <f t="shared" si="244"/>
        <v>0</v>
      </c>
      <c r="I1668" s="8">
        <f t="shared" ca="1" si="249"/>
        <v>0</v>
      </c>
      <c r="J1668" s="8">
        <f t="shared" ca="1" si="242"/>
        <v>0</v>
      </c>
      <c r="K1668" s="130">
        <f t="shared" ca="1" si="246"/>
        <v>0</v>
      </c>
      <c r="O1668" s="130">
        <f t="shared" ca="1" si="243"/>
        <v>0</v>
      </c>
    </row>
    <row r="1669" spans="1:15">
      <c r="A1669" s="79">
        <v>46226</v>
      </c>
      <c r="B1669" s="8">
        <f t="shared" si="250"/>
        <v>0</v>
      </c>
      <c r="D1669" s="131">
        <f t="shared" si="247"/>
        <v>0</v>
      </c>
      <c r="E1669" s="8">
        <f t="shared" si="248"/>
        <v>0</v>
      </c>
      <c r="G1669" s="130">
        <f t="shared" si="245"/>
        <v>0</v>
      </c>
      <c r="H1669" s="131">
        <f t="shared" si="244"/>
        <v>0</v>
      </c>
      <c r="I1669" s="8">
        <f t="shared" ca="1" si="249"/>
        <v>0</v>
      </c>
      <c r="J1669" s="8">
        <f t="shared" ca="1" si="242"/>
        <v>0</v>
      </c>
      <c r="K1669" s="130">
        <f t="shared" ca="1" si="246"/>
        <v>0</v>
      </c>
      <c r="O1669" s="130">
        <f t="shared" ca="1" si="243"/>
        <v>0</v>
      </c>
    </row>
    <row r="1670" spans="1:15">
      <c r="A1670" s="79">
        <v>46227</v>
      </c>
      <c r="B1670" s="8">
        <f t="shared" si="250"/>
        <v>0</v>
      </c>
      <c r="D1670" s="131">
        <f t="shared" si="247"/>
        <v>0</v>
      </c>
      <c r="E1670" s="8">
        <f t="shared" si="248"/>
        <v>0</v>
      </c>
      <c r="G1670" s="130">
        <f t="shared" si="245"/>
        <v>0</v>
      </c>
      <c r="H1670" s="131">
        <f t="shared" si="244"/>
        <v>0</v>
      </c>
      <c r="I1670" s="8">
        <f t="shared" ca="1" si="249"/>
        <v>0</v>
      </c>
      <c r="J1670" s="8">
        <f t="shared" ca="1" si="242"/>
        <v>0</v>
      </c>
      <c r="K1670" s="130">
        <f t="shared" ca="1" si="246"/>
        <v>0</v>
      </c>
      <c r="O1670" s="130">
        <f t="shared" ca="1" si="243"/>
        <v>0</v>
      </c>
    </row>
    <row r="1671" spans="1:15">
      <c r="A1671" s="79">
        <v>46228</v>
      </c>
      <c r="B1671" s="8">
        <f t="shared" si="250"/>
        <v>0</v>
      </c>
      <c r="D1671" s="131">
        <f t="shared" si="247"/>
        <v>0</v>
      </c>
      <c r="E1671" s="8">
        <f t="shared" si="248"/>
        <v>0</v>
      </c>
      <c r="G1671" s="130">
        <f t="shared" si="245"/>
        <v>0</v>
      </c>
      <c r="H1671" s="131">
        <f t="shared" si="244"/>
        <v>0</v>
      </c>
      <c r="I1671" s="8">
        <f t="shared" ca="1" si="249"/>
        <v>0</v>
      </c>
      <c r="J1671" s="8">
        <f t="shared" ca="1" si="242"/>
        <v>0</v>
      </c>
      <c r="K1671" s="130">
        <f t="shared" ca="1" si="246"/>
        <v>0</v>
      </c>
      <c r="O1671" s="130">
        <f t="shared" ca="1" si="243"/>
        <v>0</v>
      </c>
    </row>
    <row r="1672" spans="1:15">
      <c r="A1672" s="79">
        <v>46229</v>
      </c>
      <c r="B1672" s="8">
        <f t="shared" si="250"/>
        <v>0</v>
      </c>
      <c r="D1672" s="131">
        <f t="shared" si="247"/>
        <v>0</v>
      </c>
      <c r="E1672" s="8">
        <f t="shared" si="248"/>
        <v>0</v>
      </c>
      <c r="G1672" s="130">
        <f t="shared" si="245"/>
        <v>0</v>
      </c>
      <c r="H1672" s="131">
        <f t="shared" si="244"/>
        <v>0</v>
      </c>
      <c r="I1672" s="8">
        <f t="shared" ca="1" si="249"/>
        <v>0</v>
      </c>
      <c r="J1672" s="8">
        <f t="shared" ca="1" si="242"/>
        <v>0</v>
      </c>
      <c r="K1672" s="130">
        <f t="shared" ca="1" si="246"/>
        <v>0</v>
      </c>
      <c r="O1672" s="130">
        <f t="shared" ca="1" si="243"/>
        <v>0</v>
      </c>
    </row>
    <row r="1673" spans="1:15">
      <c r="A1673" s="79">
        <v>46230</v>
      </c>
      <c r="B1673" s="8">
        <f t="shared" si="250"/>
        <v>0</v>
      </c>
      <c r="D1673" s="131">
        <f t="shared" si="247"/>
        <v>0</v>
      </c>
      <c r="E1673" s="8">
        <f t="shared" si="248"/>
        <v>0</v>
      </c>
      <c r="G1673" s="130">
        <f t="shared" si="245"/>
        <v>0</v>
      </c>
      <c r="H1673" s="131">
        <f t="shared" si="244"/>
        <v>0</v>
      </c>
      <c r="I1673" s="8">
        <f t="shared" ca="1" si="249"/>
        <v>0</v>
      </c>
      <c r="J1673" s="8">
        <f t="shared" ca="1" si="242"/>
        <v>0</v>
      </c>
      <c r="K1673" s="130">
        <f t="shared" ca="1" si="246"/>
        <v>0</v>
      </c>
      <c r="O1673" s="130">
        <f t="shared" ca="1" si="243"/>
        <v>0</v>
      </c>
    </row>
    <row r="1674" spans="1:15">
      <c r="A1674" s="79">
        <v>46231</v>
      </c>
      <c r="B1674" s="8">
        <f t="shared" si="250"/>
        <v>0</v>
      </c>
      <c r="D1674" s="131">
        <f t="shared" si="247"/>
        <v>0</v>
      </c>
      <c r="E1674" s="8">
        <f t="shared" si="248"/>
        <v>0</v>
      </c>
      <c r="G1674" s="130">
        <f t="shared" si="245"/>
        <v>0</v>
      </c>
      <c r="H1674" s="131">
        <f t="shared" si="244"/>
        <v>0</v>
      </c>
      <c r="I1674" s="8">
        <f t="shared" ca="1" si="249"/>
        <v>0</v>
      </c>
      <c r="J1674" s="8">
        <f t="shared" ca="1" si="242"/>
        <v>0</v>
      </c>
      <c r="K1674" s="130">
        <f t="shared" ca="1" si="246"/>
        <v>0</v>
      </c>
      <c r="O1674" s="130">
        <f t="shared" ca="1" si="243"/>
        <v>0</v>
      </c>
    </row>
    <row r="1675" spans="1:15">
      <c r="A1675" s="79">
        <v>46232</v>
      </c>
      <c r="B1675" s="8">
        <f t="shared" si="250"/>
        <v>0</v>
      </c>
      <c r="D1675" s="131">
        <f t="shared" si="247"/>
        <v>0</v>
      </c>
      <c r="E1675" s="8">
        <f t="shared" si="248"/>
        <v>0</v>
      </c>
      <c r="G1675" s="130">
        <f t="shared" si="245"/>
        <v>0</v>
      </c>
      <c r="H1675" s="131">
        <f t="shared" si="244"/>
        <v>0</v>
      </c>
      <c r="I1675" s="8">
        <f t="shared" ca="1" si="249"/>
        <v>0</v>
      </c>
      <c r="J1675" s="8">
        <f t="shared" ca="1" si="242"/>
        <v>0</v>
      </c>
      <c r="K1675" s="130">
        <f t="shared" ca="1" si="246"/>
        <v>0</v>
      </c>
      <c r="O1675" s="130">
        <f t="shared" ca="1" si="243"/>
        <v>0</v>
      </c>
    </row>
    <row r="1676" spans="1:15">
      <c r="A1676" s="79">
        <v>46233</v>
      </c>
      <c r="B1676" s="8">
        <f t="shared" si="250"/>
        <v>0</v>
      </c>
      <c r="D1676" s="131">
        <f t="shared" si="247"/>
        <v>0</v>
      </c>
      <c r="E1676" s="8">
        <f t="shared" si="248"/>
        <v>0</v>
      </c>
      <c r="G1676" s="130">
        <f t="shared" si="245"/>
        <v>0</v>
      </c>
      <c r="H1676" s="131">
        <f t="shared" si="244"/>
        <v>0</v>
      </c>
      <c r="I1676" s="8">
        <f t="shared" ca="1" si="249"/>
        <v>0</v>
      </c>
      <c r="J1676" s="8">
        <f t="shared" ca="1" si="242"/>
        <v>0</v>
      </c>
      <c r="K1676" s="130">
        <f t="shared" ca="1" si="246"/>
        <v>0</v>
      </c>
      <c r="O1676" s="130">
        <f t="shared" ca="1" si="243"/>
        <v>0</v>
      </c>
    </row>
    <row r="1677" spans="1:15">
      <c r="A1677" s="79">
        <v>46234</v>
      </c>
      <c r="B1677" s="8">
        <f t="shared" si="250"/>
        <v>0</v>
      </c>
      <c r="D1677" s="131">
        <f t="shared" si="247"/>
        <v>0</v>
      </c>
      <c r="E1677" s="8">
        <f t="shared" si="248"/>
        <v>0</v>
      </c>
      <c r="G1677" s="130">
        <f t="shared" si="245"/>
        <v>0</v>
      </c>
      <c r="H1677" s="131">
        <f t="shared" si="244"/>
        <v>0</v>
      </c>
      <c r="I1677" s="8">
        <f t="shared" ca="1" si="249"/>
        <v>0</v>
      </c>
      <c r="J1677" s="8">
        <f t="shared" ca="1" si="242"/>
        <v>0</v>
      </c>
      <c r="K1677" s="130">
        <f t="shared" ca="1" si="246"/>
        <v>0</v>
      </c>
      <c r="O1677" s="130">
        <f t="shared" ca="1" si="243"/>
        <v>0</v>
      </c>
    </row>
    <row r="1678" spans="1:15">
      <c r="A1678" s="79">
        <v>46235</v>
      </c>
      <c r="B1678" s="8">
        <f t="shared" si="250"/>
        <v>0</v>
      </c>
      <c r="D1678" s="131">
        <f t="shared" si="247"/>
        <v>0</v>
      </c>
      <c r="E1678" s="8">
        <f t="shared" si="248"/>
        <v>0</v>
      </c>
      <c r="G1678" s="130">
        <f t="shared" si="245"/>
        <v>0</v>
      </c>
      <c r="H1678" s="131">
        <f t="shared" si="244"/>
        <v>0</v>
      </c>
      <c r="I1678" s="8">
        <f t="shared" ca="1" si="249"/>
        <v>0</v>
      </c>
      <c r="J1678" s="8">
        <f t="shared" ca="1" si="242"/>
        <v>0</v>
      </c>
      <c r="K1678" s="130">
        <f t="shared" ca="1" si="246"/>
        <v>0</v>
      </c>
      <c r="O1678" s="130">
        <f t="shared" ca="1" si="243"/>
        <v>0</v>
      </c>
    </row>
    <row r="1679" spans="1:15">
      <c r="A1679" s="79">
        <v>46236</v>
      </c>
      <c r="B1679" s="8">
        <f t="shared" si="250"/>
        <v>0</v>
      </c>
      <c r="D1679" s="131">
        <f t="shared" si="247"/>
        <v>0</v>
      </c>
      <c r="E1679" s="8">
        <f t="shared" si="248"/>
        <v>0</v>
      </c>
      <c r="G1679" s="130">
        <f t="shared" si="245"/>
        <v>0</v>
      </c>
      <c r="H1679" s="131">
        <f t="shared" si="244"/>
        <v>0</v>
      </c>
      <c r="I1679" s="8">
        <f t="shared" ca="1" si="249"/>
        <v>0</v>
      </c>
      <c r="J1679" s="8">
        <f t="shared" ca="1" si="242"/>
        <v>0</v>
      </c>
      <c r="K1679" s="130">
        <f t="shared" ca="1" si="246"/>
        <v>0</v>
      </c>
      <c r="O1679" s="130">
        <f t="shared" ca="1" si="243"/>
        <v>0</v>
      </c>
    </row>
    <row r="1680" spans="1:15">
      <c r="A1680" s="79">
        <v>46237</v>
      </c>
      <c r="B1680" s="8">
        <f t="shared" si="250"/>
        <v>0</v>
      </c>
      <c r="D1680" s="131">
        <f t="shared" si="247"/>
        <v>0</v>
      </c>
      <c r="E1680" s="8">
        <f t="shared" si="248"/>
        <v>0</v>
      </c>
      <c r="G1680" s="130">
        <f t="shared" si="245"/>
        <v>0</v>
      </c>
      <c r="H1680" s="131">
        <f t="shared" si="244"/>
        <v>0</v>
      </c>
      <c r="I1680" s="8">
        <f t="shared" ca="1" si="249"/>
        <v>0</v>
      </c>
      <c r="J1680" s="8">
        <f t="shared" ca="1" si="242"/>
        <v>0</v>
      </c>
      <c r="K1680" s="130">
        <f t="shared" ca="1" si="246"/>
        <v>0</v>
      </c>
      <c r="O1680" s="130">
        <f t="shared" ca="1" si="243"/>
        <v>0</v>
      </c>
    </row>
    <row r="1681" spans="1:15">
      <c r="A1681" s="79">
        <v>46238</v>
      </c>
      <c r="B1681" s="8">
        <f t="shared" si="250"/>
        <v>0</v>
      </c>
      <c r="D1681" s="131">
        <f t="shared" si="247"/>
        <v>0</v>
      </c>
      <c r="E1681" s="8">
        <f t="shared" si="248"/>
        <v>0</v>
      </c>
      <c r="G1681" s="130">
        <f t="shared" si="245"/>
        <v>0</v>
      </c>
      <c r="H1681" s="131">
        <f t="shared" si="244"/>
        <v>0</v>
      </c>
      <c r="I1681" s="8">
        <f t="shared" ca="1" si="249"/>
        <v>0</v>
      </c>
      <c r="J1681" s="8">
        <f t="shared" ca="1" si="242"/>
        <v>0</v>
      </c>
      <c r="K1681" s="130">
        <f t="shared" ca="1" si="246"/>
        <v>0</v>
      </c>
      <c r="O1681" s="130">
        <f t="shared" ca="1" si="243"/>
        <v>0</v>
      </c>
    </row>
    <row r="1682" spans="1:15">
      <c r="A1682" s="79">
        <v>46239</v>
      </c>
      <c r="B1682" s="8">
        <f t="shared" si="250"/>
        <v>0</v>
      </c>
      <c r="D1682" s="131">
        <f t="shared" si="247"/>
        <v>0</v>
      </c>
      <c r="E1682" s="8">
        <f t="shared" si="248"/>
        <v>0</v>
      </c>
      <c r="G1682" s="130">
        <f t="shared" si="245"/>
        <v>0</v>
      </c>
      <c r="H1682" s="131">
        <f t="shared" si="244"/>
        <v>0</v>
      </c>
      <c r="I1682" s="8">
        <f t="shared" ca="1" si="249"/>
        <v>0</v>
      </c>
      <c r="J1682" s="8">
        <f t="shared" ca="1" si="242"/>
        <v>0</v>
      </c>
      <c r="K1682" s="130">
        <f t="shared" ca="1" si="246"/>
        <v>0</v>
      </c>
      <c r="O1682" s="130">
        <f t="shared" ca="1" si="243"/>
        <v>0</v>
      </c>
    </row>
    <row r="1683" spans="1:15">
      <c r="A1683" s="79">
        <v>46240</v>
      </c>
      <c r="B1683" s="8">
        <f t="shared" si="250"/>
        <v>0</v>
      </c>
      <c r="D1683" s="131">
        <f t="shared" si="247"/>
        <v>0</v>
      </c>
      <c r="E1683" s="8">
        <f t="shared" si="248"/>
        <v>0</v>
      </c>
      <c r="G1683" s="130">
        <f t="shared" si="245"/>
        <v>0</v>
      </c>
      <c r="H1683" s="131">
        <f t="shared" si="244"/>
        <v>0</v>
      </c>
      <c r="I1683" s="8">
        <f t="shared" ca="1" si="249"/>
        <v>0</v>
      </c>
      <c r="J1683" s="8">
        <f t="shared" ref="J1683:J1746" ca="1" si="251">I1683+K1683</f>
        <v>0</v>
      </c>
      <c r="K1683" s="130">
        <f t="shared" ca="1" si="246"/>
        <v>0</v>
      </c>
      <c r="O1683" s="130">
        <f t="shared" ca="1" si="243"/>
        <v>0</v>
      </c>
    </row>
    <row r="1684" spans="1:15">
      <c r="A1684" s="79">
        <v>46241</v>
      </c>
      <c r="B1684" s="8">
        <f t="shared" si="250"/>
        <v>0</v>
      </c>
      <c r="D1684" s="131">
        <f t="shared" si="247"/>
        <v>0</v>
      </c>
      <c r="E1684" s="8">
        <f t="shared" si="248"/>
        <v>0</v>
      </c>
      <c r="G1684" s="130">
        <f t="shared" si="245"/>
        <v>0</v>
      </c>
      <c r="H1684" s="131">
        <f t="shared" si="244"/>
        <v>0</v>
      </c>
      <c r="I1684" s="8">
        <f t="shared" ca="1" si="249"/>
        <v>0</v>
      </c>
      <c r="J1684" s="8">
        <f t="shared" ca="1" si="251"/>
        <v>0</v>
      </c>
      <c r="K1684" s="130">
        <f t="shared" ca="1" si="246"/>
        <v>0</v>
      </c>
      <c r="O1684" s="130">
        <f t="shared" ca="1" si="243"/>
        <v>0</v>
      </c>
    </row>
    <row r="1685" spans="1:15">
      <c r="A1685" s="79">
        <v>46242</v>
      </c>
      <c r="B1685" s="8">
        <f t="shared" si="250"/>
        <v>0</v>
      </c>
      <c r="D1685" s="131">
        <f t="shared" si="247"/>
        <v>0</v>
      </c>
      <c r="E1685" s="8">
        <f t="shared" si="248"/>
        <v>0</v>
      </c>
      <c r="G1685" s="130">
        <f t="shared" si="245"/>
        <v>0</v>
      </c>
      <c r="H1685" s="131">
        <f t="shared" si="244"/>
        <v>0</v>
      </c>
      <c r="I1685" s="8">
        <f t="shared" ca="1" si="249"/>
        <v>0</v>
      </c>
      <c r="J1685" s="8">
        <f t="shared" ca="1" si="251"/>
        <v>0</v>
      </c>
      <c r="K1685" s="130">
        <f t="shared" ca="1" si="246"/>
        <v>0</v>
      </c>
      <c r="O1685" s="130">
        <f t="shared" ca="1" si="243"/>
        <v>0</v>
      </c>
    </row>
    <row r="1686" spans="1:15">
      <c r="A1686" s="79">
        <v>46243</v>
      </c>
      <c r="B1686" s="8">
        <f t="shared" si="250"/>
        <v>0</v>
      </c>
      <c r="D1686" s="131">
        <f t="shared" si="247"/>
        <v>0</v>
      </c>
      <c r="E1686" s="8">
        <f t="shared" si="248"/>
        <v>0</v>
      </c>
      <c r="G1686" s="130">
        <f t="shared" si="245"/>
        <v>0</v>
      </c>
      <c r="H1686" s="131">
        <f t="shared" si="244"/>
        <v>0</v>
      </c>
      <c r="I1686" s="8">
        <f t="shared" ca="1" si="249"/>
        <v>0</v>
      </c>
      <c r="J1686" s="8">
        <f t="shared" ca="1" si="251"/>
        <v>0</v>
      </c>
      <c r="K1686" s="130">
        <f t="shared" ca="1" si="246"/>
        <v>0</v>
      </c>
      <c r="O1686" s="130">
        <f t="shared" ca="1" si="243"/>
        <v>0</v>
      </c>
    </row>
    <row r="1687" spans="1:15">
      <c r="A1687" s="79">
        <v>46244</v>
      </c>
      <c r="B1687" s="8">
        <f t="shared" si="250"/>
        <v>0</v>
      </c>
      <c r="D1687" s="131">
        <f t="shared" si="247"/>
        <v>0</v>
      </c>
      <c r="E1687" s="8">
        <f t="shared" si="248"/>
        <v>0</v>
      </c>
      <c r="G1687" s="130">
        <f t="shared" si="245"/>
        <v>0</v>
      </c>
      <c r="H1687" s="131">
        <f t="shared" si="244"/>
        <v>0</v>
      </c>
      <c r="I1687" s="8">
        <f t="shared" ca="1" si="249"/>
        <v>0</v>
      </c>
      <c r="J1687" s="8">
        <f t="shared" ca="1" si="251"/>
        <v>0</v>
      </c>
      <c r="K1687" s="130">
        <f t="shared" ca="1" si="246"/>
        <v>0</v>
      </c>
      <c r="O1687" s="130">
        <f t="shared" ca="1" si="243"/>
        <v>0</v>
      </c>
    </row>
    <row r="1688" spans="1:15">
      <c r="A1688" s="79">
        <v>46245</v>
      </c>
      <c r="B1688" s="8">
        <f t="shared" si="250"/>
        <v>0</v>
      </c>
      <c r="D1688" s="131">
        <f t="shared" si="247"/>
        <v>0</v>
      </c>
      <c r="E1688" s="8">
        <f t="shared" si="248"/>
        <v>0</v>
      </c>
      <c r="G1688" s="130">
        <f t="shared" si="245"/>
        <v>0</v>
      </c>
      <c r="H1688" s="131">
        <f t="shared" si="244"/>
        <v>0</v>
      </c>
      <c r="I1688" s="8">
        <f t="shared" ca="1" si="249"/>
        <v>0</v>
      </c>
      <c r="J1688" s="8">
        <f t="shared" ca="1" si="251"/>
        <v>0</v>
      </c>
      <c r="K1688" s="130">
        <f t="shared" ca="1" si="246"/>
        <v>0</v>
      </c>
      <c r="O1688" s="130">
        <f t="shared" ca="1" si="243"/>
        <v>0</v>
      </c>
    </row>
    <row r="1689" spans="1:15">
      <c r="A1689" s="79">
        <v>46246</v>
      </c>
      <c r="B1689" s="8">
        <f t="shared" si="250"/>
        <v>0</v>
      </c>
      <c r="D1689" s="131">
        <f t="shared" si="247"/>
        <v>0</v>
      </c>
      <c r="E1689" s="8">
        <f t="shared" si="248"/>
        <v>0</v>
      </c>
      <c r="G1689" s="130">
        <f t="shared" si="245"/>
        <v>0</v>
      </c>
      <c r="H1689" s="131">
        <f t="shared" si="244"/>
        <v>0</v>
      </c>
      <c r="I1689" s="8">
        <f t="shared" ca="1" si="249"/>
        <v>0</v>
      </c>
      <c r="J1689" s="8">
        <f t="shared" ca="1" si="251"/>
        <v>0</v>
      </c>
      <c r="K1689" s="130">
        <f t="shared" ca="1" si="246"/>
        <v>0</v>
      </c>
      <c r="O1689" s="130">
        <f t="shared" ca="1" si="243"/>
        <v>0</v>
      </c>
    </row>
    <row r="1690" spans="1:15">
      <c r="A1690" s="79">
        <v>46247</v>
      </c>
      <c r="B1690" s="8">
        <f t="shared" si="250"/>
        <v>0</v>
      </c>
      <c r="D1690" s="131">
        <f t="shared" si="247"/>
        <v>0</v>
      </c>
      <c r="E1690" s="8">
        <f t="shared" si="248"/>
        <v>0</v>
      </c>
      <c r="G1690" s="130">
        <f t="shared" si="245"/>
        <v>0</v>
      </c>
      <c r="H1690" s="131">
        <f t="shared" si="244"/>
        <v>0</v>
      </c>
      <c r="I1690" s="8">
        <f t="shared" ca="1" si="249"/>
        <v>0</v>
      </c>
      <c r="J1690" s="8">
        <f t="shared" ca="1" si="251"/>
        <v>0</v>
      </c>
      <c r="K1690" s="130">
        <f t="shared" ca="1" si="246"/>
        <v>0</v>
      </c>
      <c r="O1690" s="130">
        <f t="shared" ca="1" si="243"/>
        <v>0</v>
      </c>
    </row>
    <row r="1691" spans="1:15">
      <c r="A1691" s="79">
        <v>46248</v>
      </c>
      <c r="B1691" s="8">
        <f t="shared" si="250"/>
        <v>0</v>
      </c>
      <c r="D1691" s="131">
        <f t="shared" si="247"/>
        <v>0</v>
      </c>
      <c r="E1691" s="8">
        <f t="shared" si="248"/>
        <v>0</v>
      </c>
      <c r="G1691" s="130">
        <f t="shared" si="245"/>
        <v>0</v>
      </c>
      <c r="H1691" s="131">
        <f t="shared" si="244"/>
        <v>0</v>
      </c>
      <c r="I1691" s="8">
        <f t="shared" ca="1" si="249"/>
        <v>0</v>
      </c>
      <c r="J1691" s="8">
        <f t="shared" ca="1" si="251"/>
        <v>0</v>
      </c>
      <c r="K1691" s="130">
        <f t="shared" ca="1" si="246"/>
        <v>0</v>
      </c>
      <c r="O1691" s="130">
        <f t="shared" ca="1" si="243"/>
        <v>0</v>
      </c>
    </row>
    <row r="1692" spans="1:15">
      <c r="A1692" s="79">
        <v>46249</v>
      </c>
      <c r="B1692" s="8">
        <f t="shared" si="250"/>
        <v>0</v>
      </c>
      <c r="D1692" s="131">
        <f t="shared" si="247"/>
        <v>0</v>
      </c>
      <c r="E1692" s="8">
        <f t="shared" si="248"/>
        <v>0</v>
      </c>
      <c r="G1692" s="130">
        <f t="shared" si="245"/>
        <v>0</v>
      </c>
      <c r="H1692" s="131">
        <f t="shared" si="244"/>
        <v>0</v>
      </c>
      <c r="I1692" s="8">
        <f t="shared" ca="1" si="249"/>
        <v>0</v>
      </c>
      <c r="J1692" s="8">
        <f t="shared" ca="1" si="251"/>
        <v>0</v>
      </c>
      <c r="K1692" s="130">
        <f t="shared" ca="1" si="246"/>
        <v>0</v>
      </c>
      <c r="O1692" s="130">
        <f t="shared" ca="1" si="243"/>
        <v>0</v>
      </c>
    </row>
    <row r="1693" spans="1:15">
      <c r="A1693" s="79">
        <v>46250</v>
      </c>
      <c r="B1693" s="8">
        <f t="shared" si="250"/>
        <v>0</v>
      </c>
      <c r="D1693" s="131">
        <f t="shared" si="247"/>
        <v>0</v>
      </c>
      <c r="E1693" s="8">
        <f t="shared" si="248"/>
        <v>0</v>
      </c>
      <c r="G1693" s="130">
        <f t="shared" si="245"/>
        <v>0</v>
      </c>
      <c r="H1693" s="131">
        <f t="shared" si="244"/>
        <v>0</v>
      </c>
      <c r="I1693" s="8">
        <f t="shared" ca="1" si="249"/>
        <v>0</v>
      </c>
      <c r="J1693" s="8">
        <f t="shared" ca="1" si="251"/>
        <v>0</v>
      </c>
      <c r="K1693" s="130">
        <f t="shared" ca="1" si="246"/>
        <v>0</v>
      </c>
      <c r="O1693" s="130">
        <f t="shared" ca="1" si="243"/>
        <v>0</v>
      </c>
    </row>
    <row r="1694" spans="1:15">
      <c r="A1694" s="79">
        <v>46251</v>
      </c>
      <c r="B1694" s="8">
        <f t="shared" si="250"/>
        <v>0</v>
      </c>
      <c r="D1694" s="131">
        <f t="shared" si="247"/>
        <v>0</v>
      </c>
      <c r="E1694" s="8">
        <f t="shared" si="248"/>
        <v>0</v>
      </c>
      <c r="G1694" s="130">
        <f t="shared" si="245"/>
        <v>0</v>
      </c>
      <c r="H1694" s="131">
        <f t="shared" si="244"/>
        <v>0</v>
      </c>
      <c r="I1694" s="8">
        <f t="shared" ca="1" si="249"/>
        <v>0</v>
      </c>
      <c r="J1694" s="8">
        <f t="shared" ca="1" si="251"/>
        <v>0</v>
      </c>
      <c r="K1694" s="130">
        <f t="shared" ca="1" si="246"/>
        <v>0</v>
      </c>
      <c r="O1694" s="130">
        <f t="shared" ca="1" si="243"/>
        <v>0</v>
      </c>
    </row>
    <row r="1695" spans="1:15">
      <c r="A1695" s="79">
        <v>46252</v>
      </c>
      <c r="B1695" s="8">
        <f t="shared" si="250"/>
        <v>0</v>
      </c>
      <c r="D1695" s="131">
        <f t="shared" si="247"/>
        <v>0</v>
      </c>
      <c r="E1695" s="8">
        <f t="shared" si="248"/>
        <v>0</v>
      </c>
      <c r="G1695" s="130">
        <f t="shared" si="245"/>
        <v>0</v>
      </c>
      <c r="H1695" s="131">
        <f t="shared" si="244"/>
        <v>0</v>
      </c>
      <c r="I1695" s="8">
        <f t="shared" ca="1" si="249"/>
        <v>0</v>
      </c>
      <c r="J1695" s="8">
        <f t="shared" ca="1" si="251"/>
        <v>0</v>
      </c>
      <c r="K1695" s="130">
        <f t="shared" ca="1" si="246"/>
        <v>0</v>
      </c>
      <c r="O1695" s="130">
        <f t="shared" ref="O1695:O1758" ca="1" si="252">N1695+K1695</f>
        <v>0</v>
      </c>
    </row>
    <row r="1696" spans="1:15">
      <c r="A1696" s="79">
        <v>46253</v>
      </c>
      <c r="B1696" s="8">
        <f t="shared" si="250"/>
        <v>0</v>
      </c>
      <c r="D1696" s="131">
        <f t="shared" si="247"/>
        <v>0</v>
      </c>
      <c r="E1696" s="8">
        <f t="shared" si="248"/>
        <v>0</v>
      </c>
      <c r="G1696" s="130">
        <f t="shared" si="245"/>
        <v>0</v>
      </c>
      <c r="H1696" s="131">
        <f t="shared" si="244"/>
        <v>0</v>
      </c>
      <c r="I1696" s="8">
        <f t="shared" ca="1" si="249"/>
        <v>0</v>
      </c>
      <c r="J1696" s="8">
        <f t="shared" ca="1" si="251"/>
        <v>0</v>
      </c>
      <c r="K1696" s="130">
        <f t="shared" ca="1" si="246"/>
        <v>0</v>
      </c>
      <c r="O1696" s="130">
        <f t="shared" ca="1" si="252"/>
        <v>0</v>
      </c>
    </row>
    <row r="1697" spans="1:15">
      <c r="A1697" s="79">
        <v>46254</v>
      </c>
      <c r="B1697" s="8">
        <f t="shared" si="250"/>
        <v>0</v>
      </c>
      <c r="D1697" s="131">
        <f t="shared" si="247"/>
        <v>0</v>
      </c>
      <c r="E1697" s="8">
        <f t="shared" si="248"/>
        <v>0</v>
      </c>
      <c r="G1697" s="130">
        <f t="shared" si="245"/>
        <v>0</v>
      </c>
      <c r="H1697" s="131">
        <f t="shared" si="244"/>
        <v>0</v>
      </c>
      <c r="I1697" s="8">
        <f t="shared" ca="1" si="249"/>
        <v>0</v>
      </c>
      <c r="J1697" s="8">
        <f t="shared" ca="1" si="251"/>
        <v>0</v>
      </c>
      <c r="K1697" s="130">
        <f t="shared" ca="1" si="246"/>
        <v>0</v>
      </c>
      <c r="O1697" s="130">
        <f t="shared" ca="1" si="252"/>
        <v>0</v>
      </c>
    </row>
    <row r="1698" spans="1:15">
      <c r="A1698" s="79">
        <v>46255</v>
      </c>
      <c r="B1698" s="8">
        <f t="shared" si="250"/>
        <v>0</v>
      </c>
      <c r="D1698" s="131">
        <f t="shared" si="247"/>
        <v>0</v>
      </c>
      <c r="E1698" s="8">
        <f t="shared" si="248"/>
        <v>0</v>
      </c>
      <c r="G1698" s="130">
        <f t="shared" si="245"/>
        <v>0</v>
      </c>
      <c r="H1698" s="131">
        <f t="shared" si="244"/>
        <v>0</v>
      </c>
      <c r="I1698" s="8">
        <f t="shared" ca="1" si="249"/>
        <v>0</v>
      </c>
      <c r="J1698" s="8">
        <f t="shared" ca="1" si="251"/>
        <v>0</v>
      </c>
      <c r="K1698" s="130">
        <f t="shared" ca="1" si="246"/>
        <v>0</v>
      </c>
      <c r="O1698" s="130">
        <f t="shared" ca="1" si="252"/>
        <v>0</v>
      </c>
    </row>
    <row r="1699" spans="1:15">
      <c r="A1699" s="79">
        <v>46256</v>
      </c>
      <c r="B1699" s="8">
        <f t="shared" si="250"/>
        <v>0</v>
      </c>
      <c r="D1699" s="131">
        <f t="shared" si="247"/>
        <v>0</v>
      </c>
      <c r="E1699" s="8">
        <f t="shared" si="248"/>
        <v>0</v>
      </c>
      <c r="G1699" s="130">
        <f t="shared" si="245"/>
        <v>0</v>
      </c>
      <c r="H1699" s="131">
        <f t="shared" ref="H1699:H1762" si="253">D1699+G1699</f>
        <v>0</v>
      </c>
      <c r="I1699" s="8">
        <f t="shared" ca="1" si="249"/>
        <v>0</v>
      </c>
      <c r="J1699" s="8">
        <f t="shared" ca="1" si="251"/>
        <v>0</v>
      </c>
      <c r="K1699" s="130">
        <f t="shared" ca="1" si="246"/>
        <v>0</v>
      </c>
      <c r="O1699" s="130">
        <f t="shared" ca="1" si="252"/>
        <v>0</v>
      </c>
    </row>
    <row r="1700" spans="1:15">
      <c r="A1700" s="79">
        <v>46257</v>
      </c>
      <c r="B1700" s="8">
        <f t="shared" si="250"/>
        <v>0</v>
      </c>
      <c r="D1700" s="131">
        <f t="shared" si="247"/>
        <v>0</v>
      </c>
      <c r="E1700" s="8">
        <f t="shared" si="248"/>
        <v>0</v>
      </c>
      <c r="G1700" s="130">
        <f t="shared" si="245"/>
        <v>0</v>
      </c>
      <c r="H1700" s="131">
        <f t="shared" si="253"/>
        <v>0</v>
      </c>
      <c r="I1700" s="8">
        <f t="shared" ca="1" si="249"/>
        <v>0</v>
      </c>
      <c r="J1700" s="8">
        <f t="shared" ca="1" si="251"/>
        <v>0</v>
      </c>
      <c r="K1700" s="130">
        <f t="shared" ca="1" si="246"/>
        <v>0</v>
      </c>
      <c r="O1700" s="130">
        <f t="shared" ca="1" si="252"/>
        <v>0</v>
      </c>
    </row>
    <row r="1701" spans="1:15">
      <c r="A1701" s="79">
        <v>46258</v>
      </c>
      <c r="B1701" s="8">
        <f t="shared" si="250"/>
        <v>0</v>
      </c>
      <c r="D1701" s="131">
        <f t="shared" si="247"/>
        <v>0</v>
      </c>
      <c r="E1701" s="8">
        <f t="shared" si="248"/>
        <v>0</v>
      </c>
      <c r="G1701" s="130">
        <f t="shared" ref="G1701:G1764" si="254">F1701-E1701</f>
        <v>0</v>
      </c>
      <c r="H1701" s="131">
        <f t="shared" si="253"/>
        <v>0</v>
      </c>
      <c r="I1701" s="8">
        <f t="shared" ca="1" si="249"/>
        <v>0</v>
      </c>
      <c r="J1701" s="8">
        <f t="shared" ca="1" si="251"/>
        <v>0</v>
      </c>
      <c r="K1701" s="130">
        <f t="shared" ref="K1701:K1764" ca="1" si="255">J1701-I1701</f>
        <v>0</v>
      </c>
      <c r="O1701" s="130">
        <f t="shared" ca="1" si="252"/>
        <v>0</v>
      </c>
    </row>
    <row r="1702" spans="1:15">
      <c r="A1702" s="79">
        <v>46259</v>
      </c>
      <c r="B1702" s="8">
        <f t="shared" si="250"/>
        <v>0</v>
      </c>
      <c r="D1702" s="131">
        <f t="shared" ref="D1702:D1765" si="256">C1702-B1702</f>
        <v>0</v>
      </c>
      <c r="E1702" s="8">
        <f t="shared" ref="E1702:E1765" si="257">F1701</f>
        <v>0</v>
      </c>
      <c r="G1702" s="130">
        <f t="shared" si="254"/>
        <v>0</v>
      </c>
      <c r="H1702" s="131">
        <f t="shared" si="253"/>
        <v>0</v>
      </c>
      <c r="I1702" s="8">
        <f t="shared" ref="I1702:I1765" ca="1" si="258">J1701</f>
        <v>0</v>
      </c>
      <c r="J1702" s="8">
        <f t="shared" ca="1" si="251"/>
        <v>0</v>
      </c>
      <c r="K1702" s="130">
        <f t="shared" ca="1" si="255"/>
        <v>0</v>
      </c>
      <c r="O1702" s="130">
        <f t="shared" ca="1" si="252"/>
        <v>0</v>
      </c>
    </row>
    <row r="1703" spans="1:15">
      <c r="A1703" s="79">
        <v>46260</v>
      </c>
      <c r="B1703" s="8">
        <f t="shared" si="250"/>
        <v>0</v>
      </c>
      <c r="D1703" s="131">
        <f t="shared" si="256"/>
        <v>0</v>
      </c>
      <c r="E1703" s="8">
        <f t="shared" si="257"/>
        <v>0</v>
      </c>
      <c r="G1703" s="130">
        <f t="shared" si="254"/>
        <v>0</v>
      </c>
      <c r="H1703" s="131">
        <f t="shared" si="253"/>
        <v>0</v>
      </c>
      <c r="I1703" s="8">
        <f t="shared" ca="1" si="258"/>
        <v>0</v>
      </c>
      <c r="J1703" s="8">
        <f t="shared" ca="1" si="251"/>
        <v>0</v>
      </c>
      <c r="K1703" s="130">
        <f t="shared" ca="1" si="255"/>
        <v>0</v>
      </c>
      <c r="O1703" s="130">
        <f t="shared" ca="1" si="252"/>
        <v>0</v>
      </c>
    </row>
    <row r="1704" spans="1:15">
      <c r="A1704" s="79">
        <v>46261</v>
      </c>
      <c r="B1704" s="8">
        <f t="shared" si="250"/>
        <v>0</v>
      </c>
      <c r="D1704" s="131">
        <f t="shared" si="256"/>
        <v>0</v>
      </c>
      <c r="E1704" s="8">
        <f t="shared" si="257"/>
        <v>0</v>
      </c>
      <c r="G1704" s="130">
        <f t="shared" si="254"/>
        <v>0</v>
      </c>
      <c r="H1704" s="131">
        <f t="shared" si="253"/>
        <v>0</v>
      </c>
      <c r="I1704" s="8">
        <f t="shared" ca="1" si="258"/>
        <v>0</v>
      </c>
      <c r="J1704" s="8">
        <f t="shared" ca="1" si="251"/>
        <v>0</v>
      </c>
      <c r="K1704" s="130">
        <f t="shared" ca="1" si="255"/>
        <v>0</v>
      </c>
      <c r="O1704" s="130">
        <f t="shared" ca="1" si="252"/>
        <v>0</v>
      </c>
    </row>
    <row r="1705" spans="1:15">
      <c r="A1705" s="79">
        <v>46262</v>
      </c>
      <c r="B1705" s="8">
        <f t="shared" si="250"/>
        <v>0</v>
      </c>
      <c r="D1705" s="131">
        <f t="shared" si="256"/>
        <v>0</v>
      </c>
      <c r="E1705" s="8">
        <f t="shared" si="257"/>
        <v>0</v>
      </c>
      <c r="G1705" s="130">
        <f t="shared" si="254"/>
        <v>0</v>
      </c>
      <c r="H1705" s="131">
        <f t="shared" si="253"/>
        <v>0</v>
      </c>
      <c r="I1705" s="8">
        <f t="shared" ca="1" si="258"/>
        <v>0</v>
      </c>
      <c r="J1705" s="8">
        <f t="shared" ca="1" si="251"/>
        <v>0</v>
      </c>
      <c r="K1705" s="130">
        <f t="shared" ca="1" si="255"/>
        <v>0</v>
      </c>
      <c r="O1705" s="130">
        <f t="shared" ca="1" si="252"/>
        <v>0</v>
      </c>
    </row>
    <row r="1706" spans="1:15">
      <c r="A1706" s="79">
        <v>46263</v>
      </c>
      <c r="B1706" s="8">
        <f t="shared" si="250"/>
        <v>0</v>
      </c>
      <c r="D1706" s="131">
        <f t="shared" si="256"/>
        <v>0</v>
      </c>
      <c r="E1706" s="8">
        <f t="shared" si="257"/>
        <v>0</v>
      </c>
      <c r="G1706" s="130">
        <f t="shared" si="254"/>
        <v>0</v>
      </c>
      <c r="H1706" s="131">
        <f t="shared" si="253"/>
        <v>0</v>
      </c>
      <c r="I1706" s="8">
        <f t="shared" ca="1" si="258"/>
        <v>0</v>
      </c>
      <c r="J1706" s="8">
        <f t="shared" ca="1" si="251"/>
        <v>0</v>
      </c>
      <c r="K1706" s="130">
        <f t="shared" ca="1" si="255"/>
        <v>0</v>
      </c>
      <c r="O1706" s="130">
        <f t="shared" ca="1" si="252"/>
        <v>0</v>
      </c>
    </row>
    <row r="1707" spans="1:15">
      <c r="A1707" s="79">
        <v>46264</v>
      </c>
      <c r="B1707" s="8">
        <f t="shared" si="250"/>
        <v>0</v>
      </c>
      <c r="D1707" s="131">
        <f t="shared" si="256"/>
        <v>0</v>
      </c>
      <c r="E1707" s="8">
        <f t="shared" si="257"/>
        <v>0</v>
      </c>
      <c r="G1707" s="130">
        <f t="shared" si="254"/>
        <v>0</v>
      </c>
      <c r="H1707" s="131">
        <f t="shared" si="253"/>
        <v>0</v>
      </c>
      <c r="I1707" s="8">
        <f t="shared" ca="1" si="258"/>
        <v>0</v>
      </c>
      <c r="J1707" s="8">
        <f t="shared" ca="1" si="251"/>
        <v>0</v>
      </c>
      <c r="K1707" s="130">
        <f t="shared" ca="1" si="255"/>
        <v>0</v>
      </c>
      <c r="O1707" s="130">
        <f t="shared" ca="1" si="252"/>
        <v>0</v>
      </c>
    </row>
    <row r="1708" spans="1:15">
      <c r="A1708" s="79">
        <v>46265</v>
      </c>
      <c r="B1708" s="8">
        <f t="shared" si="250"/>
        <v>0</v>
      </c>
      <c r="D1708" s="131">
        <f t="shared" si="256"/>
        <v>0</v>
      </c>
      <c r="E1708" s="8">
        <f t="shared" si="257"/>
        <v>0</v>
      </c>
      <c r="G1708" s="130">
        <f t="shared" si="254"/>
        <v>0</v>
      </c>
      <c r="H1708" s="131">
        <f t="shared" si="253"/>
        <v>0</v>
      </c>
      <c r="I1708" s="8">
        <f t="shared" ca="1" si="258"/>
        <v>0</v>
      </c>
      <c r="J1708" s="8">
        <f t="shared" ca="1" si="251"/>
        <v>0</v>
      </c>
      <c r="K1708" s="130">
        <f t="shared" ca="1" si="255"/>
        <v>0</v>
      </c>
      <c r="O1708" s="130">
        <f t="shared" ca="1" si="252"/>
        <v>0</v>
      </c>
    </row>
    <row r="1709" spans="1:15">
      <c r="A1709" s="79">
        <v>46266</v>
      </c>
      <c r="B1709" s="8">
        <f t="shared" si="250"/>
        <v>0</v>
      </c>
      <c r="D1709" s="131">
        <f t="shared" si="256"/>
        <v>0</v>
      </c>
      <c r="E1709" s="8">
        <f t="shared" si="257"/>
        <v>0</v>
      </c>
      <c r="G1709" s="130">
        <f t="shared" si="254"/>
        <v>0</v>
      </c>
      <c r="H1709" s="131">
        <f t="shared" si="253"/>
        <v>0</v>
      </c>
      <c r="I1709" s="8">
        <f t="shared" ca="1" si="258"/>
        <v>0</v>
      </c>
      <c r="J1709" s="8">
        <f t="shared" ca="1" si="251"/>
        <v>0</v>
      </c>
      <c r="K1709" s="130">
        <f t="shared" ca="1" si="255"/>
        <v>0</v>
      </c>
      <c r="O1709" s="130">
        <f t="shared" ca="1" si="252"/>
        <v>0</v>
      </c>
    </row>
    <row r="1710" spans="1:15">
      <c r="A1710" s="79">
        <v>46267</v>
      </c>
      <c r="B1710" s="8">
        <f t="shared" si="250"/>
        <v>0</v>
      </c>
      <c r="D1710" s="131">
        <f t="shared" si="256"/>
        <v>0</v>
      </c>
      <c r="E1710" s="8">
        <f t="shared" si="257"/>
        <v>0</v>
      </c>
      <c r="G1710" s="130">
        <f t="shared" si="254"/>
        <v>0</v>
      </c>
      <c r="H1710" s="131">
        <f t="shared" si="253"/>
        <v>0</v>
      </c>
      <c r="I1710" s="8">
        <f t="shared" ca="1" si="258"/>
        <v>0</v>
      </c>
      <c r="J1710" s="8">
        <f t="shared" ca="1" si="251"/>
        <v>0</v>
      </c>
      <c r="K1710" s="130">
        <f t="shared" ca="1" si="255"/>
        <v>0</v>
      </c>
      <c r="O1710" s="130">
        <f t="shared" ca="1" si="252"/>
        <v>0</v>
      </c>
    </row>
    <row r="1711" spans="1:15">
      <c r="A1711" s="79">
        <v>46268</v>
      </c>
      <c r="B1711" s="8">
        <f t="shared" si="250"/>
        <v>0</v>
      </c>
      <c r="D1711" s="131">
        <f t="shared" si="256"/>
        <v>0</v>
      </c>
      <c r="E1711" s="8">
        <f t="shared" si="257"/>
        <v>0</v>
      </c>
      <c r="G1711" s="130">
        <f t="shared" si="254"/>
        <v>0</v>
      </c>
      <c r="H1711" s="131">
        <f t="shared" si="253"/>
        <v>0</v>
      </c>
      <c r="I1711" s="8">
        <f t="shared" ca="1" si="258"/>
        <v>0</v>
      </c>
      <c r="J1711" s="8">
        <f t="shared" ca="1" si="251"/>
        <v>0</v>
      </c>
      <c r="K1711" s="130">
        <f t="shared" ca="1" si="255"/>
        <v>0</v>
      </c>
      <c r="O1711" s="130">
        <f t="shared" ca="1" si="252"/>
        <v>0</v>
      </c>
    </row>
    <row r="1712" spans="1:15">
      <c r="A1712" s="79">
        <v>46269</v>
      </c>
      <c r="B1712" s="8">
        <f t="shared" si="250"/>
        <v>0</v>
      </c>
      <c r="D1712" s="131">
        <f t="shared" si="256"/>
        <v>0</v>
      </c>
      <c r="E1712" s="8">
        <f t="shared" si="257"/>
        <v>0</v>
      </c>
      <c r="G1712" s="130">
        <f t="shared" si="254"/>
        <v>0</v>
      </c>
      <c r="H1712" s="131">
        <f t="shared" si="253"/>
        <v>0</v>
      </c>
      <c r="I1712" s="8">
        <f t="shared" ca="1" si="258"/>
        <v>0</v>
      </c>
      <c r="J1712" s="8">
        <f t="shared" ca="1" si="251"/>
        <v>0</v>
      </c>
      <c r="K1712" s="130">
        <f t="shared" ca="1" si="255"/>
        <v>0</v>
      </c>
      <c r="O1712" s="130">
        <f t="shared" ca="1" si="252"/>
        <v>0</v>
      </c>
    </row>
    <row r="1713" spans="1:15">
      <c r="A1713" s="79">
        <v>46270</v>
      </c>
      <c r="B1713" s="8">
        <f t="shared" si="250"/>
        <v>0</v>
      </c>
      <c r="D1713" s="131">
        <f t="shared" si="256"/>
        <v>0</v>
      </c>
      <c r="E1713" s="8">
        <f t="shared" si="257"/>
        <v>0</v>
      </c>
      <c r="G1713" s="130">
        <f t="shared" si="254"/>
        <v>0</v>
      </c>
      <c r="H1713" s="131">
        <f t="shared" si="253"/>
        <v>0</v>
      </c>
      <c r="I1713" s="8">
        <f t="shared" ca="1" si="258"/>
        <v>0</v>
      </c>
      <c r="J1713" s="8">
        <f t="shared" ca="1" si="251"/>
        <v>0</v>
      </c>
      <c r="K1713" s="130">
        <f t="shared" ca="1" si="255"/>
        <v>0</v>
      </c>
      <c r="O1713" s="130">
        <f t="shared" ca="1" si="252"/>
        <v>0</v>
      </c>
    </row>
    <row r="1714" spans="1:15">
      <c r="A1714" s="79">
        <v>46271</v>
      </c>
      <c r="B1714" s="8">
        <f t="shared" si="250"/>
        <v>0</v>
      </c>
      <c r="D1714" s="131">
        <f t="shared" si="256"/>
        <v>0</v>
      </c>
      <c r="E1714" s="8">
        <f t="shared" si="257"/>
        <v>0</v>
      </c>
      <c r="G1714" s="130">
        <f t="shared" si="254"/>
        <v>0</v>
      </c>
      <c r="H1714" s="131">
        <f t="shared" si="253"/>
        <v>0</v>
      </c>
      <c r="I1714" s="8">
        <f t="shared" ca="1" si="258"/>
        <v>0</v>
      </c>
      <c r="J1714" s="8">
        <f t="shared" ca="1" si="251"/>
        <v>0</v>
      </c>
      <c r="K1714" s="130">
        <f t="shared" ca="1" si="255"/>
        <v>0</v>
      </c>
      <c r="O1714" s="130">
        <f t="shared" ca="1" si="252"/>
        <v>0</v>
      </c>
    </row>
    <row r="1715" spans="1:15">
      <c r="A1715" s="79">
        <v>46272</v>
      </c>
      <c r="B1715" s="8">
        <f t="shared" ref="B1715:B1768" si="259">C1714</f>
        <v>0</v>
      </c>
      <c r="D1715" s="131">
        <f t="shared" si="256"/>
        <v>0</v>
      </c>
      <c r="E1715" s="8">
        <f t="shared" si="257"/>
        <v>0</v>
      </c>
      <c r="G1715" s="130">
        <f t="shared" si="254"/>
        <v>0</v>
      </c>
      <c r="H1715" s="131">
        <f t="shared" si="253"/>
        <v>0</v>
      </c>
      <c r="I1715" s="8">
        <f t="shared" ca="1" si="258"/>
        <v>0</v>
      </c>
      <c r="J1715" s="8">
        <f t="shared" ca="1" si="251"/>
        <v>0</v>
      </c>
      <c r="K1715" s="130">
        <f t="shared" ca="1" si="255"/>
        <v>0</v>
      </c>
      <c r="O1715" s="130">
        <f t="shared" ca="1" si="252"/>
        <v>0</v>
      </c>
    </row>
    <row r="1716" spans="1:15">
      <c r="A1716" s="79">
        <v>46273</v>
      </c>
      <c r="B1716" s="8">
        <f t="shared" si="259"/>
        <v>0</v>
      </c>
      <c r="D1716" s="131">
        <f t="shared" si="256"/>
        <v>0</v>
      </c>
      <c r="E1716" s="8">
        <f t="shared" si="257"/>
        <v>0</v>
      </c>
      <c r="G1716" s="130">
        <f t="shared" si="254"/>
        <v>0</v>
      </c>
      <c r="H1716" s="131">
        <f t="shared" si="253"/>
        <v>0</v>
      </c>
      <c r="I1716" s="8">
        <f t="shared" ca="1" si="258"/>
        <v>0</v>
      </c>
      <c r="J1716" s="8">
        <f t="shared" ca="1" si="251"/>
        <v>0</v>
      </c>
      <c r="K1716" s="130">
        <f t="shared" ca="1" si="255"/>
        <v>0</v>
      </c>
      <c r="O1716" s="130">
        <f t="shared" ca="1" si="252"/>
        <v>0</v>
      </c>
    </row>
    <row r="1717" spans="1:15">
      <c r="A1717" s="79">
        <v>46274</v>
      </c>
      <c r="B1717" s="8">
        <f t="shared" si="259"/>
        <v>0</v>
      </c>
      <c r="D1717" s="131">
        <f t="shared" si="256"/>
        <v>0</v>
      </c>
      <c r="E1717" s="8">
        <f t="shared" si="257"/>
        <v>0</v>
      </c>
      <c r="G1717" s="130">
        <f t="shared" si="254"/>
        <v>0</v>
      </c>
      <c r="H1717" s="131">
        <f t="shared" si="253"/>
        <v>0</v>
      </c>
      <c r="I1717" s="8">
        <f t="shared" ca="1" si="258"/>
        <v>0</v>
      </c>
      <c r="J1717" s="8">
        <f t="shared" ca="1" si="251"/>
        <v>0</v>
      </c>
      <c r="K1717" s="130">
        <f t="shared" ca="1" si="255"/>
        <v>0</v>
      </c>
      <c r="O1717" s="130">
        <f t="shared" ca="1" si="252"/>
        <v>0</v>
      </c>
    </row>
    <row r="1718" spans="1:15">
      <c r="A1718" s="79">
        <v>46275</v>
      </c>
      <c r="B1718" s="8">
        <f t="shared" si="259"/>
        <v>0</v>
      </c>
      <c r="D1718" s="131">
        <f t="shared" si="256"/>
        <v>0</v>
      </c>
      <c r="E1718" s="8">
        <f t="shared" si="257"/>
        <v>0</v>
      </c>
      <c r="G1718" s="130">
        <f t="shared" si="254"/>
        <v>0</v>
      </c>
      <c r="H1718" s="131">
        <f t="shared" si="253"/>
        <v>0</v>
      </c>
      <c r="I1718" s="8">
        <f t="shared" ca="1" si="258"/>
        <v>0</v>
      </c>
      <c r="J1718" s="8">
        <f t="shared" ca="1" si="251"/>
        <v>0</v>
      </c>
      <c r="K1718" s="130">
        <f t="shared" ca="1" si="255"/>
        <v>0</v>
      </c>
      <c r="O1718" s="130">
        <f t="shared" ca="1" si="252"/>
        <v>0</v>
      </c>
    </row>
    <row r="1719" spans="1:15">
      <c r="A1719" s="79">
        <v>46276</v>
      </c>
      <c r="B1719" s="8">
        <f t="shared" si="259"/>
        <v>0</v>
      </c>
      <c r="D1719" s="131">
        <f t="shared" si="256"/>
        <v>0</v>
      </c>
      <c r="E1719" s="8">
        <f t="shared" si="257"/>
        <v>0</v>
      </c>
      <c r="G1719" s="130">
        <f t="shared" si="254"/>
        <v>0</v>
      </c>
      <c r="H1719" s="131">
        <f t="shared" si="253"/>
        <v>0</v>
      </c>
      <c r="I1719" s="8">
        <f t="shared" ca="1" si="258"/>
        <v>0</v>
      </c>
      <c r="J1719" s="8">
        <f t="shared" ca="1" si="251"/>
        <v>0</v>
      </c>
      <c r="K1719" s="130">
        <f t="shared" ca="1" si="255"/>
        <v>0</v>
      </c>
      <c r="O1719" s="130">
        <f t="shared" ca="1" si="252"/>
        <v>0</v>
      </c>
    </row>
    <row r="1720" spans="1:15">
      <c r="A1720" s="79">
        <v>46277</v>
      </c>
      <c r="B1720" s="8">
        <f t="shared" si="259"/>
        <v>0</v>
      </c>
      <c r="D1720" s="131">
        <f t="shared" si="256"/>
        <v>0</v>
      </c>
      <c r="E1720" s="8">
        <f t="shared" si="257"/>
        <v>0</v>
      </c>
      <c r="G1720" s="130">
        <f t="shared" si="254"/>
        <v>0</v>
      </c>
      <c r="H1720" s="131">
        <f t="shared" si="253"/>
        <v>0</v>
      </c>
      <c r="I1720" s="8">
        <f t="shared" ca="1" si="258"/>
        <v>0</v>
      </c>
      <c r="J1720" s="8">
        <f t="shared" ca="1" si="251"/>
        <v>0</v>
      </c>
      <c r="K1720" s="130">
        <f t="shared" ca="1" si="255"/>
        <v>0</v>
      </c>
      <c r="O1720" s="130">
        <f t="shared" ca="1" si="252"/>
        <v>0</v>
      </c>
    </row>
    <row r="1721" spans="1:15">
      <c r="A1721" s="79">
        <v>46278</v>
      </c>
      <c r="B1721" s="8">
        <f t="shared" si="259"/>
        <v>0</v>
      </c>
      <c r="D1721" s="131">
        <f t="shared" si="256"/>
        <v>0</v>
      </c>
      <c r="E1721" s="8">
        <f t="shared" si="257"/>
        <v>0</v>
      </c>
      <c r="G1721" s="130">
        <f t="shared" si="254"/>
        <v>0</v>
      </c>
      <c r="H1721" s="131">
        <f t="shared" si="253"/>
        <v>0</v>
      </c>
      <c r="I1721" s="8">
        <f t="shared" ca="1" si="258"/>
        <v>0</v>
      </c>
      <c r="J1721" s="8">
        <f t="shared" ca="1" si="251"/>
        <v>0</v>
      </c>
      <c r="K1721" s="130">
        <f t="shared" ca="1" si="255"/>
        <v>0</v>
      </c>
      <c r="O1721" s="130">
        <f t="shared" ca="1" si="252"/>
        <v>0</v>
      </c>
    </row>
    <row r="1722" spans="1:15">
      <c r="A1722" s="79">
        <v>46279</v>
      </c>
      <c r="B1722" s="8">
        <f t="shared" si="259"/>
        <v>0</v>
      </c>
      <c r="D1722" s="131">
        <f t="shared" si="256"/>
        <v>0</v>
      </c>
      <c r="E1722" s="8">
        <f t="shared" si="257"/>
        <v>0</v>
      </c>
      <c r="G1722" s="130">
        <f t="shared" si="254"/>
        <v>0</v>
      </c>
      <c r="H1722" s="131">
        <f t="shared" si="253"/>
        <v>0</v>
      </c>
      <c r="I1722" s="8">
        <f t="shared" ca="1" si="258"/>
        <v>0</v>
      </c>
      <c r="J1722" s="8">
        <f t="shared" ca="1" si="251"/>
        <v>0</v>
      </c>
      <c r="K1722" s="130">
        <f t="shared" ca="1" si="255"/>
        <v>0</v>
      </c>
      <c r="O1722" s="130">
        <f t="shared" ca="1" si="252"/>
        <v>0</v>
      </c>
    </row>
    <row r="1723" spans="1:15">
      <c r="A1723" s="79">
        <v>46280</v>
      </c>
      <c r="B1723" s="8">
        <f t="shared" si="259"/>
        <v>0</v>
      </c>
      <c r="D1723" s="131">
        <f t="shared" si="256"/>
        <v>0</v>
      </c>
      <c r="E1723" s="8">
        <f t="shared" si="257"/>
        <v>0</v>
      </c>
      <c r="G1723" s="130">
        <f t="shared" si="254"/>
        <v>0</v>
      </c>
      <c r="H1723" s="131">
        <f t="shared" si="253"/>
        <v>0</v>
      </c>
      <c r="I1723" s="8">
        <f t="shared" ca="1" si="258"/>
        <v>0</v>
      </c>
      <c r="J1723" s="8">
        <f t="shared" ca="1" si="251"/>
        <v>0</v>
      </c>
      <c r="K1723" s="130">
        <f t="shared" ca="1" si="255"/>
        <v>0</v>
      </c>
      <c r="O1723" s="130">
        <f t="shared" ca="1" si="252"/>
        <v>0</v>
      </c>
    </row>
    <row r="1724" spans="1:15">
      <c r="A1724" s="79">
        <v>46281</v>
      </c>
      <c r="B1724" s="8">
        <f t="shared" si="259"/>
        <v>0</v>
      </c>
      <c r="D1724" s="131">
        <f t="shared" si="256"/>
        <v>0</v>
      </c>
      <c r="E1724" s="8">
        <f t="shared" si="257"/>
        <v>0</v>
      </c>
      <c r="G1724" s="130">
        <f t="shared" si="254"/>
        <v>0</v>
      </c>
      <c r="H1724" s="131">
        <f t="shared" si="253"/>
        <v>0</v>
      </c>
      <c r="I1724" s="8">
        <f t="shared" ca="1" si="258"/>
        <v>0</v>
      </c>
      <c r="J1724" s="8">
        <f t="shared" ca="1" si="251"/>
        <v>0</v>
      </c>
      <c r="K1724" s="130">
        <f t="shared" ca="1" si="255"/>
        <v>0</v>
      </c>
      <c r="O1724" s="130">
        <f t="shared" ca="1" si="252"/>
        <v>0</v>
      </c>
    </row>
    <row r="1725" spans="1:15">
      <c r="A1725" s="79">
        <v>46282</v>
      </c>
      <c r="B1725" s="8">
        <f t="shared" si="259"/>
        <v>0</v>
      </c>
      <c r="D1725" s="131">
        <f t="shared" si="256"/>
        <v>0</v>
      </c>
      <c r="E1725" s="8">
        <f t="shared" si="257"/>
        <v>0</v>
      </c>
      <c r="G1725" s="130">
        <f t="shared" si="254"/>
        <v>0</v>
      </c>
      <c r="H1725" s="131">
        <f t="shared" si="253"/>
        <v>0</v>
      </c>
      <c r="I1725" s="8">
        <f t="shared" ca="1" si="258"/>
        <v>0</v>
      </c>
      <c r="J1725" s="8">
        <f t="shared" ca="1" si="251"/>
        <v>0</v>
      </c>
      <c r="K1725" s="130">
        <f t="shared" ca="1" si="255"/>
        <v>0</v>
      </c>
      <c r="O1725" s="130">
        <f t="shared" ca="1" si="252"/>
        <v>0</v>
      </c>
    </row>
    <row r="1726" spans="1:15">
      <c r="A1726" s="79">
        <v>46283</v>
      </c>
      <c r="B1726" s="8">
        <f t="shared" si="259"/>
        <v>0</v>
      </c>
      <c r="D1726" s="131">
        <f t="shared" si="256"/>
        <v>0</v>
      </c>
      <c r="E1726" s="8">
        <f t="shared" si="257"/>
        <v>0</v>
      </c>
      <c r="G1726" s="130">
        <f t="shared" si="254"/>
        <v>0</v>
      </c>
      <c r="H1726" s="131">
        <f t="shared" si="253"/>
        <v>0</v>
      </c>
      <c r="I1726" s="8">
        <f t="shared" ca="1" si="258"/>
        <v>0</v>
      </c>
      <c r="J1726" s="8">
        <f t="shared" ca="1" si="251"/>
        <v>0</v>
      </c>
      <c r="K1726" s="130">
        <f t="shared" ca="1" si="255"/>
        <v>0</v>
      </c>
      <c r="O1726" s="130">
        <f t="shared" ca="1" si="252"/>
        <v>0</v>
      </c>
    </row>
    <row r="1727" spans="1:15">
      <c r="A1727" s="79">
        <v>46284</v>
      </c>
      <c r="B1727" s="8">
        <f t="shared" si="259"/>
        <v>0</v>
      </c>
      <c r="D1727" s="131">
        <f t="shared" si="256"/>
        <v>0</v>
      </c>
      <c r="E1727" s="8">
        <f t="shared" si="257"/>
        <v>0</v>
      </c>
      <c r="G1727" s="130">
        <f t="shared" si="254"/>
        <v>0</v>
      </c>
      <c r="H1727" s="131">
        <f t="shared" si="253"/>
        <v>0</v>
      </c>
      <c r="I1727" s="8">
        <f t="shared" ca="1" si="258"/>
        <v>0</v>
      </c>
      <c r="J1727" s="8">
        <f t="shared" ca="1" si="251"/>
        <v>0</v>
      </c>
      <c r="K1727" s="130">
        <f t="shared" ca="1" si="255"/>
        <v>0</v>
      </c>
      <c r="O1727" s="130">
        <f t="shared" ca="1" si="252"/>
        <v>0</v>
      </c>
    </row>
    <row r="1728" spans="1:15">
      <c r="A1728" s="79">
        <v>46285</v>
      </c>
      <c r="B1728" s="8">
        <f t="shared" si="259"/>
        <v>0</v>
      </c>
      <c r="D1728" s="131">
        <f t="shared" si="256"/>
        <v>0</v>
      </c>
      <c r="E1728" s="8">
        <f t="shared" si="257"/>
        <v>0</v>
      </c>
      <c r="G1728" s="130">
        <f t="shared" si="254"/>
        <v>0</v>
      </c>
      <c r="H1728" s="131">
        <f t="shared" si="253"/>
        <v>0</v>
      </c>
      <c r="I1728" s="8">
        <f t="shared" ca="1" si="258"/>
        <v>0</v>
      </c>
      <c r="J1728" s="8">
        <f t="shared" ca="1" si="251"/>
        <v>0</v>
      </c>
      <c r="K1728" s="130">
        <f t="shared" ca="1" si="255"/>
        <v>0</v>
      </c>
      <c r="O1728" s="130">
        <f t="shared" ca="1" si="252"/>
        <v>0</v>
      </c>
    </row>
    <row r="1729" spans="1:15">
      <c r="A1729" s="79">
        <v>46286</v>
      </c>
      <c r="B1729" s="8">
        <f t="shared" si="259"/>
        <v>0</v>
      </c>
      <c r="D1729" s="131">
        <f t="shared" si="256"/>
        <v>0</v>
      </c>
      <c r="E1729" s="8">
        <f t="shared" si="257"/>
        <v>0</v>
      </c>
      <c r="G1729" s="130">
        <f t="shared" si="254"/>
        <v>0</v>
      </c>
      <c r="H1729" s="131">
        <f t="shared" si="253"/>
        <v>0</v>
      </c>
      <c r="I1729" s="8">
        <f t="shared" ca="1" si="258"/>
        <v>0</v>
      </c>
      <c r="J1729" s="8">
        <f t="shared" ca="1" si="251"/>
        <v>0</v>
      </c>
      <c r="K1729" s="130">
        <f t="shared" ca="1" si="255"/>
        <v>0</v>
      </c>
      <c r="O1729" s="130">
        <f t="shared" ca="1" si="252"/>
        <v>0</v>
      </c>
    </row>
    <row r="1730" spans="1:15">
      <c r="A1730" s="79">
        <v>46287</v>
      </c>
      <c r="B1730" s="8">
        <f t="shared" si="259"/>
        <v>0</v>
      </c>
      <c r="D1730" s="131">
        <f t="shared" si="256"/>
        <v>0</v>
      </c>
      <c r="E1730" s="8">
        <f t="shared" si="257"/>
        <v>0</v>
      </c>
      <c r="G1730" s="130">
        <f t="shared" si="254"/>
        <v>0</v>
      </c>
      <c r="H1730" s="131">
        <f t="shared" si="253"/>
        <v>0</v>
      </c>
      <c r="I1730" s="8">
        <f t="shared" ca="1" si="258"/>
        <v>0</v>
      </c>
      <c r="J1730" s="8">
        <f t="shared" ca="1" si="251"/>
        <v>0</v>
      </c>
      <c r="K1730" s="130">
        <f t="shared" ca="1" si="255"/>
        <v>0</v>
      </c>
      <c r="O1730" s="130">
        <f t="shared" ca="1" si="252"/>
        <v>0</v>
      </c>
    </row>
    <row r="1731" spans="1:15">
      <c r="A1731" s="79">
        <v>46288</v>
      </c>
      <c r="B1731" s="8">
        <f t="shared" si="259"/>
        <v>0</v>
      </c>
      <c r="D1731" s="131">
        <f t="shared" si="256"/>
        <v>0</v>
      </c>
      <c r="E1731" s="8">
        <f t="shared" si="257"/>
        <v>0</v>
      </c>
      <c r="G1731" s="130">
        <f t="shared" si="254"/>
        <v>0</v>
      </c>
      <c r="H1731" s="131">
        <f t="shared" si="253"/>
        <v>0</v>
      </c>
      <c r="I1731" s="8">
        <f t="shared" ca="1" si="258"/>
        <v>0</v>
      </c>
      <c r="J1731" s="8">
        <f t="shared" ca="1" si="251"/>
        <v>0</v>
      </c>
      <c r="K1731" s="130">
        <f t="shared" ca="1" si="255"/>
        <v>0</v>
      </c>
      <c r="O1731" s="130">
        <f t="shared" ca="1" si="252"/>
        <v>0</v>
      </c>
    </row>
    <row r="1732" spans="1:15">
      <c r="A1732" s="79">
        <v>46289</v>
      </c>
      <c r="B1732" s="8">
        <f t="shared" si="259"/>
        <v>0</v>
      </c>
      <c r="D1732" s="131">
        <f t="shared" si="256"/>
        <v>0</v>
      </c>
      <c r="E1732" s="8">
        <f t="shared" si="257"/>
        <v>0</v>
      </c>
      <c r="G1732" s="130">
        <f t="shared" si="254"/>
        <v>0</v>
      </c>
      <c r="H1732" s="131">
        <f t="shared" si="253"/>
        <v>0</v>
      </c>
      <c r="I1732" s="8">
        <f t="shared" ca="1" si="258"/>
        <v>0</v>
      </c>
      <c r="J1732" s="8">
        <f t="shared" ca="1" si="251"/>
        <v>0</v>
      </c>
      <c r="K1732" s="130">
        <f t="shared" ca="1" si="255"/>
        <v>0</v>
      </c>
      <c r="O1732" s="130">
        <f t="shared" ca="1" si="252"/>
        <v>0</v>
      </c>
    </row>
    <row r="1733" spans="1:15">
      <c r="A1733" s="79">
        <v>46290</v>
      </c>
      <c r="B1733" s="8">
        <f t="shared" si="259"/>
        <v>0</v>
      </c>
      <c r="D1733" s="131">
        <f t="shared" si="256"/>
        <v>0</v>
      </c>
      <c r="E1733" s="8">
        <f t="shared" si="257"/>
        <v>0</v>
      </c>
      <c r="G1733" s="130">
        <f t="shared" si="254"/>
        <v>0</v>
      </c>
      <c r="H1733" s="131">
        <f t="shared" si="253"/>
        <v>0</v>
      </c>
      <c r="I1733" s="8">
        <f t="shared" ca="1" si="258"/>
        <v>0</v>
      </c>
      <c r="J1733" s="8">
        <f t="shared" ca="1" si="251"/>
        <v>0</v>
      </c>
      <c r="K1733" s="130">
        <f t="shared" ca="1" si="255"/>
        <v>0</v>
      </c>
      <c r="O1733" s="130">
        <f t="shared" ca="1" si="252"/>
        <v>0</v>
      </c>
    </row>
    <row r="1734" spans="1:15">
      <c r="A1734" s="79">
        <v>46291</v>
      </c>
      <c r="B1734" s="8">
        <f t="shared" si="259"/>
        <v>0</v>
      </c>
      <c r="D1734" s="131">
        <f t="shared" si="256"/>
        <v>0</v>
      </c>
      <c r="E1734" s="8">
        <f t="shared" si="257"/>
        <v>0</v>
      </c>
      <c r="G1734" s="130">
        <f t="shared" si="254"/>
        <v>0</v>
      </c>
      <c r="H1734" s="131">
        <f t="shared" si="253"/>
        <v>0</v>
      </c>
      <c r="I1734" s="8">
        <f t="shared" ca="1" si="258"/>
        <v>0</v>
      </c>
      <c r="J1734" s="8">
        <f t="shared" ca="1" si="251"/>
        <v>0</v>
      </c>
      <c r="K1734" s="130">
        <f t="shared" ca="1" si="255"/>
        <v>0</v>
      </c>
      <c r="O1734" s="130">
        <f t="shared" ca="1" si="252"/>
        <v>0</v>
      </c>
    </row>
    <row r="1735" spans="1:15">
      <c r="A1735" s="79">
        <v>46292</v>
      </c>
      <c r="B1735" s="8">
        <f t="shared" si="259"/>
        <v>0</v>
      </c>
      <c r="D1735" s="131">
        <f t="shared" si="256"/>
        <v>0</v>
      </c>
      <c r="E1735" s="8">
        <f t="shared" si="257"/>
        <v>0</v>
      </c>
      <c r="G1735" s="130">
        <f t="shared" si="254"/>
        <v>0</v>
      </c>
      <c r="H1735" s="131">
        <f t="shared" si="253"/>
        <v>0</v>
      </c>
      <c r="I1735" s="8">
        <f t="shared" ca="1" si="258"/>
        <v>0</v>
      </c>
      <c r="J1735" s="8">
        <f t="shared" ca="1" si="251"/>
        <v>0</v>
      </c>
      <c r="K1735" s="130">
        <f t="shared" ca="1" si="255"/>
        <v>0</v>
      </c>
      <c r="O1735" s="130">
        <f t="shared" ca="1" si="252"/>
        <v>0</v>
      </c>
    </row>
    <row r="1736" spans="1:15">
      <c r="A1736" s="79">
        <v>46293</v>
      </c>
      <c r="B1736" s="8">
        <f t="shared" si="259"/>
        <v>0</v>
      </c>
      <c r="D1736" s="131">
        <f t="shared" si="256"/>
        <v>0</v>
      </c>
      <c r="E1736" s="8">
        <f t="shared" si="257"/>
        <v>0</v>
      </c>
      <c r="G1736" s="130">
        <f t="shared" si="254"/>
        <v>0</v>
      </c>
      <c r="H1736" s="131">
        <f t="shared" si="253"/>
        <v>0</v>
      </c>
      <c r="I1736" s="8">
        <f t="shared" ca="1" si="258"/>
        <v>0</v>
      </c>
      <c r="J1736" s="8">
        <f t="shared" ca="1" si="251"/>
        <v>0</v>
      </c>
      <c r="K1736" s="130">
        <f t="shared" ca="1" si="255"/>
        <v>0</v>
      </c>
      <c r="O1736" s="130">
        <f t="shared" ca="1" si="252"/>
        <v>0</v>
      </c>
    </row>
    <row r="1737" spans="1:15">
      <c r="A1737" s="79">
        <v>46294</v>
      </c>
      <c r="B1737" s="8">
        <f t="shared" si="259"/>
        <v>0</v>
      </c>
      <c r="D1737" s="131">
        <f t="shared" si="256"/>
        <v>0</v>
      </c>
      <c r="E1737" s="8">
        <f t="shared" si="257"/>
        <v>0</v>
      </c>
      <c r="G1737" s="130">
        <f t="shared" si="254"/>
        <v>0</v>
      </c>
      <c r="H1737" s="131">
        <f t="shared" si="253"/>
        <v>0</v>
      </c>
      <c r="I1737" s="8">
        <f t="shared" ca="1" si="258"/>
        <v>0</v>
      </c>
      <c r="J1737" s="8">
        <f t="shared" ca="1" si="251"/>
        <v>0</v>
      </c>
      <c r="K1737" s="130">
        <f t="shared" ca="1" si="255"/>
        <v>0</v>
      </c>
      <c r="O1737" s="130">
        <f t="shared" ca="1" si="252"/>
        <v>0</v>
      </c>
    </row>
    <row r="1738" spans="1:15">
      <c r="A1738" s="79">
        <v>46295</v>
      </c>
      <c r="B1738" s="8">
        <f t="shared" si="259"/>
        <v>0</v>
      </c>
      <c r="D1738" s="131">
        <f t="shared" si="256"/>
        <v>0</v>
      </c>
      <c r="E1738" s="8">
        <f t="shared" si="257"/>
        <v>0</v>
      </c>
      <c r="G1738" s="130">
        <f t="shared" si="254"/>
        <v>0</v>
      </c>
      <c r="H1738" s="131">
        <f t="shared" si="253"/>
        <v>0</v>
      </c>
      <c r="I1738" s="8">
        <f t="shared" ca="1" si="258"/>
        <v>0</v>
      </c>
      <c r="J1738" s="8">
        <f t="shared" ca="1" si="251"/>
        <v>0</v>
      </c>
      <c r="K1738" s="130">
        <f t="shared" ca="1" si="255"/>
        <v>0</v>
      </c>
      <c r="O1738" s="130">
        <f t="shared" ca="1" si="252"/>
        <v>0</v>
      </c>
    </row>
    <row r="1739" spans="1:15">
      <c r="A1739" s="79">
        <v>46296</v>
      </c>
      <c r="B1739" s="8">
        <f t="shared" si="259"/>
        <v>0</v>
      </c>
      <c r="D1739" s="131">
        <f t="shared" si="256"/>
        <v>0</v>
      </c>
      <c r="E1739" s="8">
        <f t="shared" si="257"/>
        <v>0</v>
      </c>
      <c r="G1739" s="130">
        <f t="shared" si="254"/>
        <v>0</v>
      </c>
      <c r="H1739" s="131">
        <f t="shared" si="253"/>
        <v>0</v>
      </c>
      <c r="I1739" s="8">
        <f t="shared" ca="1" si="258"/>
        <v>0</v>
      </c>
      <c r="J1739" s="8">
        <f t="shared" ca="1" si="251"/>
        <v>0</v>
      </c>
      <c r="K1739" s="130">
        <f t="shared" ca="1" si="255"/>
        <v>0</v>
      </c>
      <c r="O1739" s="130">
        <f t="shared" ca="1" si="252"/>
        <v>0</v>
      </c>
    </row>
    <row r="1740" spans="1:15">
      <c r="A1740" s="79">
        <v>46297</v>
      </c>
      <c r="B1740" s="8">
        <f t="shared" si="259"/>
        <v>0</v>
      </c>
      <c r="D1740" s="131">
        <f t="shared" si="256"/>
        <v>0</v>
      </c>
      <c r="E1740" s="8">
        <f t="shared" si="257"/>
        <v>0</v>
      </c>
      <c r="G1740" s="130">
        <f t="shared" si="254"/>
        <v>0</v>
      </c>
      <c r="H1740" s="131">
        <f t="shared" si="253"/>
        <v>0</v>
      </c>
      <c r="I1740" s="8">
        <f t="shared" ca="1" si="258"/>
        <v>0</v>
      </c>
      <c r="J1740" s="8">
        <f t="shared" ca="1" si="251"/>
        <v>0</v>
      </c>
      <c r="K1740" s="130">
        <f t="shared" ca="1" si="255"/>
        <v>0</v>
      </c>
      <c r="O1740" s="130">
        <f t="shared" ca="1" si="252"/>
        <v>0</v>
      </c>
    </row>
    <row r="1741" spans="1:15">
      <c r="A1741" s="79">
        <v>46298</v>
      </c>
      <c r="B1741" s="8">
        <f t="shared" si="259"/>
        <v>0</v>
      </c>
      <c r="D1741" s="131">
        <f t="shared" si="256"/>
        <v>0</v>
      </c>
      <c r="E1741" s="8">
        <f t="shared" si="257"/>
        <v>0</v>
      </c>
      <c r="G1741" s="130">
        <f t="shared" si="254"/>
        <v>0</v>
      </c>
      <c r="H1741" s="131">
        <f t="shared" si="253"/>
        <v>0</v>
      </c>
      <c r="I1741" s="8">
        <f t="shared" ca="1" si="258"/>
        <v>0</v>
      </c>
      <c r="J1741" s="8">
        <f t="shared" ca="1" si="251"/>
        <v>0</v>
      </c>
      <c r="K1741" s="130">
        <f t="shared" ca="1" si="255"/>
        <v>0</v>
      </c>
      <c r="O1741" s="130">
        <f t="shared" ca="1" si="252"/>
        <v>0</v>
      </c>
    </row>
    <row r="1742" spans="1:15">
      <c r="A1742" s="79">
        <v>46299</v>
      </c>
      <c r="B1742" s="8">
        <f t="shared" si="259"/>
        <v>0</v>
      </c>
      <c r="D1742" s="131">
        <f t="shared" si="256"/>
        <v>0</v>
      </c>
      <c r="E1742" s="8">
        <f t="shared" si="257"/>
        <v>0</v>
      </c>
      <c r="G1742" s="130">
        <f t="shared" si="254"/>
        <v>0</v>
      </c>
      <c r="H1742" s="131">
        <f t="shared" si="253"/>
        <v>0</v>
      </c>
      <c r="I1742" s="8">
        <f t="shared" ca="1" si="258"/>
        <v>0</v>
      </c>
      <c r="J1742" s="8">
        <f t="shared" ca="1" si="251"/>
        <v>0</v>
      </c>
      <c r="K1742" s="130">
        <f t="shared" ca="1" si="255"/>
        <v>0</v>
      </c>
      <c r="O1742" s="130">
        <f t="shared" ca="1" si="252"/>
        <v>0</v>
      </c>
    </row>
    <row r="1743" spans="1:15">
      <c r="A1743" s="79">
        <v>46300</v>
      </c>
      <c r="B1743" s="8">
        <f t="shared" si="259"/>
        <v>0</v>
      </c>
      <c r="D1743" s="131">
        <f t="shared" si="256"/>
        <v>0</v>
      </c>
      <c r="E1743" s="8">
        <f t="shared" si="257"/>
        <v>0</v>
      </c>
      <c r="G1743" s="130">
        <f t="shared" si="254"/>
        <v>0</v>
      </c>
      <c r="H1743" s="131">
        <f t="shared" si="253"/>
        <v>0</v>
      </c>
      <c r="I1743" s="8">
        <f t="shared" ca="1" si="258"/>
        <v>0</v>
      </c>
      <c r="J1743" s="8">
        <f t="shared" ca="1" si="251"/>
        <v>0</v>
      </c>
      <c r="K1743" s="130">
        <f t="shared" ca="1" si="255"/>
        <v>0</v>
      </c>
      <c r="O1743" s="130">
        <f t="shared" ca="1" si="252"/>
        <v>0</v>
      </c>
    </row>
    <row r="1744" spans="1:15">
      <c r="A1744" s="79">
        <v>46301</v>
      </c>
      <c r="B1744" s="8">
        <f t="shared" si="259"/>
        <v>0</v>
      </c>
      <c r="D1744" s="131">
        <f t="shared" si="256"/>
        <v>0</v>
      </c>
      <c r="E1744" s="8">
        <f t="shared" si="257"/>
        <v>0</v>
      </c>
      <c r="G1744" s="130">
        <f t="shared" si="254"/>
        <v>0</v>
      </c>
      <c r="H1744" s="131">
        <f t="shared" si="253"/>
        <v>0</v>
      </c>
      <c r="I1744" s="8">
        <f t="shared" ca="1" si="258"/>
        <v>0</v>
      </c>
      <c r="J1744" s="8">
        <f t="shared" ca="1" si="251"/>
        <v>0</v>
      </c>
      <c r="K1744" s="130">
        <f t="shared" ca="1" si="255"/>
        <v>0</v>
      </c>
      <c r="O1744" s="130">
        <f t="shared" ca="1" si="252"/>
        <v>0</v>
      </c>
    </row>
    <row r="1745" spans="1:15">
      <c r="A1745" s="79">
        <v>46302</v>
      </c>
      <c r="B1745" s="8">
        <f t="shared" si="259"/>
        <v>0</v>
      </c>
      <c r="D1745" s="131">
        <f t="shared" si="256"/>
        <v>0</v>
      </c>
      <c r="E1745" s="8">
        <f t="shared" si="257"/>
        <v>0</v>
      </c>
      <c r="G1745" s="130">
        <f t="shared" si="254"/>
        <v>0</v>
      </c>
      <c r="H1745" s="131">
        <f t="shared" si="253"/>
        <v>0</v>
      </c>
      <c r="I1745" s="8">
        <f t="shared" ca="1" si="258"/>
        <v>0</v>
      </c>
      <c r="J1745" s="8">
        <f t="shared" ca="1" si="251"/>
        <v>0</v>
      </c>
      <c r="K1745" s="130">
        <f t="shared" ca="1" si="255"/>
        <v>0</v>
      </c>
      <c r="O1745" s="130">
        <f t="shared" ca="1" si="252"/>
        <v>0</v>
      </c>
    </row>
    <row r="1746" spans="1:15">
      <c r="A1746" s="79">
        <v>46303</v>
      </c>
      <c r="B1746" s="8">
        <f t="shared" si="259"/>
        <v>0</v>
      </c>
      <c r="D1746" s="131">
        <f t="shared" si="256"/>
        <v>0</v>
      </c>
      <c r="E1746" s="8">
        <f t="shared" si="257"/>
        <v>0</v>
      </c>
      <c r="G1746" s="130">
        <f t="shared" si="254"/>
        <v>0</v>
      </c>
      <c r="H1746" s="131">
        <f t="shared" si="253"/>
        <v>0</v>
      </c>
      <c r="I1746" s="8">
        <f t="shared" ca="1" si="258"/>
        <v>0</v>
      </c>
      <c r="J1746" s="8">
        <f t="shared" ca="1" si="251"/>
        <v>0</v>
      </c>
      <c r="K1746" s="130">
        <f t="shared" ca="1" si="255"/>
        <v>0</v>
      </c>
      <c r="O1746" s="130">
        <f t="shared" ca="1" si="252"/>
        <v>0</v>
      </c>
    </row>
    <row r="1747" spans="1:15">
      <c r="A1747" s="79">
        <v>46304</v>
      </c>
      <c r="B1747" s="8">
        <f t="shared" si="259"/>
        <v>0</v>
      </c>
      <c r="D1747" s="131">
        <f t="shared" si="256"/>
        <v>0</v>
      </c>
      <c r="E1747" s="8">
        <f t="shared" si="257"/>
        <v>0</v>
      </c>
      <c r="G1747" s="130">
        <f t="shared" si="254"/>
        <v>0</v>
      </c>
      <c r="H1747" s="131">
        <f t="shared" si="253"/>
        <v>0</v>
      </c>
      <c r="I1747" s="8">
        <f t="shared" ca="1" si="258"/>
        <v>0</v>
      </c>
      <c r="J1747" s="8">
        <f t="shared" ref="J1747:J1768" ca="1" si="260">I1747+K1747</f>
        <v>0</v>
      </c>
      <c r="K1747" s="130">
        <f t="shared" ca="1" si="255"/>
        <v>0</v>
      </c>
      <c r="O1747" s="130">
        <f t="shared" ca="1" si="252"/>
        <v>0</v>
      </c>
    </row>
    <row r="1748" spans="1:15">
      <c r="A1748" s="79">
        <v>46305</v>
      </c>
      <c r="B1748" s="8">
        <f t="shared" si="259"/>
        <v>0</v>
      </c>
      <c r="D1748" s="131">
        <f t="shared" si="256"/>
        <v>0</v>
      </c>
      <c r="E1748" s="8">
        <f t="shared" si="257"/>
        <v>0</v>
      </c>
      <c r="G1748" s="130">
        <f t="shared" si="254"/>
        <v>0</v>
      </c>
      <c r="H1748" s="131">
        <f t="shared" si="253"/>
        <v>0</v>
      </c>
      <c r="I1748" s="8">
        <f t="shared" ca="1" si="258"/>
        <v>0</v>
      </c>
      <c r="J1748" s="8">
        <f t="shared" ca="1" si="260"/>
        <v>0</v>
      </c>
      <c r="K1748" s="130">
        <f t="shared" ca="1" si="255"/>
        <v>0</v>
      </c>
      <c r="O1748" s="130">
        <f t="shared" ca="1" si="252"/>
        <v>0</v>
      </c>
    </row>
    <row r="1749" spans="1:15">
      <c r="A1749" s="79">
        <v>46306</v>
      </c>
      <c r="B1749" s="8">
        <f t="shared" si="259"/>
        <v>0</v>
      </c>
      <c r="D1749" s="131">
        <f t="shared" si="256"/>
        <v>0</v>
      </c>
      <c r="E1749" s="8">
        <f t="shared" si="257"/>
        <v>0</v>
      </c>
      <c r="G1749" s="130">
        <f t="shared" si="254"/>
        <v>0</v>
      </c>
      <c r="H1749" s="131">
        <f t="shared" si="253"/>
        <v>0</v>
      </c>
      <c r="I1749" s="8">
        <f t="shared" ca="1" si="258"/>
        <v>0</v>
      </c>
      <c r="J1749" s="8">
        <f t="shared" ca="1" si="260"/>
        <v>0</v>
      </c>
      <c r="K1749" s="130">
        <f t="shared" ca="1" si="255"/>
        <v>0</v>
      </c>
      <c r="O1749" s="130">
        <f t="shared" ca="1" si="252"/>
        <v>0</v>
      </c>
    </row>
    <row r="1750" spans="1:15">
      <c r="A1750" s="79">
        <v>46307</v>
      </c>
      <c r="B1750" s="8">
        <f t="shared" si="259"/>
        <v>0</v>
      </c>
      <c r="D1750" s="131">
        <f t="shared" si="256"/>
        <v>0</v>
      </c>
      <c r="E1750" s="8">
        <f t="shared" si="257"/>
        <v>0</v>
      </c>
      <c r="G1750" s="130">
        <f t="shared" si="254"/>
        <v>0</v>
      </c>
      <c r="H1750" s="131">
        <f t="shared" si="253"/>
        <v>0</v>
      </c>
      <c r="I1750" s="8">
        <f t="shared" ca="1" si="258"/>
        <v>0</v>
      </c>
      <c r="J1750" s="8">
        <f t="shared" ca="1" si="260"/>
        <v>0</v>
      </c>
      <c r="K1750" s="130">
        <f t="shared" ca="1" si="255"/>
        <v>0</v>
      </c>
      <c r="O1750" s="130">
        <f t="shared" ca="1" si="252"/>
        <v>0</v>
      </c>
    </row>
    <row r="1751" spans="1:15">
      <c r="A1751" s="79">
        <v>46308</v>
      </c>
      <c r="B1751" s="8">
        <f t="shared" si="259"/>
        <v>0</v>
      </c>
      <c r="D1751" s="131">
        <f t="shared" si="256"/>
        <v>0</v>
      </c>
      <c r="E1751" s="8">
        <f t="shared" si="257"/>
        <v>0</v>
      </c>
      <c r="G1751" s="130">
        <f t="shared" si="254"/>
        <v>0</v>
      </c>
      <c r="H1751" s="131">
        <f t="shared" si="253"/>
        <v>0</v>
      </c>
      <c r="I1751" s="8">
        <f t="shared" ca="1" si="258"/>
        <v>0</v>
      </c>
      <c r="J1751" s="8">
        <f t="shared" ca="1" si="260"/>
        <v>0</v>
      </c>
      <c r="K1751" s="130">
        <f t="shared" ca="1" si="255"/>
        <v>0</v>
      </c>
      <c r="O1751" s="130">
        <f t="shared" ca="1" si="252"/>
        <v>0</v>
      </c>
    </row>
    <row r="1752" spans="1:15">
      <c r="A1752" s="79">
        <v>46309</v>
      </c>
      <c r="B1752" s="8">
        <f t="shared" si="259"/>
        <v>0</v>
      </c>
      <c r="D1752" s="131">
        <f t="shared" si="256"/>
        <v>0</v>
      </c>
      <c r="E1752" s="8">
        <f t="shared" si="257"/>
        <v>0</v>
      </c>
      <c r="G1752" s="130">
        <f t="shared" si="254"/>
        <v>0</v>
      </c>
      <c r="H1752" s="131">
        <f t="shared" si="253"/>
        <v>0</v>
      </c>
      <c r="I1752" s="8">
        <f t="shared" ca="1" si="258"/>
        <v>0</v>
      </c>
      <c r="J1752" s="8">
        <f t="shared" ca="1" si="260"/>
        <v>0</v>
      </c>
      <c r="K1752" s="130">
        <f t="shared" ca="1" si="255"/>
        <v>0</v>
      </c>
      <c r="O1752" s="130">
        <f t="shared" ca="1" si="252"/>
        <v>0</v>
      </c>
    </row>
    <row r="1753" spans="1:15">
      <c r="A1753" s="79">
        <v>46310</v>
      </c>
      <c r="B1753" s="8">
        <f t="shared" si="259"/>
        <v>0</v>
      </c>
      <c r="D1753" s="131">
        <f t="shared" si="256"/>
        <v>0</v>
      </c>
      <c r="E1753" s="8">
        <f t="shared" si="257"/>
        <v>0</v>
      </c>
      <c r="G1753" s="130">
        <f t="shared" si="254"/>
        <v>0</v>
      </c>
      <c r="H1753" s="131">
        <f t="shared" si="253"/>
        <v>0</v>
      </c>
      <c r="I1753" s="8">
        <f t="shared" ca="1" si="258"/>
        <v>0</v>
      </c>
      <c r="J1753" s="8">
        <f t="shared" ca="1" si="260"/>
        <v>0</v>
      </c>
      <c r="K1753" s="130">
        <f t="shared" ca="1" si="255"/>
        <v>0</v>
      </c>
      <c r="O1753" s="130">
        <f t="shared" ca="1" si="252"/>
        <v>0</v>
      </c>
    </row>
    <row r="1754" spans="1:15">
      <c r="A1754" s="79">
        <v>46311</v>
      </c>
      <c r="B1754" s="8">
        <f t="shared" si="259"/>
        <v>0</v>
      </c>
      <c r="D1754" s="131">
        <f t="shared" si="256"/>
        <v>0</v>
      </c>
      <c r="E1754" s="8">
        <f t="shared" si="257"/>
        <v>0</v>
      </c>
      <c r="G1754" s="130">
        <f t="shared" si="254"/>
        <v>0</v>
      </c>
      <c r="H1754" s="131">
        <f t="shared" si="253"/>
        <v>0</v>
      </c>
      <c r="I1754" s="8">
        <f t="shared" ca="1" si="258"/>
        <v>0</v>
      </c>
      <c r="J1754" s="8">
        <f t="shared" ca="1" si="260"/>
        <v>0</v>
      </c>
      <c r="K1754" s="130">
        <f t="shared" ca="1" si="255"/>
        <v>0</v>
      </c>
      <c r="O1754" s="130">
        <f t="shared" ca="1" si="252"/>
        <v>0</v>
      </c>
    </row>
    <row r="1755" spans="1:15">
      <c r="A1755" s="79">
        <v>46312</v>
      </c>
      <c r="B1755" s="8">
        <f t="shared" si="259"/>
        <v>0</v>
      </c>
      <c r="D1755" s="131">
        <f t="shared" si="256"/>
        <v>0</v>
      </c>
      <c r="E1755" s="8">
        <f t="shared" si="257"/>
        <v>0</v>
      </c>
      <c r="G1755" s="130">
        <f t="shared" si="254"/>
        <v>0</v>
      </c>
      <c r="H1755" s="131">
        <f t="shared" si="253"/>
        <v>0</v>
      </c>
      <c r="I1755" s="8">
        <f t="shared" ca="1" si="258"/>
        <v>0</v>
      </c>
      <c r="J1755" s="8">
        <f t="shared" ca="1" si="260"/>
        <v>0</v>
      </c>
      <c r="K1755" s="130">
        <f t="shared" ca="1" si="255"/>
        <v>0</v>
      </c>
      <c r="O1755" s="130">
        <f t="shared" ca="1" si="252"/>
        <v>0</v>
      </c>
    </row>
    <row r="1756" spans="1:15">
      <c r="A1756" s="79">
        <v>46313</v>
      </c>
      <c r="B1756" s="8">
        <f t="shared" si="259"/>
        <v>0</v>
      </c>
      <c r="D1756" s="131">
        <f t="shared" si="256"/>
        <v>0</v>
      </c>
      <c r="E1756" s="8">
        <f t="shared" si="257"/>
        <v>0</v>
      </c>
      <c r="G1756" s="130">
        <f t="shared" si="254"/>
        <v>0</v>
      </c>
      <c r="H1756" s="131">
        <f t="shared" si="253"/>
        <v>0</v>
      </c>
      <c r="I1756" s="8">
        <f t="shared" ca="1" si="258"/>
        <v>0</v>
      </c>
      <c r="J1756" s="8">
        <f t="shared" ca="1" si="260"/>
        <v>0</v>
      </c>
      <c r="K1756" s="130">
        <f t="shared" ca="1" si="255"/>
        <v>0</v>
      </c>
      <c r="O1756" s="130">
        <f t="shared" ca="1" si="252"/>
        <v>0</v>
      </c>
    </row>
    <row r="1757" spans="1:15">
      <c r="A1757" s="79">
        <v>46314</v>
      </c>
      <c r="B1757" s="8">
        <f t="shared" si="259"/>
        <v>0</v>
      </c>
      <c r="D1757" s="131">
        <f t="shared" si="256"/>
        <v>0</v>
      </c>
      <c r="E1757" s="8">
        <f t="shared" si="257"/>
        <v>0</v>
      </c>
      <c r="G1757" s="130">
        <f t="shared" si="254"/>
        <v>0</v>
      </c>
      <c r="H1757" s="131">
        <f t="shared" si="253"/>
        <v>0</v>
      </c>
      <c r="I1757" s="8">
        <f t="shared" ca="1" si="258"/>
        <v>0</v>
      </c>
      <c r="J1757" s="8">
        <f t="shared" ca="1" si="260"/>
        <v>0</v>
      </c>
      <c r="K1757" s="130">
        <f t="shared" ca="1" si="255"/>
        <v>0</v>
      </c>
      <c r="O1757" s="130">
        <f t="shared" ca="1" si="252"/>
        <v>0</v>
      </c>
    </row>
    <row r="1758" spans="1:15">
      <c r="A1758" s="79">
        <v>46315</v>
      </c>
      <c r="B1758" s="8">
        <f t="shared" si="259"/>
        <v>0</v>
      </c>
      <c r="D1758" s="131">
        <f t="shared" si="256"/>
        <v>0</v>
      </c>
      <c r="E1758" s="8">
        <f t="shared" si="257"/>
        <v>0</v>
      </c>
      <c r="G1758" s="130">
        <f t="shared" si="254"/>
        <v>0</v>
      </c>
      <c r="H1758" s="131">
        <f t="shared" si="253"/>
        <v>0</v>
      </c>
      <c r="I1758" s="8">
        <f t="shared" ca="1" si="258"/>
        <v>0</v>
      </c>
      <c r="J1758" s="8">
        <f t="shared" ca="1" si="260"/>
        <v>0</v>
      </c>
      <c r="K1758" s="130">
        <f t="shared" ca="1" si="255"/>
        <v>0</v>
      </c>
      <c r="O1758" s="130">
        <f t="shared" ca="1" si="252"/>
        <v>0</v>
      </c>
    </row>
    <row r="1759" spans="1:15">
      <c r="A1759" s="79">
        <v>46316</v>
      </c>
      <c r="B1759" s="8">
        <f t="shared" si="259"/>
        <v>0</v>
      </c>
      <c r="D1759" s="131">
        <f t="shared" si="256"/>
        <v>0</v>
      </c>
      <c r="E1759" s="8">
        <f t="shared" si="257"/>
        <v>0</v>
      </c>
      <c r="G1759" s="130">
        <f t="shared" si="254"/>
        <v>0</v>
      </c>
      <c r="H1759" s="131">
        <f t="shared" si="253"/>
        <v>0</v>
      </c>
      <c r="I1759" s="8">
        <f t="shared" ca="1" si="258"/>
        <v>0</v>
      </c>
      <c r="J1759" s="8">
        <f t="shared" ca="1" si="260"/>
        <v>0</v>
      </c>
      <c r="K1759" s="130">
        <f t="shared" ca="1" si="255"/>
        <v>0</v>
      </c>
      <c r="O1759" s="130">
        <f t="shared" ref="O1759:O1768" ca="1" si="261">N1759+K1759</f>
        <v>0</v>
      </c>
    </row>
    <row r="1760" spans="1:15">
      <c r="A1760" s="79">
        <v>46317</v>
      </c>
      <c r="B1760" s="8">
        <f t="shared" si="259"/>
        <v>0</v>
      </c>
      <c r="D1760" s="131">
        <f t="shared" si="256"/>
        <v>0</v>
      </c>
      <c r="E1760" s="8">
        <f t="shared" si="257"/>
        <v>0</v>
      </c>
      <c r="G1760" s="130">
        <f t="shared" si="254"/>
        <v>0</v>
      </c>
      <c r="H1760" s="131">
        <f t="shared" si="253"/>
        <v>0</v>
      </c>
      <c r="I1760" s="8">
        <f t="shared" ca="1" si="258"/>
        <v>0</v>
      </c>
      <c r="J1760" s="8">
        <f t="shared" ca="1" si="260"/>
        <v>0</v>
      </c>
      <c r="K1760" s="130">
        <f t="shared" ca="1" si="255"/>
        <v>0</v>
      </c>
      <c r="O1760" s="130">
        <f t="shared" ca="1" si="261"/>
        <v>0</v>
      </c>
    </row>
    <row r="1761" spans="1:15">
      <c r="A1761" s="79">
        <v>46318</v>
      </c>
      <c r="B1761" s="8">
        <f t="shared" si="259"/>
        <v>0</v>
      </c>
      <c r="D1761" s="131">
        <f t="shared" si="256"/>
        <v>0</v>
      </c>
      <c r="E1761" s="8">
        <f t="shared" si="257"/>
        <v>0</v>
      </c>
      <c r="G1761" s="130">
        <f t="shared" si="254"/>
        <v>0</v>
      </c>
      <c r="H1761" s="131">
        <f t="shared" si="253"/>
        <v>0</v>
      </c>
      <c r="I1761" s="8">
        <f t="shared" ca="1" si="258"/>
        <v>0</v>
      </c>
      <c r="J1761" s="8">
        <f t="shared" ca="1" si="260"/>
        <v>0</v>
      </c>
      <c r="K1761" s="130">
        <f t="shared" ca="1" si="255"/>
        <v>0</v>
      </c>
      <c r="O1761" s="130">
        <f t="shared" ca="1" si="261"/>
        <v>0</v>
      </c>
    </row>
    <row r="1762" spans="1:15">
      <c r="A1762" s="79">
        <v>46319</v>
      </c>
      <c r="B1762" s="8">
        <f t="shared" si="259"/>
        <v>0</v>
      </c>
      <c r="D1762" s="131">
        <f t="shared" si="256"/>
        <v>0</v>
      </c>
      <c r="E1762" s="8">
        <f t="shared" si="257"/>
        <v>0</v>
      </c>
      <c r="G1762" s="130">
        <f t="shared" si="254"/>
        <v>0</v>
      </c>
      <c r="H1762" s="131">
        <f t="shared" si="253"/>
        <v>0</v>
      </c>
      <c r="I1762" s="8">
        <f t="shared" ca="1" si="258"/>
        <v>0</v>
      </c>
      <c r="J1762" s="8">
        <f t="shared" ca="1" si="260"/>
        <v>0</v>
      </c>
      <c r="K1762" s="130">
        <f t="shared" ca="1" si="255"/>
        <v>0</v>
      </c>
      <c r="O1762" s="130">
        <f t="shared" ca="1" si="261"/>
        <v>0</v>
      </c>
    </row>
    <row r="1763" spans="1:15">
      <c r="A1763" s="79">
        <v>46320</v>
      </c>
      <c r="B1763" s="8">
        <f t="shared" si="259"/>
        <v>0</v>
      </c>
      <c r="D1763" s="131">
        <f t="shared" si="256"/>
        <v>0</v>
      </c>
      <c r="E1763" s="8">
        <f t="shared" si="257"/>
        <v>0</v>
      </c>
      <c r="G1763" s="130">
        <f t="shared" si="254"/>
        <v>0</v>
      </c>
      <c r="H1763" s="131">
        <f t="shared" ref="H1763:H1768" si="262">D1763+G1763</f>
        <v>0</v>
      </c>
      <c r="I1763" s="8">
        <f t="shared" ca="1" si="258"/>
        <v>0</v>
      </c>
      <c r="J1763" s="8">
        <f t="shared" ca="1" si="260"/>
        <v>0</v>
      </c>
      <c r="K1763" s="130">
        <f t="shared" ca="1" si="255"/>
        <v>0</v>
      </c>
      <c r="O1763" s="130">
        <f t="shared" ca="1" si="261"/>
        <v>0</v>
      </c>
    </row>
    <row r="1764" spans="1:15">
      <c r="A1764" s="79">
        <v>46321</v>
      </c>
      <c r="B1764" s="8">
        <f t="shared" si="259"/>
        <v>0</v>
      </c>
      <c r="D1764" s="131">
        <f t="shared" si="256"/>
        <v>0</v>
      </c>
      <c r="E1764" s="8">
        <f t="shared" si="257"/>
        <v>0</v>
      </c>
      <c r="G1764" s="130">
        <f t="shared" si="254"/>
        <v>0</v>
      </c>
      <c r="H1764" s="131">
        <f t="shared" si="262"/>
        <v>0</v>
      </c>
      <c r="I1764" s="8">
        <f t="shared" ca="1" si="258"/>
        <v>0</v>
      </c>
      <c r="J1764" s="8">
        <f t="shared" ca="1" si="260"/>
        <v>0</v>
      </c>
      <c r="K1764" s="130">
        <f t="shared" ca="1" si="255"/>
        <v>0</v>
      </c>
      <c r="O1764" s="130">
        <f t="shared" ca="1" si="261"/>
        <v>0</v>
      </c>
    </row>
    <row r="1765" spans="1:15">
      <c r="A1765" s="79">
        <v>46322</v>
      </c>
      <c r="B1765" s="8">
        <f t="shared" si="259"/>
        <v>0</v>
      </c>
      <c r="D1765" s="131">
        <f t="shared" si="256"/>
        <v>0</v>
      </c>
      <c r="E1765" s="8">
        <f t="shared" si="257"/>
        <v>0</v>
      </c>
      <c r="G1765" s="130">
        <f t="shared" ref="G1765:G1768" si="263">F1765-E1765</f>
        <v>0</v>
      </c>
      <c r="H1765" s="131">
        <f t="shared" si="262"/>
        <v>0</v>
      </c>
      <c r="I1765" s="8">
        <f t="shared" ca="1" si="258"/>
        <v>0</v>
      </c>
      <c r="J1765" s="8">
        <f t="shared" ca="1" si="260"/>
        <v>0</v>
      </c>
      <c r="K1765" s="130">
        <f t="shared" ref="K1765:K1768" ca="1" si="264">J1765-I1765</f>
        <v>0</v>
      </c>
      <c r="O1765" s="130">
        <f t="shared" ca="1" si="261"/>
        <v>0</v>
      </c>
    </row>
    <row r="1766" spans="1:15">
      <c r="A1766" s="79">
        <v>46323</v>
      </c>
      <c r="B1766" s="8">
        <f t="shared" si="259"/>
        <v>0</v>
      </c>
      <c r="D1766" s="131">
        <f t="shared" ref="D1766:D1768" si="265">C1766-B1766</f>
        <v>0</v>
      </c>
      <c r="E1766" s="8">
        <f t="shared" ref="E1766:E1768" si="266">F1765</f>
        <v>0</v>
      </c>
      <c r="G1766" s="130">
        <f t="shared" si="263"/>
        <v>0</v>
      </c>
      <c r="H1766" s="131">
        <f t="shared" si="262"/>
        <v>0</v>
      </c>
      <c r="I1766" s="8">
        <f t="shared" ref="I1766:I1768" ca="1" si="267">J1765</f>
        <v>0</v>
      </c>
      <c r="J1766" s="8">
        <f t="shared" ca="1" si="260"/>
        <v>0</v>
      </c>
      <c r="K1766" s="130">
        <f t="shared" ca="1" si="264"/>
        <v>0</v>
      </c>
      <c r="O1766" s="130">
        <f t="shared" ca="1" si="261"/>
        <v>0</v>
      </c>
    </row>
    <row r="1767" spans="1:15">
      <c r="A1767" s="79">
        <v>46324</v>
      </c>
      <c r="B1767" s="8">
        <f t="shared" si="259"/>
        <v>0</v>
      </c>
      <c r="D1767" s="131">
        <f t="shared" si="265"/>
        <v>0</v>
      </c>
      <c r="E1767" s="8">
        <f t="shared" si="266"/>
        <v>0</v>
      </c>
      <c r="G1767" s="130">
        <f t="shared" si="263"/>
        <v>0</v>
      </c>
      <c r="H1767" s="131">
        <f t="shared" si="262"/>
        <v>0</v>
      </c>
      <c r="I1767" s="8">
        <f t="shared" ca="1" si="267"/>
        <v>0</v>
      </c>
      <c r="J1767" s="8">
        <f t="shared" ca="1" si="260"/>
        <v>0</v>
      </c>
      <c r="K1767" s="130">
        <f t="shared" ca="1" si="264"/>
        <v>0</v>
      </c>
      <c r="O1767" s="130">
        <f t="shared" ca="1" si="261"/>
        <v>0</v>
      </c>
    </row>
    <row r="1768" spans="1:15">
      <c r="A1768" s="79">
        <v>46325</v>
      </c>
      <c r="B1768" s="8">
        <f t="shared" si="259"/>
        <v>0</v>
      </c>
      <c r="D1768" s="131">
        <f t="shared" si="265"/>
        <v>0</v>
      </c>
      <c r="E1768" s="8">
        <f t="shared" si="266"/>
        <v>0</v>
      </c>
      <c r="G1768" s="130">
        <f t="shared" si="263"/>
        <v>0</v>
      </c>
      <c r="H1768" s="131">
        <f t="shared" si="262"/>
        <v>0</v>
      </c>
      <c r="I1768" s="8">
        <f t="shared" ca="1" si="267"/>
        <v>0</v>
      </c>
      <c r="J1768" s="8">
        <f t="shared" ca="1" si="260"/>
        <v>0</v>
      </c>
      <c r="K1768" s="130">
        <f t="shared" ca="1" si="264"/>
        <v>0</v>
      </c>
      <c r="O1768" s="130">
        <f t="shared" ca="1" si="261"/>
        <v>0</v>
      </c>
    </row>
  </sheetData>
  <mergeCells count="5">
    <mergeCell ref="P1:Q1"/>
    <mergeCell ref="B1:D1"/>
    <mergeCell ref="E1:G1"/>
    <mergeCell ref="I1:K1"/>
    <mergeCell ref="L1:N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71"/>
  <sheetViews>
    <sheetView topLeftCell="A2165" zoomScaleNormal="100" workbookViewId="0">
      <selection activeCell="C2170" sqref="C2170"/>
    </sheetView>
  </sheetViews>
  <sheetFormatPr defaultColWidth="9" defaultRowHeight="14.5"/>
  <cols>
    <col min="1" max="1" width="8.26953125" customWidth="1"/>
    <col min="2" max="2" width="14.453125" customWidth="1"/>
    <col min="3" max="3" width="11.81640625" customWidth="1"/>
    <col min="4" max="4" width="11.453125" customWidth="1"/>
    <col min="5" max="5" width="10.7265625" customWidth="1"/>
    <col min="6" max="6" width="12.1796875" customWidth="1"/>
    <col min="9" max="9" width="14.81640625" customWidth="1"/>
    <col min="10" max="10" width="3.7265625" customWidth="1"/>
    <col min="11" max="11" width="83.1796875" customWidth="1"/>
  </cols>
  <sheetData>
    <row r="1" spans="1:7">
      <c r="A1" t="s">
        <v>13</v>
      </c>
      <c r="B1" t="s">
        <v>14</v>
      </c>
      <c r="G1" t="s">
        <v>15</v>
      </c>
    </row>
    <row r="2" spans="1:7">
      <c r="A2" t="s">
        <v>16</v>
      </c>
    </row>
    <row r="3" spans="1:7">
      <c r="A3" t="s">
        <v>17</v>
      </c>
    </row>
    <row r="4" spans="1:7">
      <c r="A4" t="s">
        <v>18</v>
      </c>
    </row>
    <row r="5" spans="1:7">
      <c r="A5" t="s">
        <v>19</v>
      </c>
      <c r="C5" t="s">
        <v>32</v>
      </c>
    </row>
    <row r="6" spans="1:7">
      <c r="D6" t="s">
        <v>20</v>
      </c>
    </row>
    <row r="7" spans="1:7">
      <c r="B7" t="s">
        <v>21</v>
      </c>
    </row>
    <row r="8" spans="1:7">
      <c r="B8" t="s">
        <v>22</v>
      </c>
    </row>
    <row r="9" spans="1:7">
      <c r="B9" t="s">
        <v>23</v>
      </c>
    </row>
    <row r="10" spans="1:7">
      <c r="B10" t="s">
        <v>25</v>
      </c>
    </row>
    <row r="11" spans="1:7" ht="15.5">
      <c r="B11" t="s">
        <v>24</v>
      </c>
      <c r="C11" t="s">
        <v>26</v>
      </c>
      <c r="F11" s="1"/>
    </row>
    <row r="12" spans="1:7">
      <c r="B12" t="s">
        <v>30</v>
      </c>
    </row>
    <row r="13" spans="1:7">
      <c r="B13" t="s">
        <v>27</v>
      </c>
      <c r="C13" t="s">
        <v>28</v>
      </c>
      <c r="G13" s="2"/>
    </row>
    <row r="14" spans="1:7">
      <c r="B14" t="s">
        <v>29</v>
      </c>
      <c r="G14" s="2"/>
    </row>
    <row r="15" spans="1:7">
      <c r="B15" t="s">
        <v>31</v>
      </c>
    </row>
    <row r="16" spans="1:7">
      <c r="C16" t="s">
        <v>33</v>
      </c>
      <c r="E16" t="s">
        <v>46</v>
      </c>
    </row>
    <row r="17" spans="1:11">
      <c r="D17" t="s">
        <v>34</v>
      </c>
      <c r="K17" t="s">
        <v>39</v>
      </c>
    </row>
    <row r="18" spans="1:11">
      <c r="A18">
        <v>1</v>
      </c>
      <c r="B18" t="s">
        <v>35</v>
      </c>
      <c r="J18">
        <v>1</v>
      </c>
      <c r="K18" t="s">
        <v>40</v>
      </c>
    </row>
    <row r="19" spans="1:11">
      <c r="C19" t="s">
        <v>36</v>
      </c>
      <c r="K19" t="s">
        <v>41</v>
      </c>
    </row>
    <row r="20" spans="1:11">
      <c r="C20">
        <v>-10608002</v>
      </c>
      <c r="K20">
        <v>10408048</v>
      </c>
    </row>
    <row r="21" spans="1:11">
      <c r="C21">
        <v>10608014</v>
      </c>
      <c r="J21" t="s">
        <v>42</v>
      </c>
    </row>
    <row r="22" spans="1:11">
      <c r="C22">
        <v>10603403</v>
      </c>
      <c r="J22" t="s">
        <v>43</v>
      </c>
    </row>
    <row r="23" spans="1:11">
      <c r="A23">
        <v>2</v>
      </c>
      <c r="B23" t="s">
        <v>37</v>
      </c>
      <c r="J23" t="s">
        <v>44</v>
      </c>
    </row>
    <row r="24" spans="1:11">
      <c r="A24">
        <v>3</v>
      </c>
      <c r="B24" t="s">
        <v>38</v>
      </c>
      <c r="J24" t="s">
        <v>45</v>
      </c>
    </row>
    <row r="26" spans="1:11">
      <c r="C26" s="5"/>
      <c r="E26" s="5" t="s">
        <v>47</v>
      </c>
      <c r="G26" s="5"/>
    </row>
    <row r="27" spans="1:11" ht="15.5">
      <c r="C27" s="4" t="s">
        <v>48</v>
      </c>
      <c r="D27" s="4" t="s">
        <v>49</v>
      </c>
      <c r="F27" s="4" t="s">
        <v>51</v>
      </c>
      <c r="G27" s="6"/>
    </row>
    <row r="28" spans="1:11">
      <c r="D28" s="4" t="s">
        <v>50</v>
      </c>
      <c r="H28" s="4" t="s">
        <v>55</v>
      </c>
    </row>
    <row r="29" spans="1:11">
      <c r="D29" s="4" t="s">
        <v>52</v>
      </c>
      <c r="E29" s="7" t="s">
        <v>60</v>
      </c>
      <c r="F29" s="3"/>
      <c r="H29" s="4" t="s">
        <v>27</v>
      </c>
      <c r="I29" s="4" t="s">
        <v>59</v>
      </c>
    </row>
    <row r="30" spans="1:11">
      <c r="D30" s="4" t="s">
        <v>24</v>
      </c>
      <c r="E30" s="4" t="s">
        <v>61</v>
      </c>
    </row>
    <row r="31" spans="1:11">
      <c r="D31" s="4" t="s">
        <v>53</v>
      </c>
      <c r="H31" s="4" t="s">
        <v>9</v>
      </c>
    </row>
    <row r="32" spans="1:11">
      <c r="D32" s="4" t="s">
        <v>54</v>
      </c>
      <c r="E32" s="4" t="s">
        <v>62</v>
      </c>
      <c r="H32" s="4" t="s">
        <v>27</v>
      </c>
      <c r="I32" s="4" t="s">
        <v>57</v>
      </c>
    </row>
    <row r="33" spans="4:13">
      <c r="D33" s="4" t="s">
        <v>81</v>
      </c>
      <c r="H33" s="4" t="s">
        <v>56</v>
      </c>
      <c r="I33" s="4" t="s">
        <v>58</v>
      </c>
    </row>
    <row r="36" spans="4:13">
      <c r="E36" s="4" t="s">
        <v>63</v>
      </c>
    </row>
    <row r="37" spans="4:13">
      <c r="D37" s="4" t="s">
        <v>2</v>
      </c>
      <c r="K37" s="4" t="s">
        <v>1</v>
      </c>
    </row>
    <row r="38" spans="4:13">
      <c r="D38" s="4" t="s">
        <v>70</v>
      </c>
      <c r="J38" s="4" t="s">
        <v>68</v>
      </c>
    </row>
    <row r="39" spans="4:13">
      <c r="D39" s="4" t="s">
        <v>64</v>
      </c>
      <c r="J39" s="4" t="s">
        <v>80</v>
      </c>
    </row>
    <row r="40" spans="4:13">
      <c r="D40" s="4" t="s">
        <v>65</v>
      </c>
    </row>
    <row r="41" spans="4:13">
      <c r="D41" s="4" t="s">
        <v>66</v>
      </c>
    </row>
    <row r="42" spans="4:13">
      <c r="D42" s="4" t="s">
        <v>67</v>
      </c>
    </row>
    <row r="44" spans="4:13">
      <c r="D44" s="4" t="s">
        <v>9</v>
      </c>
      <c r="J44" s="4" t="s">
        <v>6</v>
      </c>
    </row>
    <row r="45" spans="4:13">
      <c r="D45" s="4" t="s">
        <v>69</v>
      </c>
      <c r="E45" s="4"/>
      <c r="F45" s="4" t="s">
        <v>71</v>
      </c>
      <c r="J45" s="4" t="s">
        <v>75</v>
      </c>
      <c r="K45" s="4" t="s">
        <v>76</v>
      </c>
    </row>
    <row r="46" spans="4:13">
      <c r="D46" s="4" t="s">
        <v>72</v>
      </c>
      <c r="J46" s="4" t="s">
        <v>77</v>
      </c>
      <c r="M46" s="4" t="s">
        <v>79</v>
      </c>
    </row>
    <row r="47" spans="4:13">
      <c r="D47" s="4" t="s">
        <v>73</v>
      </c>
      <c r="J47" s="4" t="s">
        <v>78</v>
      </c>
    </row>
    <row r="48" spans="4:13">
      <c r="D48" s="4" t="s">
        <v>74</v>
      </c>
    </row>
    <row r="50" spans="1:13">
      <c r="E50" s="4" t="s">
        <v>82</v>
      </c>
    </row>
    <row r="51" spans="1:13">
      <c r="D51" s="4" t="s">
        <v>83</v>
      </c>
    </row>
    <row r="52" spans="1:13">
      <c r="D52" s="4" t="s">
        <v>84</v>
      </c>
      <c r="E52" s="4" t="s">
        <v>85</v>
      </c>
      <c r="F52" s="4" t="s">
        <v>86</v>
      </c>
      <c r="G52" s="4" t="s">
        <v>87</v>
      </c>
      <c r="H52" s="4"/>
    </row>
    <row r="53" spans="1:13">
      <c r="D53" s="4" t="s">
        <v>88</v>
      </c>
    </row>
    <row r="54" spans="1:13">
      <c r="D54" s="4" t="s">
        <v>89</v>
      </c>
    </row>
    <row r="55" spans="1:13">
      <c r="D55" s="4" t="s">
        <v>90</v>
      </c>
    </row>
    <row r="56" spans="1:13">
      <c r="D56" s="4" t="s">
        <v>91</v>
      </c>
    </row>
    <row r="57" spans="1:13">
      <c r="D57" s="4" t="s">
        <v>92</v>
      </c>
    </row>
    <row r="59" spans="1:13">
      <c r="B59" t="s">
        <v>93</v>
      </c>
    </row>
    <row r="60" spans="1:13">
      <c r="A60">
        <v>1</v>
      </c>
      <c r="B60" t="s">
        <v>94</v>
      </c>
    </row>
    <row r="61" spans="1:13">
      <c r="B61" t="s">
        <v>9</v>
      </c>
      <c r="F61" t="s">
        <v>6</v>
      </c>
      <c r="I61" t="s">
        <v>1</v>
      </c>
      <c r="M61" t="s">
        <v>2</v>
      </c>
    </row>
    <row r="62" spans="1:13">
      <c r="B62" t="s">
        <v>95</v>
      </c>
      <c r="F62" t="s">
        <v>98</v>
      </c>
      <c r="I62" t="s">
        <v>100</v>
      </c>
      <c r="M62" t="s">
        <v>104</v>
      </c>
    </row>
    <row r="63" spans="1:13">
      <c r="B63" t="s">
        <v>96</v>
      </c>
      <c r="F63" t="s">
        <v>99</v>
      </c>
      <c r="I63" t="s">
        <v>101</v>
      </c>
      <c r="K63" t="s">
        <v>102</v>
      </c>
      <c r="M63" t="s">
        <v>105</v>
      </c>
    </row>
    <row r="64" spans="1:13">
      <c r="B64" t="s">
        <v>97</v>
      </c>
      <c r="I64" t="s">
        <v>103</v>
      </c>
      <c r="M64" t="s">
        <v>106</v>
      </c>
    </row>
    <row r="65" spans="1:13">
      <c r="M65" t="s">
        <v>107</v>
      </c>
    </row>
    <row r="66" spans="1:13">
      <c r="A66">
        <v>2</v>
      </c>
      <c r="C66" t="s">
        <v>108</v>
      </c>
    </row>
    <row r="67" spans="1:13">
      <c r="A67">
        <v>1</v>
      </c>
      <c r="B67" t="s">
        <v>109</v>
      </c>
      <c r="I67" t="s">
        <v>121</v>
      </c>
      <c r="J67" t="s">
        <v>127</v>
      </c>
    </row>
    <row r="68" spans="1:13">
      <c r="B68" t="s">
        <v>110</v>
      </c>
      <c r="C68" t="s">
        <v>111</v>
      </c>
      <c r="D68" t="s">
        <v>112</v>
      </c>
      <c r="E68" t="s">
        <v>113</v>
      </c>
      <c r="H68">
        <v>1</v>
      </c>
      <c r="I68" t="s">
        <v>122</v>
      </c>
    </row>
    <row r="69" spans="1:13">
      <c r="A69">
        <v>2</v>
      </c>
      <c r="B69" t="s">
        <v>114</v>
      </c>
      <c r="E69">
        <v>15</v>
      </c>
      <c r="F69" t="s">
        <v>120</v>
      </c>
      <c r="H69">
        <v>2</v>
      </c>
      <c r="I69" t="s">
        <v>123</v>
      </c>
    </row>
    <row r="70" spans="1:13">
      <c r="D70" t="s">
        <v>115</v>
      </c>
      <c r="E70">
        <v>12</v>
      </c>
      <c r="F70" t="s">
        <v>120</v>
      </c>
      <c r="H70" t="s">
        <v>124</v>
      </c>
    </row>
    <row r="71" spans="1:13">
      <c r="A71">
        <v>3</v>
      </c>
      <c r="B71" t="s">
        <v>116</v>
      </c>
      <c r="F71">
        <v>1</v>
      </c>
      <c r="H71" t="s">
        <v>125</v>
      </c>
    </row>
    <row r="72" spans="1:13">
      <c r="D72" t="s">
        <v>117</v>
      </c>
      <c r="F72">
        <v>2</v>
      </c>
      <c r="H72" t="s">
        <v>126</v>
      </c>
    </row>
    <row r="73" spans="1:13">
      <c r="A73" t="s">
        <v>118</v>
      </c>
      <c r="D73" t="s">
        <v>119</v>
      </c>
    </row>
    <row r="75" spans="1:13">
      <c r="C75" t="s">
        <v>128</v>
      </c>
    </row>
    <row r="76" spans="1:13">
      <c r="B76" t="s">
        <v>129</v>
      </c>
    </row>
    <row r="77" spans="1:13">
      <c r="B77" t="s">
        <v>130</v>
      </c>
      <c r="G77" t="s">
        <v>132</v>
      </c>
    </row>
    <row r="78" spans="1:13">
      <c r="B78" t="s">
        <v>131</v>
      </c>
    </row>
    <row r="79" spans="1:13">
      <c r="E79" t="s">
        <v>160</v>
      </c>
    </row>
    <row r="80" spans="1:13">
      <c r="D80" t="s">
        <v>138</v>
      </c>
      <c r="J80" t="s">
        <v>33</v>
      </c>
    </row>
    <row r="81" spans="2:14">
      <c r="B81">
        <v>1</v>
      </c>
      <c r="C81" t="s">
        <v>139</v>
      </c>
      <c r="I81">
        <v>1</v>
      </c>
      <c r="J81" t="s">
        <v>140</v>
      </c>
      <c r="L81" t="s">
        <v>141</v>
      </c>
    </row>
    <row r="82" spans="2:14">
      <c r="E82" t="s">
        <v>142</v>
      </c>
      <c r="K82">
        <v>2</v>
      </c>
      <c r="L82" t="s">
        <v>143</v>
      </c>
    </row>
    <row r="83" spans="2:14">
      <c r="E83" t="s">
        <v>144</v>
      </c>
      <c r="I83">
        <v>2</v>
      </c>
      <c r="J83" t="s">
        <v>145</v>
      </c>
    </row>
    <row r="84" spans="2:14">
      <c r="E84" t="s">
        <v>146</v>
      </c>
      <c r="I84" t="s">
        <v>147</v>
      </c>
    </row>
    <row r="85" spans="2:14">
      <c r="B85">
        <v>2</v>
      </c>
      <c r="C85" t="s">
        <v>148</v>
      </c>
      <c r="G85" t="s">
        <v>149</v>
      </c>
      <c r="I85">
        <v>4</v>
      </c>
      <c r="J85" t="s">
        <v>150</v>
      </c>
    </row>
    <row r="86" spans="2:14">
      <c r="B86">
        <v>3</v>
      </c>
      <c r="C86" t="s">
        <v>151</v>
      </c>
      <c r="I86">
        <v>5</v>
      </c>
      <c r="J86" t="s">
        <v>152</v>
      </c>
    </row>
    <row r="87" spans="2:14">
      <c r="F87" t="s">
        <v>153</v>
      </c>
    </row>
    <row r="88" spans="2:14">
      <c r="B88">
        <v>4</v>
      </c>
      <c r="C88" t="s">
        <v>154</v>
      </c>
    </row>
    <row r="89" spans="2:14">
      <c r="D89" t="s">
        <v>155</v>
      </c>
    </row>
    <row r="90" spans="2:14">
      <c r="B90">
        <v>1</v>
      </c>
      <c r="C90" t="s">
        <v>156</v>
      </c>
      <c r="M90" t="s">
        <v>157</v>
      </c>
      <c r="N90" t="s">
        <v>158</v>
      </c>
    </row>
    <row r="91" spans="2:14">
      <c r="C91" t="s">
        <v>159</v>
      </c>
    </row>
    <row r="94" spans="2:14">
      <c r="D94" t="s">
        <v>164</v>
      </c>
    </row>
    <row r="95" spans="2:14">
      <c r="C95">
        <v>1</v>
      </c>
      <c r="D95" t="s">
        <v>165</v>
      </c>
    </row>
    <row r="96" spans="2:14">
      <c r="B96">
        <v>1</v>
      </c>
      <c r="C96" t="s">
        <v>166</v>
      </c>
      <c r="G96">
        <v>2</v>
      </c>
      <c r="H96" t="s">
        <v>2</v>
      </c>
    </row>
    <row r="97" spans="2:8">
      <c r="C97" t="s">
        <v>167</v>
      </c>
      <c r="G97" t="s">
        <v>169</v>
      </c>
    </row>
    <row r="98" spans="2:8">
      <c r="C98" t="s">
        <v>168</v>
      </c>
      <c r="G98" t="s">
        <v>170</v>
      </c>
    </row>
    <row r="100" spans="2:8">
      <c r="B100">
        <v>3</v>
      </c>
      <c r="C100" t="s">
        <v>6</v>
      </c>
      <c r="G100">
        <v>4</v>
      </c>
      <c r="H100" t="s">
        <v>9</v>
      </c>
    </row>
    <row r="101" spans="2:8">
      <c r="C101" t="s">
        <v>171</v>
      </c>
      <c r="G101" t="s">
        <v>173</v>
      </c>
    </row>
    <row r="102" spans="2:8">
      <c r="C102" t="s">
        <v>172</v>
      </c>
      <c r="G102" t="s">
        <v>174</v>
      </c>
    </row>
    <row r="104" spans="2:8">
      <c r="C104">
        <v>2</v>
      </c>
      <c r="D104" t="s">
        <v>175</v>
      </c>
    </row>
    <row r="105" spans="2:8">
      <c r="C105" t="s">
        <v>176</v>
      </c>
    </row>
    <row r="106" spans="2:8">
      <c r="C106" t="s">
        <v>178</v>
      </c>
      <c r="E106" t="s">
        <v>179</v>
      </c>
    </row>
    <row r="107" spans="2:8">
      <c r="C107" t="s">
        <v>177</v>
      </c>
    </row>
    <row r="108" spans="2:8">
      <c r="D108" t="s">
        <v>180</v>
      </c>
    </row>
    <row r="109" spans="2:8">
      <c r="B109">
        <v>1</v>
      </c>
      <c r="C109" t="s">
        <v>181</v>
      </c>
    </row>
    <row r="110" spans="2:8">
      <c r="B110">
        <v>2</v>
      </c>
      <c r="C110" t="s">
        <v>182</v>
      </c>
    </row>
    <row r="111" spans="2:8">
      <c r="B111">
        <v>3</v>
      </c>
      <c r="C111" t="s">
        <v>183</v>
      </c>
    </row>
    <row r="113" spans="2:13">
      <c r="C113" t="s">
        <v>184</v>
      </c>
    </row>
    <row r="114" spans="2:13">
      <c r="B114" t="s">
        <v>185</v>
      </c>
    </row>
    <row r="115" spans="2:13">
      <c r="B115">
        <v>2</v>
      </c>
      <c r="C115" t="s">
        <v>186</v>
      </c>
    </row>
    <row r="116" spans="2:13">
      <c r="B116">
        <v>3</v>
      </c>
      <c r="C116" t="s">
        <v>187</v>
      </c>
    </row>
    <row r="117" spans="2:13">
      <c r="B117">
        <v>4</v>
      </c>
      <c r="C117" t="s">
        <v>188</v>
      </c>
    </row>
    <row r="119" spans="2:13">
      <c r="C119" t="s">
        <v>189</v>
      </c>
    </row>
    <row r="120" spans="2:13">
      <c r="D120" t="s">
        <v>190</v>
      </c>
    </row>
    <row r="121" spans="2:13">
      <c r="C121" t="s">
        <v>6</v>
      </c>
      <c r="F121" t="s">
        <v>9</v>
      </c>
      <c r="J121" t="s">
        <v>2</v>
      </c>
    </row>
    <row r="122" spans="2:13">
      <c r="C122" t="s">
        <v>191</v>
      </c>
      <c r="D122" t="s">
        <v>193</v>
      </c>
      <c r="F122" t="s">
        <v>195</v>
      </c>
      <c r="J122" t="s">
        <v>206</v>
      </c>
      <c r="M122" t="s">
        <v>209</v>
      </c>
    </row>
    <row r="123" spans="2:13">
      <c r="C123" t="s">
        <v>192</v>
      </c>
      <c r="D123" t="s">
        <v>194</v>
      </c>
      <c r="F123" t="s">
        <v>196</v>
      </c>
      <c r="J123" t="s">
        <v>207</v>
      </c>
    </row>
    <row r="124" spans="2:13">
      <c r="J124" t="s">
        <v>208</v>
      </c>
    </row>
    <row r="125" spans="2:13">
      <c r="D125" t="s">
        <v>197</v>
      </c>
    </row>
    <row r="126" spans="2:13">
      <c r="B126">
        <v>1</v>
      </c>
      <c r="C126" t="s">
        <v>198</v>
      </c>
    </row>
    <row r="127" spans="2:13">
      <c r="C127" t="s">
        <v>199</v>
      </c>
      <c r="D127" t="s">
        <v>9</v>
      </c>
      <c r="E127" t="s">
        <v>6</v>
      </c>
    </row>
    <row r="128" spans="2:13">
      <c r="C128" t="s">
        <v>200</v>
      </c>
      <c r="D128" t="s">
        <v>200</v>
      </c>
      <c r="E128" t="s">
        <v>201</v>
      </c>
    </row>
    <row r="130" spans="2:4">
      <c r="B130">
        <v>2</v>
      </c>
      <c r="C130" t="s">
        <v>202</v>
      </c>
    </row>
    <row r="131" spans="2:4">
      <c r="C131" t="s">
        <v>9</v>
      </c>
      <c r="D131" t="s">
        <v>6</v>
      </c>
    </row>
    <row r="132" spans="2:4">
      <c r="C132" t="s">
        <v>201</v>
      </c>
      <c r="D132" t="s">
        <v>201</v>
      </c>
    </row>
    <row r="133" spans="2:4">
      <c r="B133">
        <v>3</v>
      </c>
      <c r="C133" t="s">
        <v>203</v>
      </c>
    </row>
    <row r="134" spans="2:4">
      <c r="C134" t="s">
        <v>204</v>
      </c>
      <c r="D134" t="s">
        <v>205</v>
      </c>
    </row>
    <row r="135" spans="2:4">
      <c r="B135">
        <v>4</v>
      </c>
      <c r="C135" t="s">
        <v>210</v>
      </c>
    </row>
    <row r="136" spans="2:4">
      <c r="B136">
        <v>5</v>
      </c>
      <c r="C136" t="s">
        <v>211</v>
      </c>
    </row>
    <row r="138" spans="2:4">
      <c r="D138" t="s">
        <v>212</v>
      </c>
    </row>
    <row r="139" spans="2:4">
      <c r="B139">
        <v>1</v>
      </c>
      <c r="C139" t="s">
        <v>37</v>
      </c>
    </row>
    <row r="140" spans="2:4">
      <c r="B140">
        <v>2</v>
      </c>
      <c r="C140" t="s">
        <v>213</v>
      </c>
    </row>
    <row r="141" spans="2:4">
      <c r="B141">
        <v>3</v>
      </c>
      <c r="C141" t="s">
        <v>214</v>
      </c>
    </row>
    <row r="142" spans="2:4">
      <c r="B142">
        <v>4</v>
      </c>
      <c r="C142" t="s">
        <v>215</v>
      </c>
    </row>
    <row r="143" spans="2:4">
      <c r="B143">
        <v>5</v>
      </c>
      <c r="C143" t="s">
        <v>216</v>
      </c>
    </row>
    <row r="144" spans="2:4">
      <c r="B144">
        <v>6</v>
      </c>
      <c r="C144" t="s">
        <v>217</v>
      </c>
    </row>
    <row r="145" spans="2:12">
      <c r="B145">
        <v>7</v>
      </c>
      <c r="C145" t="s">
        <v>218</v>
      </c>
    </row>
    <row r="147" spans="2:12">
      <c r="D147" t="s">
        <v>219</v>
      </c>
    </row>
    <row r="148" spans="2:12">
      <c r="D148" t="s">
        <v>220</v>
      </c>
    </row>
    <row r="149" spans="2:12">
      <c r="B149">
        <v>1</v>
      </c>
      <c r="C149" t="s">
        <v>49</v>
      </c>
    </row>
    <row r="150" spans="2:12">
      <c r="C150" t="s">
        <v>6</v>
      </c>
      <c r="E150" t="s">
        <v>9</v>
      </c>
      <c r="I150" t="s">
        <v>1</v>
      </c>
    </row>
    <row r="151" spans="2:12">
      <c r="C151" t="s">
        <v>230</v>
      </c>
      <c r="E151" t="s">
        <v>221</v>
      </c>
      <c r="I151" t="s">
        <v>222</v>
      </c>
      <c r="L151" t="s">
        <v>223</v>
      </c>
    </row>
    <row r="152" spans="2:12">
      <c r="C152" t="s">
        <v>226</v>
      </c>
    </row>
    <row r="154" spans="2:12">
      <c r="B154">
        <v>2</v>
      </c>
      <c r="C154" t="s">
        <v>227</v>
      </c>
    </row>
    <row r="155" spans="2:12">
      <c r="B155">
        <v>1</v>
      </c>
      <c r="C155" t="s">
        <v>224</v>
      </c>
    </row>
    <row r="156" spans="2:12">
      <c r="C156" t="s">
        <v>179</v>
      </c>
      <c r="D156" t="s">
        <v>205</v>
      </c>
    </row>
    <row r="157" spans="2:12">
      <c r="B157">
        <v>2</v>
      </c>
      <c r="C157" t="s">
        <v>225</v>
      </c>
    </row>
    <row r="158" spans="2:12">
      <c r="B158">
        <v>3</v>
      </c>
      <c r="C158" t="s">
        <v>228</v>
      </c>
    </row>
    <row r="159" spans="2:12">
      <c r="B159">
        <v>4</v>
      </c>
      <c r="C159" t="s">
        <v>225</v>
      </c>
    </row>
    <row r="160" spans="2:12">
      <c r="B160">
        <v>5</v>
      </c>
      <c r="C160" t="s">
        <v>229</v>
      </c>
    </row>
    <row r="161" spans="2:8">
      <c r="B161">
        <v>6</v>
      </c>
      <c r="C161" t="s">
        <v>231</v>
      </c>
    </row>
    <row r="163" spans="2:8">
      <c r="B163">
        <v>3</v>
      </c>
      <c r="C163" t="s">
        <v>232</v>
      </c>
    </row>
    <row r="164" spans="2:8">
      <c r="C164" t="s">
        <v>233</v>
      </c>
      <c r="H164" t="s">
        <v>234</v>
      </c>
    </row>
    <row r="165" spans="2:8">
      <c r="C165" t="s">
        <v>235</v>
      </c>
    </row>
    <row r="166" spans="2:8">
      <c r="C166" t="s">
        <v>236</v>
      </c>
    </row>
    <row r="167" spans="2:8">
      <c r="C167" t="s">
        <v>237</v>
      </c>
    </row>
    <row r="168" spans="2:8">
      <c r="C168" t="s">
        <v>238</v>
      </c>
    </row>
    <row r="171" spans="2:8">
      <c r="D171" s="14" t="s">
        <v>239</v>
      </c>
    </row>
    <row r="172" spans="2:8">
      <c r="D172" s="14" t="s">
        <v>240</v>
      </c>
    </row>
    <row r="173" spans="2:8">
      <c r="B173">
        <v>1</v>
      </c>
      <c r="C173" s="14" t="s">
        <v>94</v>
      </c>
    </row>
    <row r="174" spans="2:8">
      <c r="C174" s="14" t="s">
        <v>9</v>
      </c>
      <c r="H174" s="14" t="s">
        <v>6</v>
      </c>
    </row>
    <row r="175" spans="2:8">
      <c r="C175" s="14" t="s">
        <v>241</v>
      </c>
      <c r="H175" s="14" t="s">
        <v>244</v>
      </c>
    </row>
    <row r="176" spans="2:8">
      <c r="C176" s="14" t="s">
        <v>242</v>
      </c>
      <c r="H176" s="14" t="s">
        <v>245</v>
      </c>
    </row>
    <row r="177" spans="2:11">
      <c r="C177" s="14" t="s">
        <v>243</v>
      </c>
      <c r="H177" s="14" t="s">
        <v>246</v>
      </c>
    </row>
    <row r="178" spans="2:11">
      <c r="C178" s="14" t="s">
        <v>2</v>
      </c>
    </row>
    <row r="179" spans="2:11">
      <c r="C179" s="14" t="s">
        <v>241</v>
      </c>
    </row>
    <row r="180" spans="2:11">
      <c r="C180" s="14" t="s">
        <v>253</v>
      </c>
    </row>
    <row r="182" spans="2:11">
      <c r="B182">
        <v>2</v>
      </c>
      <c r="C182" s="14" t="s">
        <v>247</v>
      </c>
      <c r="D182" s="14" t="s">
        <v>248</v>
      </c>
    </row>
    <row r="183" spans="2:11">
      <c r="C183" s="14" t="s">
        <v>1</v>
      </c>
      <c r="K183" s="14" t="s">
        <v>6</v>
      </c>
    </row>
    <row r="184" spans="2:11">
      <c r="C184" s="14" t="s">
        <v>249</v>
      </c>
      <c r="K184" s="14" t="s">
        <v>257</v>
      </c>
    </row>
    <row r="185" spans="2:11">
      <c r="C185" s="14" t="s">
        <v>250</v>
      </c>
      <c r="K185" s="14" t="s">
        <v>258</v>
      </c>
    </row>
    <row r="186" spans="2:11">
      <c r="C186" s="14" t="s">
        <v>251</v>
      </c>
      <c r="K186" s="14" t="s">
        <v>259</v>
      </c>
    </row>
    <row r="187" spans="2:11">
      <c r="C187" s="14" t="s">
        <v>252</v>
      </c>
    </row>
    <row r="188" spans="2:11">
      <c r="C188" s="14" t="s">
        <v>2</v>
      </c>
      <c r="K188" s="14" t="s">
        <v>9</v>
      </c>
    </row>
    <row r="189" spans="2:11">
      <c r="C189" s="14" t="s">
        <v>254</v>
      </c>
      <c r="K189" s="14" t="s">
        <v>260</v>
      </c>
    </row>
    <row r="190" spans="2:11">
      <c r="C190" s="14" t="s">
        <v>255</v>
      </c>
      <c r="K190" s="14" t="s">
        <v>261</v>
      </c>
    </row>
    <row r="191" spans="2:11">
      <c r="C191" s="14" t="s">
        <v>256</v>
      </c>
      <c r="K191" s="14" t="s">
        <v>262</v>
      </c>
    </row>
    <row r="192" spans="2:11">
      <c r="K192" s="14" t="s">
        <v>263</v>
      </c>
    </row>
    <row r="194" spans="2:8">
      <c r="B194">
        <v>3</v>
      </c>
      <c r="C194" s="14" t="s">
        <v>264</v>
      </c>
    </row>
    <row r="195" spans="2:8">
      <c r="C195" s="14" t="s">
        <v>265</v>
      </c>
    </row>
    <row r="196" spans="2:8">
      <c r="C196" s="14" t="s">
        <v>266</v>
      </c>
      <c r="H196" s="14" t="s">
        <v>268</v>
      </c>
    </row>
    <row r="197" spans="2:8">
      <c r="C197" s="14" t="s">
        <v>267</v>
      </c>
      <c r="H197" s="14" t="s">
        <v>271</v>
      </c>
    </row>
    <row r="198" spans="2:8">
      <c r="C198" s="14" t="s">
        <v>269</v>
      </c>
    </row>
    <row r="199" spans="2:8">
      <c r="C199" s="14" t="s">
        <v>270</v>
      </c>
    </row>
    <row r="200" spans="2:8">
      <c r="C200" s="14" t="s">
        <v>272</v>
      </c>
    </row>
    <row r="202" spans="2:8">
      <c r="C202" s="14" t="s">
        <v>273</v>
      </c>
    </row>
    <row r="205" spans="2:8">
      <c r="C205" t="s">
        <v>276</v>
      </c>
    </row>
    <row r="206" spans="2:8">
      <c r="B206">
        <v>1</v>
      </c>
      <c r="C206" t="s">
        <v>94</v>
      </c>
    </row>
    <row r="207" spans="2:8">
      <c r="C207" t="s">
        <v>1</v>
      </c>
      <c r="G207" t="s">
        <v>2</v>
      </c>
    </row>
    <row r="208" spans="2:8">
      <c r="C208" t="s">
        <v>277</v>
      </c>
      <c r="G208" t="s">
        <v>278</v>
      </c>
    </row>
    <row r="209" spans="2:13">
      <c r="G209" t="s">
        <v>279</v>
      </c>
    </row>
    <row r="210" spans="2:13">
      <c r="C210" t="s">
        <v>6</v>
      </c>
      <c r="G210" t="s">
        <v>280</v>
      </c>
    </row>
    <row r="211" spans="2:13">
      <c r="C211" t="s">
        <v>282</v>
      </c>
      <c r="G211" t="s">
        <v>281</v>
      </c>
    </row>
    <row r="213" spans="2:13">
      <c r="C213" t="s">
        <v>9</v>
      </c>
    </row>
    <row r="214" spans="2:13">
      <c r="C214" t="s">
        <v>283</v>
      </c>
      <c r="F214" t="s">
        <v>284</v>
      </c>
    </row>
    <row r="216" spans="2:13">
      <c r="B216">
        <v>2</v>
      </c>
      <c r="C216" t="s">
        <v>227</v>
      </c>
    </row>
    <row r="217" spans="2:13">
      <c r="C217" t="s">
        <v>1</v>
      </c>
      <c r="J217" t="s">
        <v>2</v>
      </c>
    </row>
    <row r="218" spans="2:13">
      <c r="C218" t="s">
        <v>285</v>
      </c>
      <c r="J218" t="s">
        <v>309</v>
      </c>
      <c r="M218" t="s">
        <v>311</v>
      </c>
    </row>
    <row r="219" spans="2:13">
      <c r="C219" t="s">
        <v>286</v>
      </c>
      <c r="J219" t="s">
        <v>310</v>
      </c>
    </row>
    <row r="220" spans="2:13">
      <c r="C220" t="s">
        <v>287</v>
      </c>
    </row>
    <row r="221" spans="2:13">
      <c r="C221" t="s">
        <v>288</v>
      </c>
    </row>
    <row r="222" spans="2:13">
      <c r="C222" t="s">
        <v>9</v>
      </c>
      <c r="J222" t="s">
        <v>6</v>
      </c>
    </row>
    <row r="223" spans="2:13">
      <c r="C223" t="s">
        <v>289</v>
      </c>
      <c r="J223" t="s">
        <v>293</v>
      </c>
    </row>
    <row r="224" spans="2:13">
      <c r="C224" t="s">
        <v>290</v>
      </c>
      <c r="J224" t="s">
        <v>294</v>
      </c>
    </row>
    <row r="225" spans="2:10">
      <c r="C225" t="s">
        <v>291</v>
      </c>
      <c r="J225" t="s">
        <v>295</v>
      </c>
    </row>
    <row r="226" spans="2:10">
      <c r="C226" t="s">
        <v>292</v>
      </c>
      <c r="J226" t="s">
        <v>296</v>
      </c>
    </row>
    <row r="227" spans="2:10">
      <c r="C227" t="s">
        <v>285</v>
      </c>
    </row>
    <row r="229" spans="2:10">
      <c r="B229">
        <v>3</v>
      </c>
      <c r="C229" t="s">
        <v>297</v>
      </c>
      <c r="E229" t="s">
        <v>303</v>
      </c>
      <c r="J229" t="s">
        <v>304</v>
      </c>
    </row>
    <row r="230" spans="2:10">
      <c r="C230" t="s">
        <v>298</v>
      </c>
      <c r="J230" t="s">
        <v>305</v>
      </c>
    </row>
    <row r="231" spans="2:10">
      <c r="C231" t="s">
        <v>299</v>
      </c>
      <c r="J231" t="s">
        <v>306</v>
      </c>
    </row>
    <row r="232" spans="2:10">
      <c r="C232" t="s">
        <v>300</v>
      </c>
      <c r="J232" t="s">
        <v>307</v>
      </c>
    </row>
    <row r="233" spans="2:10">
      <c r="C233" t="s">
        <v>301</v>
      </c>
      <c r="J233" t="s">
        <v>308</v>
      </c>
    </row>
    <row r="234" spans="2:10">
      <c r="C234" t="s">
        <v>302</v>
      </c>
    </row>
    <row r="236" spans="2:10">
      <c r="B236">
        <v>4</v>
      </c>
      <c r="C236" t="s">
        <v>312</v>
      </c>
    </row>
    <row r="238" spans="2:10">
      <c r="B238">
        <v>1</v>
      </c>
      <c r="C238" t="s">
        <v>313</v>
      </c>
    </row>
    <row r="239" spans="2:10">
      <c r="C239" t="s">
        <v>94</v>
      </c>
    </row>
    <row r="240" spans="2:10">
      <c r="C240" t="s">
        <v>314</v>
      </c>
      <c r="F240" t="s">
        <v>304</v>
      </c>
    </row>
    <row r="241" spans="2:13">
      <c r="C241" t="s">
        <v>315</v>
      </c>
      <c r="F241" t="s">
        <v>319</v>
      </c>
    </row>
    <row r="242" spans="2:13">
      <c r="C242" t="s">
        <v>316</v>
      </c>
      <c r="F242" t="s">
        <v>320</v>
      </c>
    </row>
    <row r="243" spans="2:13">
      <c r="C243" t="s">
        <v>317</v>
      </c>
      <c r="F243" t="s">
        <v>321</v>
      </c>
    </row>
    <row r="244" spans="2:13">
      <c r="C244" t="s">
        <v>318</v>
      </c>
    </row>
    <row r="245" spans="2:13">
      <c r="B245">
        <v>2</v>
      </c>
      <c r="C245" t="s">
        <v>227</v>
      </c>
    </row>
    <row r="246" spans="2:13">
      <c r="C246" t="s">
        <v>314</v>
      </c>
      <c r="J246" t="s">
        <v>304</v>
      </c>
    </row>
    <row r="247" spans="2:13">
      <c r="C247" t="s">
        <v>322</v>
      </c>
      <c r="J247" t="s">
        <v>326</v>
      </c>
    </row>
    <row r="248" spans="2:13">
      <c r="C248" t="s">
        <v>323</v>
      </c>
      <c r="J248" t="s">
        <v>327</v>
      </c>
    </row>
    <row r="249" spans="2:13">
      <c r="C249" t="s">
        <v>324</v>
      </c>
      <c r="J249" t="s">
        <v>328</v>
      </c>
    </row>
    <row r="250" spans="2:13">
      <c r="C250" t="s">
        <v>325</v>
      </c>
      <c r="J250" t="s">
        <v>329</v>
      </c>
      <c r="M250" t="s">
        <v>330</v>
      </c>
    </row>
    <row r="251" spans="2:13">
      <c r="B251">
        <v>3</v>
      </c>
      <c r="C251" t="s">
        <v>297</v>
      </c>
    </row>
    <row r="252" spans="2:13">
      <c r="C252" t="s">
        <v>331</v>
      </c>
    </row>
    <row r="253" spans="2:13">
      <c r="C253" t="s">
        <v>332</v>
      </c>
      <c r="G253" t="s">
        <v>337</v>
      </c>
    </row>
    <row r="254" spans="2:13">
      <c r="C254" t="s">
        <v>333</v>
      </c>
    </row>
    <row r="255" spans="2:13">
      <c r="C255" t="s">
        <v>334</v>
      </c>
    </row>
    <row r="256" spans="2:13">
      <c r="C256" t="s">
        <v>335</v>
      </c>
    </row>
    <row r="257" spans="2:10">
      <c r="C257" t="s">
        <v>336</v>
      </c>
    </row>
    <row r="258" spans="2:10">
      <c r="C258" t="s">
        <v>338</v>
      </c>
    </row>
    <row r="260" spans="2:10">
      <c r="C260" t="s">
        <v>339</v>
      </c>
    </row>
    <row r="261" spans="2:10">
      <c r="B261">
        <v>1</v>
      </c>
      <c r="C261" t="s">
        <v>94</v>
      </c>
    </row>
    <row r="262" spans="2:10">
      <c r="C262" t="s">
        <v>314</v>
      </c>
      <c r="F262" t="s">
        <v>304</v>
      </c>
    </row>
    <row r="263" spans="2:10">
      <c r="C263" t="s">
        <v>340</v>
      </c>
      <c r="F263" t="s">
        <v>97</v>
      </c>
    </row>
    <row r="264" spans="2:10">
      <c r="C264" t="s">
        <v>341</v>
      </c>
      <c r="F264" t="s">
        <v>342</v>
      </c>
    </row>
    <row r="265" spans="2:10">
      <c r="F265" t="s">
        <v>343</v>
      </c>
    </row>
    <row r="266" spans="2:10">
      <c r="B266">
        <v>2</v>
      </c>
      <c r="C266" t="s">
        <v>227</v>
      </c>
    </row>
    <row r="267" spans="2:10">
      <c r="C267" t="s">
        <v>314</v>
      </c>
      <c r="J267" t="s">
        <v>349</v>
      </c>
    </row>
    <row r="268" spans="2:10">
      <c r="C268" t="s">
        <v>344</v>
      </c>
      <c r="J268" t="s">
        <v>350</v>
      </c>
    </row>
    <row r="269" spans="2:10">
      <c r="C269" t="s">
        <v>345</v>
      </c>
      <c r="J269" t="s">
        <v>351</v>
      </c>
    </row>
    <row r="270" spans="2:10">
      <c r="C270" t="s">
        <v>346</v>
      </c>
      <c r="J270" t="s">
        <v>352</v>
      </c>
    </row>
    <row r="271" spans="2:10">
      <c r="C271" t="s">
        <v>347</v>
      </c>
      <c r="J271" t="s">
        <v>353</v>
      </c>
    </row>
    <row r="272" spans="2:10">
      <c r="C272" t="s">
        <v>348</v>
      </c>
      <c r="J272" t="s">
        <v>354</v>
      </c>
    </row>
    <row r="273" spans="2:8">
      <c r="B273">
        <v>3</v>
      </c>
      <c r="C273" t="s">
        <v>355</v>
      </c>
    </row>
    <row r="274" spans="2:8">
      <c r="C274" t="s">
        <v>356</v>
      </c>
    </row>
    <row r="275" spans="2:8">
      <c r="C275" t="s">
        <v>357</v>
      </c>
    </row>
    <row r="276" spans="2:8">
      <c r="C276" t="s">
        <v>358</v>
      </c>
    </row>
    <row r="277" spans="2:8">
      <c r="C277" t="s">
        <v>359</v>
      </c>
    </row>
    <row r="279" spans="2:8">
      <c r="H279" s="15"/>
    </row>
    <row r="280" spans="2:8">
      <c r="C280" s="16" t="s">
        <v>362</v>
      </c>
      <c r="D280" s="16"/>
      <c r="E280" s="16"/>
      <c r="F280" s="16"/>
      <c r="G280" s="16"/>
    </row>
    <row r="281" spans="2:8">
      <c r="C281" s="16" t="s">
        <v>94</v>
      </c>
    </row>
    <row r="282" spans="2:8">
      <c r="C282" s="16" t="s">
        <v>363</v>
      </c>
      <c r="G282" s="16" t="s">
        <v>39</v>
      </c>
    </row>
    <row r="283" spans="2:8">
      <c r="C283" s="16" t="s">
        <v>364</v>
      </c>
      <c r="G283" s="16" t="s">
        <v>366</v>
      </c>
    </row>
    <row r="284" spans="2:8">
      <c r="C284" s="16" t="s">
        <v>365</v>
      </c>
      <c r="G284" s="16" t="s">
        <v>367</v>
      </c>
    </row>
    <row r="285" spans="2:8">
      <c r="C285" s="16" t="s">
        <v>370</v>
      </c>
      <c r="G285" s="16" t="s">
        <v>368</v>
      </c>
    </row>
    <row r="287" spans="2:8">
      <c r="C287" s="16" t="s">
        <v>369</v>
      </c>
    </row>
    <row r="288" spans="2:8">
      <c r="C288" s="16" t="s">
        <v>371</v>
      </c>
    </row>
    <row r="289" spans="3:3">
      <c r="C289" s="16" t="s">
        <v>372</v>
      </c>
    </row>
    <row r="290" spans="3:3">
      <c r="C290" s="16" t="s">
        <v>373</v>
      </c>
    </row>
    <row r="291" spans="3:3">
      <c r="C291" s="16" t="s">
        <v>374</v>
      </c>
    </row>
    <row r="292" spans="3:3">
      <c r="C292" s="16" t="s">
        <v>375</v>
      </c>
    </row>
    <row r="293" spans="3:3">
      <c r="C293" s="16" t="s">
        <v>376</v>
      </c>
    </row>
    <row r="294" spans="3:3">
      <c r="C294" s="16" t="s">
        <v>377</v>
      </c>
    </row>
    <row r="296" spans="3:3">
      <c r="C296" s="16" t="s">
        <v>378</v>
      </c>
    </row>
    <row r="297" spans="3:3">
      <c r="C297" s="16" t="s">
        <v>379</v>
      </c>
    </row>
    <row r="298" spans="3:3">
      <c r="C298" s="16" t="s">
        <v>380</v>
      </c>
    </row>
    <row r="299" spans="3:3">
      <c r="C299" s="16" t="s">
        <v>381</v>
      </c>
    </row>
    <row r="300" spans="3:3">
      <c r="C300" s="16" t="s">
        <v>382</v>
      </c>
    </row>
    <row r="302" spans="3:3">
      <c r="C302" s="16" t="s">
        <v>383</v>
      </c>
    </row>
    <row r="303" spans="3:3">
      <c r="C303" s="16" t="s">
        <v>384</v>
      </c>
    </row>
    <row r="304" spans="3:3">
      <c r="C304" s="16" t="s">
        <v>385</v>
      </c>
    </row>
    <row r="306" spans="2:8">
      <c r="C306" s="20" t="s">
        <v>386</v>
      </c>
      <c r="D306" s="20"/>
      <c r="E306" s="20"/>
      <c r="F306" s="20"/>
      <c r="G306" s="20"/>
    </row>
    <row r="307" spans="2:8">
      <c r="B307">
        <v>1</v>
      </c>
      <c r="C307" s="18" t="s">
        <v>387</v>
      </c>
      <c r="D307" s="18"/>
      <c r="E307" s="18"/>
      <c r="F307" s="18"/>
    </row>
    <row r="308" spans="2:8">
      <c r="C308" s="17" t="s">
        <v>388</v>
      </c>
      <c r="D308" s="17" t="s">
        <v>390</v>
      </c>
      <c r="E308" s="17" t="s">
        <v>392</v>
      </c>
      <c r="F308" s="17" t="s">
        <v>394</v>
      </c>
      <c r="G308" s="17" t="s">
        <v>396</v>
      </c>
      <c r="H308" s="19" t="s">
        <v>430</v>
      </c>
    </row>
    <row r="309" spans="2:8">
      <c r="C309" s="17" t="s">
        <v>389</v>
      </c>
      <c r="D309" s="17" t="s">
        <v>391</v>
      </c>
      <c r="E309" s="17" t="s">
        <v>393</v>
      </c>
      <c r="F309" s="17" t="s">
        <v>395</v>
      </c>
      <c r="G309" s="17" t="s">
        <v>397</v>
      </c>
      <c r="H309" s="19" t="s">
        <v>453</v>
      </c>
    </row>
    <row r="310" spans="2:8">
      <c r="C310" s="17" t="s">
        <v>398</v>
      </c>
      <c r="E310" s="17" t="s">
        <v>3</v>
      </c>
    </row>
    <row r="311" spans="2:8">
      <c r="C311" s="17" t="s">
        <v>399</v>
      </c>
      <c r="E311" s="17" t="s">
        <v>400</v>
      </c>
    </row>
    <row r="312" spans="2:8">
      <c r="C312" s="18" t="s">
        <v>401</v>
      </c>
      <c r="D312" s="18"/>
      <c r="E312" s="18"/>
    </row>
    <row r="313" spans="2:8">
      <c r="C313" s="17" t="s">
        <v>1</v>
      </c>
      <c r="G313" s="17" t="s">
        <v>404</v>
      </c>
    </row>
    <row r="314" spans="2:8">
      <c r="C314" s="17" t="s">
        <v>402</v>
      </c>
      <c r="G314" s="17" t="s">
        <v>192</v>
      </c>
      <c r="H314" s="17" t="s">
        <v>405</v>
      </c>
    </row>
    <row r="315" spans="2:8">
      <c r="C315" s="17" t="s">
        <v>403</v>
      </c>
      <c r="G315" s="17" t="s">
        <v>406</v>
      </c>
    </row>
    <row r="316" spans="2:8">
      <c r="G316" s="17" t="s">
        <v>407</v>
      </c>
    </row>
    <row r="317" spans="2:8">
      <c r="C317" s="18" t="s">
        <v>227</v>
      </c>
      <c r="D317" s="18"/>
      <c r="E317" s="18"/>
      <c r="F317" s="18"/>
    </row>
    <row r="318" spans="2:8">
      <c r="C318" s="17" t="s">
        <v>314</v>
      </c>
    </row>
    <row r="319" spans="2:8">
      <c r="C319" s="17" t="s">
        <v>408</v>
      </c>
    </row>
    <row r="320" spans="2:8">
      <c r="C320" s="17" t="s">
        <v>409</v>
      </c>
    </row>
    <row r="321" spans="2:6">
      <c r="C321" s="17" t="s">
        <v>410</v>
      </c>
      <c r="E321" s="17" t="s">
        <v>411</v>
      </c>
    </row>
    <row r="322" spans="2:6">
      <c r="C322" s="17" t="s">
        <v>412</v>
      </c>
    </row>
    <row r="323" spans="2:6">
      <c r="C323" s="17" t="s">
        <v>413</v>
      </c>
    </row>
    <row r="324" spans="2:6">
      <c r="C324" s="18" t="s">
        <v>414</v>
      </c>
      <c r="D324" s="18"/>
      <c r="E324" s="18"/>
      <c r="F324" s="18" t="s">
        <v>314</v>
      </c>
    </row>
    <row r="325" spans="2:6">
      <c r="C325" s="17" t="s">
        <v>415</v>
      </c>
      <c r="F325" s="17" t="s">
        <v>417</v>
      </c>
    </row>
    <row r="326" spans="2:6">
      <c r="C326" s="17" t="s">
        <v>416</v>
      </c>
    </row>
    <row r="327" spans="2:6">
      <c r="C327" s="17" t="s">
        <v>418</v>
      </c>
    </row>
    <row r="328" spans="2:6">
      <c r="C328" s="17" t="s">
        <v>419</v>
      </c>
    </row>
    <row r="329" spans="2:6">
      <c r="B329">
        <v>2</v>
      </c>
      <c r="C329" s="18" t="s">
        <v>420</v>
      </c>
    </row>
    <row r="330" spans="2:6">
      <c r="C330" s="18" t="s">
        <v>421</v>
      </c>
      <c r="D330" s="18"/>
      <c r="E330" s="18"/>
    </row>
    <row r="331" spans="2:6">
      <c r="C331" s="19" t="s">
        <v>422</v>
      </c>
      <c r="E331" s="19" t="s">
        <v>423</v>
      </c>
      <c r="F331" s="19" t="s">
        <v>430</v>
      </c>
    </row>
    <row r="332" spans="2:6">
      <c r="C332" s="19" t="s">
        <v>425</v>
      </c>
      <c r="E332" s="19" t="s">
        <v>424</v>
      </c>
      <c r="F332" s="19" t="s">
        <v>432</v>
      </c>
    </row>
    <row r="333" spans="2:6">
      <c r="C333" s="18" t="s">
        <v>426</v>
      </c>
      <c r="D333" s="18"/>
    </row>
    <row r="334" spans="2:6">
      <c r="C334" s="19" t="s">
        <v>427</v>
      </c>
      <c r="E334" s="19" t="s">
        <v>5</v>
      </c>
      <c r="F334" s="19" t="s">
        <v>430</v>
      </c>
    </row>
    <row r="335" spans="2:6">
      <c r="C335" s="19" t="s">
        <v>428</v>
      </c>
      <c r="E335" s="19" t="s">
        <v>429</v>
      </c>
      <c r="F335" s="19" t="s">
        <v>431</v>
      </c>
    </row>
    <row r="336" spans="2:6">
      <c r="C336" s="18" t="s">
        <v>433</v>
      </c>
      <c r="D336" s="18"/>
      <c r="E336" s="18"/>
      <c r="F336" s="18"/>
    </row>
    <row r="337" spans="3:5">
      <c r="C337" s="19" t="s">
        <v>434</v>
      </c>
    </row>
    <row r="338" spans="3:5">
      <c r="C338" s="19" t="s">
        <v>435</v>
      </c>
    </row>
    <row r="339" spans="3:5">
      <c r="C339" s="19" t="s">
        <v>436</v>
      </c>
    </row>
    <row r="340" spans="3:5">
      <c r="C340" s="19" t="s">
        <v>437</v>
      </c>
    </row>
    <row r="341" spans="3:5">
      <c r="C341" s="19" t="s">
        <v>438</v>
      </c>
    </row>
    <row r="342" spans="3:5">
      <c r="C342" s="19" t="s">
        <v>439</v>
      </c>
    </row>
    <row r="343" spans="3:5">
      <c r="C343" s="19" t="s">
        <v>440</v>
      </c>
    </row>
    <row r="344" spans="3:5">
      <c r="C344" s="18" t="s">
        <v>441</v>
      </c>
      <c r="D344" s="18"/>
      <c r="E344" s="18"/>
    </row>
    <row r="345" spans="3:5">
      <c r="C345" s="19" t="s">
        <v>442</v>
      </c>
      <c r="E345" s="19" t="s">
        <v>200</v>
      </c>
    </row>
    <row r="346" spans="3:5">
      <c r="C346" s="19" t="s">
        <v>426</v>
      </c>
      <c r="E346" s="19" t="s">
        <v>443</v>
      </c>
    </row>
    <row r="347" spans="3:5">
      <c r="C347" s="18" t="s">
        <v>369</v>
      </c>
      <c r="D347" s="18"/>
    </row>
    <row r="348" spans="3:5">
      <c r="C348" s="19" t="s">
        <v>444</v>
      </c>
    </row>
    <row r="349" spans="3:5">
      <c r="C349" s="19" t="s">
        <v>445</v>
      </c>
    </row>
    <row r="350" spans="3:5">
      <c r="C350" s="19" t="s">
        <v>446</v>
      </c>
    </row>
    <row r="351" spans="3:5">
      <c r="C351" s="19" t="s">
        <v>447</v>
      </c>
    </row>
    <row r="352" spans="3:5">
      <c r="C352" s="18" t="s">
        <v>414</v>
      </c>
      <c r="D352" s="18"/>
      <c r="E352" s="18"/>
    </row>
    <row r="353" spans="1:9">
      <c r="C353" s="19" t="s">
        <v>448</v>
      </c>
    </row>
    <row r="354" spans="1:9">
      <c r="C354" s="19" t="s">
        <v>449</v>
      </c>
    </row>
    <row r="355" spans="1:9">
      <c r="C355" s="19" t="s">
        <v>450</v>
      </c>
    </row>
    <row r="356" spans="1:9">
      <c r="C356" s="19" t="s">
        <v>419</v>
      </c>
    </row>
    <row r="357" spans="1:9">
      <c r="C357" s="19" t="s">
        <v>451</v>
      </c>
    </row>
    <row r="358" spans="1:9">
      <c r="C358" s="19" t="s">
        <v>452</v>
      </c>
    </row>
    <row r="360" spans="1:9">
      <c r="B360" s="21" t="s">
        <v>455</v>
      </c>
      <c r="C360" s="22"/>
      <c r="D360" s="22"/>
      <c r="E360" s="22"/>
      <c r="F360" s="22"/>
    </row>
    <row r="361" spans="1:9">
      <c r="A361">
        <v>1</v>
      </c>
      <c r="B361" s="18" t="s">
        <v>456</v>
      </c>
    </row>
    <row r="362" spans="1:9">
      <c r="B362" s="23" t="s">
        <v>457</v>
      </c>
      <c r="C362" s="23" t="s">
        <v>0</v>
      </c>
      <c r="D362" s="23" t="s">
        <v>460</v>
      </c>
      <c r="E362" s="23" t="s">
        <v>461</v>
      </c>
      <c r="F362" s="23" t="s">
        <v>464</v>
      </c>
      <c r="G362" s="23" t="s">
        <v>465</v>
      </c>
      <c r="I362" s="23" t="s">
        <v>466</v>
      </c>
    </row>
    <row r="363" spans="1:9">
      <c r="B363" s="23" t="s">
        <v>459</v>
      </c>
      <c r="C363" s="23" t="s">
        <v>458</v>
      </c>
      <c r="D363" s="23" t="s">
        <v>462</v>
      </c>
      <c r="E363" s="23" t="s">
        <v>463</v>
      </c>
      <c r="F363" t="s">
        <v>470</v>
      </c>
      <c r="G363" s="24" t="s">
        <v>469</v>
      </c>
      <c r="I363" s="24" t="s">
        <v>471</v>
      </c>
    </row>
    <row r="364" spans="1:9">
      <c r="B364" s="23" t="s">
        <v>2</v>
      </c>
      <c r="C364" s="23" t="s">
        <v>3</v>
      </c>
    </row>
    <row r="365" spans="1:9">
      <c r="B365" s="23" t="s">
        <v>467</v>
      </c>
      <c r="C365" s="23" t="s">
        <v>468</v>
      </c>
    </row>
    <row r="366" spans="1:9">
      <c r="A366">
        <v>2</v>
      </c>
      <c r="B366" s="18" t="s">
        <v>472</v>
      </c>
      <c r="C366" s="18"/>
      <c r="D366" s="18"/>
      <c r="E366" s="18"/>
    </row>
    <row r="367" spans="1:9">
      <c r="B367" s="24" t="s">
        <v>473</v>
      </c>
    </row>
    <row r="368" spans="1:9">
      <c r="A368" s="18">
        <v>3</v>
      </c>
      <c r="B368" s="18" t="s">
        <v>369</v>
      </c>
      <c r="C368" s="18"/>
    </row>
    <row r="369" spans="1:5">
      <c r="B369" s="24" t="s">
        <v>474</v>
      </c>
    </row>
    <row r="370" spans="1:5">
      <c r="B370" s="24" t="s">
        <v>475</v>
      </c>
    </row>
    <row r="371" spans="1:5">
      <c r="B371" s="24" t="s">
        <v>260</v>
      </c>
    </row>
    <row r="372" spans="1:5">
      <c r="A372" s="18">
        <v>4</v>
      </c>
      <c r="B372" s="18" t="s">
        <v>476</v>
      </c>
      <c r="C372" s="18"/>
      <c r="D372" s="18"/>
    </row>
    <row r="373" spans="1:5">
      <c r="B373" s="24" t="s">
        <v>477</v>
      </c>
    </row>
    <row r="374" spans="1:5">
      <c r="B374" s="24" t="s">
        <v>478</v>
      </c>
      <c r="C374" s="24" t="s">
        <v>479</v>
      </c>
    </row>
    <row r="375" spans="1:5">
      <c r="B375" s="24" t="s">
        <v>480</v>
      </c>
    </row>
    <row r="376" spans="1:5">
      <c r="B376" s="21" t="s">
        <v>481</v>
      </c>
      <c r="C376" s="22"/>
    </row>
    <row r="377" spans="1:5">
      <c r="A377">
        <v>1</v>
      </c>
      <c r="B377" s="18" t="s">
        <v>482</v>
      </c>
      <c r="C377" s="18"/>
      <c r="D377" s="18"/>
    </row>
    <row r="378" spans="1:5">
      <c r="B378" s="24" t="s">
        <v>422</v>
      </c>
      <c r="C378" s="24" t="s">
        <v>423</v>
      </c>
      <c r="D378" s="24" t="s">
        <v>484</v>
      </c>
    </row>
    <row r="379" spans="1:5">
      <c r="B379" s="24" t="s">
        <v>483</v>
      </c>
      <c r="C379">
        <v>1560</v>
      </c>
      <c r="D379" s="24" t="s">
        <v>485</v>
      </c>
    </row>
    <row r="380" spans="1:5">
      <c r="B380" s="24" t="s">
        <v>486</v>
      </c>
      <c r="C380" s="24" t="s">
        <v>5</v>
      </c>
      <c r="D380" s="24" t="s">
        <v>489</v>
      </c>
    </row>
    <row r="381" spans="1:5">
      <c r="B381" s="24" t="s">
        <v>487</v>
      </c>
      <c r="C381" s="24" t="s">
        <v>488</v>
      </c>
      <c r="D381" s="24" t="s">
        <v>490</v>
      </c>
    </row>
    <row r="382" spans="1:5">
      <c r="A382">
        <v>2</v>
      </c>
      <c r="B382" s="18" t="s">
        <v>472</v>
      </c>
      <c r="C382" s="18"/>
      <c r="D382" s="18"/>
      <c r="E382" s="18"/>
    </row>
    <row r="383" spans="1:5">
      <c r="B383" s="24" t="s">
        <v>491</v>
      </c>
    </row>
    <row r="384" spans="1:5">
      <c r="B384" s="24" t="s">
        <v>492</v>
      </c>
      <c r="D384" s="24" t="s">
        <v>311</v>
      </c>
    </row>
    <row r="385" spans="1:10">
      <c r="B385" s="24" t="s">
        <v>493</v>
      </c>
    </row>
    <row r="386" spans="1:10">
      <c r="A386">
        <v>3</v>
      </c>
      <c r="B386" s="18" t="s">
        <v>369</v>
      </c>
      <c r="C386" s="18"/>
    </row>
    <row r="387" spans="1:10">
      <c r="B387" s="24" t="s">
        <v>494</v>
      </c>
    </row>
    <row r="388" spans="1:10">
      <c r="B388" s="24" t="s">
        <v>495</v>
      </c>
    </row>
    <row r="389" spans="1:10">
      <c r="B389" s="24" t="s">
        <v>496</v>
      </c>
    </row>
    <row r="390" spans="1:10">
      <c r="B390" s="24" t="s">
        <v>497</v>
      </c>
    </row>
    <row r="391" spans="1:10">
      <c r="B391" s="24" t="s">
        <v>498</v>
      </c>
    </row>
    <row r="392" spans="1:10">
      <c r="A392">
        <v>4</v>
      </c>
      <c r="B392" s="18" t="s">
        <v>499</v>
      </c>
      <c r="C392" s="18"/>
      <c r="D392" s="18"/>
    </row>
    <row r="393" spans="1:10">
      <c r="B393" s="24" t="s">
        <v>500</v>
      </c>
    </row>
    <row r="394" spans="1:10">
      <c r="B394" s="24" t="s">
        <v>501</v>
      </c>
    </row>
    <row r="395" spans="1:10">
      <c r="B395" s="24" t="s">
        <v>502</v>
      </c>
    </row>
    <row r="397" spans="1:10">
      <c r="B397" s="21" t="s">
        <v>504</v>
      </c>
      <c r="C397" s="21"/>
      <c r="D397" s="21"/>
      <c r="E397" s="21"/>
      <c r="F397" s="21"/>
    </row>
    <row r="398" spans="1:10">
      <c r="A398" s="18">
        <v>1</v>
      </c>
      <c r="B398" s="18" t="s">
        <v>505</v>
      </c>
      <c r="C398" s="18"/>
      <c r="D398" s="18"/>
    </row>
    <row r="399" spans="1:10">
      <c r="B399" s="22" t="s">
        <v>506</v>
      </c>
      <c r="D399" s="22" t="s">
        <v>457</v>
      </c>
      <c r="E399" s="22" t="s">
        <v>461</v>
      </c>
      <c r="F399" s="22" t="s">
        <v>464</v>
      </c>
      <c r="G399" s="22" t="s">
        <v>465</v>
      </c>
      <c r="H399" s="22"/>
      <c r="I399" s="22" t="s">
        <v>2</v>
      </c>
      <c r="J399" s="22" t="s">
        <v>3</v>
      </c>
    </row>
    <row r="400" spans="1:10">
      <c r="B400" t="s">
        <v>523</v>
      </c>
      <c r="C400" t="s">
        <v>524</v>
      </c>
      <c r="D400" t="s">
        <v>525</v>
      </c>
      <c r="E400" t="s">
        <v>526</v>
      </c>
      <c r="F400" t="s">
        <v>527</v>
      </c>
      <c r="G400" t="s">
        <v>528</v>
      </c>
      <c r="I400" t="s">
        <v>529</v>
      </c>
      <c r="J400" t="s">
        <v>530</v>
      </c>
    </row>
    <row r="401" spans="1:5">
      <c r="B401" s="18" t="s">
        <v>507</v>
      </c>
    </row>
    <row r="402" spans="1:5">
      <c r="A402" s="18">
        <v>2</v>
      </c>
      <c r="B402" s="25" t="s">
        <v>508</v>
      </c>
      <c r="C402" s="18"/>
      <c r="D402" s="18"/>
      <c r="E402" s="18"/>
    </row>
    <row r="403" spans="1:5">
      <c r="B403" s="18" t="s">
        <v>369</v>
      </c>
    </row>
    <row r="404" spans="1:5">
      <c r="A404" s="18">
        <v>3</v>
      </c>
      <c r="B404" s="25" t="s">
        <v>509</v>
      </c>
      <c r="C404" s="18"/>
    </row>
    <row r="405" spans="1:5">
      <c r="B405" s="25" t="s">
        <v>510</v>
      </c>
    </row>
    <row r="406" spans="1:5">
      <c r="B406" s="25" t="s">
        <v>511</v>
      </c>
    </row>
    <row r="407" spans="1:5">
      <c r="B407" s="25" t="s">
        <v>512</v>
      </c>
    </row>
    <row r="408" spans="1:5">
      <c r="B408" s="25" t="s">
        <v>513</v>
      </c>
    </row>
    <row r="409" spans="1:5">
      <c r="B409" s="18" t="s">
        <v>514</v>
      </c>
    </row>
    <row r="410" spans="1:5">
      <c r="A410" s="18">
        <v>4</v>
      </c>
      <c r="B410" s="25" t="s">
        <v>515</v>
      </c>
    </row>
    <row r="411" spans="1:5">
      <c r="B411" s="25" t="s">
        <v>516</v>
      </c>
    </row>
    <row r="412" spans="1:5">
      <c r="B412" s="25" t="s">
        <v>517</v>
      </c>
    </row>
    <row r="414" spans="1:5">
      <c r="B414" s="21" t="s">
        <v>371</v>
      </c>
      <c r="C414" s="21"/>
    </row>
    <row r="415" spans="1:5">
      <c r="A415">
        <v>1</v>
      </c>
      <c r="B415" s="18" t="s">
        <v>518</v>
      </c>
      <c r="C415" s="18"/>
      <c r="D415" s="18"/>
    </row>
    <row r="416" spans="1:5">
      <c r="B416" s="22" t="s">
        <v>519</v>
      </c>
      <c r="C416" s="22"/>
      <c r="D416" t="s">
        <v>531</v>
      </c>
    </row>
    <row r="417" spans="1:5">
      <c r="B417" s="22" t="s">
        <v>520</v>
      </c>
      <c r="C417" s="22"/>
      <c r="D417" s="26" t="s">
        <v>544</v>
      </c>
    </row>
    <row r="418" spans="1:5">
      <c r="C418" s="25" t="s">
        <v>466</v>
      </c>
      <c r="D418" s="26" t="s">
        <v>545</v>
      </c>
    </row>
    <row r="419" spans="1:5">
      <c r="A419" s="18">
        <v>2</v>
      </c>
      <c r="B419" s="18" t="s">
        <v>521</v>
      </c>
      <c r="C419" s="18"/>
      <c r="D419" s="18"/>
    </row>
    <row r="420" spans="1:5">
      <c r="B420" s="22" t="s">
        <v>7</v>
      </c>
      <c r="C420" s="22"/>
      <c r="D420" t="s">
        <v>532</v>
      </c>
    </row>
    <row r="421" spans="1:5">
      <c r="B421" s="22" t="s">
        <v>8</v>
      </c>
      <c r="C421" s="22"/>
      <c r="D421" t="s">
        <v>533</v>
      </c>
    </row>
    <row r="422" spans="1:5">
      <c r="B422" s="25" t="s">
        <v>466</v>
      </c>
      <c r="D422" s="26" t="s">
        <v>546</v>
      </c>
    </row>
    <row r="423" spans="1:5">
      <c r="A423" s="18">
        <v>3</v>
      </c>
      <c r="B423" s="18" t="s">
        <v>472</v>
      </c>
      <c r="C423" s="18"/>
      <c r="D423" s="18"/>
      <c r="E423" s="18"/>
    </row>
    <row r="424" spans="1:5">
      <c r="B424" s="25" t="s">
        <v>522</v>
      </c>
    </row>
    <row r="425" spans="1:5">
      <c r="A425" s="18">
        <v>4</v>
      </c>
      <c r="B425" s="18" t="s">
        <v>369</v>
      </c>
      <c r="C425" s="18"/>
    </row>
    <row r="426" spans="1:5">
      <c r="B426" s="26" t="s">
        <v>534</v>
      </c>
    </row>
    <row r="427" spans="1:5">
      <c r="B427" s="26" t="s">
        <v>535</v>
      </c>
      <c r="D427" s="26" t="s">
        <v>271</v>
      </c>
    </row>
    <row r="428" spans="1:5">
      <c r="B428" s="26" t="s">
        <v>536</v>
      </c>
    </row>
    <row r="429" spans="1:5">
      <c r="B429" s="26" t="s">
        <v>537</v>
      </c>
    </row>
    <row r="430" spans="1:5">
      <c r="A430">
        <v>5</v>
      </c>
      <c r="B430" s="26" t="s">
        <v>514</v>
      </c>
    </row>
    <row r="431" spans="1:5">
      <c r="B431" s="26" t="s">
        <v>538</v>
      </c>
    </row>
    <row r="432" spans="1:5">
      <c r="B432" s="26" t="s">
        <v>539</v>
      </c>
    </row>
    <row r="433" spans="1:8">
      <c r="B433" s="26" t="s">
        <v>540</v>
      </c>
    </row>
    <row r="434" spans="1:8">
      <c r="B434" s="26" t="s">
        <v>541</v>
      </c>
    </row>
    <row r="436" spans="1:8">
      <c r="B436" s="26" t="s">
        <v>542</v>
      </c>
    </row>
    <row r="437" spans="1:8">
      <c r="B437" s="26" t="s">
        <v>543</v>
      </c>
    </row>
    <row r="439" spans="1:8">
      <c r="B439" s="21" t="s">
        <v>547</v>
      </c>
    </row>
    <row r="440" spans="1:8">
      <c r="A440" s="18">
        <v>1</v>
      </c>
      <c r="B440" s="18" t="s">
        <v>548</v>
      </c>
      <c r="C440" s="18"/>
      <c r="D440" s="18"/>
    </row>
    <row r="441" spans="1:8">
      <c r="B441" s="22" t="s">
        <v>457</v>
      </c>
      <c r="C441" s="22" t="s">
        <v>506</v>
      </c>
      <c r="D441" s="22"/>
      <c r="E441" s="22" t="s">
        <v>461</v>
      </c>
      <c r="F441" s="22" t="s">
        <v>464</v>
      </c>
      <c r="G441" s="22" t="s">
        <v>466</v>
      </c>
    </row>
    <row r="442" spans="1:8">
      <c r="B442" s="27" t="s">
        <v>564</v>
      </c>
      <c r="C442" s="27" t="s">
        <v>565</v>
      </c>
      <c r="D442" s="27" t="s">
        <v>566</v>
      </c>
      <c r="E442" s="27" t="s">
        <v>567</v>
      </c>
      <c r="F442" s="27" t="s">
        <v>568</v>
      </c>
      <c r="G442" s="18" t="s">
        <v>569</v>
      </c>
    </row>
    <row r="443" spans="1:8">
      <c r="B443" s="22" t="s">
        <v>2</v>
      </c>
      <c r="C443" s="22" t="s">
        <v>3</v>
      </c>
    </row>
    <row r="444" spans="1:8">
      <c r="B444" s="27" t="s">
        <v>570</v>
      </c>
      <c r="C444" s="27" t="s">
        <v>571</v>
      </c>
    </row>
    <row r="445" spans="1:8">
      <c r="A445" s="18">
        <v>2</v>
      </c>
      <c r="B445" s="18" t="s">
        <v>549</v>
      </c>
      <c r="C445" s="18"/>
      <c r="D445" s="18"/>
      <c r="E445" s="18"/>
    </row>
    <row r="446" spans="1:8">
      <c r="B446" s="18" t="s">
        <v>550</v>
      </c>
      <c r="C446" s="18"/>
      <c r="D446" s="21"/>
      <c r="E446" s="21"/>
      <c r="F446" s="18" t="s">
        <v>6</v>
      </c>
      <c r="G446" s="22"/>
    </row>
    <row r="447" spans="1:8">
      <c r="B447" s="22" t="s">
        <v>7</v>
      </c>
      <c r="C447" s="22"/>
      <c r="D447" s="27" t="s">
        <v>556</v>
      </c>
      <c r="E447" s="22"/>
      <c r="F447" s="22" t="s">
        <v>551</v>
      </c>
      <c r="G447" s="22"/>
      <c r="H447" s="27" t="s">
        <v>554</v>
      </c>
    </row>
    <row r="448" spans="1:8">
      <c r="B448" s="22" t="s">
        <v>8</v>
      </c>
      <c r="C448" s="22"/>
      <c r="D448" s="27" t="s">
        <v>557</v>
      </c>
      <c r="E448" s="22"/>
      <c r="F448" s="22" t="s">
        <v>5</v>
      </c>
      <c r="G448" s="22"/>
      <c r="H448" s="27" t="s">
        <v>555</v>
      </c>
    </row>
    <row r="449" spans="1:8">
      <c r="C449" s="18" t="s">
        <v>466</v>
      </c>
      <c r="D449" s="18" t="s">
        <v>558</v>
      </c>
      <c r="G449" s="18" t="s">
        <v>466</v>
      </c>
      <c r="H449" s="18" t="s">
        <v>553</v>
      </c>
    </row>
    <row r="451" spans="1:8">
      <c r="A451" s="18">
        <v>3</v>
      </c>
      <c r="B451" s="18" t="s">
        <v>552</v>
      </c>
      <c r="C451" s="18"/>
      <c r="D451" s="18"/>
      <c r="E451" s="18"/>
      <c r="F451" s="18"/>
    </row>
    <row r="452" spans="1:8">
      <c r="B452" s="27" t="s">
        <v>559</v>
      </c>
      <c r="D452" s="27" t="s">
        <v>560</v>
      </c>
      <c r="E452" s="27" t="s">
        <v>578</v>
      </c>
    </row>
    <row r="453" spans="1:8">
      <c r="B453" s="27" t="s">
        <v>561</v>
      </c>
    </row>
    <row r="454" spans="1:8">
      <c r="B454" s="27" t="s">
        <v>562</v>
      </c>
      <c r="D454" s="27" t="s">
        <v>563</v>
      </c>
    </row>
    <row r="455" spans="1:8">
      <c r="A455">
        <v>4</v>
      </c>
      <c r="B455" s="18" t="s">
        <v>369</v>
      </c>
      <c r="C455" s="18"/>
      <c r="D455" s="18"/>
    </row>
    <row r="456" spans="1:8">
      <c r="A456" s="18">
        <v>1</v>
      </c>
      <c r="B456" s="27" t="s">
        <v>572</v>
      </c>
    </row>
    <row r="457" spans="1:8">
      <c r="A457" s="18"/>
      <c r="B457" s="27" t="s">
        <v>573</v>
      </c>
    </row>
    <row r="458" spans="1:8">
      <c r="A458">
        <v>2</v>
      </c>
      <c r="B458" s="27" t="s">
        <v>574</v>
      </c>
    </row>
    <row r="459" spans="1:8">
      <c r="A459">
        <v>3</v>
      </c>
      <c r="B459" s="27" t="s">
        <v>575</v>
      </c>
    </row>
    <row r="460" spans="1:8">
      <c r="A460">
        <v>4</v>
      </c>
      <c r="B460" s="27" t="s">
        <v>576</v>
      </c>
    </row>
    <row r="461" spans="1:8">
      <c r="A461">
        <v>5</v>
      </c>
      <c r="B461" s="27" t="s">
        <v>577</v>
      </c>
    </row>
    <row r="462" spans="1:8">
      <c r="A462">
        <v>6</v>
      </c>
      <c r="B462" s="27" t="s">
        <v>579</v>
      </c>
    </row>
    <row r="463" spans="1:8">
      <c r="A463" s="18">
        <v>5</v>
      </c>
      <c r="B463" s="18" t="s">
        <v>514</v>
      </c>
      <c r="C463" s="18"/>
    </row>
    <row r="464" spans="1:8">
      <c r="B464" s="27" t="s">
        <v>580</v>
      </c>
    </row>
    <row r="465" spans="1:8">
      <c r="B465" s="27" t="s">
        <v>581</v>
      </c>
    </row>
    <row r="466" spans="1:8">
      <c r="B466" s="27" t="s">
        <v>582</v>
      </c>
    </row>
    <row r="467" spans="1:8">
      <c r="B467" s="27" t="s">
        <v>583</v>
      </c>
    </row>
    <row r="468" spans="1:8">
      <c r="B468" s="27" t="s">
        <v>584</v>
      </c>
    </row>
    <row r="470" spans="1:8">
      <c r="A470" s="30"/>
      <c r="B470" s="31" t="s">
        <v>586</v>
      </c>
      <c r="C470" s="31"/>
      <c r="D470" s="31"/>
      <c r="E470" s="31"/>
      <c r="F470" s="31"/>
    </row>
    <row r="471" spans="1:8">
      <c r="A471" s="18">
        <v>1</v>
      </c>
      <c r="B471" s="18" t="s">
        <v>587</v>
      </c>
      <c r="C471" s="18"/>
      <c r="D471" s="18"/>
    </row>
    <row r="472" spans="1:8">
      <c r="B472" s="21" t="s">
        <v>457</v>
      </c>
      <c r="C472" s="21" t="s">
        <v>392</v>
      </c>
      <c r="D472" s="21" t="s">
        <v>461</v>
      </c>
      <c r="E472" s="21" t="s">
        <v>464</v>
      </c>
      <c r="F472" s="21" t="s">
        <v>0</v>
      </c>
      <c r="G472" s="21"/>
      <c r="H472" s="21" t="s">
        <v>466</v>
      </c>
    </row>
    <row r="473" spans="1:8">
      <c r="B473" s="18" t="s">
        <v>597</v>
      </c>
      <c r="C473" s="18" t="s">
        <v>598</v>
      </c>
      <c r="D473" s="18" t="s">
        <v>599</v>
      </c>
      <c r="E473" s="18">
        <v>3908</v>
      </c>
      <c r="F473" s="18" t="s">
        <v>591</v>
      </c>
      <c r="G473" s="18"/>
      <c r="H473" s="18" t="s">
        <v>600</v>
      </c>
    </row>
    <row r="474" spans="1:8">
      <c r="B474" s="21" t="s">
        <v>2</v>
      </c>
      <c r="C474" s="21" t="s">
        <v>3</v>
      </c>
      <c r="D474" s="21" t="s">
        <v>588</v>
      </c>
      <c r="E474" s="21" t="s">
        <v>589</v>
      </c>
      <c r="F474" s="21" t="s">
        <v>11</v>
      </c>
    </row>
    <row r="475" spans="1:8">
      <c r="B475" s="18" t="s">
        <v>595</v>
      </c>
      <c r="C475" s="18" t="s">
        <v>594</v>
      </c>
      <c r="D475" s="18" t="s">
        <v>555</v>
      </c>
      <c r="E475" s="18" t="s">
        <v>593</v>
      </c>
      <c r="F475" s="18" t="s">
        <v>592</v>
      </c>
    </row>
    <row r="476" spans="1:8">
      <c r="A476" s="18">
        <v>2</v>
      </c>
      <c r="B476" s="18" t="s">
        <v>590</v>
      </c>
      <c r="C476" s="18"/>
    </row>
    <row r="477" spans="1:8">
      <c r="B477" s="18" t="s">
        <v>6</v>
      </c>
      <c r="C477" s="18"/>
      <c r="D477" s="18"/>
      <c r="E477" s="18"/>
      <c r="F477" s="18" t="s">
        <v>9</v>
      </c>
    </row>
    <row r="478" spans="1:8">
      <c r="B478" s="21" t="s">
        <v>551</v>
      </c>
      <c r="C478" s="21"/>
      <c r="D478" s="29" t="s">
        <v>601</v>
      </c>
      <c r="E478" s="21"/>
      <c r="F478" s="21" t="s">
        <v>7</v>
      </c>
      <c r="G478" s="21"/>
      <c r="H478" s="29" t="s">
        <v>604</v>
      </c>
    </row>
    <row r="479" spans="1:8">
      <c r="B479" s="21" t="s">
        <v>5</v>
      </c>
      <c r="C479" s="21"/>
      <c r="D479" s="29" t="s">
        <v>602</v>
      </c>
      <c r="E479" s="21"/>
      <c r="F479" s="21" t="s">
        <v>8</v>
      </c>
      <c r="G479" s="21"/>
      <c r="H479" s="29" t="s">
        <v>605</v>
      </c>
    </row>
    <row r="480" spans="1:8">
      <c r="C480" t="s">
        <v>466</v>
      </c>
      <c r="D480" s="18" t="s">
        <v>603</v>
      </c>
      <c r="G480" s="28" t="s">
        <v>466</v>
      </c>
      <c r="H480" s="18" t="s">
        <v>606</v>
      </c>
    </row>
    <row r="481" spans="1:6">
      <c r="A481" s="18">
        <v>3</v>
      </c>
      <c r="B481" s="18" t="s">
        <v>596</v>
      </c>
      <c r="C481" s="18"/>
      <c r="D481" s="18"/>
    </row>
    <row r="482" spans="1:6">
      <c r="A482">
        <v>1</v>
      </c>
      <c r="B482" s="28" t="s">
        <v>607</v>
      </c>
      <c r="E482">
        <v>2</v>
      </c>
      <c r="F482" s="28" t="s">
        <v>609</v>
      </c>
    </row>
    <row r="483" spans="1:6">
      <c r="A483">
        <v>3</v>
      </c>
      <c r="B483" s="28" t="s">
        <v>608</v>
      </c>
      <c r="E483">
        <v>4</v>
      </c>
      <c r="F483" s="28" t="s">
        <v>610</v>
      </c>
    </row>
    <row r="484" spans="1:6">
      <c r="A484" s="18">
        <v>4</v>
      </c>
      <c r="B484" s="18" t="s">
        <v>369</v>
      </c>
      <c r="C484" s="18"/>
    </row>
    <row r="485" spans="1:6">
      <c r="A485">
        <v>1</v>
      </c>
      <c r="B485" s="28" t="s">
        <v>611</v>
      </c>
    </row>
    <row r="486" spans="1:6">
      <c r="A486">
        <v>2</v>
      </c>
      <c r="B486" s="28" t="s">
        <v>612</v>
      </c>
    </row>
    <row r="487" spans="1:6">
      <c r="A487">
        <v>3</v>
      </c>
      <c r="B487" s="28" t="s">
        <v>613</v>
      </c>
    </row>
    <row r="488" spans="1:6">
      <c r="A488">
        <v>4</v>
      </c>
      <c r="B488" s="28" t="s">
        <v>614</v>
      </c>
    </row>
    <row r="489" spans="1:6">
      <c r="A489">
        <v>5</v>
      </c>
      <c r="B489" s="28" t="s">
        <v>615</v>
      </c>
    </row>
    <row r="490" spans="1:6">
      <c r="A490" s="28">
        <v>6</v>
      </c>
      <c r="B490" s="28" t="s">
        <v>616</v>
      </c>
    </row>
    <row r="491" spans="1:6">
      <c r="A491">
        <v>7</v>
      </c>
      <c r="B491" s="28" t="s">
        <v>617</v>
      </c>
    </row>
    <row r="492" spans="1:6">
      <c r="A492" s="18">
        <v>5</v>
      </c>
      <c r="B492" s="18" t="s">
        <v>514</v>
      </c>
    </row>
    <row r="493" spans="1:6">
      <c r="B493" s="28" t="s">
        <v>618</v>
      </c>
    </row>
    <row r="494" spans="1:6">
      <c r="B494" s="28" t="s">
        <v>619</v>
      </c>
    </row>
    <row r="495" spans="1:6">
      <c r="B495" s="28" t="s">
        <v>620</v>
      </c>
    </row>
    <row r="496" spans="1:6">
      <c r="B496" s="28" t="s">
        <v>621</v>
      </c>
    </row>
    <row r="497" spans="1:8">
      <c r="B497" s="28" t="s">
        <v>622</v>
      </c>
    </row>
    <row r="499" spans="1:8">
      <c r="B499" s="28" t="s">
        <v>623</v>
      </c>
    </row>
    <row r="501" spans="1:8">
      <c r="B501" s="31" t="s">
        <v>625</v>
      </c>
      <c r="C501" s="31"/>
      <c r="D501" s="31"/>
      <c r="E501" s="31"/>
    </row>
    <row r="502" spans="1:8">
      <c r="A502" s="18">
        <v>1</v>
      </c>
      <c r="B502" s="18" t="s">
        <v>626</v>
      </c>
      <c r="C502" s="18"/>
      <c r="D502" s="18"/>
    </row>
    <row r="503" spans="1:8">
      <c r="B503" s="30" t="s">
        <v>457</v>
      </c>
      <c r="C503" s="30" t="s">
        <v>392</v>
      </c>
      <c r="D503" s="30" t="s">
        <v>461</v>
      </c>
      <c r="E503" s="30" t="s">
        <v>464</v>
      </c>
      <c r="F503" s="30" t="s">
        <v>0</v>
      </c>
      <c r="G503" s="30"/>
      <c r="H503" s="30" t="s">
        <v>466</v>
      </c>
    </row>
    <row r="504" spans="1:8">
      <c r="B504" s="33" t="s">
        <v>649</v>
      </c>
      <c r="C504" s="33" t="s">
        <v>650</v>
      </c>
      <c r="D504" s="33" t="s">
        <v>651</v>
      </c>
      <c r="E504" s="33" t="s">
        <v>652</v>
      </c>
      <c r="F504" t="s">
        <v>642</v>
      </c>
      <c r="H504" s="33" t="s">
        <v>653</v>
      </c>
    </row>
    <row r="505" spans="1:8">
      <c r="B505" s="30" t="s">
        <v>2</v>
      </c>
      <c r="C505" s="30" t="s">
        <v>11</v>
      </c>
      <c r="D505" s="30" t="s">
        <v>588</v>
      </c>
      <c r="E505" s="30" t="s">
        <v>589</v>
      </c>
      <c r="F505" s="30"/>
    </row>
    <row r="506" spans="1:8">
      <c r="B506" t="s">
        <v>595</v>
      </c>
      <c r="C506" t="s">
        <v>639</v>
      </c>
      <c r="D506" t="s">
        <v>640</v>
      </c>
      <c r="E506" t="s">
        <v>641</v>
      </c>
    </row>
    <row r="507" spans="1:8">
      <c r="A507" s="29">
        <v>2</v>
      </c>
      <c r="B507" s="29" t="s">
        <v>549</v>
      </c>
      <c r="C507" s="29"/>
      <c r="D507" s="29"/>
      <c r="E507" s="29"/>
    </row>
    <row r="508" spans="1:8">
      <c r="A508" s="18"/>
      <c r="B508" s="18" t="s">
        <v>6</v>
      </c>
      <c r="C508" s="18"/>
      <c r="E508" s="18" t="s">
        <v>9</v>
      </c>
      <c r="F508" s="18"/>
    </row>
    <row r="509" spans="1:8">
      <c r="B509" s="30" t="s">
        <v>627</v>
      </c>
      <c r="C509" s="15" t="s">
        <v>643</v>
      </c>
      <c r="D509" s="30"/>
      <c r="E509" s="30" t="s">
        <v>8</v>
      </c>
      <c r="F509" s="22"/>
      <c r="G509" s="15" t="s">
        <v>645</v>
      </c>
    </row>
    <row r="510" spans="1:8">
      <c r="B510" s="30" t="s">
        <v>5</v>
      </c>
      <c r="C510" s="15" t="s">
        <v>644</v>
      </c>
      <c r="D510" s="30"/>
      <c r="E510" s="30" t="s">
        <v>7</v>
      </c>
      <c r="F510" s="22"/>
      <c r="G510" s="15" t="s">
        <v>646</v>
      </c>
    </row>
    <row r="511" spans="1:8">
      <c r="B511" s="32" t="s">
        <v>466</v>
      </c>
      <c r="C511" s="33" t="s">
        <v>648</v>
      </c>
      <c r="F511" s="32" t="s">
        <v>466</v>
      </c>
      <c r="G511" t="s">
        <v>647</v>
      </c>
    </row>
    <row r="512" spans="1:8">
      <c r="A512" s="18">
        <v>3</v>
      </c>
      <c r="B512" s="18" t="s">
        <v>596</v>
      </c>
      <c r="C512" s="18"/>
      <c r="D512" s="18"/>
    </row>
    <row r="513" spans="1:3">
      <c r="B513" s="32" t="s">
        <v>628</v>
      </c>
    </row>
    <row r="514" spans="1:3">
      <c r="B514" s="32" t="s">
        <v>629</v>
      </c>
    </row>
    <row r="515" spans="1:3">
      <c r="B515" s="32" t="s">
        <v>630</v>
      </c>
    </row>
    <row r="516" spans="1:3">
      <c r="B516" s="32" t="s">
        <v>631</v>
      </c>
    </row>
    <row r="517" spans="1:3">
      <c r="A517" s="18">
        <v>4</v>
      </c>
      <c r="B517" s="18" t="s">
        <v>369</v>
      </c>
      <c r="C517" s="18"/>
    </row>
    <row r="518" spans="1:3">
      <c r="A518">
        <v>1</v>
      </c>
      <c r="B518" s="32" t="s">
        <v>632</v>
      </c>
    </row>
    <row r="519" spans="1:3">
      <c r="A519">
        <v>2</v>
      </c>
      <c r="B519" s="32" t="s">
        <v>633</v>
      </c>
    </row>
    <row r="520" spans="1:3">
      <c r="A520">
        <v>3</v>
      </c>
      <c r="B520" s="32" t="s">
        <v>634</v>
      </c>
    </row>
    <row r="521" spans="1:3">
      <c r="A521">
        <v>4</v>
      </c>
      <c r="B521" s="32" t="s">
        <v>635</v>
      </c>
    </row>
    <row r="522" spans="1:3">
      <c r="A522">
        <v>5</v>
      </c>
      <c r="B522" s="32" t="s">
        <v>636</v>
      </c>
    </row>
    <row r="523" spans="1:3">
      <c r="A523">
        <v>6</v>
      </c>
      <c r="B523" s="32" t="s">
        <v>637</v>
      </c>
    </row>
    <row r="524" spans="1:3">
      <c r="A524">
        <v>7</v>
      </c>
      <c r="B524" s="32" t="s">
        <v>638</v>
      </c>
    </row>
    <row r="525" spans="1:3">
      <c r="A525" s="18">
        <v>5</v>
      </c>
      <c r="B525" s="18" t="s">
        <v>514</v>
      </c>
      <c r="C525" s="18"/>
    </row>
    <row r="526" spans="1:3">
      <c r="B526" s="33" t="s">
        <v>654</v>
      </c>
    </row>
    <row r="527" spans="1:3">
      <c r="B527" s="33" t="s">
        <v>655</v>
      </c>
    </row>
    <row r="528" spans="1:3">
      <c r="B528" s="33" t="s">
        <v>656</v>
      </c>
    </row>
    <row r="529" spans="1:7">
      <c r="B529" s="33" t="s">
        <v>657</v>
      </c>
    </row>
    <row r="530" spans="1:7">
      <c r="B530" s="33" t="s">
        <v>658</v>
      </c>
    </row>
    <row r="531" spans="1:7">
      <c r="B531" s="33" t="s">
        <v>659</v>
      </c>
    </row>
    <row r="533" spans="1:7">
      <c r="B533" s="21" t="s">
        <v>660</v>
      </c>
      <c r="C533" s="21"/>
      <c r="D533" s="21"/>
      <c r="E533" s="21"/>
      <c r="F533" s="21"/>
    </row>
    <row r="534" spans="1:7">
      <c r="A534">
        <v>1</v>
      </c>
      <c r="B534" s="18" t="s">
        <v>661</v>
      </c>
    </row>
    <row r="535" spans="1:7">
      <c r="B535" s="21" t="s">
        <v>314</v>
      </c>
      <c r="C535" s="18"/>
    </row>
    <row r="536" spans="1:7">
      <c r="B536" s="30" t="s">
        <v>457</v>
      </c>
      <c r="C536" s="30" t="s">
        <v>461</v>
      </c>
      <c r="D536" s="30" t="s">
        <v>392</v>
      </c>
      <c r="E536" s="30" t="s">
        <v>662</v>
      </c>
      <c r="F536" s="30"/>
      <c r="G536" s="30" t="s">
        <v>466</v>
      </c>
    </row>
    <row r="537" spans="1:7">
      <c r="B537" s="35" t="s">
        <v>688</v>
      </c>
      <c r="C537" s="35" t="s">
        <v>689</v>
      </c>
      <c r="D537" s="35" t="s">
        <v>687</v>
      </c>
      <c r="E537" s="34" t="s">
        <v>675</v>
      </c>
      <c r="F537" s="36" t="s">
        <v>693</v>
      </c>
      <c r="G537" s="36" t="s">
        <v>694</v>
      </c>
    </row>
    <row r="538" spans="1:7">
      <c r="B538" s="30" t="s">
        <v>2</v>
      </c>
      <c r="C538" s="30" t="s">
        <v>3</v>
      </c>
      <c r="D538" s="30" t="s">
        <v>11</v>
      </c>
      <c r="E538" s="30" t="s">
        <v>663</v>
      </c>
      <c r="F538" s="30"/>
      <c r="G538" s="30"/>
    </row>
    <row r="539" spans="1:7">
      <c r="B539" s="34" t="s">
        <v>677</v>
      </c>
      <c r="C539" s="34" t="s">
        <v>676</v>
      </c>
      <c r="D539" s="34" t="s">
        <v>669</v>
      </c>
      <c r="E539" s="34" t="s">
        <v>674</v>
      </c>
      <c r="F539" s="34" t="s">
        <v>673</v>
      </c>
    </row>
    <row r="540" spans="1:7">
      <c r="B540" s="31" t="s">
        <v>664</v>
      </c>
      <c r="C540" s="31"/>
    </row>
    <row r="541" spans="1:7">
      <c r="B541" s="34" t="s">
        <v>665</v>
      </c>
      <c r="E541" s="34" t="s">
        <v>55</v>
      </c>
    </row>
    <row r="542" spans="1:7">
      <c r="B542" s="30" t="s">
        <v>8</v>
      </c>
      <c r="C542" s="30"/>
      <c r="D542" s="34" t="s">
        <v>667</v>
      </c>
      <c r="E542" s="30" t="s">
        <v>627</v>
      </c>
      <c r="F542" s="30"/>
      <c r="G542" s="34" t="s">
        <v>669</v>
      </c>
    </row>
    <row r="543" spans="1:7">
      <c r="B543" s="30" t="s">
        <v>7</v>
      </c>
      <c r="C543" s="30"/>
      <c r="D543" s="34" t="s">
        <v>668</v>
      </c>
      <c r="E543" s="30" t="s">
        <v>5</v>
      </c>
      <c r="F543" s="30"/>
      <c r="G543" s="34" t="s">
        <v>670</v>
      </c>
    </row>
    <row r="544" spans="1:7">
      <c r="C544" s="34" t="s">
        <v>466</v>
      </c>
      <c r="D544" s="34" t="s">
        <v>672</v>
      </c>
      <c r="F544" s="34" t="s">
        <v>466</v>
      </c>
      <c r="G544" s="34" t="s">
        <v>671</v>
      </c>
    </row>
    <row r="545" spans="1:6">
      <c r="A545" s="18">
        <v>2</v>
      </c>
      <c r="B545" s="18" t="s">
        <v>666</v>
      </c>
      <c r="C545" s="18"/>
    </row>
    <row r="546" spans="1:6">
      <c r="B546" t="s">
        <v>678</v>
      </c>
      <c r="E546" s="18"/>
    </row>
    <row r="547" spans="1:6">
      <c r="B547" t="s">
        <v>679</v>
      </c>
    </row>
    <row r="548" spans="1:6">
      <c r="A548" s="18">
        <v>3</v>
      </c>
      <c r="B548" s="18" t="s">
        <v>369</v>
      </c>
      <c r="C548" s="18"/>
    </row>
    <row r="549" spans="1:6">
      <c r="B549" s="35" t="s">
        <v>680</v>
      </c>
    </row>
    <row r="550" spans="1:6">
      <c r="B550" s="35" t="s">
        <v>681</v>
      </c>
    </row>
    <row r="551" spans="1:6">
      <c r="B551" s="35" t="s">
        <v>682</v>
      </c>
    </row>
    <row r="552" spans="1:6">
      <c r="B552" s="35" t="s">
        <v>683</v>
      </c>
    </row>
    <row r="553" spans="1:6">
      <c r="B553" s="35" t="s">
        <v>684</v>
      </c>
    </row>
    <row r="554" spans="1:6">
      <c r="A554" s="18">
        <v>4</v>
      </c>
      <c r="B554" s="18" t="s">
        <v>685</v>
      </c>
    </row>
    <row r="555" spans="1:6">
      <c r="B555" s="35" t="s">
        <v>686</v>
      </c>
    </row>
    <row r="556" spans="1:6">
      <c r="B556" s="36" t="s">
        <v>690</v>
      </c>
    </row>
    <row r="557" spans="1:6">
      <c r="B557" s="36" t="s">
        <v>691</v>
      </c>
    </row>
    <row r="558" spans="1:6">
      <c r="B558" s="36" t="s">
        <v>692</v>
      </c>
    </row>
    <row r="560" spans="1:6">
      <c r="A560" s="18"/>
      <c r="B560" s="21" t="s">
        <v>695</v>
      </c>
      <c r="C560" s="21"/>
      <c r="D560" s="21"/>
      <c r="E560" s="21"/>
      <c r="F560" s="21"/>
    </row>
    <row r="561" spans="1:7">
      <c r="B561" s="22" t="s">
        <v>696</v>
      </c>
      <c r="C561" s="22"/>
      <c r="D561" s="22"/>
      <c r="E561" s="22"/>
      <c r="F561" s="22"/>
    </row>
    <row r="562" spans="1:7">
      <c r="A562" s="18"/>
      <c r="B562" s="21" t="s">
        <v>457</v>
      </c>
      <c r="C562" s="21" t="s">
        <v>392</v>
      </c>
      <c r="D562" s="21" t="s">
        <v>464</v>
      </c>
      <c r="E562" s="21" t="s">
        <v>697</v>
      </c>
      <c r="F562" s="21" t="s">
        <v>461</v>
      </c>
      <c r="G562" s="21" t="s">
        <v>466</v>
      </c>
    </row>
    <row r="563" spans="1:7">
      <c r="B563" s="37" t="s">
        <v>698</v>
      </c>
      <c r="C563" s="37" t="s">
        <v>699</v>
      </c>
      <c r="D563" s="37" t="s">
        <v>702</v>
      </c>
      <c r="E563" s="37" t="s">
        <v>701</v>
      </c>
      <c r="F563" s="37" t="s">
        <v>700</v>
      </c>
      <c r="G563" s="37" t="s">
        <v>703</v>
      </c>
    </row>
    <row r="564" spans="1:7">
      <c r="B564" s="21" t="s">
        <v>2</v>
      </c>
      <c r="C564" s="21" t="s">
        <v>3</v>
      </c>
      <c r="D564" s="21" t="s">
        <v>588</v>
      </c>
      <c r="E564" s="21" t="s">
        <v>589</v>
      </c>
      <c r="F564" s="21" t="s">
        <v>11</v>
      </c>
    </row>
    <row r="565" spans="1:7">
      <c r="B565" s="37" t="s">
        <v>704</v>
      </c>
      <c r="C565" s="37" t="s">
        <v>705</v>
      </c>
      <c r="D565" s="37" t="s">
        <v>706</v>
      </c>
      <c r="E565" s="37" t="s">
        <v>707</v>
      </c>
      <c r="F565" s="37" t="s">
        <v>708</v>
      </c>
    </row>
    <row r="566" spans="1:7">
      <c r="B566" s="21" t="s">
        <v>709</v>
      </c>
      <c r="C566" s="21"/>
      <c r="D566" s="21"/>
      <c r="E566" s="21" t="s">
        <v>6</v>
      </c>
    </row>
    <row r="567" spans="1:7">
      <c r="B567" s="37" t="s">
        <v>710</v>
      </c>
      <c r="E567" s="37" t="s">
        <v>711</v>
      </c>
    </row>
    <row r="568" spans="1:7">
      <c r="B568" s="37" t="s">
        <v>715</v>
      </c>
      <c r="C568" s="37"/>
      <c r="D568" s="37"/>
      <c r="E568" s="37" t="s">
        <v>712</v>
      </c>
      <c r="F568" s="37" t="s">
        <v>713</v>
      </c>
    </row>
    <row r="569" spans="1:7">
      <c r="B569" s="37" t="s">
        <v>466</v>
      </c>
      <c r="C569" s="37" t="s">
        <v>716</v>
      </c>
      <c r="E569" s="37" t="s">
        <v>466</v>
      </c>
      <c r="F569" s="37" t="s">
        <v>714</v>
      </c>
    </row>
    <row r="570" spans="1:7">
      <c r="A570" s="21"/>
      <c r="B570" s="21" t="s">
        <v>717</v>
      </c>
      <c r="C570" s="21"/>
      <c r="D570" s="21"/>
    </row>
    <row r="571" spans="1:7">
      <c r="B571" s="37" t="s">
        <v>718</v>
      </c>
    </row>
    <row r="572" spans="1:7">
      <c r="B572" s="37" t="s">
        <v>719</v>
      </c>
      <c r="E572" s="37"/>
    </row>
    <row r="573" spans="1:7">
      <c r="B573" s="21" t="s">
        <v>247</v>
      </c>
      <c r="C573" s="21"/>
    </row>
    <row r="574" spans="1:7">
      <c r="B574" s="37" t="s">
        <v>720</v>
      </c>
    </row>
    <row r="575" spans="1:7">
      <c r="B575" s="37" t="s">
        <v>721</v>
      </c>
    </row>
    <row r="576" spans="1:7">
      <c r="B576" s="37" t="s">
        <v>722</v>
      </c>
    </row>
    <row r="577" spans="1:15">
      <c r="B577" s="37" t="s">
        <v>514</v>
      </c>
    </row>
    <row r="578" spans="1:15">
      <c r="B578" s="37" t="s">
        <v>723</v>
      </c>
    </row>
    <row r="579" spans="1:15">
      <c r="B579" s="37" t="s">
        <v>724</v>
      </c>
    </row>
    <row r="580" spans="1:15">
      <c r="B580" s="37" t="s">
        <v>725</v>
      </c>
    </row>
    <row r="581" spans="1:15">
      <c r="B581" s="37" t="s">
        <v>726</v>
      </c>
    </row>
    <row r="583" spans="1:15">
      <c r="B583" s="31" t="s">
        <v>727</v>
      </c>
      <c r="C583" s="31"/>
      <c r="D583" s="31"/>
      <c r="E583" s="31"/>
      <c r="F583" s="31"/>
      <c r="G583" s="31"/>
    </row>
    <row r="584" spans="1:15">
      <c r="A584">
        <v>1</v>
      </c>
      <c r="B584" s="30" t="s">
        <v>661</v>
      </c>
      <c r="C584" s="30"/>
      <c r="D584" s="30"/>
      <c r="E584" s="30"/>
      <c r="F584" s="30"/>
    </row>
    <row r="585" spans="1:15">
      <c r="B585" s="38" t="s">
        <v>363</v>
      </c>
      <c r="I585" s="30" t="s">
        <v>763</v>
      </c>
      <c r="J585" s="30"/>
      <c r="K585" s="30"/>
      <c r="L585" s="30" t="s">
        <v>770</v>
      </c>
      <c r="M585" s="30"/>
      <c r="N585" s="30"/>
      <c r="O585" s="30"/>
    </row>
    <row r="586" spans="1:15">
      <c r="A586" s="30"/>
      <c r="B586" s="30" t="s">
        <v>457</v>
      </c>
      <c r="C586" s="30" t="s">
        <v>781</v>
      </c>
      <c r="D586" s="30" t="s">
        <v>460</v>
      </c>
      <c r="E586" s="30" t="s">
        <v>461</v>
      </c>
      <c r="F586" s="30" t="s">
        <v>464</v>
      </c>
      <c r="G586" s="30" t="s">
        <v>466</v>
      </c>
      <c r="I586" t="s">
        <v>764</v>
      </c>
      <c r="L586" s="18" t="s">
        <v>771</v>
      </c>
      <c r="M586" s="18"/>
    </row>
    <row r="587" spans="1:15">
      <c r="B587" s="38" t="s">
        <v>730</v>
      </c>
      <c r="C587" t="s">
        <v>731</v>
      </c>
      <c r="D587" t="s">
        <v>729</v>
      </c>
      <c r="E587" t="s">
        <v>728</v>
      </c>
      <c r="F587" t="s">
        <v>732</v>
      </c>
      <c r="G587" s="18" t="s">
        <v>733</v>
      </c>
      <c r="H587" s="18"/>
      <c r="I587" t="s">
        <v>5</v>
      </c>
      <c r="J587" t="s">
        <v>765</v>
      </c>
    </row>
    <row r="588" spans="1:15">
      <c r="B588" s="30" t="s">
        <v>2</v>
      </c>
      <c r="C588" s="30" t="s">
        <v>3</v>
      </c>
      <c r="D588" s="30" t="s">
        <v>588</v>
      </c>
      <c r="E588" s="30" t="s">
        <v>589</v>
      </c>
      <c r="F588" s="30" t="s">
        <v>11</v>
      </c>
      <c r="H588" s="30"/>
      <c r="I588" s="31" t="s">
        <v>466</v>
      </c>
      <c r="J588" s="18" t="s">
        <v>766</v>
      </c>
    </row>
    <row r="589" spans="1:15">
      <c r="B589" s="38" t="s">
        <v>734</v>
      </c>
      <c r="C589" t="s">
        <v>735</v>
      </c>
      <c r="D589" t="s">
        <v>737</v>
      </c>
      <c r="E589" t="s">
        <v>736</v>
      </c>
      <c r="F589" t="s">
        <v>738</v>
      </c>
      <c r="H589" s="30"/>
      <c r="I589" s="30" t="s">
        <v>9</v>
      </c>
    </row>
    <row r="590" spans="1:15">
      <c r="A590" s="30">
        <v>2</v>
      </c>
      <c r="B590" s="30" t="s">
        <v>666</v>
      </c>
      <c r="C590" s="30"/>
      <c r="D590" s="30"/>
      <c r="I590" t="s">
        <v>767</v>
      </c>
    </row>
    <row r="591" spans="1:15">
      <c r="B591" s="38" t="s">
        <v>739</v>
      </c>
      <c r="I591" t="s">
        <v>768</v>
      </c>
      <c r="K591" s="38" t="s">
        <v>783</v>
      </c>
    </row>
    <row r="592" spans="1:15">
      <c r="B592" s="38" t="s">
        <v>740</v>
      </c>
      <c r="H592" s="30"/>
      <c r="I592" s="30" t="s">
        <v>466</v>
      </c>
      <c r="J592" s="18" t="s">
        <v>769</v>
      </c>
      <c r="K592" s="18"/>
    </row>
    <row r="593" spans="1:8">
      <c r="A593" s="30">
        <v>3</v>
      </c>
      <c r="B593" s="30" t="s">
        <v>247</v>
      </c>
      <c r="C593" s="30"/>
    </row>
    <row r="594" spans="1:8">
      <c r="B594" s="38" t="s">
        <v>741</v>
      </c>
    </row>
    <row r="595" spans="1:8">
      <c r="B595" s="38" t="s">
        <v>742</v>
      </c>
    </row>
    <row r="596" spans="1:8">
      <c r="B596" s="38" t="s">
        <v>743</v>
      </c>
    </row>
    <row r="598" spans="1:8">
      <c r="A598" s="30"/>
      <c r="B598" s="31" t="s">
        <v>744</v>
      </c>
      <c r="C598" s="31"/>
      <c r="D598" s="31"/>
      <c r="E598" s="31"/>
      <c r="F598" s="31"/>
    </row>
    <row r="599" spans="1:8">
      <c r="A599" s="30">
        <v>1</v>
      </c>
      <c r="B599" s="30" t="s">
        <v>661</v>
      </c>
      <c r="C599" s="30"/>
      <c r="D599" s="30"/>
      <c r="E599" s="30"/>
      <c r="F599" s="30"/>
    </row>
    <row r="600" spans="1:8">
      <c r="B600" s="18" t="s">
        <v>314</v>
      </c>
      <c r="C600" s="18"/>
    </row>
    <row r="601" spans="1:8">
      <c r="A601" s="30"/>
      <c r="B601" s="30" t="s">
        <v>457</v>
      </c>
      <c r="C601" s="30" t="s">
        <v>745</v>
      </c>
      <c r="D601" s="30"/>
      <c r="E601" s="30" t="s">
        <v>461</v>
      </c>
      <c r="F601" s="30" t="s">
        <v>464</v>
      </c>
      <c r="G601" s="30" t="s">
        <v>466</v>
      </c>
    </row>
    <row r="602" spans="1:8">
      <c r="B602" s="38" t="s">
        <v>597</v>
      </c>
      <c r="C602" t="s">
        <v>752</v>
      </c>
      <c r="D602" t="s">
        <v>746</v>
      </c>
      <c r="E602" t="s">
        <v>747</v>
      </c>
      <c r="F602" t="s">
        <v>753</v>
      </c>
      <c r="G602" s="18" t="s">
        <v>754</v>
      </c>
      <c r="H602" s="18"/>
    </row>
    <row r="603" spans="1:8">
      <c r="A603" s="30"/>
      <c r="B603" s="30" t="s">
        <v>2</v>
      </c>
      <c r="C603" s="30" t="s">
        <v>3</v>
      </c>
      <c r="D603" s="30" t="s">
        <v>748</v>
      </c>
      <c r="E603" s="30"/>
      <c r="F603" s="30" t="s">
        <v>11</v>
      </c>
    </row>
    <row r="604" spans="1:8">
      <c r="B604" s="38" t="s">
        <v>756</v>
      </c>
      <c r="C604" t="s">
        <v>755</v>
      </c>
      <c r="D604" t="s">
        <v>751</v>
      </c>
      <c r="E604" t="s">
        <v>750</v>
      </c>
      <c r="F604" t="s">
        <v>749</v>
      </c>
    </row>
    <row r="605" spans="1:8">
      <c r="B605" s="30" t="s">
        <v>371</v>
      </c>
      <c r="C605" s="30"/>
      <c r="D605" s="30"/>
      <c r="E605" s="30" t="s">
        <v>9</v>
      </c>
    </row>
    <row r="606" spans="1:8">
      <c r="B606" s="38" t="s">
        <v>757</v>
      </c>
      <c r="E606" t="s">
        <v>760</v>
      </c>
    </row>
    <row r="607" spans="1:8">
      <c r="B607" s="38" t="s">
        <v>5</v>
      </c>
      <c r="C607" t="s">
        <v>759</v>
      </c>
      <c r="E607" t="s">
        <v>8</v>
      </c>
      <c r="F607" t="s">
        <v>761</v>
      </c>
    </row>
    <row r="608" spans="1:8">
      <c r="A608" s="30"/>
      <c r="B608" s="30" t="s">
        <v>466</v>
      </c>
      <c r="C608" s="18" t="s">
        <v>758</v>
      </c>
      <c r="D608" s="31"/>
      <c r="E608" s="30" t="s">
        <v>466</v>
      </c>
      <c r="F608" s="30" t="s">
        <v>762</v>
      </c>
      <c r="G608" s="30"/>
    </row>
    <row r="609" spans="1:6">
      <c r="A609" s="30"/>
      <c r="B609" s="30" t="s">
        <v>782</v>
      </c>
      <c r="C609" s="30"/>
      <c r="D609" s="30"/>
      <c r="E609" s="30"/>
    </row>
    <row r="610" spans="1:6">
      <c r="B610" s="18" t="s">
        <v>772</v>
      </c>
      <c r="C610" s="18"/>
    </row>
    <row r="611" spans="1:6">
      <c r="A611" s="30">
        <v>2</v>
      </c>
      <c r="B611" s="30" t="s">
        <v>596</v>
      </c>
      <c r="C611" s="30"/>
      <c r="D611" s="30"/>
    </row>
    <row r="612" spans="1:6">
      <c r="B612" s="38" t="s">
        <v>314</v>
      </c>
    </row>
    <row r="613" spans="1:6">
      <c r="B613" s="38" t="s">
        <v>773</v>
      </c>
    </row>
    <row r="614" spans="1:6">
      <c r="B614" s="38" t="s">
        <v>774</v>
      </c>
    </row>
    <row r="615" spans="1:6">
      <c r="B615" s="38" t="s">
        <v>775</v>
      </c>
    </row>
    <row r="616" spans="1:6">
      <c r="B616" s="38" t="s">
        <v>776</v>
      </c>
    </row>
    <row r="617" spans="1:6">
      <c r="A617" s="30">
        <v>3</v>
      </c>
      <c r="B617" s="30" t="s">
        <v>777</v>
      </c>
      <c r="C617" s="30"/>
    </row>
    <row r="618" spans="1:6">
      <c r="B618" s="38" t="s">
        <v>778</v>
      </c>
    </row>
    <row r="619" spans="1:6">
      <c r="B619" s="38" t="s">
        <v>779</v>
      </c>
    </row>
    <row r="620" spans="1:6">
      <c r="B620" s="38" t="s">
        <v>780</v>
      </c>
    </row>
    <row r="621" spans="1:6">
      <c r="B621" s="38" t="s">
        <v>784</v>
      </c>
    </row>
    <row r="623" spans="1:6">
      <c r="A623" s="22"/>
      <c r="B623" s="22" t="s">
        <v>785</v>
      </c>
      <c r="C623" s="22"/>
      <c r="D623" s="22"/>
      <c r="E623" s="22"/>
      <c r="F623" s="22"/>
    </row>
    <row r="624" spans="1:6">
      <c r="A624" s="22"/>
      <c r="B624" s="22" t="s">
        <v>661</v>
      </c>
      <c r="C624" s="22"/>
      <c r="D624" s="22"/>
      <c r="E624" s="22"/>
      <c r="F624" s="22"/>
    </row>
    <row r="625" spans="1:9">
      <c r="A625">
        <v>1</v>
      </c>
      <c r="B625" s="39" t="s">
        <v>314</v>
      </c>
    </row>
    <row r="626" spans="1:9">
      <c r="B626" s="22" t="s">
        <v>457</v>
      </c>
      <c r="C626" s="22" t="s">
        <v>786</v>
      </c>
      <c r="D626" s="22"/>
      <c r="E626" s="22" t="s">
        <v>461</v>
      </c>
      <c r="F626" s="22" t="s">
        <v>464</v>
      </c>
      <c r="G626" s="22" t="s">
        <v>466</v>
      </c>
      <c r="I626">
        <v>2359</v>
      </c>
    </row>
    <row r="627" spans="1:9">
      <c r="B627" s="39" t="s">
        <v>790</v>
      </c>
      <c r="C627" t="s">
        <v>787</v>
      </c>
      <c r="D627" t="s">
        <v>792</v>
      </c>
      <c r="E627" t="s">
        <v>788</v>
      </c>
      <c r="F627" t="s">
        <v>801</v>
      </c>
      <c r="G627" t="s">
        <v>802</v>
      </c>
      <c r="I627">
        <v>419</v>
      </c>
    </row>
    <row r="628" spans="1:9">
      <c r="A628" s="22"/>
      <c r="B628" s="22" t="s">
        <v>2</v>
      </c>
      <c r="C628" s="22" t="s">
        <v>3</v>
      </c>
      <c r="D628" s="22" t="s">
        <v>814</v>
      </c>
      <c r="E628" s="22"/>
      <c r="F628" s="22"/>
      <c r="G628" s="22" t="s">
        <v>11</v>
      </c>
      <c r="I628">
        <v>1141</v>
      </c>
    </row>
    <row r="629" spans="1:9">
      <c r="B629" s="39" t="s">
        <v>789</v>
      </c>
      <c r="C629" t="s">
        <v>791</v>
      </c>
      <c r="D629" t="s">
        <v>793</v>
      </c>
      <c r="E629" t="s">
        <v>794</v>
      </c>
      <c r="G629" t="s">
        <v>795</v>
      </c>
      <c r="I629">
        <v>181</v>
      </c>
    </row>
    <row r="630" spans="1:9">
      <c r="I630">
        <v>5003</v>
      </c>
    </row>
    <row r="631" spans="1:9">
      <c r="A631" s="22">
        <v>2</v>
      </c>
      <c r="B631" s="22" t="s">
        <v>590</v>
      </c>
      <c r="C631" s="22"/>
      <c r="D631" s="22"/>
      <c r="E631" s="22" t="s">
        <v>6</v>
      </c>
    </row>
    <row r="632" spans="1:9">
      <c r="B632" s="39" t="s">
        <v>796</v>
      </c>
      <c r="E632" t="s">
        <v>798</v>
      </c>
    </row>
    <row r="633" spans="1:9">
      <c r="B633" s="39" t="s">
        <v>797</v>
      </c>
      <c r="E633" t="s">
        <v>5</v>
      </c>
      <c r="F633" t="s">
        <v>799</v>
      </c>
    </row>
    <row r="634" spans="1:9">
      <c r="B634" s="39" t="s">
        <v>466</v>
      </c>
      <c r="C634" t="s">
        <v>800</v>
      </c>
      <c r="E634" t="s">
        <v>466</v>
      </c>
      <c r="F634" t="s">
        <v>816</v>
      </c>
    </row>
    <row r="635" spans="1:9">
      <c r="B635" s="22" t="s">
        <v>803</v>
      </c>
      <c r="C635" s="22"/>
      <c r="D635" s="22"/>
      <c r="E635" t="s">
        <v>804</v>
      </c>
    </row>
    <row r="636" spans="1:9">
      <c r="H636" t="s">
        <v>815</v>
      </c>
    </row>
    <row r="637" spans="1:9">
      <c r="A637" s="22">
        <v>3</v>
      </c>
      <c r="B637" s="22" t="s">
        <v>805</v>
      </c>
      <c r="C637" s="22"/>
      <c r="D637" s="22"/>
    </row>
    <row r="638" spans="1:9">
      <c r="A638" s="22"/>
      <c r="B638" s="22" t="s">
        <v>314</v>
      </c>
      <c r="C638" s="22"/>
      <c r="D638" s="22"/>
    </row>
    <row r="639" spans="1:9">
      <c r="B639" s="40" t="s">
        <v>806</v>
      </c>
    </row>
    <row r="640" spans="1:9">
      <c r="A640" s="22"/>
      <c r="B640" s="22" t="s">
        <v>807</v>
      </c>
      <c r="C640" s="22"/>
    </row>
    <row r="641" spans="1:7">
      <c r="B641" s="40" t="s">
        <v>808</v>
      </c>
    </row>
    <row r="642" spans="1:7">
      <c r="B642" s="40" t="s">
        <v>809</v>
      </c>
      <c r="D642" s="40" t="s">
        <v>486</v>
      </c>
    </row>
    <row r="643" spans="1:7">
      <c r="B643" s="40" t="s">
        <v>810</v>
      </c>
    </row>
    <row r="644" spans="1:7">
      <c r="A644" s="22"/>
      <c r="B644" s="22" t="s">
        <v>369</v>
      </c>
      <c r="C644" s="22"/>
    </row>
    <row r="645" spans="1:7">
      <c r="B645" s="40" t="s">
        <v>811</v>
      </c>
    </row>
    <row r="646" spans="1:7">
      <c r="B646" s="40" t="s">
        <v>812</v>
      </c>
    </row>
    <row r="647" spans="1:7">
      <c r="B647" s="40" t="s">
        <v>813</v>
      </c>
    </row>
    <row r="649" spans="1:7">
      <c r="A649" s="22"/>
      <c r="B649" s="22" t="s">
        <v>817</v>
      </c>
      <c r="C649" s="22"/>
      <c r="D649" s="22"/>
      <c r="E649" s="22"/>
      <c r="F649" s="22"/>
    </row>
    <row r="650" spans="1:7">
      <c r="A650" s="22"/>
      <c r="B650" s="22" t="s">
        <v>661</v>
      </c>
      <c r="C650" s="22"/>
      <c r="D650" s="22"/>
      <c r="E650" s="22"/>
      <c r="F650" s="22"/>
    </row>
    <row r="651" spans="1:7">
      <c r="A651">
        <v>1</v>
      </c>
      <c r="B651" s="39" t="s">
        <v>314</v>
      </c>
    </row>
    <row r="652" spans="1:7">
      <c r="B652" s="22" t="s">
        <v>457</v>
      </c>
      <c r="C652" s="22" t="s">
        <v>820</v>
      </c>
      <c r="D652" s="22" t="s">
        <v>392</v>
      </c>
      <c r="E652" s="22" t="s">
        <v>461</v>
      </c>
      <c r="F652" s="22" t="s">
        <v>464</v>
      </c>
      <c r="G652" s="22" t="s">
        <v>466</v>
      </c>
    </row>
    <row r="653" spans="1:7">
      <c r="B653" s="41" t="s">
        <v>821</v>
      </c>
      <c r="C653" t="s">
        <v>819</v>
      </c>
      <c r="D653" t="s">
        <v>818</v>
      </c>
      <c r="E653" t="s">
        <v>822</v>
      </c>
      <c r="F653" t="s">
        <v>823</v>
      </c>
      <c r="G653" t="s">
        <v>824</v>
      </c>
    </row>
    <row r="654" spans="1:7">
      <c r="A654" s="22"/>
      <c r="B654" s="22" t="s">
        <v>2</v>
      </c>
      <c r="C654" s="22" t="s">
        <v>3</v>
      </c>
      <c r="D654" s="22" t="s">
        <v>814</v>
      </c>
      <c r="E654" s="22"/>
      <c r="F654" s="22"/>
      <c r="G654" s="22" t="s">
        <v>11</v>
      </c>
    </row>
    <row r="655" spans="1:7">
      <c r="B655" s="41" t="s">
        <v>825</v>
      </c>
      <c r="C655" t="s">
        <v>826</v>
      </c>
      <c r="D655" s="41" t="s">
        <v>836</v>
      </c>
      <c r="E655" t="s">
        <v>827</v>
      </c>
      <c r="G655" t="s">
        <v>828</v>
      </c>
    </row>
    <row r="657" spans="1:6">
      <c r="A657" s="22">
        <v>2</v>
      </c>
      <c r="B657" s="22" t="s">
        <v>590</v>
      </c>
      <c r="C657" s="22"/>
      <c r="D657" s="22"/>
      <c r="E657" s="22" t="s">
        <v>6</v>
      </c>
    </row>
    <row r="658" spans="1:6">
      <c r="B658" s="41" t="s">
        <v>829</v>
      </c>
      <c r="E658" t="s">
        <v>832</v>
      </c>
    </row>
    <row r="659" spans="1:6">
      <c r="B659" s="41" t="s">
        <v>830</v>
      </c>
      <c r="E659" t="s">
        <v>5</v>
      </c>
      <c r="F659" t="s">
        <v>833</v>
      </c>
    </row>
    <row r="660" spans="1:6">
      <c r="B660" s="39" t="s">
        <v>466</v>
      </c>
      <c r="C660" t="s">
        <v>831</v>
      </c>
      <c r="E660" t="s">
        <v>466</v>
      </c>
      <c r="F660" t="s">
        <v>834</v>
      </c>
    </row>
    <row r="661" spans="1:6">
      <c r="B661" s="42" t="s">
        <v>803</v>
      </c>
      <c r="C661" s="42"/>
      <c r="D661" s="42"/>
      <c r="E661" s="43" t="s">
        <v>835</v>
      </c>
    </row>
    <row r="663" spans="1:6">
      <c r="A663" s="22">
        <v>3</v>
      </c>
      <c r="B663" s="22" t="s">
        <v>839</v>
      </c>
      <c r="C663" s="22"/>
      <c r="D663" s="22"/>
    </row>
    <row r="664" spans="1:6">
      <c r="A664" s="22"/>
      <c r="B664" s="22" t="s">
        <v>314</v>
      </c>
      <c r="C664" s="22"/>
      <c r="D664" s="22"/>
    </row>
    <row r="665" spans="1:6">
      <c r="B665" s="41" t="s">
        <v>837</v>
      </c>
    </row>
    <row r="666" spans="1:6">
      <c r="B666" s="41" t="s">
        <v>838</v>
      </c>
    </row>
    <row r="667" spans="1:6">
      <c r="A667" s="41"/>
      <c r="B667" s="41" t="s">
        <v>840</v>
      </c>
    </row>
    <row r="668" spans="1:6">
      <c r="A668" s="41"/>
      <c r="B668" s="41" t="s">
        <v>841</v>
      </c>
    </row>
    <row r="669" spans="1:6">
      <c r="A669" s="41"/>
      <c r="B669" s="41" t="s">
        <v>842</v>
      </c>
    </row>
    <row r="670" spans="1:6">
      <c r="A670" s="22"/>
      <c r="B670" s="22"/>
      <c r="C670" s="22"/>
    </row>
    <row r="671" spans="1:6">
      <c r="B671" s="42" t="s">
        <v>843</v>
      </c>
      <c r="C671" s="42"/>
      <c r="D671" s="42"/>
      <c r="E671" s="42"/>
      <c r="F671" s="42"/>
    </row>
    <row r="672" spans="1:6">
      <c r="B672" s="42" t="s">
        <v>661</v>
      </c>
      <c r="C672" s="42"/>
      <c r="D672" s="42"/>
      <c r="E672" s="42"/>
      <c r="F672" s="42"/>
    </row>
    <row r="673" spans="1:8">
      <c r="A673">
        <v>1</v>
      </c>
      <c r="B673" s="46" t="s">
        <v>314</v>
      </c>
      <c r="C673" s="22"/>
      <c r="D673" s="22"/>
      <c r="E673" s="22"/>
      <c r="F673" s="22"/>
    </row>
    <row r="674" spans="1:8">
      <c r="B674" s="48" t="s">
        <v>457</v>
      </c>
      <c r="C674" s="48" t="s">
        <v>820</v>
      </c>
      <c r="D674" s="48" t="s">
        <v>392</v>
      </c>
      <c r="E674" s="48" t="s">
        <v>461</v>
      </c>
      <c r="F674" s="48" t="s">
        <v>464</v>
      </c>
      <c r="G674" s="48" t="s">
        <v>466</v>
      </c>
    </row>
    <row r="675" spans="1:8">
      <c r="B675" s="8">
        <v>475</v>
      </c>
      <c r="C675" s="8">
        <v>458</v>
      </c>
      <c r="D675" s="8">
        <v>566</v>
      </c>
      <c r="E675" s="8">
        <v>616</v>
      </c>
      <c r="F675" s="8">
        <v>4179</v>
      </c>
      <c r="G675" s="8">
        <f>SUM(B675:F675)</f>
        <v>6294</v>
      </c>
    </row>
    <row r="676" spans="1:8">
      <c r="B676" s="48" t="s">
        <v>2</v>
      </c>
      <c r="C676" s="48" t="s">
        <v>3</v>
      </c>
      <c r="D676" s="48" t="s">
        <v>844</v>
      </c>
      <c r="E676" s="48" t="s">
        <v>845</v>
      </c>
      <c r="F676" s="48" t="s">
        <v>11</v>
      </c>
      <c r="G676" s="48"/>
    </row>
    <row r="677" spans="1:8">
      <c r="B677" s="8">
        <v>2660</v>
      </c>
      <c r="C677" s="8">
        <v>314</v>
      </c>
      <c r="D677" s="8">
        <v>146</v>
      </c>
      <c r="E677" s="8">
        <v>2616</v>
      </c>
      <c r="F677" s="8">
        <v>1843</v>
      </c>
      <c r="G677" s="8">
        <f>SUM(B677:F677)</f>
        <v>7579</v>
      </c>
    </row>
    <row r="678" spans="1:8">
      <c r="A678" s="15">
        <v>2</v>
      </c>
      <c r="B678" s="29" t="s">
        <v>590</v>
      </c>
      <c r="C678" s="29"/>
      <c r="D678" s="22"/>
      <c r="E678" s="22"/>
      <c r="F678" s="22"/>
    </row>
    <row r="679" spans="1:8">
      <c r="B679" s="47" t="s">
        <v>6</v>
      </c>
      <c r="C679" s="8"/>
      <c r="D679" s="8"/>
    </row>
    <row r="680" spans="1:8">
      <c r="B680" s="49" t="s">
        <v>627</v>
      </c>
      <c r="C680" s="49" t="s">
        <v>5</v>
      </c>
      <c r="D680" s="49" t="s">
        <v>466</v>
      </c>
    </row>
    <row r="681" spans="1:8">
      <c r="B681" s="8">
        <v>1738</v>
      </c>
      <c r="C681" s="8">
        <v>2063</v>
      </c>
      <c r="D681" s="8">
        <f>SUM(B681:C681)</f>
        <v>3801</v>
      </c>
    </row>
    <row r="682" spans="1:8">
      <c r="B682" s="49" t="s">
        <v>846</v>
      </c>
      <c r="C682" s="49" t="s">
        <v>8</v>
      </c>
      <c r="D682" s="8"/>
    </row>
    <row r="683" spans="1:8">
      <c r="B683" s="47">
        <v>1562</v>
      </c>
      <c r="C683" s="8">
        <v>280</v>
      </c>
      <c r="D683" s="8">
        <f>SUM(B683:C683)</f>
        <v>1842</v>
      </c>
    </row>
    <row r="684" spans="1:8">
      <c r="B684" s="46"/>
    </row>
    <row r="685" spans="1:8" ht="18.5">
      <c r="B685" s="50" t="s">
        <v>803</v>
      </c>
      <c r="C685" s="50"/>
      <c r="D685" s="50"/>
      <c r="E685" s="51" t="s">
        <v>847</v>
      </c>
    </row>
    <row r="686" spans="1:8">
      <c r="B686" s="22" t="s">
        <v>839</v>
      </c>
      <c r="C686" s="22"/>
      <c r="H686" s="22"/>
    </row>
    <row r="687" spans="1:8">
      <c r="B687" s="22" t="s">
        <v>314</v>
      </c>
      <c r="C687" s="22"/>
    </row>
    <row r="688" spans="1:8">
      <c r="B688" s="46" t="s">
        <v>848</v>
      </c>
    </row>
    <row r="689" spans="1:6">
      <c r="A689" s="46"/>
      <c r="B689" s="46" t="s">
        <v>859</v>
      </c>
    </row>
    <row r="690" spans="1:6">
      <c r="B690" s="46" t="s">
        <v>858</v>
      </c>
    </row>
    <row r="691" spans="1:6">
      <c r="B691" s="46" t="s">
        <v>849</v>
      </c>
    </row>
    <row r="692" spans="1:6">
      <c r="B692" s="46" t="s">
        <v>850</v>
      </c>
    </row>
    <row r="693" spans="1:6">
      <c r="B693" s="46" t="s">
        <v>851</v>
      </c>
    </row>
    <row r="694" spans="1:6">
      <c r="B694" s="46" t="s">
        <v>852</v>
      </c>
    </row>
    <row r="695" spans="1:6">
      <c r="B695" s="46" t="s">
        <v>853</v>
      </c>
    </row>
    <row r="696" spans="1:6">
      <c r="B696" s="46" t="s">
        <v>860</v>
      </c>
    </row>
    <row r="697" spans="1:6">
      <c r="B697" s="46" t="s">
        <v>854</v>
      </c>
    </row>
    <row r="698" spans="1:6">
      <c r="B698" s="46" t="s">
        <v>856</v>
      </c>
    </row>
    <row r="699" spans="1:6">
      <c r="B699" s="46" t="s">
        <v>855</v>
      </c>
    </row>
    <row r="700" spans="1:6">
      <c r="B700" s="46" t="s">
        <v>857</v>
      </c>
    </row>
    <row r="701" spans="1:6">
      <c r="B701" s="46" t="s">
        <v>861</v>
      </c>
    </row>
    <row r="702" spans="1:6">
      <c r="B702" s="52" t="s">
        <v>862</v>
      </c>
    </row>
    <row r="704" spans="1:6">
      <c r="B704" s="42" t="s">
        <v>843</v>
      </c>
      <c r="C704" s="42"/>
      <c r="D704" s="42"/>
      <c r="E704" s="42"/>
      <c r="F704" s="42"/>
    </row>
    <row r="705" spans="2:7">
      <c r="B705" s="42" t="s">
        <v>661</v>
      </c>
      <c r="C705" s="42"/>
      <c r="D705" s="42"/>
      <c r="E705" s="42"/>
      <c r="F705" s="42"/>
    </row>
    <row r="706" spans="2:7">
      <c r="B706" s="46" t="s">
        <v>314</v>
      </c>
      <c r="C706" s="22"/>
      <c r="D706" s="22"/>
      <c r="E706" s="22"/>
      <c r="F706" s="22"/>
    </row>
    <row r="707" spans="2:7">
      <c r="B707" s="48" t="s">
        <v>457</v>
      </c>
      <c r="C707" s="48" t="s">
        <v>820</v>
      </c>
      <c r="D707" s="48" t="s">
        <v>392</v>
      </c>
      <c r="E707" s="48" t="s">
        <v>461</v>
      </c>
      <c r="F707" s="48" t="s">
        <v>464</v>
      </c>
      <c r="G707" s="48" t="s">
        <v>466</v>
      </c>
    </row>
    <row r="708" spans="2:7">
      <c r="B708" s="8">
        <v>797</v>
      </c>
      <c r="C708" s="8">
        <v>372</v>
      </c>
      <c r="D708" s="8">
        <v>753</v>
      </c>
      <c r="E708" s="8">
        <v>550</v>
      </c>
      <c r="F708" s="8">
        <v>3823</v>
      </c>
      <c r="G708" s="8">
        <f>SUM(B708:F708)</f>
        <v>6295</v>
      </c>
    </row>
    <row r="709" spans="2:7">
      <c r="B709" s="48" t="s">
        <v>2</v>
      </c>
      <c r="C709" s="48" t="s">
        <v>3</v>
      </c>
      <c r="D709" s="48" t="s">
        <v>844</v>
      </c>
      <c r="E709" s="48" t="s">
        <v>845</v>
      </c>
      <c r="F709" s="48" t="s">
        <v>11</v>
      </c>
      <c r="G709" s="48"/>
    </row>
    <row r="710" spans="2:7">
      <c r="B710" s="8">
        <v>3113</v>
      </c>
      <c r="C710" s="8">
        <v>390</v>
      </c>
      <c r="D710" s="8">
        <v>170</v>
      </c>
      <c r="E710" s="8">
        <v>1887</v>
      </c>
      <c r="F710" s="8">
        <v>1990</v>
      </c>
      <c r="G710" s="8">
        <f>SUM(B710:F710)</f>
        <v>7550</v>
      </c>
    </row>
    <row r="711" spans="2:7">
      <c r="B711" s="29" t="s">
        <v>590</v>
      </c>
      <c r="C711" s="29"/>
      <c r="D711" s="22"/>
      <c r="E711" s="22"/>
      <c r="F711" s="22"/>
    </row>
    <row r="712" spans="2:7">
      <c r="B712" s="47" t="s">
        <v>6</v>
      </c>
      <c r="C712" s="8"/>
      <c r="D712" s="8"/>
    </row>
    <row r="713" spans="2:7">
      <c r="B713" s="49" t="s">
        <v>627</v>
      </c>
      <c r="C713" s="49" t="s">
        <v>5</v>
      </c>
      <c r="D713" s="49" t="s">
        <v>466</v>
      </c>
    </row>
    <row r="714" spans="2:7">
      <c r="B714" s="8">
        <v>1273</v>
      </c>
      <c r="C714" s="8">
        <v>1459</v>
      </c>
      <c r="D714" s="8">
        <f>SUM(B714:C714)</f>
        <v>2732</v>
      </c>
    </row>
    <row r="715" spans="2:7">
      <c r="B715" s="49" t="s">
        <v>846</v>
      </c>
      <c r="C715" s="49" t="s">
        <v>8</v>
      </c>
      <c r="D715" s="8"/>
    </row>
    <row r="716" spans="2:7">
      <c r="B716" s="47">
        <v>1747</v>
      </c>
      <c r="C716" s="8">
        <v>147</v>
      </c>
      <c r="D716" s="8">
        <f>SUM(B716:C716)</f>
        <v>1894</v>
      </c>
    </row>
    <row r="718" spans="2:7" ht="18.5">
      <c r="B718" s="50" t="s">
        <v>863</v>
      </c>
    </row>
    <row r="719" spans="2:7">
      <c r="B719" s="54" t="s">
        <v>2</v>
      </c>
    </row>
    <row r="720" spans="2:7">
      <c r="B720" s="54" t="s">
        <v>864</v>
      </c>
    </row>
    <row r="721" spans="2:2">
      <c r="B721" s="54" t="s">
        <v>865</v>
      </c>
    </row>
    <row r="722" spans="2:2">
      <c r="B722" s="54" t="s">
        <v>866</v>
      </c>
    </row>
    <row r="723" spans="2:2">
      <c r="B723" s="54" t="s">
        <v>867</v>
      </c>
    </row>
    <row r="724" spans="2:2">
      <c r="B724" s="54" t="s">
        <v>869</v>
      </c>
    </row>
    <row r="725" spans="2:2">
      <c r="B725" s="54" t="s">
        <v>868</v>
      </c>
    </row>
    <row r="726" spans="2:2">
      <c r="B726" s="54" t="s">
        <v>1</v>
      </c>
    </row>
    <row r="727" spans="2:2">
      <c r="B727" s="54" t="s">
        <v>870</v>
      </c>
    </row>
    <row r="728" spans="2:2">
      <c r="B728" s="54" t="s">
        <v>871</v>
      </c>
    </row>
    <row r="729" spans="2:2">
      <c r="B729" s="54" t="s">
        <v>872</v>
      </c>
    </row>
    <row r="730" spans="2:2">
      <c r="B730" s="54" t="s">
        <v>873</v>
      </c>
    </row>
    <row r="731" spans="2:2">
      <c r="B731" s="54" t="s">
        <v>874</v>
      </c>
    </row>
    <row r="732" spans="2:2">
      <c r="B732" s="54" t="s">
        <v>875</v>
      </c>
    </row>
    <row r="733" spans="2:2">
      <c r="B733" s="54" t="s">
        <v>876</v>
      </c>
    </row>
    <row r="734" spans="2:2">
      <c r="B734" s="54" t="s">
        <v>877</v>
      </c>
    </row>
    <row r="735" spans="2:2">
      <c r="B735" s="54" t="s">
        <v>878</v>
      </c>
    </row>
    <row r="736" spans="2:2">
      <c r="B736" s="54" t="s">
        <v>879</v>
      </c>
    </row>
    <row r="738" spans="1:10">
      <c r="B738" s="54" t="s">
        <v>880</v>
      </c>
    </row>
    <row r="739" spans="1:10">
      <c r="B739" s="54" t="s">
        <v>881</v>
      </c>
    </row>
    <row r="740" spans="1:10">
      <c r="B740" s="54" t="s">
        <v>882</v>
      </c>
    </row>
    <row r="742" spans="1:10">
      <c r="A742" s="30"/>
      <c r="B742" s="31" t="s">
        <v>883</v>
      </c>
      <c r="C742" s="31"/>
      <c r="D742" s="31"/>
      <c r="E742" s="31"/>
      <c r="F742" s="31"/>
      <c r="G742" s="31"/>
    </row>
    <row r="743" spans="1:10">
      <c r="A743" s="30">
        <v>1</v>
      </c>
      <c r="B743" s="30" t="s">
        <v>884</v>
      </c>
      <c r="C743" s="30" t="s">
        <v>911</v>
      </c>
      <c r="D743" s="30"/>
    </row>
    <row r="744" spans="1:10">
      <c r="B744" s="18" t="s">
        <v>885</v>
      </c>
      <c r="C744" s="18"/>
      <c r="D744" s="18"/>
      <c r="E744" s="18"/>
      <c r="F744" s="18"/>
      <c r="G744" s="18"/>
      <c r="H744" s="18" t="s">
        <v>550</v>
      </c>
      <c r="I744" s="18"/>
    </row>
    <row r="745" spans="1:10">
      <c r="B745" s="55" t="s">
        <v>388</v>
      </c>
      <c r="C745" s="55" t="s">
        <v>888</v>
      </c>
      <c r="E745" s="18" t="s">
        <v>2</v>
      </c>
      <c r="F745" s="55" t="s">
        <v>895</v>
      </c>
      <c r="H745" s="55" t="s">
        <v>897</v>
      </c>
      <c r="I745" s="55" t="s">
        <v>899</v>
      </c>
    </row>
    <row r="746" spans="1:10">
      <c r="B746" s="55" t="s">
        <v>886</v>
      </c>
      <c r="C746" s="55" t="s">
        <v>889</v>
      </c>
      <c r="E746" s="18" t="s">
        <v>3</v>
      </c>
      <c r="F746" s="55" t="s">
        <v>896</v>
      </c>
      <c r="H746" s="55" t="s">
        <v>898</v>
      </c>
      <c r="I746" s="55" t="s">
        <v>900</v>
      </c>
    </row>
    <row r="747" spans="1:10">
      <c r="B747" s="55" t="s">
        <v>390</v>
      </c>
      <c r="C747" s="55" t="s">
        <v>890</v>
      </c>
      <c r="E747" s="18" t="s">
        <v>907</v>
      </c>
      <c r="F747" s="55" t="s">
        <v>908</v>
      </c>
      <c r="H747" s="55" t="s">
        <v>489</v>
      </c>
      <c r="I747" s="55" t="s">
        <v>901</v>
      </c>
    </row>
    <row r="748" spans="1:10">
      <c r="B748" s="55" t="s">
        <v>394</v>
      </c>
      <c r="C748" s="55" t="s">
        <v>891</v>
      </c>
      <c r="E748" s="18" t="s">
        <v>11</v>
      </c>
      <c r="F748" s="55" t="s">
        <v>909</v>
      </c>
      <c r="G748" s="18"/>
      <c r="H748" s="18" t="s">
        <v>6</v>
      </c>
    </row>
    <row r="749" spans="1:10">
      <c r="B749" s="55" t="s">
        <v>887</v>
      </c>
      <c r="C749" s="55" t="s">
        <v>892</v>
      </c>
      <c r="H749" s="55" t="s">
        <v>902</v>
      </c>
    </row>
    <row r="750" spans="1:10">
      <c r="B750" s="55" t="s">
        <v>893</v>
      </c>
      <c r="C750" s="55" t="s">
        <v>894</v>
      </c>
      <c r="H750" s="55" t="s">
        <v>903</v>
      </c>
      <c r="I750" s="55" t="s">
        <v>910</v>
      </c>
      <c r="J750" s="55" t="s">
        <v>904</v>
      </c>
    </row>
    <row r="751" spans="1:10">
      <c r="H751" s="55" t="s">
        <v>489</v>
      </c>
      <c r="I751" s="55" t="s">
        <v>905</v>
      </c>
    </row>
    <row r="752" spans="1:10">
      <c r="B752" s="55" t="s">
        <v>906</v>
      </c>
    </row>
    <row r="753" spans="1:14">
      <c r="A753" s="31">
        <v>2</v>
      </c>
      <c r="B753" s="31" t="s">
        <v>49</v>
      </c>
      <c r="C753" s="31"/>
    </row>
    <row r="754" spans="1:14">
      <c r="B754" s="18" t="s">
        <v>1</v>
      </c>
      <c r="C754" s="18"/>
      <c r="D754" s="18"/>
      <c r="E754" s="18"/>
      <c r="F754" s="18" t="s">
        <v>2</v>
      </c>
      <c r="G754" s="18"/>
      <c r="H754" s="18"/>
      <c r="I754" s="18" t="s">
        <v>9</v>
      </c>
      <c r="J754" s="18"/>
      <c r="K754" s="18"/>
      <c r="L754" s="18"/>
      <c r="M754" s="18" t="s">
        <v>6</v>
      </c>
    </row>
    <row r="755" spans="1:14">
      <c r="B755" s="55" t="s">
        <v>912</v>
      </c>
      <c r="F755" s="55" t="s">
        <v>915</v>
      </c>
      <c r="I755" s="55" t="s">
        <v>919</v>
      </c>
      <c r="M755" s="55" t="s">
        <v>921</v>
      </c>
    </row>
    <row r="756" spans="1:14">
      <c r="B756" s="55" t="s">
        <v>913</v>
      </c>
      <c r="F756" s="55" t="s">
        <v>916</v>
      </c>
      <c r="I756" s="55" t="s">
        <v>920</v>
      </c>
      <c r="M756" s="55" t="s">
        <v>922</v>
      </c>
    </row>
    <row r="757" spans="1:14">
      <c r="B757" s="55" t="s">
        <v>914</v>
      </c>
      <c r="F757" s="55" t="s">
        <v>917</v>
      </c>
      <c r="M757" s="55" t="s">
        <v>923</v>
      </c>
    </row>
    <row r="758" spans="1:14">
      <c r="F758" s="55" t="s">
        <v>918</v>
      </c>
    </row>
    <row r="759" spans="1:14"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</row>
    <row r="760" spans="1:14">
      <c r="A760" s="31">
        <v>3</v>
      </c>
      <c r="B760" s="31" t="s">
        <v>369</v>
      </c>
      <c r="C760" s="31"/>
      <c r="D760" s="31" t="s">
        <v>926</v>
      </c>
      <c r="E760" s="31"/>
      <c r="F760" s="31"/>
      <c r="G760" s="31"/>
      <c r="H760" s="31"/>
      <c r="I760" s="31" t="s">
        <v>590</v>
      </c>
      <c r="J760" s="31"/>
      <c r="K760" s="31"/>
      <c r="L760" s="31"/>
      <c r="M760" s="31"/>
      <c r="N760" s="31" t="s">
        <v>6</v>
      </c>
    </row>
    <row r="761" spans="1:14">
      <c r="B761" s="55" t="s">
        <v>109</v>
      </c>
      <c r="D761" s="55" t="s">
        <v>204</v>
      </c>
      <c r="I761" s="55" t="s">
        <v>930</v>
      </c>
      <c r="N761" s="55" t="s">
        <v>934</v>
      </c>
    </row>
    <row r="762" spans="1:14">
      <c r="D762" s="55" t="s">
        <v>924</v>
      </c>
      <c r="I762" s="55" t="s">
        <v>931</v>
      </c>
      <c r="N762" s="55" t="s">
        <v>935</v>
      </c>
    </row>
    <row r="763" spans="1:14">
      <c r="B763" s="55" t="s">
        <v>925</v>
      </c>
      <c r="I763" s="55" t="s">
        <v>932</v>
      </c>
      <c r="N763" s="55" t="s">
        <v>936</v>
      </c>
    </row>
    <row r="764" spans="1:14">
      <c r="B764" s="55" t="s">
        <v>927</v>
      </c>
      <c r="I764" s="55" t="s">
        <v>933</v>
      </c>
      <c r="N764" s="55" t="s">
        <v>937</v>
      </c>
    </row>
    <row r="765" spans="1:14">
      <c r="B765" s="55" t="s">
        <v>928</v>
      </c>
    </row>
    <row r="766" spans="1:14">
      <c r="B766" s="55" t="s">
        <v>929</v>
      </c>
    </row>
    <row r="768" spans="1:14">
      <c r="A768" s="18"/>
      <c r="B768" s="31" t="s">
        <v>938</v>
      </c>
      <c r="C768" s="31"/>
      <c r="D768" s="31"/>
      <c r="E768" s="31"/>
      <c r="F768" s="31"/>
    </row>
    <row r="769" spans="1:12">
      <c r="A769" s="30">
        <v>1</v>
      </c>
      <c r="B769" s="30" t="s">
        <v>939</v>
      </c>
      <c r="C769" s="30"/>
      <c r="D769" s="30"/>
    </row>
    <row r="770" spans="1:12">
      <c r="B770" s="18" t="s">
        <v>885</v>
      </c>
      <c r="C770" s="18"/>
      <c r="D770" s="18"/>
      <c r="E770" s="31"/>
      <c r="F770" s="18"/>
      <c r="G770" s="18"/>
      <c r="H770" s="18" t="s">
        <v>952</v>
      </c>
      <c r="I770" s="18"/>
      <c r="J770" s="18"/>
      <c r="K770" s="18" t="s">
        <v>6</v>
      </c>
    </row>
    <row r="771" spans="1:12">
      <c r="B771" s="30" t="s">
        <v>0</v>
      </c>
      <c r="C771" t="s">
        <v>942</v>
      </c>
      <c r="E771" s="30" t="s">
        <v>2</v>
      </c>
      <c r="F771" t="s">
        <v>948</v>
      </c>
      <c r="H771" s="30" t="s">
        <v>897</v>
      </c>
      <c r="I771" t="s">
        <v>953</v>
      </c>
      <c r="K771" s="30" t="s">
        <v>956</v>
      </c>
    </row>
    <row r="772" spans="1:12">
      <c r="B772" s="30" t="s">
        <v>940</v>
      </c>
      <c r="C772" t="s">
        <v>945</v>
      </c>
      <c r="E772" s="30" t="s">
        <v>3</v>
      </c>
      <c r="F772" t="s">
        <v>949</v>
      </c>
      <c r="H772" s="30" t="s">
        <v>898</v>
      </c>
      <c r="I772" t="s">
        <v>954</v>
      </c>
      <c r="K772" s="30" t="s">
        <v>5</v>
      </c>
      <c r="L772" t="s">
        <v>957</v>
      </c>
    </row>
    <row r="773" spans="1:12">
      <c r="B773" s="30" t="s">
        <v>941</v>
      </c>
      <c r="C773" t="s">
        <v>944</v>
      </c>
      <c r="E773" s="30" t="s">
        <v>907</v>
      </c>
      <c r="F773" t="s">
        <v>950</v>
      </c>
      <c r="H773" s="30" t="s">
        <v>466</v>
      </c>
      <c r="I773" t="s">
        <v>955</v>
      </c>
      <c r="K773" s="30" t="s">
        <v>466</v>
      </c>
      <c r="L773" t="s">
        <v>958</v>
      </c>
    </row>
    <row r="774" spans="1:12">
      <c r="B774" s="30" t="s">
        <v>457</v>
      </c>
      <c r="C774" t="s">
        <v>943</v>
      </c>
      <c r="E774" s="30" t="s">
        <v>11</v>
      </c>
      <c r="F774" t="s">
        <v>951</v>
      </c>
    </row>
    <row r="775" spans="1:12">
      <c r="B775" s="30" t="s">
        <v>464</v>
      </c>
      <c r="C775" t="s">
        <v>946</v>
      </c>
      <c r="E775" s="30"/>
    </row>
    <row r="776" spans="1:12">
      <c r="B776" s="30" t="s">
        <v>466</v>
      </c>
      <c r="C776" t="s">
        <v>947</v>
      </c>
    </row>
    <row r="777" spans="1:12">
      <c r="B777" s="18" t="s">
        <v>974</v>
      </c>
      <c r="C777" s="18"/>
      <c r="D777" s="18"/>
    </row>
    <row r="778" spans="1:12">
      <c r="A778" s="31">
        <v>2</v>
      </c>
      <c r="B778" s="31" t="s">
        <v>94</v>
      </c>
      <c r="C778" s="31"/>
      <c r="D778" s="31"/>
    </row>
    <row r="779" spans="1:12">
      <c r="B779" s="30" t="s">
        <v>314</v>
      </c>
      <c r="C779" s="30"/>
      <c r="D779" s="30"/>
      <c r="E779" s="30" t="s">
        <v>807</v>
      </c>
      <c r="F779" s="30"/>
    </row>
    <row r="780" spans="1:12">
      <c r="B780" s="56" t="s">
        <v>959</v>
      </c>
      <c r="E780" t="s">
        <v>963</v>
      </c>
    </row>
    <row r="781" spans="1:12">
      <c r="B781" s="56" t="s">
        <v>960</v>
      </c>
      <c r="E781" t="s">
        <v>964</v>
      </c>
    </row>
    <row r="782" spans="1:12">
      <c r="B782" s="56" t="s">
        <v>961</v>
      </c>
    </row>
    <row r="783" spans="1:12">
      <c r="B783" s="56" t="s">
        <v>962</v>
      </c>
    </row>
    <row r="784" spans="1:12">
      <c r="A784" s="31">
        <v>3</v>
      </c>
      <c r="B784" s="31" t="s">
        <v>247</v>
      </c>
      <c r="C784" s="31"/>
    </row>
    <row r="785" spans="1:11">
      <c r="A785" s="30"/>
      <c r="B785" s="30" t="s">
        <v>314</v>
      </c>
      <c r="C785" s="30"/>
      <c r="D785" s="30"/>
      <c r="E785" s="30"/>
      <c r="F785" s="30"/>
      <c r="G785" s="30"/>
      <c r="H785" s="30"/>
      <c r="I785" s="30" t="s">
        <v>664</v>
      </c>
      <c r="J785" s="30"/>
    </row>
    <row r="786" spans="1:11">
      <c r="B786" s="56" t="s">
        <v>965</v>
      </c>
      <c r="I786" s="56" t="s">
        <v>969</v>
      </c>
    </row>
    <row r="787" spans="1:11">
      <c r="B787" s="56" t="s">
        <v>966</v>
      </c>
      <c r="I787" s="56" t="s">
        <v>970</v>
      </c>
    </row>
    <row r="788" spans="1:11">
      <c r="B788" s="56" t="s">
        <v>967</v>
      </c>
      <c r="I788" s="56" t="s">
        <v>971</v>
      </c>
      <c r="K788" s="56" t="s">
        <v>560</v>
      </c>
    </row>
    <row r="789" spans="1:11">
      <c r="B789" s="56" t="s">
        <v>968</v>
      </c>
      <c r="I789" s="56" t="s">
        <v>972</v>
      </c>
    </row>
    <row r="790" spans="1:11">
      <c r="I790" s="56" t="s">
        <v>973</v>
      </c>
    </row>
    <row r="792" spans="1:11">
      <c r="A792" s="31"/>
      <c r="B792" s="31" t="s">
        <v>975</v>
      </c>
      <c r="C792" s="31"/>
      <c r="D792" s="31"/>
      <c r="E792" s="31"/>
      <c r="F792" s="31"/>
    </row>
    <row r="793" spans="1:11">
      <c r="A793" s="30"/>
      <c r="B793" s="30" t="s">
        <v>976</v>
      </c>
      <c r="C793" s="30"/>
      <c r="D793" s="30"/>
      <c r="E793" s="30"/>
      <c r="F793" s="30"/>
    </row>
    <row r="794" spans="1:11">
      <c r="A794" s="18"/>
      <c r="B794" s="18" t="s">
        <v>1</v>
      </c>
      <c r="G794" s="18"/>
      <c r="H794" s="18" t="s">
        <v>9</v>
      </c>
      <c r="I794" s="18"/>
      <c r="J794" s="18" t="s">
        <v>466</v>
      </c>
    </row>
    <row r="795" spans="1:11">
      <c r="B795" s="57" t="s">
        <v>977</v>
      </c>
      <c r="E795" t="s">
        <v>2</v>
      </c>
      <c r="F795" t="s">
        <v>984</v>
      </c>
      <c r="H795" t="s">
        <v>898</v>
      </c>
      <c r="I795" t="s">
        <v>982</v>
      </c>
    </row>
    <row r="796" spans="1:11">
      <c r="B796" s="57" t="s">
        <v>457</v>
      </c>
      <c r="C796" t="s">
        <v>978</v>
      </c>
      <c r="E796" t="s">
        <v>3</v>
      </c>
      <c r="F796" t="s">
        <v>985</v>
      </c>
      <c r="H796" t="s">
        <v>897</v>
      </c>
      <c r="I796" t="s">
        <v>983</v>
      </c>
      <c r="J796" t="s">
        <v>988</v>
      </c>
    </row>
    <row r="797" spans="1:11">
      <c r="B797" s="57" t="s">
        <v>461</v>
      </c>
      <c r="C797" t="s">
        <v>979</v>
      </c>
      <c r="E797" t="s">
        <v>11</v>
      </c>
      <c r="F797" t="s">
        <v>986</v>
      </c>
      <c r="G797" s="18"/>
      <c r="H797" s="18" t="s">
        <v>6</v>
      </c>
      <c r="I797" t="s">
        <v>6</v>
      </c>
    </row>
    <row r="798" spans="1:11">
      <c r="B798" s="57" t="s">
        <v>464</v>
      </c>
      <c r="C798" t="s">
        <v>980</v>
      </c>
      <c r="I798" t="s">
        <v>987</v>
      </c>
    </row>
    <row r="799" spans="1:11">
      <c r="B799" s="57" t="s">
        <v>466</v>
      </c>
      <c r="C799" t="s">
        <v>981</v>
      </c>
    </row>
    <row r="800" spans="1:11">
      <c r="B800" s="18" t="s">
        <v>989</v>
      </c>
      <c r="C800" s="18"/>
      <c r="D800" s="18"/>
      <c r="E800" s="18"/>
    </row>
    <row r="801" spans="1:9">
      <c r="A801" s="31"/>
      <c r="B801" s="31" t="s">
        <v>49</v>
      </c>
      <c r="C801" s="31"/>
    </row>
    <row r="802" spans="1:9">
      <c r="A802" s="18"/>
      <c r="B802" s="18" t="s">
        <v>6</v>
      </c>
    </row>
    <row r="803" spans="1:9">
      <c r="B803" s="57" t="s">
        <v>990</v>
      </c>
    </row>
    <row r="804" spans="1:9">
      <c r="B804" s="57" t="s">
        <v>991</v>
      </c>
    </row>
    <row r="805" spans="1:9">
      <c r="A805" s="31"/>
      <c r="B805" s="31" t="s">
        <v>992</v>
      </c>
      <c r="C805" s="31"/>
    </row>
    <row r="806" spans="1:9">
      <c r="A806" s="18"/>
      <c r="B806" s="18" t="s">
        <v>314</v>
      </c>
      <c r="C806" s="18"/>
      <c r="D806" s="18"/>
      <c r="E806" s="18"/>
      <c r="F806" s="18"/>
      <c r="G806" s="18"/>
      <c r="H806" s="18" t="s">
        <v>9</v>
      </c>
    </row>
    <row r="807" spans="1:9">
      <c r="B807" s="57" t="s">
        <v>109</v>
      </c>
      <c r="H807" t="s">
        <v>997</v>
      </c>
    </row>
    <row r="808" spans="1:9">
      <c r="C808" t="s">
        <v>993</v>
      </c>
      <c r="H808" t="s">
        <v>998</v>
      </c>
    </row>
    <row r="809" spans="1:9">
      <c r="C809" t="s">
        <v>994</v>
      </c>
      <c r="H809" t="s">
        <v>999</v>
      </c>
    </row>
    <row r="810" spans="1:9">
      <c r="B810" s="57" t="s">
        <v>995</v>
      </c>
      <c r="H810" s="18" t="s">
        <v>6</v>
      </c>
      <c r="I810" s="18"/>
    </row>
    <row r="811" spans="1:9">
      <c r="B811" s="57" t="s">
        <v>996</v>
      </c>
      <c r="H811" s="57" t="s">
        <v>1000</v>
      </c>
    </row>
    <row r="812" spans="1:9">
      <c r="H812" s="57" t="s">
        <v>1001</v>
      </c>
    </row>
    <row r="813" spans="1:9">
      <c r="H813" s="57" t="s">
        <v>1002</v>
      </c>
    </row>
    <row r="814" spans="1:9">
      <c r="H814" s="57" t="s">
        <v>1003</v>
      </c>
    </row>
    <row r="816" spans="1:9">
      <c r="A816" s="30"/>
      <c r="B816" s="31" t="s">
        <v>1004</v>
      </c>
      <c r="C816" s="31"/>
      <c r="D816" s="31"/>
      <c r="E816" s="31"/>
      <c r="F816" s="31"/>
    </row>
    <row r="817" spans="1:10">
      <c r="A817" s="30">
        <v>1</v>
      </c>
      <c r="B817" s="30" t="s">
        <v>1005</v>
      </c>
      <c r="C817" s="30"/>
      <c r="D817" s="30"/>
    </row>
    <row r="818" spans="1:10">
      <c r="B818" t="s">
        <v>885</v>
      </c>
      <c r="G818" s="18"/>
      <c r="H818" s="18" t="s">
        <v>9</v>
      </c>
    </row>
    <row r="819" spans="1:10">
      <c r="A819" s="18"/>
      <c r="B819" s="18" t="s">
        <v>1006</v>
      </c>
      <c r="E819" s="18" t="s">
        <v>2</v>
      </c>
      <c r="F819" t="s">
        <v>1013</v>
      </c>
      <c r="H819" t="s">
        <v>898</v>
      </c>
      <c r="I819" t="s">
        <v>1018</v>
      </c>
    </row>
    <row r="820" spans="1:10">
      <c r="A820" s="18"/>
      <c r="B820" s="18" t="s">
        <v>457</v>
      </c>
      <c r="C820" t="s">
        <v>1008</v>
      </c>
      <c r="E820" s="18" t="s">
        <v>3</v>
      </c>
      <c r="F820" t="s">
        <v>1014</v>
      </c>
      <c r="H820" t="s">
        <v>897</v>
      </c>
      <c r="I820" t="s">
        <v>1019</v>
      </c>
    </row>
    <row r="821" spans="1:10">
      <c r="A821" s="18"/>
      <c r="B821" s="18" t="s">
        <v>392</v>
      </c>
      <c r="C821" t="s">
        <v>1011</v>
      </c>
      <c r="E821" s="18" t="s">
        <v>11</v>
      </c>
      <c r="F821" t="s">
        <v>1015</v>
      </c>
      <c r="H821" t="s">
        <v>466</v>
      </c>
      <c r="I821" t="s">
        <v>1020</v>
      </c>
    </row>
    <row r="822" spans="1:10">
      <c r="A822" s="18"/>
      <c r="B822" s="18" t="s">
        <v>1007</v>
      </c>
      <c r="C822" t="s">
        <v>1009</v>
      </c>
      <c r="E822" s="18" t="s">
        <v>1016</v>
      </c>
      <c r="G822" s="18"/>
      <c r="H822" s="18" t="s">
        <v>6</v>
      </c>
    </row>
    <row r="823" spans="1:10">
      <c r="A823" s="18"/>
      <c r="B823" s="18" t="s">
        <v>464</v>
      </c>
      <c r="C823" t="s">
        <v>1012</v>
      </c>
      <c r="E823" s="18" t="s">
        <v>1017</v>
      </c>
      <c r="H823" t="s">
        <v>1021</v>
      </c>
    </row>
    <row r="824" spans="1:10">
      <c r="A824" s="18"/>
      <c r="B824" s="18" t="s">
        <v>466</v>
      </c>
      <c r="C824" t="s">
        <v>1010</v>
      </c>
      <c r="H824" t="s">
        <v>5</v>
      </c>
      <c r="I824" t="s">
        <v>1022</v>
      </c>
    </row>
    <row r="825" spans="1:10">
      <c r="H825" t="s">
        <v>466</v>
      </c>
      <c r="I825" t="s">
        <v>1023</v>
      </c>
    </row>
    <row r="826" spans="1:10">
      <c r="A826" s="18"/>
      <c r="B826" s="18" t="s">
        <v>1024</v>
      </c>
      <c r="C826" s="18"/>
      <c r="D826" t="s">
        <v>1025</v>
      </c>
    </row>
    <row r="827" spans="1:10">
      <c r="A827" s="31">
        <v>2</v>
      </c>
      <c r="B827" s="31" t="s">
        <v>49</v>
      </c>
      <c r="C827" s="31"/>
    </row>
    <row r="828" spans="1:10">
      <c r="B828" t="s">
        <v>1</v>
      </c>
    </row>
    <row r="829" spans="1:10">
      <c r="B829" t="s">
        <v>1026</v>
      </c>
    </row>
    <row r="830" spans="1:10">
      <c r="B830" t="s">
        <v>9</v>
      </c>
    </row>
    <row r="831" spans="1:10">
      <c r="B831" t="s">
        <v>1027</v>
      </c>
    </row>
    <row r="832" spans="1:10">
      <c r="A832" s="31">
        <v>3</v>
      </c>
      <c r="B832" s="31" t="s">
        <v>247</v>
      </c>
      <c r="C832" s="31"/>
      <c r="G832" s="31"/>
      <c r="H832" s="31" t="s">
        <v>590</v>
      </c>
      <c r="I832" s="31"/>
      <c r="J832" s="30"/>
    </row>
    <row r="833" spans="1:8">
      <c r="B833" t="s">
        <v>314</v>
      </c>
      <c r="G833">
        <v>1</v>
      </c>
      <c r="H833" t="s">
        <v>1034</v>
      </c>
    </row>
    <row r="834" spans="1:8">
      <c r="A834">
        <v>1</v>
      </c>
      <c r="B834" t="s">
        <v>1028</v>
      </c>
      <c r="G834">
        <v>2</v>
      </c>
      <c r="H834" t="s">
        <v>1035</v>
      </c>
    </row>
    <row r="835" spans="1:8">
      <c r="A835">
        <v>2</v>
      </c>
      <c r="B835" t="s">
        <v>1029</v>
      </c>
      <c r="G835">
        <v>3</v>
      </c>
      <c r="H835" t="s">
        <v>1036</v>
      </c>
    </row>
    <row r="836" spans="1:8">
      <c r="A836">
        <v>3</v>
      </c>
      <c r="B836" t="s">
        <v>1030</v>
      </c>
      <c r="G836">
        <v>4</v>
      </c>
      <c r="H836" t="s">
        <v>1037</v>
      </c>
    </row>
    <row r="837" spans="1:8">
      <c r="A837">
        <v>4</v>
      </c>
      <c r="B837" t="s">
        <v>1031</v>
      </c>
      <c r="G837">
        <v>5</v>
      </c>
      <c r="H837" t="s">
        <v>1038</v>
      </c>
    </row>
    <row r="838" spans="1:8">
      <c r="A838">
        <v>5</v>
      </c>
      <c r="B838" t="s">
        <v>1032</v>
      </c>
      <c r="G838" s="31"/>
      <c r="H838" s="31" t="s">
        <v>6</v>
      </c>
    </row>
    <row r="839" spans="1:8">
      <c r="A839">
        <v>6</v>
      </c>
      <c r="B839" t="s">
        <v>1033</v>
      </c>
      <c r="G839">
        <v>1</v>
      </c>
      <c r="H839" t="s">
        <v>1039</v>
      </c>
    </row>
    <row r="840" spans="1:8">
      <c r="G840">
        <v>2</v>
      </c>
      <c r="H840" t="s">
        <v>1040</v>
      </c>
    </row>
    <row r="841" spans="1:8">
      <c r="G841">
        <v>3</v>
      </c>
      <c r="H841" t="s">
        <v>1041</v>
      </c>
    </row>
    <row r="842" spans="1:8">
      <c r="G842" s="59">
        <v>4</v>
      </c>
      <c r="H842" s="59" t="s">
        <v>1042</v>
      </c>
    </row>
    <row r="843" spans="1:8">
      <c r="B843" s="31">
        <v>4</v>
      </c>
      <c r="C843" s="31" t="s">
        <v>514</v>
      </c>
    </row>
    <row r="844" spans="1:8">
      <c r="A844">
        <v>1</v>
      </c>
      <c r="B844" s="58" t="s">
        <v>1043</v>
      </c>
    </row>
    <row r="845" spans="1:8">
      <c r="A845">
        <v>2</v>
      </c>
      <c r="B845" s="58" t="s">
        <v>1044</v>
      </c>
    </row>
    <row r="846" spans="1:8">
      <c r="A846">
        <v>3</v>
      </c>
      <c r="B846" s="58" t="s">
        <v>1045</v>
      </c>
    </row>
    <row r="847" spans="1:8">
      <c r="A847">
        <v>4</v>
      </c>
      <c r="B847" s="58" t="s">
        <v>1046</v>
      </c>
    </row>
    <row r="849" spans="1:13">
      <c r="A849" s="31"/>
      <c r="B849" s="31" t="s">
        <v>1047</v>
      </c>
      <c r="C849" s="31"/>
      <c r="D849" s="31"/>
      <c r="E849" s="31"/>
      <c r="F849" s="31"/>
    </row>
    <row r="850" spans="1:13">
      <c r="B850" s="30" t="s">
        <v>661</v>
      </c>
      <c r="C850" s="30"/>
    </row>
    <row r="851" spans="1:13">
      <c r="B851" s="60" t="s">
        <v>1048</v>
      </c>
      <c r="D851" s="60" t="s">
        <v>6</v>
      </c>
      <c r="E851" s="60" t="s">
        <v>1051</v>
      </c>
      <c r="G851" s="60" t="s">
        <v>11</v>
      </c>
      <c r="H851" s="60" t="s">
        <v>1053</v>
      </c>
    </row>
    <row r="852" spans="1:13">
      <c r="B852" s="60" t="s">
        <v>1049</v>
      </c>
      <c r="D852" s="60" t="s">
        <v>9</v>
      </c>
      <c r="E852" s="60" t="s">
        <v>1052</v>
      </c>
      <c r="G852" s="60" t="s">
        <v>1055</v>
      </c>
      <c r="H852" s="60" t="s">
        <v>1054</v>
      </c>
    </row>
    <row r="853" spans="1:13">
      <c r="B853" s="60" t="s">
        <v>1050</v>
      </c>
      <c r="G853" s="60" t="s">
        <v>1056</v>
      </c>
    </row>
    <row r="855" spans="1:13">
      <c r="A855" s="31"/>
      <c r="B855" s="31" t="s">
        <v>1057</v>
      </c>
      <c r="C855" s="31"/>
      <c r="L855" s="30"/>
      <c r="M855" s="30" t="s">
        <v>9</v>
      </c>
    </row>
    <row r="856" spans="1:13">
      <c r="A856" s="30"/>
      <c r="B856" s="30" t="s">
        <v>1</v>
      </c>
      <c r="C856" s="30"/>
      <c r="D856" s="30"/>
      <c r="E856" s="30" t="s">
        <v>2</v>
      </c>
      <c r="F856" s="30"/>
      <c r="G856" s="30"/>
      <c r="H856" s="30" t="s">
        <v>6</v>
      </c>
      <c r="I856" s="30"/>
      <c r="J856" s="30"/>
      <c r="K856" s="30"/>
      <c r="L856" s="30"/>
      <c r="M856" t="s">
        <v>1068</v>
      </c>
    </row>
    <row r="857" spans="1:13">
      <c r="B857" s="61" t="s">
        <v>1058</v>
      </c>
      <c r="E857" t="s">
        <v>1061</v>
      </c>
      <c r="H857" t="s">
        <v>1064</v>
      </c>
      <c r="M857" t="s">
        <v>1069</v>
      </c>
    </row>
    <row r="858" spans="1:13">
      <c r="B858" s="61" t="s">
        <v>1059</v>
      </c>
      <c r="E858" t="s">
        <v>1062</v>
      </c>
      <c r="H858" t="s">
        <v>1065</v>
      </c>
      <c r="M858" t="s">
        <v>1070</v>
      </c>
    </row>
    <row r="859" spans="1:13">
      <c r="B859" s="61" t="s">
        <v>1060</v>
      </c>
      <c r="E859" t="s">
        <v>1063</v>
      </c>
      <c r="H859" t="s">
        <v>1066</v>
      </c>
    </row>
    <row r="860" spans="1:13">
      <c r="H860" t="s">
        <v>1067</v>
      </c>
    </row>
    <row r="861" spans="1:13">
      <c r="A861" s="18"/>
      <c r="B861" s="18" t="s">
        <v>1087</v>
      </c>
      <c r="C861" s="18"/>
      <c r="D861" s="18"/>
    </row>
    <row r="862" spans="1:13">
      <c r="A862" s="31"/>
      <c r="B862" s="31" t="s">
        <v>247</v>
      </c>
      <c r="C862" s="31"/>
    </row>
    <row r="863" spans="1:13">
      <c r="B863" s="61" t="s">
        <v>1071</v>
      </c>
    </row>
    <row r="864" spans="1:13">
      <c r="B864" s="61" t="s">
        <v>1072</v>
      </c>
    </row>
    <row r="866" spans="1:9">
      <c r="A866" s="30"/>
      <c r="B866" s="31" t="s">
        <v>1073</v>
      </c>
      <c r="C866" s="31"/>
      <c r="D866" s="31"/>
      <c r="E866" s="31"/>
      <c r="F866" s="30"/>
    </row>
    <row r="867" spans="1:9">
      <c r="A867" s="30"/>
      <c r="B867" s="30" t="s">
        <v>661</v>
      </c>
      <c r="C867" s="30"/>
    </row>
    <row r="868" spans="1:9">
      <c r="B868" s="18" t="s">
        <v>1</v>
      </c>
      <c r="C868" t="s">
        <v>1080</v>
      </c>
      <c r="E868" s="18" t="s">
        <v>6</v>
      </c>
      <c r="H868" t="s">
        <v>9</v>
      </c>
    </row>
    <row r="869" spans="1:9">
      <c r="B869" s="18" t="s">
        <v>2</v>
      </c>
      <c r="C869" t="s">
        <v>1081</v>
      </c>
      <c r="E869" s="18" t="s">
        <v>5</v>
      </c>
      <c r="F869" t="s">
        <v>1077</v>
      </c>
      <c r="H869" t="s">
        <v>898</v>
      </c>
      <c r="I869" t="s">
        <v>1085</v>
      </c>
    </row>
    <row r="870" spans="1:9">
      <c r="B870" s="18" t="s">
        <v>3</v>
      </c>
      <c r="C870" t="s">
        <v>1082</v>
      </c>
      <c r="E870" s="18" t="s">
        <v>1078</v>
      </c>
      <c r="H870" t="s">
        <v>897</v>
      </c>
      <c r="I870" t="s">
        <v>1084</v>
      </c>
    </row>
    <row r="871" spans="1:9">
      <c r="B871" s="18" t="s">
        <v>907</v>
      </c>
      <c r="C871" t="s">
        <v>1074</v>
      </c>
      <c r="E871" s="18" t="s">
        <v>466</v>
      </c>
      <c r="F871" t="s">
        <v>1079</v>
      </c>
      <c r="H871" t="s">
        <v>466</v>
      </c>
      <c r="I871" t="s">
        <v>1083</v>
      </c>
    </row>
    <row r="872" spans="1:9">
      <c r="B872" s="18" t="s">
        <v>589</v>
      </c>
      <c r="C872" t="s">
        <v>1075</v>
      </c>
    </row>
    <row r="873" spans="1:9">
      <c r="B873" s="18" t="s">
        <v>11</v>
      </c>
      <c r="C873" t="s">
        <v>1076</v>
      </c>
    </row>
    <row r="874" spans="1:9">
      <c r="B874" s="18" t="s">
        <v>1086</v>
      </c>
      <c r="C874" s="18"/>
      <c r="D874" s="18"/>
    </row>
    <row r="875" spans="1:9">
      <c r="A875" s="31"/>
      <c r="B875" s="31" t="s">
        <v>1057</v>
      </c>
      <c r="C875" s="31"/>
    </row>
    <row r="876" spans="1:9">
      <c r="A876" s="30"/>
      <c r="B876" s="30" t="s">
        <v>314</v>
      </c>
      <c r="C876" s="30"/>
      <c r="D876" s="30"/>
      <c r="E876" s="30"/>
      <c r="F876" s="30"/>
      <c r="G876" s="30" t="s">
        <v>6</v>
      </c>
      <c r="H876" s="30"/>
    </row>
    <row r="877" spans="1:9">
      <c r="B877" s="62" t="s">
        <v>1088</v>
      </c>
      <c r="G877" t="s">
        <v>1091</v>
      </c>
    </row>
    <row r="878" spans="1:9">
      <c r="B878" s="62" t="s">
        <v>1089</v>
      </c>
      <c r="G878" t="s">
        <v>1092</v>
      </c>
    </row>
    <row r="879" spans="1:9">
      <c r="B879" s="62" t="s">
        <v>1090</v>
      </c>
      <c r="G879" t="s">
        <v>1093</v>
      </c>
    </row>
    <row r="880" spans="1:9">
      <c r="G880" t="s">
        <v>1094</v>
      </c>
    </row>
    <row r="881" spans="1:9">
      <c r="G881" t="s">
        <v>1095</v>
      </c>
    </row>
    <row r="883" spans="1:9">
      <c r="A883" s="30"/>
      <c r="B883" s="30" t="s">
        <v>247</v>
      </c>
      <c r="C883" s="30"/>
    </row>
    <row r="884" spans="1:9">
      <c r="B884" t="s">
        <v>1096</v>
      </c>
    </row>
    <row r="885" spans="1:9">
      <c r="B885" t="s">
        <v>1097</v>
      </c>
    </row>
    <row r="886" spans="1:9">
      <c r="B886" t="s">
        <v>1098</v>
      </c>
    </row>
    <row r="888" spans="1:9">
      <c r="A888" s="31"/>
      <c r="B888" s="31" t="s">
        <v>1099</v>
      </c>
      <c r="C888" s="31"/>
      <c r="D888" s="31"/>
      <c r="E888" s="31"/>
    </row>
    <row r="889" spans="1:9">
      <c r="B889" s="30" t="s">
        <v>1100</v>
      </c>
      <c r="C889" s="30"/>
      <c r="D889" s="30"/>
    </row>
    <row r="890" spans="1:9">
      <c r="B890" s="18" t="s">
        <v>1</v>
      </c>
      <c r="C890" t="s">
        <v>1101</v>
      </c>
      <c r="E890" s="18" t="s">
        <v>9</v>
      </c>
      <c r="H890" s="18" t="s">
        <v>6</v>
      </c>
    </row>
    <row r="891" spans="1:9">
      <c r="B891" s="18" t="s">
        <v>2</v>
      </c>
      <c r="C891" t="s">
        <v>1102</v>
      </c>
      <c r="E891" s="18" t="s">
        <v>898</v>
      </c>
      <c r="F891" t="s">
        <v>1107</v>
      </c>
      <c r="H891" s="18" t="s">
        <v>1110</v>
      </c>
    </row>
    <row r="892" spans="1:9">
      <c r="B892" s="18" t="s">
        <v>3</v>
      </c>
      <c r="C892" t="s">
        <v>1103</v>
      </c>
      <c r="E892" s="18" t="s">
        <v>897</v>
      </c>
      <c r="F892" t="s">
        <v>1108</v>
      </c>
      <c r="H892" s="18" t="s">
        <v>712</v>
      </c>
      <c r="I892" t="s">
        <v>1111</v>
      </c>
    </row>
    <row r="893" spans="1:9">
      <c r="B893" s="18" t="s">
        <v>588</v>
      </c>
      <c r="C893" t="s">
        <v>1104</v>
      </c>
      <c r="E893" s="18" t="s">
        <v>466</v>
      </c>
      <c r="F893" t="s">
        <v>1109</v>
      </c>
      <c r="H893" s="18" t="s">
        <v>466</v>
      </c>
      <c r="I893" t="s">
        <v>1112</v>
      </c>
    </row>
    <row r="894" spans="1:9">
      <c r="B894" s="18" t="s">
        <v>589</v>
      </c>
      <c r="C894" t="s">
        <v>1105</v>
      </c>
    </row>
    <row r="895" spans="1:9">
      <c r="B895" s="18" t="s">
        <v>11</v>
      </c>
      <c r="C895" t="s">
        <v>1106</v>
      </c>
    </row>
    <row r="896" spans="1:9">
      <c r="A896" s="30"/>
      <c r="B896" s="30" t="s">
        <v>1024</v>
      </c>
      <c r="C896" s="30"/>
      <c r="D896" s="30" t="s">
        <v>1113</v>
      </c>
    </row>
    <row r="897" spans="1:10">
      <c r="A897" s="30"/>
      <c r="B897" s="30"/>
      <c r="C897" s="30"/>
      <c r="D897" s="30"/>
    </row>
    <row r="898" spans="1:10">
      <c r="A898" s="31"/>
      <c r="B898" s="31" t="s">
        <v>49</v>
      </c>
      <c r="C898" s="31"/>
      <c r="D898" s="30"/>
      <c r="E898" s="30"/>
      <c r="F898" s="30"/>
      <c r="G898" s="30"/>
      <c r="H898" s="30"/>
      <c r="I898" s="30"/>
      <c r="J898" s="30"/>
    </row>
    <row r="899" spans="1:10">
      <c r="A899" s="30"/>
      <c r="B899" s="30" t="s">
        <v>6</v>
      </c>
      <c r="C899" s="30"/>
      <c r="D899" s="30"/>
      <c r="E899" s="30" t="s">
        <v>9</v>
      </c>
      <c r="F899" s="30"/>
      <c r="G899" s="30"/>
      <c r="H899" s="30"/>
      <c r="I899" s="30" t="s">
        <v>314</v>
      </c>
      <c r="J899" s="30"/>
    </row>
    <row r="900" spans="1:10">
      <c r="B900" t="s">
        <v>1114</v>
      </c>
      <c r="E900" t="s">
        <v>1117</v>
      </c>
      <c r="I900" t="s">
        <v>961</v>
      </c>
    </row>
    <row r="901" spans="1:10">
      <c r="B901" t="s">
        <v>1115</v>
      </c>
      <c r="E901" t="s">
        <v>1118</v>
      </c>
      <c r="I901" t="s">
        <v>774</v>
      </c>
    </row>
    <row r="902" spans="1:10">
      <c r="B902" t="s">
        <v>1116</v>
      </c>
      <c r="I902" t="s">
        <v>1127</v>
      </c>
    </row>
    <row r="904" spans="1:10">
      <c r="A904" s="31"/>
      <c r="B904" s="31" t="s">
        <v>247</v>
      </c>
      <c r="C904" s="30"/>
      <c r="H904" s="30"/>
      <c r="I904" s="30" t="s">
        <v>314</v>
      </c>
      <c r="J904" s="30"/>
    </row>
    <row r="905" spans="1:10">
      <c r="A905" s="30"/>
      <c r="B905" s="30" t="s">
        <v>304</v>
      </c>
      <c r="C905" s="30"/>
      <c r="D905" s="30"/>
      <c r="E905" s="30"/>
      <c r="F905" s="30"/>
      <c r="G905" s="30"/>
      <c r="I905" t="s">
        <v>1124</v>
      </c>
    </row>
    <row r="906" spans="1:10">
      <c r="B906" t="s">
        <v>257</v>
      </c>
      <c r="E906" t="s">
        <v>1119</v>
      </c>
      <c r="I906" t="s">
        <v>1125</v>
      </c>
    </row>
    <row r="907" spans="1:10">
      <c r="D907" t="s">
        <v>1120</v>
      </c>
      <c r="E907" t="s">
        <v>560</v>
      </c>
      <c r="I907" t="s">
        <v>1126</v>
      </c>
    </row>
    <row r="908" spans="1:10">
      <c r="B908" t="s">
        <v>1121</v>
      </c>
    </row>
    <row r="909" spans="1:10">
      <c r="B909" t="s">
        <v>1122</v>
      </c>
    </row>
    <row r="910" spans="1:10">
      <c r="B910" t="s">
        <v>1123</v>
      </c>
    </row>
    <row r="912" spans="1:10">
      <c r="A912" s="31"/>
      <c r="B912" s="31" t="s">
        <v>1128</v>
      </c>
      <c r="C912" s="31"/>
      <c r="D912" s="31"/>
      <c r="E912" s="31"/>
      <c r="F912" s="31"/>
    </row>
    <row r="913" spans="1:14">
      <c r="A913" s="30"/>
      <c r="B913" s="30" t="s">
        <v>661</v>
      </c>
      <c r="C913" s="30"/>
    </row>
    <row r="914" spans="1:14">
      <c r="B914" s="18" t="s">
        <v>1</v>
      </c>
      <c r="C914" t="s">
        <v>1129</v>
      </c>
      <c r="E914" s="18" t="s">
        <v>9</v>
      </c>
      <c r="H914" s="18" t="s">
        <v>6</v>
      </c>
    </row>
    <row r="915" spans="1:14">
      <c r="B915" s="18" t="s">
        <v>2</v>
      </c>
      <c r="C915" t="s">
        <v>1130</v>
      </c>
      <c r="E915" s="18" t="s">
        <v>1133</v>
      </c>
      <c r="F915" t="s">
        <v>1134</v>
      </c>
      <c r="H915" s="18" t="s">
        <v>1136</v>
      </c>
    </row>
    <row r="916" spans="1:14">
      <c r="B916" s="18" t="s">
        <v>3</v>
      </c>
      <c r="C916" t="s">
        <v>1131</v>
      </c>
      <c r="E916" s="18" t="s">
        <v>897</v>
      </c>
      <c r="F916" t="s">
        <v>1135</v>
      </c>
      <c r="H916" s="18" t="s">
        <v>5</v>
      </c>
      <c r="I916">
        <v>2767</v>
      </c>
    </row>
    <row r="917" spans="1:14">
      <c r="B917" s="18" t="s">
        <v>588</v>
      </c>
      <c r="C917" t="s">
        <v>1132</v>
      </c>
      <c r="E917" s="18" t="s">
        <v>466</v>
      </c>
      <c r="F917" t="s">
        <v>1138</v>
      </c>
      <c r="H917" s="18" t="s">
        <v>466</v>
      </c>
      <c r="I917" t="s">
        <v>1137</v>
      </c>
    </row>
    <row r="918" spans="1:14">
      <c r="B918" s="18" t="s">
        <v>589</v>
      </c>
      <c r="C918" t="s">
        <v>792</v>
      </c>
    </row>
    <row r="919" spans="1:14">
      <c r="B919" s="18" t="s">
        <v>12</v>
      </c>
      <c r="C919" s="18"/>
      <c r="D919" s="18" t="s">
        <v>1139</v>
      </c>
      <c r="E919" s="18" t="s">
        <v>1140</v>
      </c>
    </row>
    <row r="920" spans="1:14">
      <c r="A920" s="31"/>
      <c r="B920" s="31" t="s">
        <v>49</v>
      </c>
      <c r="C920" s="31"/>
    </row>
    <row r="921" spans="1:14">
      <c r="B921" t="s">
        <v>1</v>
      </c>
      <c r="F921" t="s">
        <v>807</v>
      </c>
    </row>
    <row r="922" spans="1:14">
      <c r="B922" t="s">
        <v>1141</v>
      </c>
      <c r="F922" t="s">
        <v>1145</v>
      </c>
    </row>
    <row r="923" spans="1:14">
      <c r="B923" t="s">
        <v>1142</v>
      </c>
      <c r="F923" t="s">
        <v>1146</v>
      </c>
    </row>
    <row r="924" spans="1:14">
      <c r="B924" t="s">
        <v>1143</v>
      </c>
      <c r="F924" t="s">
        <v>1147</v>
      </c>
    </row>
    <row r="925" spans="1:14">
      <c r="B925" t="s">
        <v>1144</v>
      </c>
    </row>
    <row r="927" spans="1:14">
      <c r="A927" s="31"/>
      <c r="B927" s="31" t="s">
        <v>247</v>
      </c>
      <c r="C927" s="31"/>
    </row>
    <row r="928" spans="1:14">
      <c r="A928" s="31"/>
      <c r="B928" s="31" t="s">
        <v>314</v>
      </c>
      <c r="C928" s="31"/>
      <c r="D928" s="31"/>
      <c r="E928" s="31"/>
      <c r="F928" s="31"/>
      <c r="G928" s="31"/>
      <c r="H928" s="31"/>
      <c r="I928" s="31" t="s">
        <v>807</v>
      </c>
      <c r="J928" s="31"/>
      <c r="K928" s="31"/>
      <c r="L928" s="31"/>
      <c r="M928" s="31"/>
      <c r="N928" s="31" t="s">
        <v>6</v>
      </c>
    </row>
    <row r="929" spans="1:14">
      <c r="B929" t="s">
        <v>1148</v>
      </c>
      <c r="I929" t="s">
        <v>971</v>
      </c>
      <c r="K929" t="s">
        <v>1150</v>
      </c>
      <c r="N929" t="s">
        <v>1153</v>
      </c>
    </row>
    <row r="930" spans="1:14">
      <c r="B930" t="s">
        <v>1149</v>
      </c>
      <c r="I930" t="s">
        <v>1151</v>
      </c>
      <c r="N930" t="s">
        <v>1154</v>
      </c>
    </row>
    <row r="931" spans="1:14">
      <c r="B931" s="63" t="s">
        <v>1156</v>
      </c>
      <c r="I931" t="s">
        <v>1152</v>
      </c>
      <c r="N931" t="s">
        <v>1155</v>
      </c>
    </row>
    <row r="932" spans="1:14">
      <c r="B932" s="63" t="s">
        <v>1157</v>
      </c>
      <c r="I932" t="s">
        <v>309</v>
      </c>
    </row>
    <row r="933" spans="1:14">
      <c r="B933" s="63" t="s">
        <v>1158</v>
      </c>
    </row>
    <row r="935" spans="1:14">
      <c r="A935" s="31"/>
      <c r="B935" s="31" t="s">
        <v>1159</v>
      </c>
      <c r="C935" s="31"/>
      <c r="D935" s="31"/>
      <c r="E935" s="31"/>
      <c r="F935" s="31"/>
    </row>
    <row r="936" spans="1:14">
      <c r="A936" s="30"/>
      <c r="B936" s="30" t="s">
        <v>661</v>
      </c>
      <c r="C936" s="30"/>
      <c r="H936" s="18"/>
    </row>
    <row r="937" spans="1:14">
      <c r="B937" s="18" t="s">
        <v>1</v>
      </c>
      <c r="C937" s="64" t="s">
        <v>1160</v>
      </c>
      <c r="E937" s="18" t="s">
        <v>9</v>
      </c>
      <c r="H937" s="18" t="s">
        <v>6</v>
      </c>
    </row>
    <row r="938" spans="1:14">
      <c r="B938" s="18" t="s">
        <v>2</v>
      </c>
      <c r="C938" s="64" t="s">
        <v>1161</v>
      </c>
      <c r="E938" s="18" t="s">
        <v>898</v>
      </c>
      <c r="F938">
        <v>1295</v>
      </c>
      <c r="H938" s="18" t="s">
        <v>1166</v>
      </c>
    </row>
    <row r="939" spans="1:14">
      <c r="B939" s="18" t="s">
        <v>3</v>
      </c>
      <c r="C939" s="64" t="s">
        <v>1162</v>
      </c>
      <c r="E939" s="18" t="s">
        <v>897</v>
      </c>
      <c r="F939">
        <v>1258</v>
      </c>
      <c r="H939" s="18" t="s">
        <v>5</v>
      </c>
      <c r="I939">
        <v>1900</v>
      </c>
    </row>
    <row r="940" spans="1:14">
      <c r="B940" s="18" t="s">
        <v>588</v>
      </c>
      <c r="C940" s="64" t="s">
        <v>1163</v>
      </c>
      <c r="E940" s="18" t="s">
        <v>466</v>
      </c>
      <c r="F940" s="64" t="s">
        <v>1165</v>
      </c>
      <c r="H940" s="18" t="s">
        <v>466</v>
      </c>
      <c r="I940" s="64" t="s">
        <v>1167</v>
      </c>
    </row>
    <row r="941" spans="1:14">
      <c r="B941" s="18" t="s">
        <v>589</v>
      </c>
      <c r="C941" s="64" t="s">
        <v>1164</v>
      </c>
    </row>
    <row r="942" spans="1:14">
      <c r="B942" s="18" t="s">
        <v>11</v>
      </c>
      <c r="C942">
        <v>0</v>
      </c>
    </row>
    <row r="944" spans="1:14">
      <c r="A944" s="18"/>
      <c r="B944" s="18" t="s">
        <v>1168</v>
      </c>
      <c r="C944" s="18"/>
      <c r="D944" s="18"/>
      <c r="E944" s="18"/>
    </row>
    <row r="946" spans="1:6">
      <c r="A946" s="30"/>
      <c r="B946" s="30" t="s">
        <v>49</v>
      </c>
      <c r="C946" s="30"/>
    </row>
    <row r="947" spans="1:6">
      <c r="B947" s="64" t="s">
        <v>1169</v>
      </c>
    </row>
    <row r="948" spans="1:6">
      <c r="B948" s="64" t="s">
        <v>1170</v>
      </c>
    </row>
    <row r="949" spans="1:6">
      <c r="B949" s="64" t="s">
        <v>1171</v>
      </c>
    </row>
    <row r="950" spans="1:6">
      <c r="B950" s="64" t="s">
        <v>1172</v>
      </c>
    </row>
    <row r="952" spans="1:6">
      <c r="A952" s="30"/>
      <c r="B952" s="30" t="s">
        <v>247</v>
      </c>
    </row>
    <row r="953" spans="1:6">
      <c r="A953" s="30"/>
      <c r="B953" s="30" t="s">
        <v>9</v>
      </c>
      <c r="E953" s="30"/>
      <c r="F953" s="30" t="s">
        <v>6</v>
      </c>
    </row>
    <row r="954" spans="1:6">
      <c r="B954" s="64" t="s">
        <v>292</v>
      </c>
      <c r="F954" s="64" t="s">
        <v>1175</v>
      </c>
    </row>
    <row r="955" spans="1:6">
      <c r="B955" s="64" t="s">
        <v>1173</v>
      </c>
      <c r="F955" s="64" t="s">
        <v>259</v>
      </c>
    </row>
    <row r="956" spans="1:6">
      <c r="B956" s="64" t="s">
        <v>1174</v>
      </c>
      <c r="F956" s="64" t="s">
        <v>1177</v>
      </c>
    </row>
    <row r="957" spans="1:6">
      <c r="B957" s="64" t="s">
        <v>1176</v>
      </c>
      <c r="F957" s="64" t="s">
        <v>1178</v>
      </c>
    </row>
    <row r="959" spans="1:6">
      <c r="A959" s="30"/>
      <c r="B959" s="31" t="s">
        <v>1180</v>
      </c>
      <c r="C959" s="31"/>
      <c r="D959" s="31"/>
      <c r="E959" s="31"/>
      <c r="F959" s="31"/>
    </row>
    <row r="960" spans="1:6">
      <c r="A960" s="18"/>
      <c r="B960" s="18" t="s">
        <v>661</v>
      </c>
      <c r="C960" s="18"/>
    </row>
    <row r="961" spans="1:9">
      <c r="B961" s="30" t="s">
        <v>1</v>
      </c>
      <c r="C961" t="s">
        <v>1181</v>
      </c>
      <c r="E961" s="30" t="s">
        <v>9</v>
      </c>
      <c r="G961" s="30"/>
      <c r="H961" s="30" t="s">
        <v>6</v>
      </c>
    </row>
    <row r="962" spans="1:9">
      <c r="B962" s="30" t="s">
        <v>2</v>
      </c>
      <c r="C962" t="s">
        <v>1182</v>
      </c>
      <c r="E962" s="30" t="s">
        <v>898</v>
      </c>
      <c r="F962" t="s">
        <v>1185</v>
      </c>
      <c r="G962" s="30"/>
      <c r="H962" s="30" t="s">
        <v>1188</v>
      </c>
    </row>
    <row r="963" spans="1:9">
      <c r="B963" s="30" t="s">
        <v>3</v>
      </c>
      <c r="C963" t="s">
        <v>1183</v>
      </c>
      <c r="E963" s="30" t="s">
        <v>897</v>
      </c>
      <c r="F963" t="s">
        <v>1186</v>
      </c>
      <c r="G963" s="30"/>
      <c r="H963" s="30" t="s">
        <v>5</v>
      </c>
      <c r="I963" t="s">
        <v>1189</v>
      </c>
    </row>
    <row r="964" spans="1:9">
      <c r="B964" s="30" t="s">
        <v>588</v>
      </c>
      <c r="C964" s="66" t="s">
        <v>1207</v>
      </c>
      <c r="E964" s="30" t="s">
        <v>466</v>
      </c>
      <c r="F964" t="s">
        <v>1187</v>
      </c>
      <c r="G964" s="30"/>
      <c r="H964" s="30" t="s">
        <v>466</v>
      </c>
      <c r="I964" t="s">
        <v>1190</v>
      </c>
    </row>
    <row r="965" spans="1:9">
      <c r="B965" s="30" t="s">
        <v>589</v>
      </c>
      <c r="C965" t="s">
        <v>1184</v>
      </c>
    </row>
    <row r="966" spans="1:9">
      <c r="B966" s="30" t="s">
        <v>11</v>
      </c>
      <c r="C966" s="66" t="s">
        <v>1207</v>
      </c>
    </row>
    <row r="967" spans="1:9">
      <c r="B967" s="30" t="s">
        <v>1024</v>
      </c>
      <c r="C967" s="30"/>
      <c r="D967" s="30" t="s">
        <v>1191</v>
      </c>
    </row>
    <row r="968" spans="1:9">
      <c r="B968" s="66" t="s">
        <v>1206</v>
      </c>
    </row>
    <row r="969" spans="1:9">
      <c r="A969" s="31"/>
      <c r="B969" s="31" t="s">
        <v>49</v>
      </c>
      <c r="C969" s="31"/>
    </row>
    <row r="970" spans="1:9">
      <c r="B970" s="66" t="s">
        <v>1192</v>
      </c>
    </row>
    <row r="972" spans="1:9">
      <c r="A972" s="31"/>
      <c r="B972" s="31" t="s">
        <v>247</v>
      </c>
      <c r="G972" s="30"/>
      <c r="H972" s="30" t="s">
        <v>807</v>
      </c>
      <c r="I972" s="30"/>
    </row>
    <row r="973" spans="1:9">
      <c r="A973" s="30">
        <v>1</v>
      </c>
      <c r="B973" s="30" t="s">
        <v>314</v>
      </c>
      <c r="G973">
        <v>1</v>
      </c>
      <c r="H973" s="66" t="s">
        <v>1199</v>
      </c>
    </row>
    <row r="974" spans="1:9">
      <c r="A974">
        <v>2</v>
      </c>
      <c r="B974" s="66" t="s">
        <v>1193</v>
      </c>
      <c r="G974">
        <v>2</v>
      </c>
      <c r="H974" s="66" t="s">
        <v>1200</v>
      </c>
    </row>
    <row r="975" spans="1:9">
      <c r="A975">
        <v>3</v>
      </c>
      <c r="B975" s="66" t="s">
        <v>1194</v>
      </c>
      <c r="G975">
        <v>3</v>
      </c>
      <c r="H975" s="66" t="s">
        <v>1201</v>
      </c>
    </row>
    <row r="976" spans="1:9">
      <c r="A976">
        <v>4</v>
      </c>
      <c r="B976" s="66" t="s">
        <v>1195</v>
      </c>
      <c r="G976">
        <v>4</v>
      </c>
      <c r="H976" s="66" t="s">
        <v>1202</v>
      </c>
    </row>
    <row r="977" spans="1:10">
      <c r="A977">
        <v>5</v>
      </c>
      <c r="B977" s="66" t="s">
        <v>1196</v>
      </c>
      <c r="G977">
        <v>5</v>
      </c>
      <c r="H977" s="66" t="s">
        <v>1203</v>
      </c>
    </row>
    <row r="978" spans="1:10">
      <c r="A978">
        <v>6</v>
      </c>
      <c r="B978" s="66" t="s">
        <v>1197</v>
      </c>
      <c r="G978">
        <v>6</v>
      </c>
      <c r="H978" s="66" t="s">
        <v>1204</v>
      </c>
    </row>
    <row r="979" spans="1:10">
      <c r="A979">
        <v>7</v>
      </c>
      <c r="B979" s="66" t="s">
        <v>1198</v>
      </c>
      <c r="G979">
        <v>7</v>
      </c>
      <c r="H979" s="66" t="s">
        <v>1205</v>
      </c>
    </row>
    <row r="981" spans="1:10">
      <c r="A981" s="18"/>
      <c r="B981" s="31" t="s">
        <v>1209</v>
      </c>
      <c r="C981" s="31"/>
      <c r="D981" s="31"/>
      <c r="E981" s="31"/>
      <c r="F981" s="31"/>
    </row>
    <row r="982" spans="1:10">
      <c r="A982" s="30"/>
      <c r="B982" s="30" t="s">
        <v>661</v>
      </c>
      <c r="C982" s="30"/>
    </row>
    <row r="983" spans="1:10">
      <c r="B983" s="30" t="s">
        <v>1</v>
      </c>
      <c r="C983" t="s">
        <v>1212</v>
      </c>
      <c r="E983" s="30" t="s">
        <v>1213</v>
      </c>
      <c r="F983" s="30"/>
      <c r="G983" s="30"/>
      <c r="H983" s="30" t="s">
        <v>6</v>
      </c>
    </row>
    <row r="984" spans="1:10">
      <c r="B984" s="30" t="s">
        <v>2</v>
      </c>
      <c r="C984" t="s">
        <v>1211</v>
      </c>
      <c r="E984" s="30" t="s">
        <v>898</v>
      </c>
      <c r="F984" t="s">
        <v>1214</v>
      </c>
      <c r="G984" s="30"/>
      <c r="H984" s="30" t="s">
        <v>1215</v>
      </c>
    </row>
    <row r="985" spans="1:10">
      <c r="B985" s="30" t="s">
        <v>3</v>
      </c>
      <c r="C985" t="s">
        <v>1210</v>
      </c>
      <c r="E985" s="30" t="s">
        <v>897</v>
      </c>
      <c r="F985" t="s">
        <v>1218</v>
      </c>
      <c r="G985" s="30"/>
      <c r="H985" s="30" t="s">
        <v>5</v>
      </c>
      <c r="I985" t="s">
        <v>1216</v>
      </c>
    </row>
    <row r="986" spans="1:10">
      <c r="B986" s="30" t="s">
        <v>589</v>
      </c>
      <c r="C986" t="s">
        <v>794</v>
      </c>
      <c r="E986" s="30" t="s">
        <v>466</v>
      </c>
      <c r="F986" t="s">
        <v>1219</v>
      </c>
      <c r="G986" s="30"/>
      <c r="H986" s="30" t="s">
        <v>466</v>
      </c>
      <c r="I986" t="s">
        <v>1217</v>
      </c>
    </row>
    <row r="987" spans="1:10">
      <c r="B987" s="30" t="s">
        <v>588</v>
      </c>
      <c r="C987" t="s">
        <v>910</v>
      </c>
    </row>
    <row r="988" spans="1:10">
      <c r="B988" s="30" t="s">
        <v>11</v>
      </c>
      <c r="C988" t="s">
        <v>910</v>
      </c>
    </row>
    <row r="990" spans="1:10">
      <c r="B990" s="67" t="s">
        <v>1220</v>
      </c>
      <c r="J990" t="s">
        <v>1221</v>
      </c>
    </row>
    <row r="992" spans="1:10">
      <c r="B992" s="18" t="s">
        <v>1222</v>
      </c>
      <c r="C992" s="18"/>
      <c r="D992" s="18"/>
      <c r="E992" s="18"/>
    </row>
    <row r="994" spans="1:16">
      <c r="A994" s="30"/>
      <c r="B994" s="30" t="s">
        <v>247</v>
      </c>
    </row>
    <row r="995" spans="1:16">
      <c r="A995" s="30">
        <v>1</v>
      </c>
      <c r="B995" s="30" t="s">
        <v>2</v>
      </c>
      <c r="C995" s="30" t="s">
        <v>49</v>
      </c>
      <c r="D995" s="30"/>
      <c r="E995" s="30" t="s">
        <v>1236</v>
      </c>
      <c r="F995" s="30"/>
      <c r="G995" s="30"/>
      <c r="H995" s="30"/>
      <c r="J995" s="30">
        <v>2</v>
      </c>
      <c r="K995" s="30" t="s">
        <v>1237</v>
      </c>
      <c r="L995" s="30"/>
      <c r="M995" s="30"/>
      <c r="N995" s="30"/>
      <c r="O995" s="30"/>
    </row>
    <row r="996" spans="1:16">
      <c r="A996">
        <v>1</v>
      </c>
      <c r="B996" s="67" t="s">
        <v>1223</v>
      </c>
      <c r="J996" s="30"/>
      <c r="K996" s="30" t="s">
        <v>49</v>
      </c>
      <c r="L996" s="30"/>
    </row>
    <row r="997" spans="1:16">
      <c r="A997">
        <v>2</v>
      </c>
      <c r="B997" s="67" t="s">
        <v>1224</v>
      </c>
      <c r="J997">
        <v>1</v>
      </c>
      <c r="K997" s="67" t="s">
        <v>1238</v>
      </c>
    </row>
    <row r="998" spans="1:16">
      <c r="A998">
        <v>3</v>
      </c>
      <c r="B998" s="67" t="s">
        <v>1225</v>
      </c>
      <c r="D998" s="13"/>
      <c r="J998">
        <v>2</v>
      </c>
      <c r="K998" s="67" t="s">
        <v>1239</v>
      </c>
    </row>
    <row r="999" spans="1:16">
      <c r="A999">
        <v>4</v>
      </c>
      <c r="B999" s="67" t="s">
        <v>1226</v>
      </c>
      <c r="J999" s="30"/>
      <c r="K999" s="30" t="s">
        <v>247</v>
      </c>
      <c r="L999" s="30"/>
    </row>
    <row r="1000" spans="1:16">
      <c r="A1000" s="30">
        <v>2</v>
      </c>
      <c r="B1000" s="30" t="s">
        <v>1227</v>
      </c>
      <c r="C1000" s="30"/>
      <c r="J1000">
        <v>1</v>
      </c>
      <c r="K1000" s="67" t="s">
        <v>1240</v>
      </c>
    </row>
    <row r="1001" spans="1:16">
      <c r="B1001" s="67" t="s">
        <v>1228</v>
      </c>
      <c r="E1001" s="67" t="s">
        <v>1229</v>
      </c>
      <c r="J1001">
        <v>2</v>
      </c>
      <c r="K1001" s="67" t="s">
        <v>1241</v>
      </c>
      <c r="P1001" s="67" t="s">
        <v>1242</v>
      </c>
    </row>
    <row r="1002" spans="1:16">
      <c r="B1002" s="67" t="s">
        <v>1228</v>
      </c>
      <c r="E1002" s="67" t="s">
        <v>1230</v>
      </c>
      <c r="J1002">
        <v>3</v>
      </c>
      <c r="K1002" s="67" t="s">
        <v>1243</v>
      </c>
    </row>
    <row r="1003" spans="1:16">
      <c r="B1003" s="67" t="s">
        <v>1231</v>
      </c>
      <c r="J1003">
        <v>4</v>
      </c>
      <c r="K1003" s="67" t="s">
        <v>1244</v>
      </c>
    </row>
    <row r="1004" spans="1:16">
      <c r="B1004" s="67" t="s">
        <v>1232</v>
      </c>
      <c r="J1004">
        <v>5</v>
      </c>
      <c r="K1004" s="67" t="s">
        <v>1245</v>
      </c>
    </row>
    <row r="1005" spans="1:16">
      <c r="B1005" s="67" t="s">
        <v>1233</v>
      </c>
      <c r="J1005">
        <v>6</v>
      </c>
      <c r="K1005" s="67" t="s">
        <v>1246</v>
      </c>
    </row>
    <row r="1006" spans="1:16">
      <c r="B1006" s="67" t="s">
        <v>1234</v>
      </c>
      <c r="J1006">
        <v>7</v>
      </c>
      <c r="K1006" s="67" t="s">
        <v>1247</v>
      </c>
      <c r="O1006" s="67" t="s">
        <v>1248</v>
      </c>
    </row>
    <row r="1007" spans="1:16">
      <c r="B1007" s="67" t="s">
        <v>1235</v>
      </c>
      <c r="J1007">
        <v>8</v>
      </c>
      <c r="K1007" s="67" t="s">
        <v>1249</v>
      </c>
    </row>
    <row r="1008" spans="1:16">
      <c r="B1008" s="67" t="s">
        <v>1252</v>
      </c>
      <c r="J1008">
        <v>9</v>
      </c>
      <c r="K1008" s="67" t="s">
        <v>1250</v>
      </c>
    </row>
    <row r="1009" spans="1:17">
      <c r="J1009">
        <v>10</v>
      </c>
      <c r="K1009" s="67" t="s">
        <v>1251</v>
      </c>
      <c r="Q1009" s="67" t="s">
        <v>1242</v>
      </c>
    </row>
    <row r="1011" spans="1:17">
      <c r="A1011" s="30">
        <v>3</v>
      </c>
      <c r="B1011" s="30" t="s">
        <v>1253</v>
      </c>
      <c r="C1011" s="30"/>
      <c r="D1011" s="30" t="s">
        <v>1254</v>
      </c>
      <c r="E1011" s="30"/>
      <c r="F1011" s="30"/>
      <c r="G1011" s="30"/>
      <c r="I1011" s="67" t="s">
        <v>1267</v>
      </c>
      <c r="J1011" s="30">
        <v>4</v>
      </c>
      <c r="K1011" s="30" t="s">
        <v>1266</v>
      </c>
      <c r="L1011" s="30"/>
      <c r="M1011" s="30"/>
      <c r="N1011" s="67" t="s">
        <v>1268</v>
      </c>
    </row>
    <row r="1012" spans="1:17">
      <c r="B1012" s="67" t="s">
        <v>1255</v>
      </c>
      <c r="K1012" s="67" t="s">
        <v>49</v>
      </c>
    </row>
    <row r="1013" spans="1:17">
      <c r="B1013" s="67" t="s">
        <v>1256</v>
      </c>
      <c r="K1013" s="67" t="s">
        <v>1269</v>
      </c>
    </row>
    <row r="1014" spans="1:17">
      <c r="B1014" s="67" t="s">
        <v>247</v>
      </c>
      <c r="K1014" s="67" t="s">
        <v>247</v>
      </c>
    </row>
    <row r="1015" spans="1:17">
      <c r="A1015">
        <v>1</v>
      </c>
      <c r="B1015" s="67" t="s">
        <v>1257</v>
      </c>
      <c r="J1015">
        <v>1</v>
      </c>
      <c r="K1015" s="67" t="s">
        <v>1270</v>
      </c>
    </row>
    <row r="1016" spans="1:17">
      <c r="A1016">
        <v>2</v>
      </c>
      <c r="B1016" s="67" t="s">
        <v>1258</v>
      </c>
      <c r="J1016">
        <v>2</v>
      </c>
      <c r="K1016" s="67" t="s">
        <v>1271</v>
      </c>
    </row>
    <row r="1017" spans="1:17">
      <c r="A1017">
        <v>3</v>
      </c>
      <c r="B1017" s="67" t="s">
        <v>1259</v>
      </c>
      <c r="J1017">
        <v>3</v>
      </c>
      <c r="K1017" s="67" t="s">
        <v>1272</v>
      </c>
    </row>
    <row r="1018" spans="1:17">
      <c r="A1018">
        <v>4</v>
      </c>
      <c r="B1018" s="67" t="s">
        <v>1260</v>
      </c>
      <c r="J1018">
        <v>4</v>
      </c>
      <c r="K1018" s="67" t="s">
        <v>1273</v>
      </c>
    </row>
    <row r="1019" spans="1:17">
      <c r="A1019">
        <v>5</v>
      </c>
      <c r="B1019" s="67" t="s">
        <v>1261</v>
      </c>
      <c r="G1019" s="67" t="s">
        <v>1263</v>
      </c>
      <c r="J1019">
        <v>5</v>
      </c>
      <c r="K1019" s="67" t="s">
        <v>1274</v>
      </c>
    </row>
    <row r="1020" spans="1:17">
      <c r="A1020">
        <v>6</v>
      </c>
      <c r="B1020" s="67" t="s">
        <v>1262</v>
      </c>
      <c r="J1020">
        <v>6</v>
      </c>
      <c r="K1020" s="67" t="s">
        <v>1275</v>
      </c>
    </row>
    <row r="1021" spans="1:17">
      <c r="A1021">
        <v>7</v>
      </c>
      <c r="B1021" s="67" t="s">
        <v>1264</v>
      </c>
      <c r="J1021">
        <v>7</v>
      </c>
      <c r="K1021" s="67" t="s">
        <v>1276</v>
      </c>
    </row>
    <row r="1022" spans="1:17">
      <c r="A1022">
        <v>8</v>
      </c>
      <c r="B1022" s="67" t="s">
        <v>1265</v>
      </c>
      <c r="J1022">
        <v>8</v>
      </c>
      <c r="K1022" s="67" t="s">
        <v>1277</v>
      </c>
    </row>
    <row r="1025" spans="1:10">
      <c r="A1025" s="31"/>
      <c r="B1025" s="31" t="s">
        <v>1296</v>
      </c>
      <c r="C1025" s="31"/>
      <c r="D1025" s="31"/>
      <c r="E1025" s="31"/>
      <c r="F1025" s="31"/>
    </row>
    <row r="1026" spans="1:10">
      <c r="A1026" s="18"/>
      <c r="B1026" s="18" t="s">
        <v>661</v>
      </c>
      <c r="C1026" s="18"/>
    </row>
    <row r="1027" spans="1:10">
      <c r="B1027" s="30" t="s">
        <v>1</v>
      </c>
      <c r="C1027" t="s">
        <v>1278</v>
      </c>
      <c r="E1027" s="30" t="s">
        <v>9</v>
      </c>
      <c r="H1027" s="30" t="s">
        <v>6</v>
      </c>
    </row>
    <row r="1028" spans="1:10">
      <c r="B1028" s="30" t="s">
        <v>2</v>
      </c>
      <c r="C1028" t="s">
        <v>1279</v>
      </c>
      <c r="E1028" s="30" t="s">
        <v>898</v>
      </c>
      <c r="F1028" t="s">
        <v>1283</v>
      </c>
      <c r="H1028" s="30" t="s">
        <v>1286</v>
      </c>
    </row>
    <row r="1029" spans="1:10">
      <c r="B1029" s="30" t="s">
        <v>3</v>
      </c>
      <c r="C1029" t="s">
        <v>1280</v>
      </c>
      <c r="E1029" s="30" t="s">
        <v>1284</v>
      </c>
      <c r="F1029" t="s">
        <v>983</v>
      </c>
      <c r="H1029" s="30" t="s">
        <v>5</v>
      </c>
      <c r="I1029" t="s">
        <v>1287</v>
      </c>
    </row>
    <row r="1030" spans="1:10">
      <c r="B1030" s="30" t="s">
        <v>589</v>
      </c>
      <c r="C1030" t="s">
        <v>1281</v>
      </c>
      <c r="E1030" s="30" t="s">
        <v>466</v>
      </c>
      <c r="F1030" t="s">
        <v>1285</v>
      </c>
      <c r="H1030" s="30" t="s">
        <v>466</v>
      </c>
      <c r="I1030" t="s">
        <v>1288</v>
      </c>
    </row>
    <row r="1031" spans="1:10">
      <c r="B1031" s="30" t="s">
        <v>1282</v>
      </c>
      <c r="C1031" t="s">
        <v>910</v>
      </c>
    </row>
    <row r="1032" spans="1:10">
      <c r="B1032" s="30" t="s">
        <v>11</v>
      </c>
      <c r="C1032" t="s">
        <v>910</v>
      </c>
    </row>
    <row r="1034" spans="1:10">
      <c r="A1034" s="18"/>
      <c r="B1034" s="18" t="s">
        <v>1301</v>
      </c>
      <c r="C1034" s="18"/>
      <c r="D1034" s="18"/>
    </row>
    <row r="1035" spans="1:10">
      <c r="A1035" s="30"/>
      <c r="B1035" s="30" t="s">
        <v>1289</v>
      </c>
      <c r="C1035" s="30"/>
    </row>
    <row r="1036" spans="1:10">
      <c r="A1036" s="30"/>
      <c r="B1036" s="30" t="s">
        <v>877</v>
      </c>
      <c r="C1036" s="30"/>
    </row>
    <row r="1037" spans="1:10">
      <c r="A1037">
        <v>1</v>
      </c>
      <c r="B1037" s="68" t="s">
        <v>1290</v>
      </c>
      <c r="J1037" t="s">
        <v>1291</v>
      </c>
    </row>
    <row r="1038" spans="1:10">
      <c r="A1038">
        <v>2</v>
      </c>
      <c r="B1038" s="68" t="s">
        <v>1292</v>
      </c>
      <c r="H1038" t="s">
        <v>1293</v>
      </c>
    </row>
    <row r="1039" spans="1:10">
      <c r="A1039">
        <v>3</v>
      </c>
      <c r="B1039" s="68" t="s">
        <v>1294</v>
      </c>
    </row>
    <row r="1040" spans="1:10">
      <c r="A1040">
        <v>4</v>
      </c>
      <c r="B1040" s="68" t="s">
        <v>1295</v>
      </c>
    </row>
    <row r="1042" spans="1:9">
      <c r="A1042" s="30"/>
      <c r="B1042" s="30" t="s">
        <v>6</v>
      </c>
    </row>
    <row r="1043" spans="1:9">
      <c r="A1043">
        <v>1</v>
      </c>
      <c r="B1043" s="69" t="s">
        <v>1297</v>
      </c>
    </row>
    <row r="1044" spans="1:9">
      <c r="A1044">
        <v>2</v>
      </c>
      <c r="B1044" s="69" t="s">
        <v>1298</v>
      </c>
    </row>
    <row r="1045" spans="1:9">
      <c r="A1045">
        <v>3</v>
      </c>
      <c r="B1045" s="69" t="s">
        <v>1299</v>
      </c>
    </row>
    <row r="1046" spans="1:9">
      <c r="A1046">
        <v>4</v>
      </c>
      <c r="B1046" s="69" t="s">
        <v>1300</v>
      </c>
    </row>
    <row r="1047" spans="1:9">
      <c r="A1047">
        <v>5</v>
      </c>
      <c r="B1047" s="69" t="s">
        <v>1302</v>
      </c>
    </row>
    <row r="1049" spans="1:9">
      <c r="A1049" s="31"/>
      <c r="B1049" s="31" t="s">
        <v>1303</v>
      </c>
      <c r="C1049" s="31"/>
      <c r="D1049" s="31"/>
      <c r="E1049" s="31"/>
      <c r="F1049" s="31"/>
      <c r="H1049" s="30"/>
    </row>
    <row r="1050" spans="1:9">
      <c r="B1050" s="70" t="s">
        <v>661</v>
      </c>
      <c r="H1050" s="30"/>
    </row>
    <row r="1051" spans="1:9">
      <c r="B1051" s="30" t="s">
        <v>1</v>
      </c>
      <c r="C1051" t="s">
        <v>1305</v>
      </c>
      <c r="E1051" s="30" t="s">
        <v>9</v>
      </c>
      <c r="H1051" s="30" t="s">
        <v>6</v>
      </c>
    </row>
    <row r="1052" spans="1:9">
      <c r="B1052" s="30" t="s">
        <v>2</v>
      </c>
      <c r="C1052" t="s">
        <v>1304</v>
      </c>
      <c r="E1052" s="30" t="s">
        <v>898</v>
      </c>
      <c r="F1052" t="s">
        <v>1308</v>
      </c>
      <c r="H1052" s="30" t="s">
        <v>1311</v>
      </c>
    </row>
    <row r="1053" spans="1:9">
      <c r="B1053" s="30" t="s">
        <v>3</v>
      </c>
      <c r="C1053" t="s">
        <v>1307</v>
      </c>
      <c r="E1053" s="30" t="s">
        <v>897</v>
      </c>
      <c r="F1053" t="s">
        <v>1309</v>
      </c>
      <c r="H1053" s="30" t="s">
        <v>5</v>
      </c>
      <c r="I1053" t="s">
        <v>1313</v>
      </c>
    </row>
    <row r="1054" spans="1:9">
      <c r="B1054" s="30" t="s">
        <v>589</v>
      </c>
      <c r="C1054" t="s">
        <v>1306</v>
      </c>
      <c r="E1054" s="30" t="s">
        <v>466</v>
      </c>
      <c r="F1054" t="s">
        <v>1310</v>
      </c>
      <c r="H1054" s="30" t="s">
        <v>466</v>
      </c>
      <c r="I1054" t="s">
        <v>1312</v>
      </c>
    </row>
    <row r="1055" spans="1:9">
      <c r="H1055" s="30"/>
    </row>
    <row r="1056" spans="1:9">
      <c r="A1056" s="18"/>
      <c r="B1056" s="18" t="s">
        <v>1314</v>
      </c>
      <c r="C1056" s="18"/>
      <c r="D1056" s="18"/>
      <c r="E1056" s="18"/>
    </row>
    <row r="1058" spans="1:12">
      <c r="A1058" s="31"/>
      <c r="B1058" s="31" t="s">
        <v>247</v>
      </c>
      <c r="C1058" s="18"/>
    </row>
    <row r="1059" spans="1:12">
      <c r="A1059" s="31"/>
      <c r="B1059" s="31" t="s">
        <v>665</v>
      </c>
      <c r="C1059" s="31" t="s">
        <v>1315</v>
      </c>
      <c r="D1059" s="30"/>
      <c r="E1059" s="30"/>
      <c r="F1059" s="30"/>
      <c r="G1059" s="30"/>
      <c r="H1059" s="30"/>
      <c r="I1059" s="31"/>
      <c r="J1059" s="31" t="s">
        <v>1326</v>
      </c>
      <c r="K1059" s="31"/>
      <c r="L1059" s="31"/>
    </row>
    <row r="1060" spans="1:12">
      <c r="B1060" s="30" t="s">
        <v>94</v>
      </c>
      <c r="C1060" s="30"/>
      <c r="D1060" s="30"/>
      <c r="I1060" s="30"/>
      <c r="J1060" s="30" t="s">
        <v>49</v>
      </c>
      <c r="K1060" s="30"/>
    </row>
    <row r="1061" spans="1:12">
      <c r="B1061" t="s">
        <v>1316</v>
      </c>
      <c r="F1061" t="s">
        <v>1317</v>
      </c>
      <c r="J1061" t="s">
        <v>1327</v>
      </c>
    </row>
    <row r="1062" spans="1:12">
      <c r="B1062" s="70" t="s">
        <v>1318</v>
      </c>
      <c r="J1062" t="s">
        <v>1328</v>
      </c>
    </row>
    <row r="1063" spans="1:12">
      <c r="A1063" s="31"/>
      <c r="B1063" s="31" t="s">
        <v>1319</v>
      </c>
      <c r="C1063" s="31"/>
      <c r="J1063" t="s">
        <v>1329</v>
      </c>
    </row>
    <row r="1064" spans="1:12">
      <c r="B1064" s="70" t="s">
        <v>1320</v>
      </c>
      <c r="J1064" t="s">
        <v>1330</v>
      </c>
    </row>
    <row r="1065" spans="1:12">
      <c r="B1065" t="s">
        <v>1321</v>
      </c>
      <c r="I1065" s="31"/>
      <c r="J1065" s="31" t="s">
        <v>1331</v>
      </c>
      <c r="K1065" s="31"/>
    </row>
    <row r="1066" spans="1:12">
      <c r="B1066" s="70" t="s">
        <v>1322</v>
      </c>
      <c r="J1066" t="s">
        <v>1332</v>
      </c>
    </row>
    <row r="1067" spans="1:12">
      <c r="B1067" t="s">
        <v>1323</v>
      </c>
      <c r="J1067" t="s">
        <v>1333</v>
      </c>
    </row>
    <row r="1068" spans="1:12">
      <c r="B1068" s="70" t="s">
        <v>1324</v>
      </c>
      <c r="J1068" t="s">
        <v>1334</v>
      </c>
    </row>
    <row r="1069" spans="1:12">
      <c r="B1069" t="s">
        <v>1325</v>
      </c>
      <c r="J1069" t="s">
        <v>1335</v>
      </c>
    </row>
    <row r="1071" spans="1:12">
      <c r="A1071" s="30"/>
      <c r="B1071" s="30" t="s">
        <v>1336</v>
      </c>
      <c r="C1071" s="30"/>
      <c r="D1071" s="30"/>
      <c r="E1071" s="30"/>
      <c r="F1071" s="30"/>
    </row>
    <row r="1072" spans="1:12">
      <c r="B1072" s="72" t="s">
        <v>661</v>
      </c>
      <c r="H1072" s="30"/>
    </row>
    <row r="1073" spans="1:9">
      <c r="B1073" s="30" t="s">
        <v>1</v>
      </c>
      <c r="C1073" s="72" t="s">
        <v>1340</v>
      </c>
      <c r="E1073" s="30" t="s">
        <v>9</v>
      </c>
      <c r="H1073" s="30" t="s">
        <v>6</v>
      </c>
    </row>
    <row r="1074" spans="1:9">
      <c r="B1074" s="30" t="s">
        <v>2</v>
      </c>
      <c r="C1074" s="72" t="s">
        <v>1339</v>
      </c>
      <c r="E1074" s="30" t="s">
        <v>897</v>
      </c>
      <c r="F1074" s="72" t="s">
        <v>1341</v>
      </c>
      <c r="H1074" s="30" t="s">
        <v>1344</v>
      </c>
    </row>
    <row r="1075" spans="1:9">
      <c r="B1075" s="30" t="s">
        <v>3</v>
      </c>
      <c r="C1075" s="72" t="s">
        <v>1106</v>
      </c>
      <c r="E1075" s="30" t="s">
        <v>898</v>
      </c>
      <c r="F1075" s="72" t="s">
        <v>1342</v>
      </c>
      <c r="H1075" s="30" t="s">
        <v>5</v>
      </c>
      <c r="I1075" s="72" t="s">
        <v>1345</v>
      </c>
    </row>
    <row r="1076" spans="1:9">
      <c r="B1076" s="30" t="s">
        <v>588</v>
      </c>
      <c r="C1076" s="72" t="s">
        <v>1337</v>
      </c>
      <c r="E1076" s="30" t="s">
        <v>466</v>
      </c>
      <c r="F1076" s="72" t="s">
        <v>1343</v>
      </c>
      <c r="H1076" s="30" t="s">
        <v>466</v>
      </c>
      <c r="I1076" s="72" t="s">
        <v>1346</v>
      </c>
    </row>
    <row r="1077" spans="1:9">
      <c r="B1077" s="30" t="s">
        <v>589</v>
      </c>
      <c r="C1077" s="72" t="s">
        <v>1338</v>
      </c>
      <c r="E1077" s="30"/>
      <c r="H1077" s="30"/>
    </row>
    <row r="1078" spans="1:9">
      <c r="B1078" s="30"/>
    </row>
    <row r="1079" spans="1:9">
      <c r="B1079" s="30" t="s">
        <v>1347</v>
      </c>
      <c r="C1079" s="30"/>
      <c r="D1079" s="30" t="s">
        <v>1348</v>
      </c>
    </row>
    <row r="1081" spans="1:9">
      <c r="A1081" s="30"/>
      <c r="B1081" s="30" t="s">
        <v>247</v>
      </c>
    </row>
    <row r="1082" spans="1:9">
      <c r="A1082" s="30"/>
      <c r="B1082" s="30" t="s">
        <v>9</v>
      </c>
      <c r="I1082" s="72" t="s">
        <v>6</v>
      </c>
    </row>
    <row r="1083" spans="1:9">
      <c r="B1083" s="72" t="s">
        <v>94</v>
      </c>
    </row>
    <row r="1084" spans="1:9">
      <c r="B1084" s="72" t="s">
        <v>1349</v>
      </c>
    </row>
    <row r="1085" spans="1:9">
      <c r="B1085" s="72" t="s">
        <v>1350</v>
      </c>
    </row>
    <row r="1086" spans="1:9">
      <c r="B1086" s="72" t="s">
        <v>1319</v>
      </c>
    </row>
    <row r="1087" spans="1:9">
      <c r="B1087" s="72" t="s">
        <v>1351</v>
      </c>
    </row>
    <row r="1088" spans="1:9">
      <c r="B1088" s="72" t="s">
        <v>1352</v>
      </c>
    </row>
    <row r="1089" spans="1:9">
      <c r="B1089" s="72" t="s">
        <v>1353</v>
      </c>
    </row>
    <row r="1090" spans="1:9">
      <c r="B1090" s="72" t="s">
        <v>1354</v>
      </c>
    </row>
    <row r="1091" spans="1:9">
      <c r="B1091" s="72" t="s">
        <v>1355</v>
      </c>
    </row>
    <row r="1092" spans="1:9">
      <c r="B1092" s="72" t="s">
        <v>1356</v>
      </c>
    </row>
    <row r="1094" spans="1:9">
      <c r="A1094" s="31"/>
      <c r="B1094" s="31" t="s">
        <v>1357</v>
      </c>
      <c r="C1094" s="31"/>
      <c r="D1094" s="31"/>
      <c r="E1094" s="31"/>
      <c r="F1094" s="30"/>
    </row>
    <row r="1095" spans="1:9">
      <c r="B1095" s="73" t="s">
        <v>661</v>
      </c>
      <c r="E1095" s="30"/>
      <c r="H1095" s="30"/>
    </row>
    <row r="1096" spans="1:9">
      <c r="B1096" s="30" t="s">
        <v>1</v>
      </c>
      <c r="C1096" s="73" t="s">
        <v>1359</v>
      </c>
      <c r="E1096" s="30" t="s">
        <v>1364</v>
      </c>
      <c r="H1096" s="30" t="s">
        <v>6</v>
      </c>
    </row>
    <row r="1097" spans="1:9">
      <c r="B1097" s="30" t="s">
        <v>2</v>
      </c>
      <c r="C1097" s="73" t="s">
        <v>1360</v>
      </c>
      <c r="E1097" s="30" t="s">
        <v>898</v>
      </c>
      <c r="F1097" s="73" t="s">
        <v>1366</v>
      </c>
      <c r="H1097" s="30" t="s">
        <v>1368</v>
      </c>
    </row>
    <row r="1098" spans="1:9">
      <c r="B1098" s="30" t="s">
        <v>3</v>
      </c>
      <c r="C1098" s="73" t="s">
        <v>1361</v>
      </c>
      <c r="E1098" s="30" t="s">
        <v>897</v>
      </c>
      <c r="F1098" s="73" t="s">
        <v>1365</v>
      </c>
      <c r="H1098" s="30" t="s">
        <v>5</v>
      </c>
      <c r="I1098" s="73" t="s">
        <v>1369</v>
      </c>
    </row>
    <row r="1099" spans="1:9">
      <c r="B1099" s="30" t="s">
        <v>1358</v>
      </c>
      <c r="C1099" s="73" t="s">
        <v>1362</v>
      </c>
      <c r="E1099" s="30" t="s">
        <v>466</v>
      </c>
      <c r="F1099" s="73" t="s">
        <v>1367</v>
      </c>
      <c r="H1099" s="30" t="s">
        <v>466</v>
      </c>
      <c r="I1099" s="73" t="s">
        <v>1370</v>
      </c>
    </row>
    <row r="1100" spans="1:9">
      <c r="B1100" s="30" t="s">
        <v>589</v>
      </c>
      <c r="C1100" s="73" t="s">
        <v>1363</v>
      </c>
      <c r="E1100" s="30"/>
      <c r="H1100" s="30"/>
    </row>
    <row r="1102" spans="1:9">
      <c r="A1102" s="30"/>
      <c r="B1102" s="30" t="s">
        <v>1371</v>
      </c>
      <c r="C1102" s="30"/>
      <c r="D1102" s="30" t="s">
        <v>1372</v>
      </c>
      <c r="E1102" s="30"/>
    </row>
    <row r="1104" spans="1:9">
      <c r="A1104" s="30"/>
      <c r="B1104" s="30" t="s">
        <v>247</v>
      </c>
      <c r="C1104" s="30"/>
      <c r="D1104" s="30"/>
      <c r="E1104" s="30"/>
      <c r="F1104" s="30"/>
      <c r="G1104" s="30"/>
      <c r="H1104" s="30"/>
      <c r="I1104" s="30"/>
    </row>
    <row r="1105" spans="1:12">
      <c r="A1105" s="30"/>
      <c r="B1105" s="30" t="s">
        <v>9</v>
      </c>
      <c r="C1105" s="30"/>
      <c r="D1105" s="30"/>
      <c r="E1105" s="30"/>
      <c r="F1105" s="30"/>
      <c r="G1105" s="30"/>
      <c r="H1105" s="30"/>
      <c r="I1105" s="30" t="s">
        <v>6</v>
      </c>
    </row>
    <row r="1106" spans="1:12">
      <c r="B1106" s="73" t="s">
        <v>49</v>
      </c>
      <c r="I1106" s="73" t="s">
        <v>49</v>
      </c>
    </row>
    <row r="1107" spans="1:12">
      <c r="B1107" s="73" t="s">
        <v>1373</v>
      </c>
      <c r="I1107" s="73" t="s">
        <v>1379</v>
      </c>
    </row>
    <row r="1108" spans="1:12">
      <c r="B1108" s="73" t="s">
        <v>1374</v>
      </c>
      <c r="I1108" s="73" t="s">
        <v>1380</v>
      </c>
    </row>
    <row r="1109" spans="1:12">
      <c r="B1109" s="73" t="s">
        <v>1375</v>
      </c>
      <c r="I1109" s="73" t="s">
        <v>329</v>
      </c>
      <c r="L1109" s="73" t="s">
        <v>1381</v>
      </c>
    </row>
    <row r="1110" spans="1:12">
      <c r="B1110" s="73" t="s">
        <v>1376</v>
      </c>
      <c r="F1110" s="73" t="s">
        <v>1377</v>
      </c>
      <c r="I1110" s="73" t="s">
        <v>1382</v>
      </c>
    </row>
    <row r="1111" spans="1:12">
      <c r="B1111" s="73" t="s">
        <v>1378</v>
      </c>
      <c r="I1111" s="73" t="s">
        <v>1383</v>
      </c>
      <c r="K1111" s="73" t="s">
        <v>1381</v>
      </c>
    </row>
    <row r="1113" spans="1:12">
      <c r="A1113" s="31"/>
      <c r="B1113" s="31" t="s">
        <v>1384</v>
      </c>
      <c r="C1113" s="31"/>
      <c r="D1113" s="31"/>
      <c r="E1113" s="31"/>
      <c r="F1113" s="31"/>
    </row>
    <row r="1114" spans="1:12">
      <c r="B1114" s="74" t="s">
        <v>661</v>
      </c>
      <c r="E1114" s="30"/>
      <c r="H1114" s="30"/>
    </row>
    <row r="1115" spans="1:12">
      <c r="B1115" s="30" t="s">
        <v>1</v>
      </c>
      <c r="C1115" t="s">
        <v>1385</v>
      </c>
      <c r="E1115" s="30" t="s">
        <v>9</v>
      </c>
      <c r="H1115" s="30" t="s">
        <v>6</v>
      </c>
    </row>
    <row r="1116" spans="1:12">
      <c r="B1116" s="30" t="s">
        <v>2</v>
      </c>
      <c r="C1116" t="s">
        <v>1386</v>
      </c>
      <c r="E1116" s="30" t="s">
        <v>898</v>
      </c>
      <c r="F1116" t="s">
        <v>1390</v>
      </c>
      <c r="H1116" s="30" t="s">
        <v>5</v>
      </c>
      <c r="I1116" t="s">
        <v>1393</v>
      </c>
    </row>
    <row r="1117" spans="1:12">
      <c r="B1117" s="30" t="s">
        <v>3</v>
      </c>
      <c r="C1117" t="s">
        <v>1387</v>
      </c>
      <c r="E1117" s="30" t="s">
        <v>897</v>
      </c>
      <c r="F1117" t="s">
        <v>1391</v>
      </c>
      <c r="H1117" s="30" t="s">
        <v>1394</v>
      </c>
    </row>
    <row r="1118" spans="1:12">
      <c r="B1118" s="30" t="s">
        <v>588</v>
      </c>
      <c r="C1118" t="s">
        <v>1388</v>
      </c>
      <c r="E1118" s="30" t="s">
        <v>466</v>
      </c>
      <c r="F1118" t="s">
        <v>1392</v>
      </c>
      <c r="H1118" s="30" t="s">
        <v>466</v>
      </c>
      <c r="I1118" t="s">
        <v>1395</v>
      </c>
    </row>
    <row r="1119" spans="1:12">
      <c r="B1119" s="30" t="s">
        <v>589</v>
      </c>
      <c r="C1119" t="s">
        <v>1389</v>
      </c>
      <c r="E1119" s="30"/>
      <c r="H1119" s="30"/>
    </row>
    <row r="1120" spans="1:12">
      <c r="B1120" s="30"/>
      <c r="H1120" s="30"/>
    </row>
    <row r="1121" spans="1:10">
      <c r="A1121" s="30"/>
      <c r="B1121" s="30" t="s">
        <v>1024</v>
      </c>
      <c r="C1121" s="30"/>
      <c r="D1121" s="30" t="s">
        <v>1396</v>
      </c>
    </row>
    <row r="1122" spans="1:10">
      <c r="A1122" s="30"/>
      <c r="B1122" s="30" t="s">
        <v>247</v>
      </c>
      <c r="C1122" s="30"/>
    </row>
    <row r="1123" spans="1:10">
      <c r="B1123" s="74" t="s">
        <v>49</v>
      </c>
    </row>
    <row r="1124" spans="1:10">
      <c r="A1124" s="30"/>
      <c r="B1124" s="30" t="s">
        <v>9</v>
      </c>
      <c r="C1124" s="30"/>
      <c r="D1124" s="30"/>
      <c r="E1124" s="30"/>
      <c r="F1124" s="30"/>
      <c r="G1124" s="30"/>
      <c r="H1124" s="30"/>
      <c r="I1124" s="30" t="s">
        <v>6</v>
      </c>
      <c r="J1124" s="30"/>
    </row>
    <row r="1125" spans="1:10">
      <c r="B1125" s="74" t="s">
        <v>1192</v>
      </c>
      <c r="I1125" t="s">
        <v>921</v>
      </c>
    </row>
    <row r="1126" spans="1:10">
      <c r="B1126" t="s">
        <v>1397</v>
      </c>
      <c r="I1126" t="s">
        <v>1402</v>
      </c>
    </row>
    <row r="1127" spans="1:10">
      <c r="B1127" s="74" t="s">
        <v>1398</v>
      </c>
      <c r="I1127" t="s">
        <v>1403</v>
      </c>
    </row>
    <row r="1128" spans="1:10">
      <c r="B1128" t="s">
        <v>1399</v>
      </c>
      <c r="I1128" t="s">
        <v>1404</v>
      </c>
    </row>
    <row r="1129" spans="1:10">
      <c r="B1129" s="74" t="s">
        <v>1400</v>
      </c>
      <c r="I1129" t="s">
        <v>1152</v>
      </c>
    </row>
    <row r="1130" spans="1:10">
      <c r="B1130" t="s">
        <v>1401</v>
      </c>
      <c r="I1130" t="s">
        <v>1405</v>
      </c>
    </row>
    <row r="1132" spans="1:10">
      <c r="A1132" s="30"/>
      <c r="B1132" s="30" t="s">
        <v>1406</v>
      </c>
      <c r="C1132" s="30"/>
      <c r="D1132" s="30"/>
      <c r="E1132" s="30"/>
    </row>
    <row r="1133" spans="1:10">
      <c r="B1133" t="s">
        <v>661</v>
      </c>
      <c r="H1133" s="30"/>
    </row>
    <row r="1134" spans="1:10">
      <c r="B1134" s="30" t="s">
        <v>1</v>
      </c>
      <c r="C1134" t="s">
        <v>1407</v>
      </c>
      <c r="E1134" s="30" t="s">
        <v>9</v>
      </c>
      <c r="H1134" s="30" t="s">
        <v>6</v>
      </c>
    </row>
    <row r="1135" spans="1:10">
      <c r="B1135" s="30" t="s">
        <v>2</v>
      </c>
      <c r="C1135" t="s">
        <v>1408</v>
      </c>
      <c r="E1135" s="30" t="s">
        <v>898</v>
      </c>
      <c r="F1135" t="s">
        <v>1412</v>
      </c>
      <c r="H1135" s="30" t="s">
        <v>5</v>
      </c>
      <c r="I1135" t="s">
        <v>1415</v>
      </c>
    </row>
    <row r="1136" spans="1:10">
      <c r="B1136" s="30" t="s">
        <v>3</v>
      </c>
      <c r="C1136" t="s">
        <v>1409</v>
      </c>
      <c r="E1136" s="30" t="s">
        <v>897</v>
      </c>
      <c r="F1136" t="s">
        <v>1411</v>
      </c>
      <c r="H1136" s="30" t="s">
        <v>1414</v>
      </c>
    </row>
    <row r="1137" spans="1:9">
      <c r="B1137" s="30" t="s">
        <v>588</v>
      </c>
      <c r="C1137" t="s">
        <v>1109</v>
      </c>
      <c r="E1137" s="30" t="s">
        <v>466</v>
      </c>
      <c r="F1137" t="s">
        <v>1413</v>
      </c>
      <c r="H1137" s="30" t="s">
        <v>466</v>
      </c>
      <c r="I1137" t="s">
        <v>1416</v>
      </c>
    </row>
    <row r="1138" spans="1:9">
      <c r="B1138" s="30" t="s">
        <v>589</v>
      </c>
      <c r="C1138" t="s">
        <v>1410</v>
      </c>
      <c r="E1138" s="30"/>
      <c r="H1138" s="30"/>
    </row>
    <row r="1139" spans="1:9">
      <c r="B1139" s="30"/>
    </row>
    <row r="1140" spans="1:9">
      <c r="A1140" s="30"/>
      <c r="B1140" s="30" t="s">
        <v>1417</v>
      </c>
      <c r="C1140" s="30"/>
      <c r="D1140" s="30"/>
      <c r="E1140" s="30"/>
    </row>
    <row r="1141" spans="1:9">
      <c r="A1141" s="30"/>
      <c r="B1141" s="30" t="s">
        <v>9</v>
      </c>
      <c r="C1141" s="30"/>
      <c r="D1141" s="30"/>
      <c r="E1141" s="30"/>
      <c r="F1141" s="30"/>
      <c r="G1141" s="30"/>
      <c r="H1141" s="30" t="s">
        <v>6</v>
      </c>
    </row>
    <row r="1142" spans="1:9">
      <c r="B1142" t="s">
        <v>1418</v>
      </c>
      <c r="C1142" t="s">
        <v>1419</v>
      </c>
      <c r="H1142" t="s">
        <v>49</v>
      </c>
    </row>
    <row r="1143" spans="1:9">
      <c r="B1143" t="s">
        <v>1420</v>
      </c>
      <c r="H1143" t="s">
        <v>1425</v>
      </c>
    </row>
    <row r="1144" spans="1:9">
      <c r="B1144" t="s">
        <v>1421</v>
      </c>
      <c r="H1144" t="s">
        <v>1426</v>
      </c>
    </row>
    <row r="1145" spans="1:9">
      <c r="B1145" t="s">
        <v>329</v>
      </c>
      <c r="H1145" t="s">
        <v>1427</v>
      </c>
    </row>
    <row r="1146" spans="1:9">
      <c r="B1146" t="s">
        <v>1422</v>
      </c>
      <c r="H1146" t="s">
        <v>1428</v>
      </c>
    </row>
    <row r="1147" spans="1:9">
      <c r="B1147" t="s">
        <v>1423</v>
      </c>
      <c r="H1147" t="s">
        <v>1429</v>
      </c>
    </row>
    <row r="1148" spans="1:9">
      <c r="B1148" t="s">
        <v>1424</v>
      </c>
      <c r="H1148" t="s">
        <v>1430</v>
      </c>
    </row>
    <row r="1150" spans="1:9">
      <c r="A1150" s="31"/>
      <c r="B1150" s="31" t="s">
        <v>1431</v>
      </c>
      <c r="C1150" s="31"/>
      <c r="D1150" s="31"/>
      <c r="E1150" s="31"/>
      <c r="F1150" s="30"/>
    </row>
    <row r="1151" spans="1:9">
      <c r="A1151" s="30"/>
      <c r="B1151" s="30" t="s">
        <v>661</v>
      </c>
      <c r="C1151" s="30"/>
      <c r="H1151" s="30"/>
    </row>
    <row r="1152" spans="1:9">
      <c r="B1152" s="30" t="s">
        <v>1</v>
      </c>
      <c r="C1152">
        <v>6459</v>
      </c>
      <c r="E1152" s="30" t="s">
        <v>9</v>
      </c>
      <c r="H1152" s="30" t="s">
        <v>6</v>
      </c>
    </row>
    <row r="1153" spans="1:10">
      <c r="B1153" s="30" t="s">
        <v>2</v>
      </c>
      <c r="C1153">
        <v>3169</v>
      </c>
      <c r="E1153" s="30" t="s">
        <v>898</v>
      </c>
      <c r="F1153">
        <v>985</v>
      </c>
      <c r="H1153" s="30" t="s">
        <v>1433</v>
      </c>
      <c r="I1153">
        <v>1859</v>
      </c>
    </row>
    <row r="1154" spans="1:10">
      <c r="B1154" s="30" t="s">
        <v>3</v>
      </c>
      <c r="C1154">
        <v>350</v>
      </c>
      <c r="E1154" s="30" t="s">
        <v>897</v>
      </c>
      <c r="F1154">
        <v>1486</v>
      </c>
      <c r="H1154" s="30" t="s">
        <v>5</v>
      </c>
      <c r="I1154">
        <v>2451</v>
      </c>
    </row>
    <row r="1155" spans="1:10">
      <c r="B1155" s="30" t="s">
        <v>1432</v>
      </c>
      <c r="C1155">
        <v>2704</v>
      </c>
      <c r="E1155" s="30" t="s">
        <v>466</v>
      </c>
      <c r="F1155">
        <v>2471</v>
      </c>
      <c r="H1155" s="30" t="s">
        <v>466</v>
      </c>
      <c r="I1155">
        <v>4310</v>
      </c>
    </row>
    <row r="1156" spans="1:10">
      <c r="B1156" s="30" t="s">
        <v>589</v>
      </c>
      <c r="C1156">
        <v>230</v>
      </c>
      <c r="E1156" s="30"/>
      <c r="H1156" s="30"/>
    </row>
    <row r="1157" spans="1:10">
      <c r="A1157" s="30"/>
      <c r="B1157" s="30" t="s">
        <v>1443</v>
      </c>
      <c r="C1157" s="30"/>
      <c r="D1157" s="30" t="s">
        <v>1444</v>
      </c>
      <c r="E1157" s="30"/>
    </row>
    <row r="1158" spans="1:10">
      <c r="A1158" s="30"/>
      <c r="B1158" s="30" t="s">
        <v>94</v>
      </c>
      <c r="C1158" s="30"/>
      <c r="D1158" s="30"/>
      <c r="E1158" s="30" t="s">
        <v>363</v>
      </c>
      <c r="F1158" s="30"/>
      <c r="G1158" s="30"/>
      <c r="H1158" s="30"/>
      <c r="I1158" s="30" t="s">
        <v>1440</v>
      </c>
      <c r="J1158" s="30"/>
    </row>
    <row r="1159" spans="1:10">
      <c r="B1159" t="s">
        <v>1434</v>
      </c>
      <c r="F1159" t="s">
        <v>809</v>
      </c>
      <c r="I1159" t="s">
        <v>1441</v>
      </c>
    </row>
    <row r="1160" spans="1:10">
      <c r="B1160" t="s">
        <v>407</v>
      </c>
      <c r="F1160" t="s">
        <v>1192</v>
      </c>
      <c r="I1160" t="s">
        <v>1442</v>
      </c>
    </row>
    <row r="1161" spans="1:10">
      <c r="B1161" t="s">
        <v>1435</v>
      </c>
      <c r="I1161" t="s">
        <v>255</v>
      </c>
    </row>
    <row r="1162" spans="1:10">
      <c r="B1162" t="s">
        <v>1436</v>
      </c>
    </row>
    <row r="1163" spans="1:10">
      <c r="B1163" t="s">
        <v>1437</v>
      </c>
    </row>
    <row r="1164" spans="1:10">
      <c r="B1164" t="s">
        <v>1438</v>
      </c>
    </row>
    <row r="1165" spans="1:10">
      <c r="B1165" t="s">
        <v>1439</v>
      </c>
    </row>
    <row r="1167" spans="1:10">
      <c r="A1167" s="31"/>
      <c r="B1167" s="31" t="s">
        <v>1445</v>
      </c>
      <c r="C1167" s="31"/>
      <c r="D1167" s="31"/>
      <c r="E1167" s="31"/>
      <c r="F1167" s="31"/>
    </row>
    <row r="1168" spans="1:10">
      <c r="A1168" s="30"/>
      <c r="B1168" s="30" t="s">
        <v>1446</v>
      </c>
      <c r="C1168" s="30"/>
      <c r="D1168" s="30"/>
      <c r="E1168" s="30"/>
      <c r="F1168" s="30"/>
      <c r="H1168" s="30"/>
    </row>
    <row r="1169" spans="1:9">
      <c r="B1169" s="30" t="s">
        <v>1</v>
      </c>
      <c r="C1169">
        <v>6543</v>
      </c>
      <c r="E1169" s="30" t="s">
        <v>9</v>
      </c>
      <c r="H1169" s="30" t="s">
        <v>6</v>
      </c>
    </row>
    <row r="1170" spans="1:9">
      <c r="B1170" s="30" t="s">
        <v>2</v>
      </c>
      <c r="C1170">
        <v>2867</v>
      </c>
      <c r="E1170" s="30" t="s">
        <v>898</v>
      </c>
      <c r="F1170">
        <v>1365</v>
      </c>
      <c r="H1170" s="30" t="s">
        <v>1433</v>
      </c>
      <c r="I1170">
        <v>1615</v>
      </c>
    </row>
    <row r="1171" spans="1:9">
      <c r="B1171" s="30" t="s">
        <v>3</v>
      </c>
      <c r="C1171">
        <v>332</v>
      </c>
      <c r="E1171" s="30" t="s">
        <v>897</v>
      </c>
      <c r="F1171">
        <v>615</v>
      </c>
      <c r="H1171" s="30" t="s">
        <v>5</v>
      </c>
      <c r="I1171">
        <v>2019</v>
      </c>
    </row>
    <row r="1172" spans="1:9">
      <c r="B1172" s="30" t="s">
        <v>1447</v>
      </c>
      <c r="C1172">
        <v>2015</v>
      </c>
      <c r="E1172" s="30" t="s">
        <v>466</v>
      </c>
      <c r="F1172">
        <v>1980</v>
      </c>
      <c r="H1172" s="30" t="s">
        <v>466</v>
      </c>
      <c r="I1172">
        <v>3634</v>
      </c>
    </row>
    <row r="1173" spans="1:9">
      <c r="B1173" s="30" t="s">
        <v>1448</v>
      </c>
      <c r="C1173">
        <v>170</v>
      </c>
      <c r="E1173" s="30"/>
      <c r="H1173" s="30"/>
    </row>
    <row r="1174" spans="1:9">
      <c r="B1174" s="30"/>
    </row>
    <row r="1175" spans="1:9">
      <c r="A1175" s="18"/>
      <c r="B1175" s="18" t="s">
        <v>1449</v>
      </c>
      <c r="C1175" s="18"/>
      <c r="D1175" s="18"/>
    </row>
    <row r="1177" spans="1:9">
      <c r="B1177" s="31" t="s">
        <v>1450</v>
      </c>
      <c r="C1177" s="18"/>
      <c r="D1177" s="18"/>
      <c r="E1177" s="18"/>
      <c r="F1177" s="18"/>
    </row>
    <row r="1178" spans="1:9">
      <c r="B1178" s="30" t="s">
        <v>661</v>
      </c>
    </row>
    <row r="1179" spans="1:9">
      <c r="B1179" s="30" t="s">
        <v>1</v>
      </c>
      <c r="C1179">
        <v>6073</v>
      </c>
      <c r="E1179" s="30" t="s">
        <v>9</v>
      </c>
      <c r="H1179" s="30" t="s">
        <v>6</v>
      </c>
    </row>
    <row r="1180" spans="1:9">
      <c r="B1180" s="30" t="s">
        <v>2</v>
      </c>
      <c r="C1180">
        <v>3056</v>
      </c>
      <c r="E1180" s="30" t="s">
        <v>898</v>
      </c>
      <c r="F1180">
        <v>700</v>
      </c>
      <c r="H1180" s="30" t="s">
        <v>1451</v>
      </c>
      <c r="I1180">
        <v>1714</v>
      </c>
    </row>
    <row r="1181" spans="1:9">
      <c r="B1181" s="30" t="s">
        <v>3</v>
      </c>
      <c r="C1181">
        <v>355</v>
      </c>
      <c r="E1181" s="30" t="s">
        <v>897</v>
      </c>
      <c r="F1181">
        <v>1445</v>
      </c>
      <c r="H1181" s="30" t="s">
        <v>5</v>
      </c>
      <c r="I1181">
        <v>2302</v>
      </c>
    </row>
    <row r="1182" spans="1:9">
      <c r="B1182" s="30" t="s">
        <v>1282</v>
      </c>
      <c r="C1182">
        <v>2046</v>
      </c>
      <c r="E1182" s="30" t="s">
        <v>466</v>
      </c>
      <c r="F1182">
        <v>2145</v>
      </c>
      <c r="H1182" s="30" t="s">
        <v>466</v>
      </c>
      <c r="I1182">
        <v>3426</v>
      </c>
    </row>
    <row r="1183" spans="1:9">
      <c r="B1183" s="30" t="s">
        <v>589</v>
      </c>
      <c r="C1183">
        <v>228</v>
      </c>
      <c r="E1183" s="30"/>
      <c r="H1183" s="30"/>
    </row>
    <row r="1184" spans="1:9">
      <c r="B1184" s="30" t="s">
        <v>11</v>
      </c>
      <c r="C1184">
        <v>2278</v>
      </c>
    </row>
    <row r="1186" spans="1:12">
      <c r="A1186" s="18"/>
      <c r="B1186" s="18" t="s">
        <v>1024</v>
      </c>
      <c r="C1186" s="18"/>
      <c r="D1186" s="18">
        <v>19914</v>
      </c>
      <c r="E1186" s="18"/>
    </row>
    <row r="1188" spans="1:12">
      <c r="A1188" s="30"/>
      <c r="B1188" s="30" t="s">
        <v>1452</v>
      </c>
      <c r="C1188" s="30"/>
      <c r="D1188" s="30"/>
      <c r="E1188" s="30"/>
      <c r="F1188" s="30"/>
      <c r="G1188" s="30"/>
      <c r="H1188" s="30"/>
      <c r="I1188" s="30"/>
      <c r="J1188" s="30"/>
    </row>
    <row r="1189" spans="1:12">
      <c r="A1189" s="30"/>
      <c r="B1189" s="30" t="s">
        <v>314</v>
      </c>
      <c r="C1189" s="30"/>
      <c r="D1189" s="30"/>
      <c r="E1189" s="30"/>
      <c r="F1189" s="30"/>
      <c r="G1189" s="30"/>
      <c r="H1189" s="30"/>
      <c r="I1189" s="30" t="s">
        <v>304</v>
      </c>
      <c r="J1189" s="30"/>
    </row>
    <row r="1190" spans="1:12">
      <c r="B1190" s="80" t="s">
        <v>1453</v>
      </c>
      <c r="I1190" s="80" t="s">
        <v>1459</v>
      </c>
    </row>
    <row r="1191" spans="1:12">
      <c r="C1191" s="80" t="s">
        <v>1454</v>
      </c>
      <c r="I1191" s="80" t="s">
        <v>1460</v>
      </c>
      <c r="L1191" s="80" t="s">
        <v>1461</v>
      </c>
    </row>
    <row r="1192" spans="1:12">
      <c r="C1192" s="80" t="s">
        <v>1455</v>
      </c>
      <c r="I1192" s="80" t="s">
        <v>1462</v>
      </c>
    </row>
    <row r="1193" spans="1:12">
      <c r="C1193" s="80" t="s">
        <v>1456</v>
      </c>
      <c r="I1193" s="80" t="s">
        <v>1403</v>
      </c>
    </row>
    <row r="1194" spans="1:12">
      <c r="C1194" s="80" t="s">
        <v>390</v>
      </c>
      <c r="I1194" s="80" t="s">
        <v>1152</v>
      </c>
    </row>
    <row r="1195" spans="1:12">
      <c r="B1195" s="80" t="s">
        <v>1457</v>
      </c>
      <c r="I1195" s="80" t="s">
        <v>1463</v>
      </c>
    </row>
    <row r="1196" spans="1:12">
      <c r="B1196" s="80" t="s">
        <v>1458</v>
      </c>
    </row>
    <row r="1198" spans="1:12">
      <c r="A1198" s="30"/>
      <c r="B1198" s="30" t="s">
        <v>1464</v>
      </c>
      <c r="C1198" s="30"/>
      <c r="D1198" s="30"/>
      <c r="E1198" s="30"/>
    </row>
    <row r="1199" spans="1:12">
      <c r="A1199" s="30"/>
      <c r="B1199" s="30" t="s">
        <v>661</v>
      </c>
      <c r="C1199" s="30"/>
    </row>
    <row r="1200" spans="1:12">
      <c r="B1200" t="s">
        <v>1</v>
      </c>
      <c r="C1200">
        <v>7304</v>
      </c>
      <c r="E1200" t="s">
        <v>9</v>
      </c>
      <c r="H1200" t="s">
        <v>6</v>
      </c>
    </row>
    <row r="1201" spans="1:9">
      <c r="B1201" t="s">
        <v>2</v>
      </c>
      <c r="C1201">
        <v>2683</v>
      </c>
      <c r="E1201" t="s">
        <v>898</v>
      </c>
      <c r="F1201">
        <v>1397</v>
      </c>
      <c r="H1201" t="s">
        <v>1433</v>
      </c>
      <c r="I1201">
        <v>1296</v>
      </c>
    </row>
    <row r="1202" spans="1:9">
      <c r="B1202" t="s">
        <v>3</v>
      </c>
      <c r="C1202">
        <v>365</v>
      </c>
      <c r="E1202" t="s">
        <v>897</v>
      </c>
      <c r="F1202">
        <v>490</v>
      </c>
      <c r="H1202" t="s">
        <v>5</v>
      </c>
      <c r="I1202">
        <v>2350</v>
      </c>
    </row>
    <row r="1203" spans="1:9">
      <c r="B1203" t="s">
        <v>588</v>
      </c>
      <c r="C1203">
        <v>2564</v>
      </c>
      <c r="E1203" t="s">
        <v>466</v>
      </c>
      <c r="F1203">
        <v>1887</v>
      </c>
      <c r="H1203" t="s">
        <v>466</v>
      </c>
      <c r="I1203">
        <v>3646</v>
      </c>
    </row>
    <row r="1204" spans="1:9">
      <c r="B1204" t="s">
        <v>589</v>
      </c>
      <c r="C1204">
        <v>132</v>
      </c>
    </row>
    <row r="1205" spans="1:9">
      <c r="B1205" t="s">
        <v>11</v>
      </c>
      <c r="C1205">
        <v>1118</v>
      </c>
    </row>
    <row r="1207" spans="1:9">
      <c r="B1207" t="s">
        <v>12</v>
      </c>
      <c r="D1207">
        <v>19759</v>
      </c>
    </row>
    <row r="1209" spans="1:9">
      <c r="A1209" s="30"/>
      <c r="B1209" s="30" t="s">
        <v>1465</v>
      </c>
      <c r="C1209" s="30"/>
      <c r="D1209" s="30"/>
      <c r="E1209" s="30"/>
    </row>
    <row r="1210" spans="1:9">
      <c r="A1210" s="30"/>
      <c r="B1210" s="30" t="s">
        <v>1466</v>
      </c>
      <c r="C1210" s="30"/>
      <c r="D1210" s="30"/>
      <c r="E1210" s="30"/>
    </row>
    <row r="1211" spans="1:9">
      <c r="B1211" s="30" t="s">
        <v>1</v>
      </c>
      <c r="C1211">
        <v>4974</v>
      </c>
      <c r="E1211" s="30" t="s">
        <v>9</v>
      </c>
      <c r="H1211" s="30" t="s">
        <v>1467</v>
      </c>
    </row>
    <row r="1212" spans="1:9">
      <c r="B1212" s="30" t="s">
        <v>2</v>
      </c>
      <c r="C1212">
        <v>2150</v>
      </c>
      <c r="E1212" s="30" t="s">
        <v>898</v>
      </c>
      <c r="F1212">
        <v>548</v>
      </c>
      <c r="H1212" s="30" t="s">
        <v>1433</v>
      </c>
      <c r="I1212">
        <v>1094</v>
      </c>
    </row>
    <row r="1213" spans="1:9">
      <c r="B1213" s="30" t="s">
        <v>3</v>
      </c>
      <c r="C1213">
        <v>181</v>
      </c>
      <c r="E1213" s="30" t="s">
        <v>897</v>
      </c>
      <c r="F1213">
        <v>1374</v>
      </c>
      <c r="H1213" s="30" t="s">
        <v>5</v>
      </c>
      <c r="I1213">
        <v>2047</v>
      </c>
    </row>
    <row r="1214" spans="1:9">
      <c r="B1214" s="30" t="s">
        <v>588</v>
      </c>
      <c r="C1214">
        <v>2438</v>
      </c>
      <c r="E1214" s="30" t="s">
        <v>466</v>
      </c>
      <c r="F1214">
        <v>1923</v>
      </c>
      <c r="H1214" s="30" t="s">
        <v>466</v>
      </c>
      <c r="I1214">
        <v>3141</v>
      </c>
    </row>
    <row r="1215" spans="1:9">
      <c r="B1215" s="30" t="s">
        <v>589</v>
      </c>
      <c r="C1215">
        <v>584</v>
      </c>
      <c r="E1215" s="30"/>
      <c r="H1215" s="30"/>
    </row>
    <row r="1216" spans="1:9">
      <c r="B1216" s="30" t="s">
        <v>11</v>
      </c>
      <c r="C1216">
        <v>772</v>
      </c>
    </row>
    <row r="1218" spans="1:9">
      <c r="B1218" t="s">
        <v>1024</v>
      </c>
      <c r="D1218">
        <v>16163</v>
      </c>
    </row>
    <row r="1220" spans="1:9">
      <c r="A1220" s="30"/>
      <c r="B1220" s="30" t="s">
        <v>1469</v>
      </c>
      <c r="C1220" s="30"/>
      <c r="D1220" s="30"/>
      <c r="E1220" s="30"/>
      <c r="F1220" s="30"/>
      <c r="H1220" s="30"/>
    </row>
    <row r="1221" spans="1:9">
      <c r="A1221" s="30"/>
      <c r="B1221" s="30" t="s">
        <v>661</v>
      </c>
      <c r="C1221" s="30"/>
      <c r="D1221" s="30"/>
      <c r="E1221" s="30"/>
      <c r="F1221" s="30"/>
      <c r="H1221" s="30"/>
    </row>
    <row r="1222" spans="1:9">
      <c r="B1222" s="30" t="s">
        <v>1</v>
      </c>
      <c r="C1222">
        <v>5817</v>
      </c>
      <c r="H1222" s="30" t="s">
        <v>6</v>
      </c>
      <c r="I1222">
        <v>3924</v>
      </c>
    </row>
    <row r="1223" spans="1:9">
      <c r="B1223" s="30" t="s">
        <v>2</v>
      </c>
      <c r="C1223">
        <v>1557</v>
      </c>
      <c r="D1223" t="s">
        <v>1470</v>
      </c>
      <c r="H1223" s="30" t="s">
        <v>9</v>
      </c>
      <c r="I1223">
        <v>2033</v>
      </c>
    </row>
    <row r="1224" spans="1:9">
      <c r="B1224" s="30" t="s">
        <v>3</v>
      </c>
      <c r="C1224">
        <v>265</v>
      </c>
      <c r="H1224" s="30"/>
    </row>
    <row r="1225" spans="1:9">
      <c r="B1225" s="30" t="s">
        <v>588</v>
      </c>
      <c r="C1225">
        <v>773</v>
      </c>
    </row>
    <row r="1226" spans="1:9">
      <c r="B1226" s="30" t="s">
        <v>589</v>
      </c>
      <c r="C1226">
        <v>156</v>
      </c>
    </row>
    <row r="1227" spans="1:9">
      <c r="B1227" s="30"/>
    </row>
    <row r="1228" spans="1:9">
      <c r="B1228" t="s">
        <v>1024</v>
      </c>
      <c r="D1228">
        <v>14590</v>
      </c>
    </row>
    <row r="1230" spans="1:9">
      <c r="A1230" s="21"/>
      <c r="B1230" s="21" t="s">
        <v>1471</v>
      </c>
      <c r="C1230" s="21"/>
      <c r="D1230" s="21"/>
      <c r="E1230" s="21"/>
      <c r="F1230" s="21"/>
    </row>
    <row r="1231" spans="1:9">
      <c r="A1231" s="21"/>
      <c r="B1231" s="21" t="s">
        <v>661</v>
      </c>
      <c r="C1231" s="21"/>
      <c r="D1231" s="21"/>
      <c r="E1231" s="21"/>
      <c r="F1231" s="21"/>
    </row>
    <row r="1232" spans="1:9">
      <c r="B1232" s="22" t="s">
        <v>1</v>
      </c>
      <c r="C1232">
        <v>6569</v>
      </c>
      <c r="F1232" s="22" t="s">
        <v>6</v>
      </c>
      <c r="I1232" s="22" t="s">
        <v>9</v>
      </c>
    </row>
    <row r="1233" spans="1:10">
      <c r="B1233" s="22" t="s">
        <v>2</v>
      </c>
      <c r="C1233">
        <v>2209</v>
      </c>
      <c r="F1233" s="22" t="s">
        <v>1433</v>
      </c>
      <c r="G1233">
        <v>1793</v>
      </c>
      <c r="I1233" s="22" t="s">
        <v>898</v>
      </c>
      <c r="J1233">
        <v>932</v>
      </c>
    </row>
    <row r="1234" spans="1:10">
      <c r="B1234" s="22" t="s">
        <v>3</v>
      </c>
      <c r="C1234">
        <v>390</v>
      </c>
      <c r="F1234" s="22" t="s">
        <v>5</v>
      </c>
      <c r="G1234">
        <v>2327</v>
      </c>
      <c r="I1234" s="22" t="s">
        <v>897</v>
      </c>
      <c r="J1234">
        <v>1468</v>
      </c>
    </row>
    <row r="1235" spans="1:10">
      <c r="B1235" s="22" t="s">
        <v>588</v>
      </c>
      <c r="C1235">
        <v>882</v>
      </c>
      <c r="F1235" s="22"/>
      <c r="G1235">
        <v>4120</v>
      </c>
      <c r="I1235" s="22"/>
      <c r="J1235">
        <v>2400</v>
      </c>
    </row>
    <row r="1236" spans="1:10">
      <c r="B1236" s="22" t="s">
        <v>589</v>
      </c>
      <c r="C1236">
        <v>222</v>
      </c>
    </row>
    <row r="1238" spans="1:10">
      <c r="B1238" s="81" t="s">
        <v>1024</v>
      </c>
      <c r="D1238">
        <v>16792</v>
      </c>
    </row>
    <row r="1240" spans="1:10">
      <c r="A1240" s="22"/>
      <c r="B1240" s="21" t="s">
        <v>1472</v>
      </c>
      <c r="C1240" s="21"/>
      <c r="D1240" s="21"/>
      <c r="E1240" s="21"/>
      <c r="F1240" s="21"/>
    </row>
    <row r="1241" spans="1:10">
      <c r="A1241" s="22"/>
      <c r="B1241" s="21" t="s">
        <v>661</v>
      </c>
      <c r="C1241" s="21"/>
      <c r="D1241" s="21"/>
      <c r="E1241" s="21"/>
      <c r="F1241" s="21"/>
    </row>
    <row r="1242" spans="1:10">
      <c r="B1242" s="22" t="s">
        <v>1</v>
      </c>
      <c r="C1242">
        <v>6087</v>
      </c>
      <c r="E1242" s="82" t="s">
        <v>6</v>
      </c>
      <c r="F1242">
        <v>3619</v>
      </c>
    </row>
    <row r="1243" spans="1:10">
      <c r="B1243" s="22" t="s">
        <v>2</v>
      </c>
      <c r="C1243">
        <v>3329</v>
      </c>
      <c r="E1243" s="82" t="s">
        <v>9</v>
      </c>
      <c r="F1243">
        <v>1894</v>
      </c>
    </row>
    <row r="1244" spans="1:10">
      <c r="B1244" s="22" t="s">
        <v>3</v>
      </c>
      <c r="C1244">
        <v>326</v>
      </c>
      <c r="E1244" s="82" t="s">
        <v>11</v>
      </c>
      <c r="F1244">
        <v>0</v>
      </c>
    </row>
    <row r="1245" spans="1:10">
      <c r="B1245" s="22" t="s">
        <v>588</v>
      </c>
      <c r="C1245">
        <v>1202</v>
      </c>
    </row>
    <row r="1246" spans="1:10">
      <c r="B1246" s="22" t="s">
        <v>589</v>
      </c>
      <c r="C1246">
        <v>201</v>
      </c>
    </row>
    <row r="1248" spans="1:10">
      <c r="A1248" s="18"/>
      <c r="B1248" s="18" t="s">
        <v>1473</v>
      </c>
      <c r="C1248" s="18"/>
      <c r="D1248" s="18">
        <v>16956</v>
      </c>
      <c r="E1248" s="18"/>
    </row>
    <row r="1249" spans="1:11">
      <c r="A1249" s="21"/>
      <c r="B1249" s="21" t="s">
        <v>247</v>
      </c>
      <c r="C1249" s="21"/>
      <c r="D1249" s="18"/>
      <c r="E1249" s="18"/>
    </row>
    <row r="1250" spans="1:11">
      <c r="A1250" s="22"/>
      <c r="B1250" s="22" t="s">
        <v>314</v>
      </c>
      <c r="C1250" s="22"/>
      <c r="H1250" s="22"/>
      <c r="I1250" s="22" t="s">
        <v>1483</v>
      </c>
      <c r="J1250" s="22"/>
    </row>
    <row r="1251" spans="1:11">
      <c r="A1251" s="22"/>
      <c r="B1251" s="22" t="s">
        <v>49</v>
      </c>
      <c r="C1251" s="22"/>
      <c r="D1251" s="22"/>
      <c r="E1251" s="22" t="s">
        <v>1227</v>
      </c>
      <c r="F1251" s="22"/>
      <c r="G1251" s="22"/>
      <c r="H1251" s="22"/>
      <c r="I1251" s="22" t="s">
        <v>1484</v>
      </c>
      <c r="J1251" s="22"/>
    </row>
    <row r="1252" spans="1:11">
      <c r="B1252" s="82" t="s">
        <v>1474</v>
      </c>
      <c r="C1252" s="82" t="s">
        <v>1229</v>
      </c>
      <c r="E1252" s="82" t="s">
        <v>1477</v>
      </c>
      <c r="I1252" s="82" t="s">
        <v>1485</v>
      </c>
    </row>
    <row r="1253" spans="1:11">
      <c r="B1253" s="82" t="s">
        <v>1475</v>
      </c>
      <c r="C1253" s="82" t="s">
        <v>1229</v>
      </c>
      <c r="E1253" s="82" t="s">
        <v>994</v>
      </c>
      <c r="I1253" s="82" t="s">
        <v>1486</v>
      </c>
    </row>
    <row r="1254" spans="1:11">
      <c r="B1254" s="82" t="s">
        <v>1476</v>
      </c>
      <c r="C1254" s="82" t="s">
        <v>390</v>
      </c>
      <c r="E1254" s="82" t="s">
        <v>1478</v>
      </c>
      <c r="I1254" s="82" t="s">
        <v>1488</v>
      </c>
    </row>
    <row r="1255" spans="1:11">
      <c r="B1255" s="82" t="s">
        <v>1476</v>
      </c>
      <c r="C1255" s="82" t="s">
        <v>405</v>
      </c>
      <c r="H1255" s="22"/>
      <c r="I1255" s="22" t="s">
        <v>1227</v>
      </c>
      <c r="J1255" s="22"/>
      <c r="K1255" s="22"/>
    </row>
    <row r="1256" spans="1:11">
      <c r="B1256" s="82" t="s">
        <v>1479</v>
      </c>
      <c r="H1256" s="15"/>
      <c r="I1256" s="15" t="s">
        <v>1489</v>
      </c>
      <c r="J1256" s="15" t="s">
        <v>102</v>
      </c>
      <c r="K1256" s="22"/>
    </row>
    <row r="1257" spans="1:11">
      <c r="B1257" s="82" t="s">
        <v>1480</v>
      </c>
      <c r="E1257" s="82" t="s">
        <v>405</v>
      </c>
      <c r="I1257" s="82" t="s">
        <v>9</v>
      </c>
      <c r="J1257" s="82" t="s">
        <v>1490</v>
      </c>
    </row>
    <row r="1258" spans="1:11">
      <c r="B1258" s="82" t="s">
        <v>1481</v>
      </c>
      <c r="I1258" s="82" t="s">
        <v>1491</v>
      </c>
    </row>
    <row r="1259" spans="1:11">
      <c r="B1259" s="82" t="s">
        <v>1482</v>
      </c>
      <c r="I1259" s="82" t="s">
        <v>1492</v>
      </c>
    </row>
    <row r="1260" spans="1:11">
      <c r="B1260" s="82" t="s">
        <v>1487</v>
      </c>
    </row>
    <row r="1262" spans="1:11">
      <c r="A1262" s="31"/>
      <c r="B1262" s="31" t="s">
        <v>1493</v>
      </c>
      <c r="C1262" s="31"/>
      <c r="D1262" s="31"/>
      <c r="E1262" s="31"/>
      <c r="F1262" s="31"/>
    </row>
    <row r="1263" spans="1:11">
      <c r="A1263" s="30">
        <v>1</v>
      </c>
      <c r="B1263" s="30" t="s">
        <v>661</v>
      </c>
      <c r="C1263" s="30"/>
      <c r="E1263" s="30"/>
    </row>
    <row r="1264" spans="1:11">
      <c r="B1264" s="30" t="s">
        <v>1</v>
      </c>
      <c r="C1264">
        <v>6423</v>
      </c>
      <c r="E1264" s="30" t="s">
        <v>9</v>
      </c>
      <c r="F1264">
        <v>1657</v>
      </c>
    </row>
    <row r="1265" spans="1:13">
      <c r="B1265" s="30" t="s">
        <v>2</v>
      </c>
      <c r="C1265">
        <v>2637</v>
      </c>
      <c r="E1265" s="30" t="s">
        <v>6</v>
      </c>
      <c r="F1265">
        <v>3359</v>
      </c>
    </row>
    <row r="1266" spans="1:13">
      <c r="B1266" s="30" t="s">
        <v>3</v>
      </c>
      <c r="C1266">
        <v>272</v>
      </c>
      <c r="E1266" s="30"/>
    </row>
    <row r="1267" spans="1:13">
      <c r="B1267" s="30" t="s">
        <v>588</v>
      </c>
      <c r="C1267">
        <v>639</v>
      </c>
    </row>
    <row r="1268" spans="1:13">
      <c r="B1268" s="30" t="s">
        <v>589</v>
      </c>
      <c r="C1268">
        <v>134</v>
      </c>
    </row>
    <row r="1269" spans="1:13">
      <c r="B1269" s="30"/>
    </row>
    <row r="1270" spans="1:13">
      <c r="B1270" s="30" t="s">
        <v>1024</v>
      </c>
      <c r="D1270">
        <v>15121</v>
      </c>
    </row>
    <row r="1271" spans="1:13">
      <c r="A1271" s="30">
        <v>2</v>
      </c>
      <c r="B1271" s="30" t="s">
        <v>247</v>
      </c>
      <c r="C1271" s="30"/>
      <c r="D1271" s="30"/>
      <c r="E1271" s="30"/>
      <c r="F1271" s="30"/>
      <c r="G1271" s="30"/>
      <c r="H1271" s="30"/>
      <c r="I1271" s="30"/>
      <c r="J1271" s="30"/>
    </row>
    <row r="1272" spans="1:13">
      <c r="A1272" s="30"/>
      <c r="B1272" s="30" t="s">
        <v>314</v>
      </c>
      <c r="C1272" s="30"/>
      <c r="D1272" s="30"/>
      <c r="E1272" s="30"/>
      <c r="F1272" s="30"/>
      <c r="G1272" s="30"/>
      <c r="H1272" s="30"/>
      <c r="I1272" s="30" t="s">
        <v>304</v>
      </c>
      <c r="J1272" s="30"/>
    </row>
    <row r="1273" spans="1:13">
      <c r="A1273" s="30"/>
      <c r="B1273" s="30" t="s">
        <v>49</v>
      </c>
      <c r="C1273" s="30"/>
      <c r="D1273" s="30"/>
      <c r="E1273" s="30"/>
      <c r="F1273" s="30"/>
      <c r="G1273" s="30"/>
      <c r="H1273" s="30"/>
      <c r="I1273" s="30" t="s">
        <v>49</v>
      </c>
      <c r="J1273" s="30"/>
      <c r="M1273" s="83" t="s">
        <v>1497</v>
      </c>
    </row>
    <row r="1274" spans="1:13">
      <c r="B1274" s="83" t="s">
        <v>1502</v>
      </c>
      <c r="I1274" s="83" t="s">
        <v>1494</v>
      </c>
      <c r="M1274" s="83" t="s">
        <v>560</v>
      </c>
    </row>
    <row r="1275" spans="1:13">
      <c r="B1275" s="83" t="s">
        <v>1503</v>
      </c>
      <c r="I1275" s="83" t="s">
        <v>1495</v>
      </c>
      <c r="M1275" s="83" t="s">
        <v>560</v>
      </c>
    </row>
    <row r="1276" spans="1:13">
      <c r="B1276" s="83" t="s">
        <v>1504</v>
      </c>
      <c r="I1276" s="83" t="s">
        <v>1496</v>
      </c>
      <c r="M1276" s="83" t="s">
        <v>560</v>
      </c>
    </row>
    <row r="1277" spans="1:13">
      <c r="B1277" s="83" t="s">
        <v>1505</v>
      </c>
      <c r="I1277" s="83" t="s">
        <v>921</v>
      </c>
      <c r="M1277" s="83" t="s">
        <v>1119</v>
      </c>
    </row>
    <row r="1278" spans="1:13">
      <c r="B1278" s="83" t="s">
        <v>918</v>
      </c>
      <c r="I1278" s="83" t="s">
        <v>1498</v>
      </c>
      <c r="M1278" s="83" t="s">
        <v>1119</v>
      </c>
    </row>
    <row r="1279" spans="1:13">
      <c r="A1279" s="30"/>
      <c r="B1279" s="30" t="s">
        <v>1437</v>
      </c>
      <c r="C1279" s="30"/>
      <c r="I1279" s="83" t="s">
        <v>1499</v>
      </c>
      <c r="M1279" s="83" t="s">
        <v>1119</v>
      </c>
    </row>
    <row r="1280" spans="1:13">
      <c r="B1280" s="83" t="s">
        <v>1506</v>
      </c>
      <c r="I1280" s="83" t="s">
        <v>1500</v>
      </c>
      <c r="M1280" s="83" t="s">
        <v>1119</v>
      </c>
    </row>
    <row r="1281" spans="1:12">
      <c r="B1281" s="83" t="s">
        <v>1507</v>
      </c>
      <c r="C1281">
        <v>6</v>
      </c>
      <c r="I1281" s="83" t="s">
        <v>1501</v>
      </c>
    </row>
    <row r="1282" spans="1:12">
      <c r="B1282" s="83" t="s">
        <v>1229</v>
      </c>
      <c r="C1282">
        <v>1</v>
      </c>
      <c r="K1282" s="83" t="s">
        <v>1119</v>
      </c>
      <c r="L1282" s="83" t="s">
        <v>271</v>
      </c>
    </row>
    <row r="1283" spans="1:12">
      <c r="B1283" s="83" t="s">
        <v>1</v>
      </c>
      <c r="C1283">
        <v>2</v>
      </c>
    </row>
    <row r="1284" spans="1:12">
      <c r="B1284" s="83" t="s">
        <v>1508</v>
      </c>
      <c r="C1284" s="83" t="s">
        <v>1509</v>
      </c>
    </row>
    <row r="1285" spans="1:12">
      <c r="B1285" s="83" t="s">
        <v>1510</v>
      </c>
    </row>
    <row r="1286" spans="1:12">
      <c r="B1286" s="83" t="s">
        <v>971</v>
      </c>
      <c r="D1286" s="83" t="s">
        <v>311</v>
      </c>
    </row>
    <row r="1288" spans="1:12">
      <c r="A1288" s="31"/>
      <c r="B1288" s="31" t="s">
        <v>1511</v>
      </c>
      <c r="C1288" s="31"/>
      <c r="D1288" s="31"/>
      <c r="E1288" s="31"/>
      <c r="F1288" s="31"/>
    </row>
    <row r="1289" spans="1:12">
      <c r="A1289" s="31"/>
      <c r="B1289" s="31" t="s">
        <v>661</v>
      </c>
      <c r="C1289" s="31"/>
      <c r="D1289" s="31"/>
      <c r="E1289" s="31"/>
      <c r="F1289" s="31"/>
    </row>
    <row r="1290" spans="1:12">
      <c r="B1290" s="30" t="s">
        <v>1</v>
      </c>
      <c r="C1290">
        <v>4729</v>
      </c>
      <c r="E1290" s="30" t="s">
        <v>6</v>
      </c>
      <c r="F1290">
        <v>3581</v>
      </c>
    </row>
    <row r="1291" spans="1:12">
      <c r="B1291" s="30" t="s">
        <v>2</v>
      </c>
      <c r="C1291">
        <v>1599</v>
      </c>
      <c r="E1291" s="30" t="s">
        <v>9</v>
      </c>
      <c r="F1291">
        <v>2442</v>
      </c>
    </row>
    <row r="1292" spans="1:12">
      <c r="B1292" s="30" t="s">
        <v>3</v>
      </c>
      <c r="C1292">
        <v>180</v>
      </c>
      <c r="E1292" s="30"/>
    </row>
    <row r="1293" spans="1:12">
      <c r="B1293" s="30" t="s">
        <v>588</v>
      </c>
      <c r="C1293">
        <v>811</v>
      </c>
    </row>
    <row r="1294" spans="1:12">
      <c r="B1294" s="30" t="s">
        <v>589</v>
      </c>
      <c r="C1294">
        <v>133</v>
      </c>
    </row>
    <row r="1295" spans="1:12">
      <c r="B1295" s="84" t="s">
        <v>1024</v>
      </c>
      <c r="D1295">
        <v>13475</v>
      </c>
    </row>
    <row r="1297" spans="1:10">
      <c r="B1297" s="30" t="s">
        <v>247</v>
      </c>
    </row>
    <row r="1298" spans="1:10">
      <c r="B1298" s="30" t="s">
        <v>314</v>
      </c>
      <c r="F1298" s="30"/>
      <c r="G1298" s="30" t="s">
        <v>371</v>
      </c>
      <c r="H1298" s="30"/>
    </row>
    <row r="1299" spans="1:10">
      <c r="A1299">
        <v>1</v>
      </c>
      <c r="B1299" s="30" t="s">
        <v>49</v>
      </c>
      <c r="F1299" s="30">
        <v>1</v>
      </c>
      <c r="G1299" s="30" t="s">
        <v>49</v>
      </c>
      <c r="H1299" s="30"/>
    </row>
    <row r="1300" spans="1:10">
      <c r="B1300" s="85" t="s">
        <v>1512</v>
      </c>
      <c r="G1300" s="85" t="s">
        <v>1522</v>
      </c>
    </row>
    <row r="1301" spans="1:10">
      <c r="B1301" s="85" t="s">
        <v>1513</v>
      </c>
      <c r="G1301" s="85" t="s">
        <v>1523</v>
      </c>
    </row>
    <row r="1302" spans="1:10">
      <c r="B1302" s="85" t="s">
        <v>1514</v>
      </c>
      <c r="G1302" s="85" t="s">
        <v>1524</v>
      </c>
    </row>
    <row r="1303" spans="1:10">
      <c r="B1303" s="85" t="s">
        <v>1515</v>
      </c>
      <c r="G1303" s="85" t="s">
        <v>1525</v>
      </c>
    </row>
    <row r="1304" spans="1:10">
      <c r="B1304" s="85" t="s">
        <v>1516</v>
      </c>
    </row>
    <row r="1305" spans="1:10">
      <c r="A1305" s="30">
        <v>2</v>
      </c>
      <c r="B1305" s="30" t="s">
        <v>1227</v>
      </c>
      <c r="C1305" s="30"/>
      <c r="F1305" s="30">
        <v>2</v>
      </c>
      <c r="G1305" s="30" t="s">
        <v>1227</v>
      </c>
      <c r="H1305" s="30"/>
    </row>
    <row r="1306" spans="1:10">
      <c r="B1306" s="85" t="s">
        <v>2</v>
      </c>
      <c r="C1306" s="85" t="s">
        <v>201</v>
      </c>
      <c r="G1306" s="85" t="s">
        <v>6</v>
      </c>
      <c r="H1306">
        <v>2</v>
      </c>
    </row>
    <row r="1307" spans="1:10">
      <c r="B1307" s="85" t="s">
        <v>1</v>
      </c>
      <c r="C1307" s="85" t="s">
        <v>201</v>
      </c>
      <c r="G1307" s="85" t="s">
        <v>9</v>
      </c>
      <c r="H1307">
        <v>0</v>
      </c>
    </row>
    <row r="1308" spans="1:10">
      <c r="B1308" s="85" t="s">
        <v>3</v>
      </c>
      <c r="C1308" s="85" t="s">
        <v>1517</v>
      </c>
      <c r="F1308" s="30">
        <v>3</v>
      </c>
      <c r="G1308" s="30" t="s">
        <v>1518</v>
      </c>
      <c r="H1308" s="30"/>
      <c r="I1308" s="30"/>
    </row>
    <row r="1309" spans="1:10">
      <c r="A1309" s="30">
        <v>3</v>
      </c>
      <c r="B1309" s="30" t="s">
        <v>1518</v>
      </c>
      <c r="C1309" s="30"/>
      <c r="G1309" s="85" t="s">
        <v>1119</v>
      </c>
      <c r="H1309">
        <v>2</v>
      </c>
    </row>
    <row r="1310" spans="1:10">
      <c r="B1310" s="85" t="s">
        <v>1519</v>
      </c>
      <c r="C1310">
        <v>2</v>
      </c>
      <c r="G1310" s="85" t="s">
        <v>560</v>
      </c>
      <c r="H1310">
        <v>1</v>
      </c>
    </row>
    <row r="1311" spans="1:10">
      <c r="B1311" s="85" t="s">
        <v>2</v>
      </c>
      <c r="C1311">
        <v>1</v>
      </c>
    </row>
    <row r="1312" spans="1:10">
      <c r="A1312" s="30">
        <v>4</v>
      </c>
      <c r="B1312" s="30" t="s">
        <v>1520</v>
      </c>
      <c r="C1312" s="30"/>
      <c r="F1312" s="30">
        <v>4</v>
      </c>
      <c r="G1312" s="30" t="s">
        <v>1526</v>
      </c>
      <c r="H1312" s="30"/>
      <c r="I1312" s="30"/>
      <c r="J1312" s="30"/>
    </row>
    <row r="1313" spans="1:8">
      <c r="B1313" s="85" t="s">
        <v>2</v>
      </c>
      <c r="C1313">
        <v>4</v>
      </c>
      <c r="G1313" s="85" t="s">
        <v>1527</v>
      </c>
      <c r="H1313">
        <v>6</v>
      </c>
    </row>
    <row r="1314" spans="1:8">
      <c r="B1314" s="85" t="s">
        <v>1</v>
      </c>
      <c r="C1314">
        <v>3</v>
      </c>
      <c r="G1314" s="85" t="s">
        <v>560</v>
      </c>
      <c r="H1314">
        <v>4</v>
      </c>
    </row>
    <row r="1315" spans="1:8">
      <c r="B1315" s="85" t="s">
        <v>3</v>
      </c>
      <c r="C1315">
        <v>2</v>
      </c>
    </row>
    <row r="1316" spans="1:8">
      <c r="A1316">
        <v>5</v>
      </c>
      <c r="B1316" s="85" t="s">
        <v>1521</v>
      </c>
    </row>
    <row r="1318" spans="1:8">
      <c r="A1318" s="31"/>
      <c r="B1318" s="31" t="s">
        <v>239</v>
      </c>
      <c r="C1318" s="31"/>
      <c r="D1318" s="31" t="s">
        <v>1530</v>
      </c>
      <c r="E1318" s="31"/>
      <c r="F1318" s="31"/>
      <c r="G1318" s="31"/>
    </row>
    <row r="1319" spans="1:8">
      <c r="A1319" s="30">
        <v>1</v>
      </c>
      <c r="B1319" s="30" t="s">
        <v>661</v>
      </c>
      <c r="C1319" s="30"/>
      <c r="D1319" s="30"/>
      <c r="E1319" s="30"/>
      <c r="F1319" s="30"/>
      <c r="G1319" s="30"/>
    </row>
    <row r="1320" spans="1:8">
      <c r="B1320" s="86" t="s">
        <v>1</v>
      </c>
      <c r="C1320">
        <v>7643</v>
      </c>
      <c r="E1320" s="87" t="s">
        <v>6</v>
      </c>
      <c r="F1320">
        <v>3478</v>
      </c>
    </row>
    <row r="1321" spans="1:8">
      <c r="B1321" s="86" t="s">
        <v>2</v>
      </c>
      <c r="C1321">
        <v>2118</v>
      </c>
      <c r="E1321" t="s">
        <v>9</v>
      </c>
      <c r="F1321">
        <v>2183</v>
      </c>
    </row>
    <row r="1322" spans="1:8">
      <c r="B1322" s="86" t="s">
        <v>3</v>
      </c>
      <c r="C1322">
        <v>322</v>
      </c>
      <c r="E1322" t="s">
        <v>11</v>
      </c>
      <c r="F1322">
        <v>2834</v>
      </c>
    </row>
    <row r="1323" spans="1:8">
      <c r="B1323" s="87" t="s">
        <v>6</v>
      </c>
      <c r="C1323">
        <v>3478</v>
      </c>
    </row>
    <row r="1324" spans="1:8">
      <c r="B1324" s="87" t="s">
        <v>588</v>
      </c>
      <c r="C1324">
        <v>593</v>
      </c>
    </row>
    <row r="1325" spans="1:8">
      <c r="B1325" s="87" t="s">
        <v>589</v>
      </c>
      <c r="C1325">
        <v>133</v>
      </c>
    </row>
    <row r="1326" spans="1:8">
      <c r="A1326" s="18"/>
      <c r="B1326" s="18" t="s">
        <v>1024</v>
      </c>
      <c r="C1326" s="18"/>
      <c r="D1326" s="18">
        <v>19304</v>
      </c>
    </row>
    <row r="1327" spans="1:8">
      <c r="A1327" s="30">
        <v>2</v>
      </c>
      <c r="B1327" s="30" t="s">
        <v>1531</v>
      </c>
      <c r="C1327" s="30"/>
      <c r="D1327" s="30"/>
      <c r="E1327" s="30"/>
      <c r="F1327" s="30"/>
      <c r="G1327" s="30"/>
      <c r="H1327" s="30"/>
    </row>
    <row r="1328" spans="1:8">
      <c r="A1328" s="30"/>
      <c r="B1328" s="30" t="s">
        <v>314</v>
      </c>
      <c r="C1328" s="30"/>
      <c r="D1328" s="30"/>
      <c r="E1328" s="30"/>
      <c r="F1328" s="30"/>
      <c r="G1328" s="30" t="s">
        <v>304</v>
      </c>
      <c r="H1328" s="30"/>
    </row>
    <row r="1329" spans="1:9">
      <c r="B1329" s="87" t="s">
        <v>1532</v>
      </c>
      <c r="C1329" t="s">
        <v>1533</v>
      </c>
      <c r="G1329" t="s">
        <v>1540</v>
      </c>
      <c r="I1329" t="s">
        <v>1541</v>
      </c>
    </row>
    <row r="1330" spans="1:9">
      <c r="B1330" s="87" t="s">
        <v>1534</v>
      </c>
      <c r="C1330" t="s">
        <v>1533</v>
      </c>
      <c r="G1330" t="s">
        <v>971</v>
      </c>
    </row>
    <row r="1331" spans="1:9">
      <c r="B1331" s="87" t="s">
        <v>1538</v>
      </c>
      <c r="G1331" t="s">
        <v>560</v>
      </c>
      <c r="H1331">
        <v>2</v>
      </c>
    </row>
    <row r="1332" spans="1:9">
      <c r="B1332" s="87" t="s">
        <v>1539</v>
      </c>
      <c r="G1332" t="s">
        <v>1527</v>
      </c>
      <c r="H1332">
        <v>1</v>
      </c>
    </row>
    <row r="1333" spans="1:9">
      <c r="B1333" s="87" t="s">
        <v>1535</v>
      </c>
      <c r="G1333" t="s">
        <v>1542</v>
      </c>
    </row>
    <row r="1334" spans="1:9">
      <c r="B1334" t="s">
        <v>918</v>
      </c>
      <c r="G1334" t="s">
        <v>1543</v>
      </c>
    </row>
    <row r="1335" spans="1:9">
      <c r="B1335" s="87"/>
      <c r="G1335" t="s">
        <v>560</v>
      </c>
      <c r="H1335">
        <v>4</v>
      </c>
    </row>
    <row r="1336" spans="1:9">
      <c r="A1336" s="30"/>
      <c r="B1336" s="30" t="s">
        <v>247</v>
      </c>
      <c r="C1336" s="30"/>
      <c r="G1336" t="s">
        <v>1119</v>
      </c>
      <c r="H1336">
        <v>6</v>
      </c>
    </row>
    <row r="1337" spans="1:9">
      <c r="B1337" s="87" t="s">
        <v>1536</v>
      </c>
    </row>
    <row r="1338" spans="1:9">
      <c r="B1338" s="87" t="s">
        <v>1537</v>
      </c>
    </row>
    <row r="1339" spans="1:9">
      <c r="B1339" s="87" t="s">
        <v>1544</v>
      </c>
    </row>
    <row r="1341" spans="1:9">
      <c r="A1341" s="30"/>
      <c r="B1341" s="30" t="s">
        <v>1545</v>
      </c>
      <c r="C1341" s="30"/>
      <c r="D1341" s="30"/>
      <c r="E1341" s="30"/>
      <c r="F1341" s="30"/>
    </row>
    <row r="1342" spans="1:9">
      <c r="B1342" s="88" t="s">
        <v>661</v>
      </c>
    </row>
    <row r="1343" spans="1:9">
      <c r="B1343" s="88" t="s">
        <v>1</v>
      </c>
      <c r="C1343">
        <v>6634</v>
      </c>
      <c r="E1343" t="s">
        <v>6</v>
      </c>
      <c r="F1343">
        <v>3787</v>
      </c>
    </row>
    <row r="1344" spans="1:9">
      <c r="B1344" s="88" t="s">
        <v>2</v>
      </c>
      <c r="C1344">
        <v>2681</v>
      </c>
      <c r="E1344" t="s">
        <v>9</v>
      </c>
      <c r="F1344">
        <v>2037</v>
      </c>
    </row>
    <row r="1345" spans="1:7">
      <c r="B1345" s="88" t="s">
        <v>3</v>
      </c>
      <c r="C1345">
        <v>327</v>
      </c>
      <c r="E1345" t="s">
        <v>11</v>
      </c>
      <c r="F1345">
        <v>1464</v>
      </c>
    </row>
    <row r="1346" spans="1:7">
      <c r="B1346" s="88" t="s">
        <v>588</v>
      </c>
      <c r="C1346">
        <v>656</v>
      </c>
    </row>
    <row r="1347" spans="1:7">
      <c r="B1347" s="88" t="s">
        <v>589</v>
      </c>
      <c r="C1347">
        <v>151</v>
      </c>
    </row>
    <row r="1349" spans="1:7">
      <c r="B1349" s="88" t="s">
        <v>1024</v>
      </c>
      <c r="D1349">
        <v>17737</v>
      </c>
    </row>
    <row r="1351" spans="1:7">
      <c r="A1351" s="30"/>
      <c r="B1351" s="30" t="s">
        <v>49</v>
      </c>
      <c r="C1351" s="30"/>
    </row>
    <row r="1352" spans="1:7">
      <c r="B1352" t="s">
        <v>1546</v>
      </c>
      <c r="C1352" t="s">
        <v>1547</v>
      </c>
    </row>
    <row r="1353" spans="1:7">
      <c r="B1353" s="88" t="s">
        <v>1548</v>
      </c>
    </row>
    <row r="1354" spans="1:7">
      <c r="A1354" s="30"/>
      <c r="B1354" s="30" t="s">
        <v>247</v>
      </c>
      <c r="C1354" s="30"/>
      <c r="D1354" s="30"/>
      <c r="E1354" s="30"/>
      <c r="F1354" s="30"/>
      <c r="G1354" s="30"/>
    </row>
    <row r="1355" spans="1:7">
      <c r="A1355" s="30"/>
      <c r="B1355" s="30" t="s">
        <v>303</v>
      </c>
      <c r="C1355" s="30"/>
      <c r="D1355" s="30"/>
      <c r="E1355" s="30"/>
      <c r="F1355" s="30" t="s">
        <v>1554</v>
      </c>
      <c r="G1355" s="30"/>
    </row>
    <row r="1356" spans="1:7">
      <c r="B1356" t="s">
        <v>1549</v>
      </c>
      <c r="F1356" t="s">
        <v>1555</v>
      </c>
    </row>
    <row r="1357" spans="1:7">
      <c r="B1357" s="88" t="s">
        <v>322</v>
      </c>
      <c r="F1357" t="s">
        <v>1556</v>
      </c>
    </row>
    <row r="1358" spans="1:7">
      <c r="D1358" t="s">
        <v>1550</v>
      </c>
      <c r="F1358" t="s">
        <v>1557</v>
      </c>
    </row>
    <row r="1359" spans="1:7">
      <c r="B1359" s="88" t="s">
        <v>1551</v>
      </c>
      <c r="F1359" t="s">
        <v>1558</v>
      </c>
    </row>
    <row r="1360" spans="1:7">
      <c r="B1360" t="s">
        <v>1552</v>
      </c>
    </row>
    <row r="1361" spans="2:6">
      <c r="B1361" s="88" t="s">
        <v>1553</v>
      </c>
    </row>
    <row r="1362" spans="2:6">
      <c r="B1362" s="88" t="s">
        <v>1559</v>
      </c>
    </row>
    <row r="1363" spans="2:6">
      <c r="B1363" s="88"/>
    </row>
    <row r="1365" spans="2:6">
      <c r="B1365" s="30" t="s">
        <v>1561</v>
      </c>
      <c r="C1365" s="30"/>
      <c r="D1365" s="30"/>
      <c r="E1365" s="30"/>
    </row>
    <row r="1366" spans="2:6">
      <c r="B1366" s="30"/>
      <c r="C1366" s="30"/>
      <c r="D1366" s="30"/>
      <c r="E1366" s="30"/>
      <c r="F1366" s="30"/>
    </row>
    <row r="1367" spans="2:6">
      <c r="B1367" s="88" t="s">
        <v>661</v>
      </c>
    </row>
    <row r="1368" spans="2:6">
      <c r="B1368" s="88" t="s">
        <v>1</v>
      </c>
      <c r="C1368">
        <v>8694</v>
      </c>
      <c r="E1368" t="s">
        <v>6</v>
      </c>
      <c r="F1368">
        <v>3787</v>
      </c>
    </row>
    <row r="1369" spans="2:6">
      <c r="B1369" s="88" t="s">
        <v>2</v>
      </c>
      <c r="C1369">
        <v>2681</v>
      </c>
      <c r="E1369" t="s">
        <v>9</v>
      </c>
      <c r="F1369">
        <v>2037</v>
      </c>
    </row>
    <row r="1370" spans="2:6">
      <c r="B1370" s="88" t="s">
        <v>3</v>
      </c>
      <c r="C1370">
        <v>327</v>
      </c>
      <c r="E1370" t="s">
        <v>11</v>
      </c>
      <c r="F1370">
        <v>1464</v>
      </c>
    </row>
    <row r="1371" spans="2:6">
      <c r="B1371" s="88" t="s">
        <v>588</v>
      </c>
      <c r="C1371">
        <v>656</v>
      </c>
    </row>
    <row r="1372" spans="2:6">
      <c r="B1372" s="88" t="s">
        <v>589</v>
      </c>
      <c r="C1372">
        <v>151</v>
      </c>
    </row>
    <row r="1374" spans="2:6">
      <c r="B1374" s="88" t="s">
        <v>1024</v>
      </c>
      <c r="D1374">
        <v>21552</v>
      </c>
    </row>
    <row r="1375" spans="2:6">
      <c r="B1375" s="88"/>
    </row>
    <row r="1376" spans="2:6">
      <c r="B1376" s="30" t="s">
        <v>49</v>
      </c>
      <c r="C1376" s="30"/>
      <c r="D1376" s="30" t="s">
        <v>1576</v>
      </c>
      <c r="E1376" s="30" t="s">
        <v>1577</v>
      </c>
    </row>
    <row r="1377" spans="2:6">
      <c r="B1377" s="88" t="s">
        <v>1</v>
      </c>
      <c r="D1377">
        <v>2</v>
      </c>
      <c r="E1377" s="89" t="s">
        <v>1578</v>
      </c>
    </row>
    <row r="1378" spans="2:6">
      <c r="B1378" s="88" t="s">
        <v>2</v>
      </c>
      <c r="D1378">
        <v>3</v>
      </c>
      <c r="E1378" s="89" t="s">
        <v>1578</v>
      </c>
    </row>
    <row r="1379" spans="2:6">
      <c r="B1379" s="88" t="s">
        <v>3</v>
      </c>
      <c r="D1379">
        <v>2</v>
      </c>
      <c r="E1379" s="89" t="s">
        <v>1578</v>
      </c>
    </row>
    <row r="1380" spans="2:6">
      <c r="B1380" t="s">
        <v>6</v>
      </c>
      <c r="D1380">
        <v>2</v>
      </c>
      <c r="E1380" s="89" t="s">
        <v>1578</v>
      </c>
    </row>
    <row r="1381" spans="2:6">
      <c r="B1381" t="s">
        <v>9</v>
      </c>
      <c r="D1381">
        <v>0</v>
      </c>
    </row>
    <row r="1383" spans="2:6">
      <c r="B1383" s="30" t="s">
        <v>247</v>
      </c>
    </row>
    <row r="1384" spans="2:6">
      <c r="B1384" s="30" t="s">
        <v>303</v>
      </c>
      <c r="E1384" s="30" t="s">
        <v>1554</v>
      </c>
      <c r="F1384" s="30"/>
    </row>
    <row r="1385" spans="2:6">
      <c r="B1385" t="s">
        <v>1567</v>
      </c>
      <c r="E1385" t="s">
        <v>1570</v>
      </c>
    </row>
    <row r="1386" spans="2:6">
      <c r="B1386" t="s">
        <v>1568</v>
      </c>
      <c r="E1386" t="s">
        <v>1571</v>
      </c>
    </row>
    <row r="1387" spans="2:6">
      <c r="B1387" t="s">
        <v>1563</v>
      </c>
      <c r="E1387" t="s">
        <v>1572</v>
      </c>
    </row>
    <row r="1388" spans="2:6">
      <c r="B1388" s="88" t="s">
        <v>1551</v>
      </c>
      <c r="E1388" t="s">
        <v>1573</v>
      </c>
    </row>
    <row r="1389" spans="2:6">
      <c r="B1389" t="s">
        <v>1564</v>
      </c>
      <c r="E1389" t="s">
        <v>1574</v>
      </c>
    </row>
    <row r="1390" spans="2:6">
      <c r="B1390" t="s">
        <v>1569</v>
      </c>
      <c r="E1390" t="s">
        <v>1575</v>
      </c>
    </row>
    <row r="1391" spans="2:6">
      <c r="B1391" t="s">
        <v>1565</v>
      </c>
    </row>
    <row r="1392" spans="2:6">
      <c r="B1392" t="s">
        <v>1566</v>
      </c>
    </row>
    <row r="1394" spans="2:6">
      <c r="B1394" s="30" t="s">
        <v>1579</v>
      </c>
      <c r="C1394" s="30"/>
      <c r="D1394" s="30"/>
      <c r="E1394" s="30"/>
    </row>
    <row r="1395" spans="2:6">
      <c r="B1395" s="30"/>
      <c r="C1395" s="30"/>
      <c r="D1395" s="30"/>
      <c r="E1395" s="30"/>
      <c r="F1395" s="30"/>
    </row>
    <row r="1396" spans="2:6">
      <c r="B1396" s="88" t="s">
        <v>661</v>
      </c>
    </row>
    <row r="1397" spans="2:6">
      <c r="B1397" s="88" t="s">
        <v>1</v>
      </c>
      <c r="C1397">
        <v>5839</v>
      </c>
      <c r="E1397" t="s">
        <v>6</v>
      </c>
      <c r="F1397">
        <v>2987</v>
      </c>
    </row>
    <row r="1398" spans="2:6">
      <c r="B1398" s="88" t="s">
        <v>2</v>
      </c>
      <c r="C1398">
        <v>2543</v>
      </c>
      <c r="E1398" t="s">
        <v>9</v>
      </c>
      <c r="F1398">
        <v>1724</v>
      </c>
    </row>
    <row r="1399" spans="2:6">
      <c r="B1399" s="88" t="s">
        <v>3</v>
      </c>
      <c r="C1399">
        <v>316</v>
      </c>
      <c r="E1399" t="s">
        <v>11</v>
      </c>
      <c r="F1399">
        <v>1960</v>
      </c>
    </row>
    <row r="1400" spans="2:6">
      <c r="B1400" s="88" t="s">
        <v>588</v>
      </c>
      <c r="C1400">
        <v>916</v>
      </c>
    </row>
    <row r="1401" spans="2:6">
      <c r="B1401" s="88" t="s">
        <v>589</v>
      </c>
      <c r="C1401">
        <v>106</v>
      </c>
    </row>
    <row r="1403" spans="2:6">
      <c r="B1403" s="88" t="s">
        <v>1024</v>
      </c>
      <c r="D1403">
        <v>16391</v>
      </c>
    </row>
    <row r="1404" spans="2:6">
      <c r="B1404" s="88"/>
    </row>
    <row r="1405" spans="2:6">
      <c r="B1405" s="30" t="s">
        <v>49</v>
      </c>
      <c r="C1405" s="30"/>
      <c r="D1405" s="30" t="s">
        <v>1576</v>
      </c>
      <c r="E1405" s="30" t="s">
        <v>1577</v>
      </c>
    </row>
    <row r="1406" spans="2:6">
      <c r="B1406" s="88" t="s">
        <v>1</v>
      </c>
      <c r="D1406">
        <v>2</v>
      </c>
      <c r="E1406" s="89" t="s">
        <v>1578</v>
      </c>
    </row>
    <row r="1407" spans="2:6">
      <c r="B1407" s="88" t="s">
        <v>2</v>
      </c>
      <c r="D1407">
        <v>1</v>
      </c>
      <c r="E1407" s="89" t="s">
        <v>1578</v>
      </c>
    </row>
    <row r="1408" spans="2:6">
      <c r="B1408" s="88" t="s">
        <v>3</v>
      </c>
      <c r="D1408">
        <v>3</v>
      </c>
      <c r="E1408" s="89" t="s">
        <v>1578</v>
      </c>
    </row>
    <row r="1409" spans="2:6">
      <c r="B1409" t="s">
        <v>6</v>
      </c>
      <c r="D1409">
        <v>1</v>
      </c>
      <c r="E1409" s="89" t="s">
        <v>1578</v>
      </c>
    </row>
    <row r="1410" spans="2:6">
      <c r="B1410" t="s">
        <v>9</v>
      </c>
      <c r="D1410">
        <v>1</v>
      </c>
      <c r="E1410" s="89" t="s">
        <v>1578</v>
      </c>
    </row>
    <row r="1412" spans="2:6">
      <c r="B1412" s="30" t="s">
        <v>247</v>
      </c>
    </row>
    <row r="1413" spans="2:6">
      <c r="B1413" s="30" t="s">
        <v>303</v>
      </c>
      <c r="E1413" s="30" t="s">
        <v>1554</v>
      </c>
      <c r="F1413" s="30"/>
    </row>
    <row r="1414" spans="2:6">
      <c r="B1414" s="89" t="s">
        <v>1580</v>
      </c>
      <c r="E1414" s="89" t="s">
        <v>1586</v>
      </c>
    </row>
    <row r="1415" spans="2:6">
      <c r="B1415" s="89" t="s">
        <v>1581</v>
      </c>
      <c r="E1415" s="89" t="s">
        <v>1587</v>
      </c>
    </row>
    <row r="1416" spans="2:6">
      <c r="B1416" s="89" t="s">
        <v>1582</v>
      </c>
      <c r="E1416" s="89" t="s">
        <v>1588</v>
      </c>
    </row>
    <row r="1417" spans="2:6">
      <c r="B1417" s="89" t="s">
        <v>1583</v>
      </c>
      <c r="E1417" s="89" t="s">
        <v>1589</v>
      </c>
    </row>
    <row r="1418" spans="2:6">
      <c r="B1418" s="89" t="s">
        <v>1584</v>
      </c>
    </row>
    <row r="1419" spans="2:6">
      <c r="B1419" s="89" t="s">
        <v>1585</v>
      </c>
    </row>
    <row r="1421" spans="2:6">
      <c r="B1421" s="30" t="s">
        <v>1590</v>
      </c>
      <c r="C1421" s="30"/>
      <c r="D1421" s="30"/>
      <c r="E1421" s="30"/>
    </row>
    <row r="1422" spans="2:6">
      <c r="B1422" s="30"/>
      <c r="C1422" s="30"/>
      <c r="D1422" s="30"/>
      <c r="E1422" s="30"/>
      <c r="F1422" s="30"/>
    </row>
    <row r="1423" spans="2:6">
      <c r="B1423" s="88" t="s">
        <v>661</v>
      </c>
    </row>
    <row r="1424" spans="2:6">
      <c r="B1424" s="88" t="s">
        <v>1</v>
      </c>
      <c r="C1424">
        <v>7673</v>
      </c>
      <c r="E1424" t="s">
        <v>6</v>
      </c>
      <c r="F1424">
        <v>3590</v>
      </c>
    </row>
    <row r="1425" spans="2:6">
      <c r="B1425" s="88" t="s">
        <v>2</v>
      </c>
      <c r="C1425">
        <v>2993</v>
      </c>
      <c r="E1425" t="s">
        <v>9</v>
      </c>
      <c r="F1425">
        <v>1865</v>
      </c>
    </row>
    <row r="1426" spans="2:6">
      <c r="B1426" s="88" t="s">
        <v>3</v>
      </c>
      <c r="C1426">
        <v>309</v>
      </c>
      <c r="E1426" t="s">
        <v>11</v>
      </c>
      <c r="F1426">
        <v>703</v>
      </c>
    </row>
    <row r="1427" spans="2:6">
      <c r="B1427" s="88" t="s">
        <v>588</v>
      </c>
      <c r="C1427">
        <v>1004</v>
      </c>
    </row>
    <row r="1428" spans="2:6">
      <c r="B1428" s="88" t="s">
        <v>589</v>
      </c>
      <c r="C1428">
        <v>136</v>
      </c>
    </row>
    <row r="1430" spans="2:6">
      <c r="B1430" s="88" t="s">
        <v>1024</v>
      </c>
      <c r="D1430">
        <v>18273</v>
      </c>
    </row>
    <row r="1431" spans="2:6">
      <c r="B1431" s="88"/>
    </row>
    <row r="1432" spans="2:6">
      <c r="B1432" s="30" t="s">
        <v>49</v>
      </c>
      <c r="C1432" s="30"/>
      <c r="D1432" s="30" t="s">
        <v>1576</v>
      </c>
      <c r="E1432" s="30" t="s">
        <v>1577</v>
      </c>
    </row>
    <row r="1433" spans="2:6">
      <c r="B1433" s="88" t="s">
        <v>1</v>
      </c>
      <c r="D1433">
        <v>1</v>
      </c>
      <c r="E1433" s="89" t="s">
        <v>1578</v>
      </c>
    </row>
    <row r="1434" spans="2:6">
      <c r="B1434" s="88" t="s">
        <v>2</v>
      </c>
      <c r="D1434">
        <v>3</v>
      </c>
      <c r="E1434" s="89" t="s">
        <v>1578</v>
      </c>
    </row>
    <row r="1435" spans="2:6">
      <c r="B1435" s="88" t="s">
        <v>3</v>
      </c>
      <c r="D1435">
        <v>2</v>
      </c>
      <c r="E1435" s="89" t="s">
        <v>1578</v>
      </c>
    </row>
    <row r="1436" spans="2:6">
      <c r="B1436" t="s">
        <v>6</v>
      </c>
      <c r="D1436">
        <v>2</v>
      </c>
      <c r="E1436" s="89" t="s">
        <v>1578</v>
      </c>
    </row>
    <row r="1437" spans="2:6">
      <c r="B1437" t="s">
        <v>9</v>
      </c>
      <c r="D1437">
        <v>1</v>
      </c>
      <c r="E1437" s="89" t="s">
        <v>1578</v>
      </c>
    </row>
    <row r="1439" spans="2:6">
      <c r="B1439" s="30" t="s">
        <v>247</v>
      </c>
    </row>
    <row r="1440" spans="2:6">
      <c r="B1440" s="30" t="s">
        <v>303</v>
      </c>
      <c r="E1440" s="30" t="s">
        <v>1554</v>
      </c>
      <c r="F1440" s="30"/>
    </row>
    <row r="1441" spans="2:6">
      <c r="B1441" s="90" t="s">
        <v>1581</v>
      </c>
      <c r="E1441" s="90" t="s">
        <v>1593</v>
      </c>
    </row>
    <row r="1442" spans="2:6">
      <c r="B1442" s="90" t="s">
        <v>1591</v>
      </c>
      <c r="E1442" s="90" t="s">
        <v>1594</v>
      </c>
    </row>
    <row r="1443" spans="2:6">
      <c r="B1443" s="90" t="s">
        <v>1582</v>
      </c>
      <c r="E1443" s="90" t="s">
        <v>1595</v>
      </c>
    </row>
    <row r="1444" spans="2:6">
      <c r="B1444" s="89" t="s">
        <v>1586</v>
      </c>
      <c r="D1444" t="s">
        <v>1592</v>
      </c>
      <c r="E1444" s="90" t="s">
        <v>1596</v>
      </c>
    </row>
    <row r="1445" spans="2:6">
      <c r="B1445" s="89"/>
      <c r="E1445" s="90" t="s">
        <v>1597</v>
      </c>
    </row>
    <row r="1446" spans="2:6">
      <c r="B1446" s="89"/>
    </row>
    <row r="1447" spans="2:6">
      <c r="B1447" s="22" t="s">
        <v>1598</v>
      </c>
      <c r="E1447" s="30"/>
    </row>
    <row r="1448" spans="2:6">
      <c r="B1448" s="30"/>
      <c r="C1448" s="30"/>
      <c r="D1448" s="30"/>
      <c r="F1448" s="30"/>
    </row>
    <row r="1449" spans="2:6">
      <c r="B1449" s="88" t="s">
        <v>661</v>
      </c>
      <c r="E1449" t="s">
        <v>6</v>
      </c>
      <c r="F1449">
        <v>3742</v>
      </c>
    </row>
    <row r="1450" spans="2:6">
      <c r="B1450" s="88" t="s">
        <v>1</v>
      </c>
      <c r="C1450">
        <v>7109</v>
      </c>
      <c r="E1450" t="s">
        <v>9</v>
      </c>
      <c r="F1450">
        <v>1650</v>
      </c>
    </row>
    <row r="1451" spans="2:6">
      <c r="B1451" s="88" t="s">
        <v>2</v>
      </c>
      <c r="C1451">
        <v>2999</v>
      </c>
      <c r="E1451" t="s">
        <v>11</v>
      </c>
      <c r="F1451">
        <v>1812</v>
      </c>
    </row>
    <row r="1452" spans="2:6">
      <c r="B1452" s="88" t="s">
        <v>3</v>
      </c>
      <c r="C1452">
        <v>441</v>
      </c>
    </row>
    <row r="1453" spans="2:6">
      <c r="B1453" s="88" t="s">
        <v>588</v>
      </c>
      <c r="C1453">
        <v>902</v>
      </c>
    </row>
    <row r="1454" spans="2:6">
      <c r="B1454" s="88" t="s">
        <v>589</v>
      </c>
      <c r="C1454">
        <v>151</v>
      </c>
    </row>
    <row r="1456" spans="2:6">
      <c r="B1456" s="88" t="s">
        <v>1024</v>
      </c>
      <c r="D1456">
        <v>18806</v>
      </c>
    </row>
    <row r="1457" spans="2:5">
      <c r="B1457" s="88"/>
      <c r="E1457" s="30" t="s">
        <v>1577</v>
      </c>
    </row>
    <row r="1458" spans="2:5">
      <c r="B1458" s="30" t="s">
        <v>49</v>
      </c>
      <c r="C1458" s="30"/>
      <c r="D1458" s="30" t="s">
        <v>1576</v>
      </c>
      <c r="E1458" s="89"/>
    </row>
    <row r="1459" spans="2:5">
      <c r="B1459" s="88" t="s">
        <v>1</v>
      </c>
      <c r="D1459">
        <v>3</v>
      </c>
      <c r="E1459" s="89" t="s">
        <v>1578</v>
      </c>
    </row>
    <row r="1460" spans="2:5">
      <c r="B1460" s="88" t="s">
        <v>2</v>
      </c>
      <c r="D1460">
        <v>1</v>
      </c>
      <c r="E1460" s="89" t="s">
        <v>1578</v>
      </c>
    </row>
    <row r="1461" spans="2:5">
      <c r="B1461" s="88" t="s">
        <v>3</v>
      </c>
      <c r="D1461">
        <v>1</v>
      </c>
      <c r="E1461" s="89" t="s">
        <v>1578</v>
      </c>
    </row>
    <row r="1462" spans="2:5">
      <c r="B1462" t="s">
        <v>6</v>
      </c>
      <c r="D1462">
        <v>2</v>
      </c>
      <c r="E1462" s="89" t="s">
        <v>1578</v>
      </c>
    </row>
    <row r="1463" spans="2:5">
      <c r="B1463" t="s">
        <v>9</v>
      </c>
      <c r="D1463">
        <v>1</v>
      </c>
      <c r="E1463" s="89" t="s">
        <v>1578</v>
      </c>
    </row>
    <row r="1465" spans="2:5">
      <c r="B1465" s="30" t="s">
        <v>247</v>
      </c>
    </row>
    <row r="1466" spans="2:5">
      <c r="B1466" s="30" t="s">
        <v>303</v>
      </c>
      <c r="E1466" s="30" t="s">
        <v>1554</v>
      </c>
    </row>
    <row r="1467" spans="2:5">
      <c r="B1467" s="91" t="s">
        <v>1599</v>
      </c>
      <c r="E1467" s="91" t="s">
        <v>1604</v>
      </c>
    </row>
    <row r="1468" spans="2:5">
      <c r="B1468" s="91" t="s">
        <v>1582</v>
      </c>
      <c r="E1468" s="91" t="s">
        <v>1605</v>
      </c>
    </row>
    <row r="1469" spans="2:5">
      <c r="B1469" s="91" t="s">
        <v>1600</v>
      </c>
      <c r="E1469" s="91" t="s">
        <v>1604</v>
      </c>
    </row>
    <row r="1470" spans="2:5">
      <c r="B1470" s="91" t="s">
        <v>1601</v>
      </c>
      <c r="E1470" s="91" t="s">
        <v>1606</v>
      </c>
    </row>
    <row r="1471" spans="2:5">
      <c r="B1471" s="91" t="s">
        <v>1602</v>
      </c>
      <c r="E1471" s="91" t="s">
        <v>1584</v>
      </c>
    </row>
    <row r="1472" spans="2:5">
      <c r="B1472" s="91" t="s">
        <v>1603</v>
      </c>
      <c r="E1472" s="91" t="s">
        <v>1607</v>
      </c>
    </row>
    <row r="1474" spans="2:6">
      <c r="B1474" s="22" t="s">
        <v>1618</v>
      </c>
      <c r="E1474" s="30"/>
    </row>
    <row r="1475" spans="2:6">
      <c r="B1475" s="30"/>
      <c r="C1475" s="30"/>
      <c r="D1475" s="30"/>
      <c r="F1475" s="30"/>
    </row>
    <row r="1476" spans="2:6">
      <c r="B1476" s="88" t="s">
        <v>661</v>
      </c>
      <c r="E1476" t="s">
        <v>6</v>
      </c>
      <c r="F1476">
        <v>3760</v>
      </c>
    </row>
    <row r="1477" spans="2:6">
      <c r="B1477" s="88" t="s">
        <v>1</v>
      </c>
      <c r="C1477">
        <v>5983</v>
      </c>
      <c r="E1477" t="s">
        <v>9</v>
      </c>
      <c r="F1477">
        <v>2377</v>
      </c>
    </row>
    <row r="1478" spans="2:6">
      <c r="B1478" s="88" t="s">
        <v>2</v>
      </c>
      <c r="C1478">
        <v>2557</v>
      </c>
      <c r="E1478" t="s">
        <v>11</v>
      </c>
      <c r="F1478">
        <v>1562</v>
      </c>
    </row>
    <row r="1479" spans="2:6">
      <c r="B1479" s="88" t="s">
        <v>3</v>
      </c>
      <c r="C1479">
        <v>477</v>
      </c>
    </row>
    <row r="1480" spans="2:6">
      <c r="B1480" s="88" t="s">
        <v>588</v>
      </c>
      <c r="C1480">
        <v>973</v>
      </c>
    </row>
    <row r="1481" spans="2:6">
      <c r="B1481" s="88" t="s">
        <v>589</v>
      </c>
      <c r="C1481">
        <v>145</v>
      </c>
    </row>
    <row r="1483" spans="2:6">
      <c r="B1483" s="88" t="s">
        <v>1024</v>
      </c>
      <c r="D1483">
        <v>17834</v>
      </c>
    </row>
    <row r="1484" spans="2:6">
      <c r="B1484" s="88"/>
      <c r="E1484" s="30" t="s">
        <v>1577</v>
      </c>
    </row>
    <row r="1485" spans="2:6">
      <c r="B1485" s="30" t="s">
        <v>49</v>
      </c>
      <c r="C1485" s="30"/>
      <c r="D1485" s="30" t="s">
        <v>1576</v>
      </c>
      <c r="E1485" s="89"/>
    </row>
    <row r="1486" spans="2:6">
      <c r="B1486" s="88" t="s">
        <v>1</v>
      </c>
      <c r="D1486">
        <v>3</v>
      </c>
      <c r="E1486" s="89" t="s">
        <v>1578</v>
      </c>
    </row>
    <row r="1487" spans="2:6">
      <c r="B1487" s="88" t="s">
        <v>2</v>
      </c>
      <c r="D1487">
        <v>4</v>
      </c>
      <c r="E1487" s="89" t="s">
        <v>1578</v>
      </c>
    </row>
    <row r="1488" spans="2:6">
      <c r="B1488" s="88" t="s">
        <v>3</v>
      </c>
      <c r="D1488">
        <v>1</v>
      </c>
      <c r="E1488" s="89" t="s">
        <v>1578</v>
      </c>
    </row>
    <row r="1489" spans="1:6">
      <c r="B1489" t="s">
        <v>6</v>
      </c>
      <c r="D1489">
        <v>2</v>
      </c>
      <c r="E1489" s="89" t="s">
        <v>1578</v>
      </c>
    </row>
    <row r="1490" spans="1:6">
      <c r="B1490" t="s">
        <v>9</v>
      </c>
      <c r="D1490">
        <v>1</v>
      </c>
      <c r="E1490" s="89" t="s">
        <v>1578</v>
      </c>
    </row>
    <row r="1492" spans="1:6">
      <c r="B1492" s="30" t="s">
        <v>247</v>
      </c>
    </row>
    <row r="1493" spans="1:6">
      <c r="B1493" s="30" t="s">
        <v>303</v>
      </c>
      <c r="E1493" s="30" t="s">
        <v>1554</v>
      </c>
    </row>
    <row r="1494" spans="1:6">
      <c r="B1494" t="s">
        <v>1608</v>
      </c>
      <c r="E1494" t="s">
        <v>1613</v>
      </c>
    </row>
    <row r="1495" spans="1:6">
      <c r="B1495" t="s">
        <v>1609</v>
      </c>
      <c r="E1495" t="s">
        <v>1616</v>
      </c>
    </row>
    <row r="1496" spans="1:6">
      <c r="B1496" t="s">
        <v>1610</v>
      </c>
      <c r="E1496" t="s">
        <v>1614</v>
      </c>
    </row>
    <row r="1497" spans="1:6">
      <c r="B1497" t="s">
        <v>1582</v>
      </c>
      <c r="E1497" t="s">
        <v>1617</v>
      </c>
    </row>
    <row r="1498" spans="1:6">
      <c r="B1498" t="s">
        <v>1611</v>
      </c>
      <c r="E1498" t="s">
        <v>1615</v>
      </c>
    </row>
    <row r="1499" spans="1:6">
      <c r="B1499" t="s">
        <v>1612</v>
      </c>
    </row>
    <row r="1501" spans="1:6">
      <c r="A1501" s="22"/>
      <c r="B1501" s="22" t="s">
        <v>1627</v>
      </c>
      <c r="C1501" s="22"/>
      <c r="D1501" s="22"/>
      <c r="E1501" s="22"/>
    </row>
    <row r="1502" spans="1:6">
      <c r="A1502">
        <v>1</v>
      </c>
      <c r="B1502" t="s">
        <v>661</v>
      </c>
    </row>
    <row r="1503" spans="1:6">
      <c r="B1503" t="s">
        <v>1</v>
      </c>
      <c r="C1503">
        <v>6939</v>
      </c>
      <c r="E1503" t="s">
        <v>6</v>
      </c>
      <c r="F1503">
        <v>4722</v>
      </c>
    </row>
    <row r="1504" spans="1:6">
      <c r="B1504" t="s">
        <v>2</v>
      </c>
      <c r="C1504">
        <v>2826</v>
      </c>
      <c r="E1504" t="s">
        <v>9</v>
      </c>
      <c r="F1504">
        <v>2706</v>
      </c>
    </row>
    <row r="1505" spans="1:6">
      <c r="B1505" t="s">
        <v>3</v>
      </c>
      <c r="C1505">
        <v>457</v>
      </c>
      <c r="E1505" t="s">
        <v>11</v>
      </c>
      <c r="F1505">
        <v>627</v>
      </c>
    </row>
    <row r="1506" spans="1:6">
      <c r="B1506" t="s">
        <v>1619</v>
      </c>
      <c r="C1506">
        <v>1456</v>
      </c>
    </row>
    <row r="1507" spans="1:6">
      <c r="B1507" t="s">
        <v>465</v>
      </c>
      <c r="C1507">
        <v>159</v>
      </c>
    </row>
    <row r="1508" spans="1:6">
      <c r="B1508" t="s">
        <v>1024</v>
      </c>
      <c r="D1508">
        <v>19892</v>
      </c>
    </row>
    <row r="1509" spans="1:6">
      <c r="A1509" s="22">
        <v>2</v>
      </c>
      <c r="B1509" s="22" t="s">
        <v>49</v>
      </c>
      <c r="C1509" s="22"/>
    </row>
    <row r="1510" spans="1:6">
      <c r="A1510" s="22"/>
      <c r="B1510" s="22" t="s">
        <v>314</v>
      </c>
      <c r="C1510" s="22"/>
      <c r="D1510" s="22"/>
      <c r="E1510" s="22" t="s">
        <v>304</v>
      </c>
      <c r="F1510" s="22"/>
    </row>
    <row r="1511" spans="1:6">
      <c r="B1511" t="s">
        <v>1620</v>
      </c>
      <c r="E1511" t="s">
        <v>1623</v>
      </c>
    </row>
    <row r="1512" spans="1:6">
      <c r="B1512" t="s">
        <v>1621</v>
      </c>
      <c r="E1512" t="s">
        <v>1624</v>
      </c>
      <c r="F1512" t="s">
        <v>560</v>
      </c>
    </row>
    <row r="1513" spans="1:6">
      <c r="B1513" t="s">
        <v>1622</v>
      </c>
      <c r="E1513" t="s">
        <v>1625</v>
      </c>
      <c r="F1513" t="s">
        <v>1626</v>
      </c>
    </row>
    <row r="1515" spans="1:6">
      <c r="A1515" s="22"/>
      <c r="B1515" s="22" t="s">
        <v>1628</v>
      </c>
      <c r="C1515" s="22"/>
      <c r="D1515" s="22"/>
      <c r="E1515" s="22"/>
    </row>
    <row r="1516" spans="1:6">
      <c r="A1516" s="22"/>
      <c r="B1516" s="22" t="s">
        <v>661</v>
      </c>
      <c r="C1516" s="22"/>
      <c r="D1516" s="22"/>
      <c r="E1516" s="22"/>
    </row>
    <row r="1517" spans="1:6">
      <c r="B1517" t="s">
        <v>1</v>
      </c>
      <c r="C1517">
        <v>7331</v>
      </c>
      <c r="D1517" t="s">
        <v>6</v>
      </c>
      <c r="E1517">
        <v>4318</v>
      </c>
    </row>
    <row r="1518" spans="1:6">
      <c r="B1518" t="s">
        <v>2</v>
      </c>
      <c r="C1518">
        <v>3362</v>
      </c>
      <c r="D1518" t="s">
        <v>9</v>
      </c>
      <c r="E1518">
        <v>2886</v>
      </c>
    </row>
    <row r="1519" spans="1:6">
      <c r="B1519" t="s">
        <v>3</v>
      </c>
      <c r="C1519">
        <v>601</v>
      </c>
      <c r="D1519" t="s">
        <v>11</v>
      </c>
      <c r="E1519">
        <v>1343</v>
      </c>
    </row>
    <row r="1520" spans="1:6">
      <c r="B1520" t="s">
        <v>1619</v>
      </c>
      <c r="C1520">
        <v>1298</v>
      </c>
    </row>
    <row r="1521" spans="1:10">
      <c r="B1521" t="s">
        <v>465</v>
      </c>
      <c r="C1521">
        <v>509</v>
      </c>
    </row>
    <row r="1522" spans="1:10">
      <c r="A1522" s="22"/>
      <c r="B1522" s="22" t="s">
        <v>770</v>
      </c>
      <c r="C1522" s="22"/>
      <c r="D1522" s="22"/>
      <c r="E1522" s="22">
        <v>21653</v>
      </c>
    </row>
    <row r="1523" spans="1:10">
      <c r="A1523" s="22"/>
      <c r="B1523" s="22" t="s">
        <v>49</v>
      </c>
      <c r="C1523" s="22"/>
      <c r="D1523" s="22" t="s">
        <v>314</v>
      </c>
      <c r="F1523" s="22"/>
      <c r="G1523" s="22" t="s">
        <v>6</v>
      </c>
      <c r="H1523" s="22" t="s">
        <v>9</v>
      </c>
    </row>
    <row r="1524" spans="1:10">
      <c r="B1524" t="s">
        <v>1629</v>
      </c>
      <c r="G1524" t="s">
        <v>1640</v>
      </c>
    </row>
    <row r="1525" spans="1:10">
      <c r="B1525" t="s">
        <v>1630</v>
      </c>
      <c r="G1525" t="s">
        <v>1641</v>
      </c>
    </row>
    <row r="1526" spans="1:10">
      <c r="B1526" t="s">
        <v>1631</v>
      </c>
      <c r="G1526" t="s">
        <v>1642</v>
      </c>
    </row>
    <row r="1527" spans="1:10">
      <c r="B1527" t="s">
        <v>1632</v>
      </c>
      <c r="G1527" t="s">
        <v>1643</v>
      </c>
    </row>
    <row r="1528" spans="1:10">
      <c r="B1528" t="s">
        <v>1633</v>
      </c>
      <c r="G1528" t="s">
        <v>1644</v>
      </c>
    </row>
    <row r="1529" spans="1:10">
      <c r="B1529" t="s">
        <v>1634</v>
      </c>
      <c r="G1529" t="s">
        <v>1645</v>
      </c>
    </row>
    <row r="1530" spans="1:10">
      <c r="B1530" t="s">
        <v>1635</v>
      </c>
      <c r="C1530">
        <v>2</v>
      </c>
      <c r="G1530" t="s">
        <v>1646</v>
      </c>
    </row>
    <row r="1531" spans="1:10">
      <c r="B1531" t="s">
        <v>1</v>
      </c>
      <c r="C1531">
        <v>2</v>
      </c>
      <c r="G1531" t="s">
        <v>1647</v>
      </c>
    </row>
    <row r="1532" spans="1:10">
      <c r="B1532" t="s">
        <v>3</v>
      </c>
      <c r="C1532">
        <v>1</v>
      </c>
      <c r="H1532" t="s">
        <v>1648</v>
      </c>
      <c r="I1532">
        <v>3</v>
      </c>
      <c r="J1532" t="s">
        <v>1119</v>
      </c>
    </row>
    <row r="1533" spans="1:10">
      <c r="B1533" t="s">
        <v>1636</v>
      </c>
      <c r="C1533" t="s">
        <v>1637</v>
      </c>
      <c r="D1533" t="s">
        <v>1381</v>
      </c>
      <c r="H1533" t="s">
        <v>1649</v>
      </c>
      <c r="I1533">
        <v>4</v>
      </c>
      <c r="J1533" t="s">
        <v>1119</v>
      </c>
    </row>
    <row r="1534" spans="1:10">
      <c r="C1534" t="s">
        <v>1533</v>
      </c>
      <c r="D1534" t="s">
        <v>1638</v>
      </c>
      <c r="G1534" t="s">
        <v>1650</v>
      </c>
      <c r="I1534">
        <v>2</v>
      </c>
      <c r="J1534" t="s">
        <v>1119</v>
      </c>
    </row>
    <row r="1535" spans="1:10">
      <c r="C1535" t="s">
        <v>405</v>
      </c>
      <c r="D1535" t="s">
        <v>311</v>
      </c>
      <c r="G1535" t="s">
        <v>971</v>
      </c>
    </row>
    <row r="1536" spans="1:10">
      <c r="B1536" t="s">
        <v>1639</v>
      </c>
      <c r="D1536" t="s">
        <v>311</v>
      </c>
      <c r="H1536" t="s">
        <v>1119</v>
      </c>
      <c r="I1536" t="s">
        <v>1651</v>
      </c>
    </row>
    <row r="1537" spans="1:9">
      <c r="H1537" t="s">
        <v>560</v>
      </c>
      <c r="I1537" t="s">
        <v>1381</v>
      </c>
    </row>
    <row r="1538" spans="1:9">
      <c r="G1538" t="s">
        <v>40</v>
      </c>
    </row>
    <row r="1539" spans="1:9">
      <c r="H1539" t="s">
        <v>1652</v>
      </c>
    </row>
    <row r="1540" spans="1:9">
      <c r="A1540" s="30"/>
      <c r="B1540" s="30" t="s">
        <v>1653</v>
      </c>
      <c r="C1540" s="30"/>
      <c r="D1540" s="30"/>
      <c r="E1540" s="30"/>
    </row>
    <row r="1541" spans="1:9">
      <c r="A1541" s="30"/>
      <c r="B1541" s="30" t="s">
        <v>661</v>
      </c>
      <c r="C1541" s="30"/>
      <c r="D1541" s="30"/>
      <c r="E1541" s="30"/>
    </row>
    <row r="1542" spans="1:9">
      <c r="B1542" t="s">
        <v>1</v>
      </c>
      <c r="C1542">
        <v>9025</v>
      </c>
      <c r="E1542" t="s">
        <v>6</v>
      </c>
      <c r="F1542">
        <v>4895</v>
      </c>
    </row>
    <row r="1543" spans="1:9">
      <c r="B1543" t="s">
        <v>2</v>
      </c>
      <c r="C1543">
        <v>3085</v>
      </c>
      <c r="E1543" t="s">
        <v>9</v>
      </c>
      <c r="F1543">
        <v>2648</v>
      </c>
    </row>
    <row r="1544" spans="1:9">
      <c r="B1544" t="s">
        <v>3</v>
      </c>
      <c r="C1544">
        <v>379</v>
      </c>
      <c r="E1544" t="s">
        <v>11</v>
      </c>
      <c r="F1544">
        <v>0</v>
      </c>
    </row>
    <row r="1545" spans="1:9">
      <c r="B1545" t="s">
        <v>1619</v>
      </c>
      <c r="C1545">
        <v>1492</v>
      </c>
    </row>
    <row r="1546" spans="1:9">
      <c r="B1546" t="s">
        <v>465</v>
      </c>
      <c r="C1546">
        <v>189</v>
      </c>
    </row>
    <row r="1547" spans="1:9">
      <c r="B1547" t="s">
        <v>1654</v>
      </c>
      <c r="C1547">
        <v>21937</v>
      </c>
    </row>
    <row r="1549" spans="1:9">
      <c r="A1549" s="30"/>
      <c r="B1549" s="30" t="s">
        <v>247</v>
      </c>
      <c r="C1549" s="30"/>
      <c r="D1549" s="30"/>
      <c r="E1549" s="30"/>
      <c r="F1549" s="30"/>
      <c r="G1549" s="30"/>
    </row>
    <row r="1550" spans="1:9">
      <c r="A1550" s="30"/>
      <c r="B1550" s="30" t="s">
        <v>314</v>
      </c>
      <c r="C1550" s="30"/>
      <c r="D1550" s="30"/>
      <c r="E1550" s="30"/>
      <c r="F1550" s="30" t="s">
        <v>304</v>
      </c>
      <c r="G1550" s="30"/>
    </row>
    <row r="1551" spans="1:9">
      <c r="A1551">
        <v>1</v>
      </c>
      <c r="B1551" t="s">
        <v>1459</v>
      </c>
      <c r="F1551" t="s">
        <v>1660</v>
      </c>
    </row>
    <row r="1552" spans="1:9">
      <c r="B1552" t="s">
        <v>1088</v>
      </c>
      <c r="F1552" t="s">
        <v>1661</v>
      </c>
    </row>
    <row r="1553" spans="1:9">
      <c r="B1553" t="s">
        <v>1655</v>
      </c>
      <c r="F1553" t="s">
        <v>919</v>
      </c>
    </row>
    <row r="1554" spans="1:9">
      <c r="A1554">
        <v>2</v>
      </c>
      <c r="B1554" t="s">
        <v>109</v>
      </c>
      <c r="F1554" t="s">
        <v>1662</v>
      </c>
    </row>
    <row r="1555" spans="1:9">
      <c r="B1555" t="s">
        <v>1656</v>
      </c>
      <c r="C1555">
        <v>1</v>
      </c>
      <c r="F1555" t="s">
        <v>1663</v>
      </c>
    </row>
    <row r="1556" spans="1:9">
      <c r="B1556" t="s">
        <v>1229</v>
      </c>
      <c r="C1556">
        <v>2</v>
      </c>
      <c r="I1556" t="s">
        <v>1664</v>
      </c>
    </row>
    <row r="1557" spans="1:9">
      <c r="B1557" t="s">
        <v>1657</v>
      </c>
      <c r="C1557">
        <v>1</v>
      </c>
      <c r="F1557" t="s">
        <v>1665</v>
      </c>
    </row>
    <row r="1558" spans="1:9">
      <c r="A1558">
        <v>3</v>
      </c>
      <c r="B1558" t="s">
        <v>1658</v>
      </c>
      <c r="H1558" t="s">
        <v>1666</v>
      </c>
    </row>
    <row r="1559" spans="1:9">
      <c r="A1559">
        <v>4</v>
      </c>
      <c r="B1559" t="s">
        <v>1659</v>
      </c>
      <c r="F1559" t="s">
        <v>1667</v>
      </c>
    </row>
    <row r="1560" spans="1:9">
      <c r="B1560" t="s">
        <v>1533</v>
      </c>
      <c r="C1560">
        <v>4</v>
      </c>
      <c r="F1560" t="s">
        <v>1668</v>
      </c>
    </row>
    <row r="1561" spans="1:9">
      <c r="B1561" t="s">
        <v>405</v>
      </c>
      <c r="C1561">
        <v>3</v>
      </c>
      <c r="F1561" t="s">
        <v>1669</v>
      </c>
    </row>
    <row r="1562" spans="1:9">
      <c r="B1562" t="s">
        <v>1229</v>
      </c>
      <c r="C1562">
        <v>2</v>
      </c>
      <c r="F1562" t="s">
        <v>1670</v>
      </c>
    </row>
    <row r="1563" spans="1:9">
      <c r="F1563" t="s">
        <v>1671</v>
      </c>
    </row>
    <row r="1564" spans="1:9">
      <c r="F1564" t="s">
        <v>179</v>
      </c>
    </row>
    <row r="1566" spans="1:9">
      <c r="A1566" s="30"/>
      <c r="B1566" s="30" t="s">
        <v>1672</v>
      </c>
      <c r="C1566" s="30"/>
      <c r="D1566" s="30"/>
      <c r="E1566" s="30"/>
    </row>
    <row r="1567" spans="1:9">
      <c r="A1567">
        <v>1</v>
      </c>
      <c r="B1567" t="s">
        <v>661</v>
      </c>
      <c r="E1567" s="30"/>
    </row>
    <row r="1568" spans="1:9">
      <c r="B1568" s="30" t="s">
        <v>1</v>
      </c>
      <c r="C1568">
        <v>8366</v>
      </c>
      <c r="E1568" s="30" t="s">
        <v>6</v>
      </c>
      <c r="F1568">
        <v>4578</v>
      </c>
    </row>
    <row r="1569" spans="1:7">
      <c r="B1569" s="30" t="s">
        <v>2</v>
      </c>
      <c r="C1569">
        <v>3113</v>
      </c>
      <c r="E1569" s="30" t="s">
        <v>9</v>
      </c>
      <c r="F1569">
        <v>2644</v>
      </c>
    </row>
    <row r="1570" spans="1:7">
      <c r="B1570" s="30" t="s">
        <v>3</v>
      </c>
      <c r="C1570">
        <v>390</v>
      </c>
      <c r="E1570" s="30" t="s">
        <v>11</v>
      </c>
      <c r="F1570">
        <v>0</v>
      </c>
    </row>
    <row r="1571" spans="1:7">
      <c r="B1571" s="30" t="s">
        <v>1619</v>
      </c>
      <c r="C1571">
        <v>1250</v>
      </c>
      <c r="E1571" s="30"/>
    </row>
    <row r="1572" spans="1:7">
      <c r="B1572" s="30" t="s">
        <v>465</v>
      </c>
      <c r="C1572">
        <v>21173</v>
      </c>
    </row>
    <row r="1573" spans="1:7">
      <c r="B1573" t="s">
        <v>1024</v>
      </c>
      <c r="D1573">
        <v>21173</v>
      </c>
    </row>
    <row r="1574" spans="1:7">
      <c r="A1574" s="30">
        <v>2</v>
      </c>
      <c r="B1574" s="30" t="s">
        <v>63</v>
      </c>
      <c r="C1574" s="30"/>
      <c r="D1574" s="30"/>
      <c r="E1574" s="30"/>
      <c r="F1574" s="30" t="s">
        <v>304</v>
      </c>
      <c r="G1574" s="30"/>
    </row>
    <row r="1575" spans="1:7">
      <c r="B1575" t="s">
        <v>1673</v>
      </c>
      <c r="F1575" t="s">
        <v>192</v>
      </c>
      <c r="G1575" t="s">
        <v>560</v>
      </c>
    </row>
    <row r="1576" spans="1:7">
      <c r="B1576" t="s">
        <v>1674</v>
      </c>
      <c r="C1576" t="s">
        <v>1676</v>
      </c>
      <c r="D1576" t="s">
        <v>1533</v>
      </c>
      <c r="F1576" t="s">
        <v>1680</v>
      </c>
      <c r="G1576" t="s">
        <v>1119</v>
      </c>
    </row>
    <row r="1577" spans="1:7">
      <c r="B1577" t="s">
        <v>1675</v>
      </c>
      <c r="C1577" t="s">
        <v>1455</v>
      </c>
      <c r="F1577" t="s">
        <v>1546</v>
      </c>
      <c r="G1577" t="s">
        <v>1681</v>
      </c>
    </row>
    <row r="1578" spans="1:7">
      <c r="B1578" t="s">
        <v>1677</v>
      </c>
      <c r="C1578" t="s">
        <v>390</v>
      </c>
      <c r="F1578" t="s">
        <v>1682</v>
      </c>
    </row>
    <row r="1579" spans="1:7">
      <c r="B1579" t="s">
        <v>1534</v>
      </c>
      <c r="C1579" t="s">
        <v>392</v>
      </c>
      <c r="F1579" t="s">
        <v>1683</v>
      </c>
    </row>
    <row r="1580" spans="1:7">
      <c r="B1580" t="s">
        <v>1655</v>
      </c>
      <c r="F1580" t="s">
        <v>1684</v>
      </c>
    </row>
    <row r="1581" spans="1:7">
      <c r="A1581">
        <v>3</v>
      </c>
      <c r="B1581" t="s">
        <v>1678</v>
      </c>
      <c r="F1581" t="s">
        <v>1685</v>
      </c>
    </row>
    <row r="1582" spans="1:7">
      <c r="A1582">
        <v>4</v>
      </c>
      <c r="B1582" t="s">
        <v>1679</v>
      </c>
      <c r="F1582" t="s">
        <v>1686</v>
      </c>
    </row>
    <row r="1584" spans="1:7">
      <c r="A1584" s="30"/>
      <c r="B1584" s="30" t="s">
        <v>1687</v>
      </c>
      <c r="C1584" s="30"/>
      <c r="D1584" s="30"/>
      <c r="E1584" s="30"/>
    </row>
    <row r="1585" spans="1:6">
      <c r="B1585" t="s">
        <v>661</v>
      </c>
    </row>
    <row r="1586" spans="1:6">
      <c r="B1586" t="s">
        <v>1</v>
      </c>
      <c r="C1586">
        <v>8169</v>
      </c>
      <c r="E1586" t="s">
        <v>6</v>
      </c>
      <c r="F1586">
        <v>4479</v>
      </c>
    </row>
    <row r="1587" spans="1:6">
      <c r="B1587" t="s">
        <v>2</v>
      </c>
      <c r="C1587">
        <v>3384</v>
      </c>
      <c r="E1587" t="s">
        <v>9</v>
      </c>
      <c r="F1587">
        <v>2962</v>
      </c>
    </row>
    <row r="1588" spans="1:6">
      <c r="B1588" t="s">
        <v>3</v>
      </c>
      <c r="C1588">
        <v>382</v>
      </c>
      <c r="E1588" t="s">
        <v>11</v>
      </c>
      <c r="F1588">
        <v>1592</v>
      </c>
    </row>
    <row r="1589" spans="1:6">
      <c r="B1589" t="s">
        <v>1619</v>
      </c>
      <c r="C1589">
        <v>1403</v>
      </c>
    </row>
    <row r="1590" spans="1:6">
      <c r="B1590" t="s">
        <v>465</v>
      </c>
      <c r="C1590">
        <v>188</v>
      </c>
    </row>
    <row r="1592" spans="1:6">
      <c r="B1592" s="92" t="s">
        <v>1024</v>
      </c>
      <c r="D1592">
        <v>22559</v>
      </c>
    </row>
    <row r="1594" spans="1:6">
      <c r="A1594" s="30"/>
      <c r="B1594" s="30" t="s">
        <v>1688</v>
      </c>
      <c r="C1594" s="30"/>
      <c r="D1594" s="30"/>
      <c r="E1594" s="30"/>
      <c r="F1594" s="30"/>
    </row>
    <row r="1595" spans="1:6">
      <c r="B1595" s="30" t="s">
        <v>1</v>
      </c>
      <c r="C1595">
        <v>8687</v>
      </c>
      <c r="E1595" s="30" t="s">
        <v>6</v>
      </c>
      <c r="F1595">
        <v>4979</v>
      </c>
    </row>
    <row r="1596" spans="1:6">
      <c r="B1596" s="30" t="s">
        <v>2</v>
      </c>
      <c r="C1596">
        <v>3442</v>
      </c>
      <c r="E1596" s="30" t="s">
        <v>9</v>
      </c>
      <c r="F1596">
        <v>2919</v>
      </c>
    </row>
    <row r="1597" spans="1:6">
      <c r="B1597" s="30" t="s">
        <v>3</v>
      </c>
      <c r="C1597">
        <v>367</v>
      </c>
      <c r="E1597" s="30" t="s">
        <v>11</v>
      </c>
      <c r="F1597">
        <v>710</v>
      </c>
    </row>
    <row r="1598" spans="1:6">
      <c r="B1598" s="30" t="s">
        <v>1619</v>
      </c>
      <c r="C1598">
        <v>1342</v>
      </c>
    </row>
    <row r="1599" spans="1:6">
      <c r="B1599" s="30" t="s">
        <v>465</v>
      </c>
      <c r="C1599">
        <v>201</v>
      </c>
    </row>
    <row r="1600" spans="1:6">
      <c r="B1600" t="s">
        <v>1024</v>
      </c>
      <c r="D1600">
        <v>22647</v>
      </c>
    </row>
    <row r="1601" spans="1:12">
      <c r="B1601" s="30" t="s">
        <v>63</v>
      </c>
      <c r="F1601" s="30"/>
      <c r="G1601" s="30" t="s">
        <v>304</v>
      </c>
      <c r="H1601" s="30"/>
    </row>
    <row r="1602" spans="1:12">
      <c r="A1602">
        <v>1</v>
      </c>
      <c r="B1602" s="30" t="s">
        <v>49</v>
      </c>
      <c r="G1602" s="93" t="s">
        <v>1697</v>
      </c>
    </row>
    <row r="1603" spans="1:12">
      <c r="B1603" s="30" t="s">
        <v>314</v>
      </c>
      <c r="G1603" s="93" t="s">
        <v>1698</v>
      </c>
    </row>
    <row r="1604" spans="1:12">
      <c r="B1604" s="15" t="s">
        <v>1534</v>
      </c>
      <c r="C1604" s="93" t="s">
        <v>1689</v>
      </c>
      <c r="D1604" s="93" t="s">
        <v>1533</v>
      </c>
      <c r="G1604" s="93" t="s">
        <v>329</v>
      </c>
    </row>
    <row r="1605" spans="1:12">
      <c r="B1605" s="93" t="s">
        <v>1690</v>
      </c>
      <c r="D1605" s="93" t="s">
        <v>1533</v>
      </c>
      <c r="H1605" s="93" t="s">
        <v>560</v>
      </c>
      <c r="I1605" s="93" t="s">
        <v>311</v>
      </c>
    </row>
    <row r="1606" spans="1:12">
      <c r="B1606" s="93" t="s">
        <v>1691</v>
      </c>
      <c r="H1606" s="93" t="s">
        <v>1119</v>
      </c>
      <c r="I1606" s="93" t="s">
        <v>311</v>
      </c>
    </row>
    <row r="1607" spans="1:12">
      <c r="B1607" s="93" t="s">
        <v>1692</v>
      </c>
      <c r="C1607" s="93" t="s">
        <v>1229</v>
      </c>
      <c r="G1607" s="93" t="s">
        <v>1699</v>
      </c>
      <c r="L1607" s="93" t="s">
        <v>311</v>
      </c>
    </row>
    <row r="1608" spans="1:12">
      <c r="A1608">
        <v>2</v>
      </c>
      <c r="B1608" s="93" t="s">
        <v>247</v>
      </c>
    </row>
    <row r="1609" spans="1:12">
      <c r="B1609" s="93" t="s">
        <v>1693</v>
      </c>
    </row>
    <row r="1610" spans="1:12">
      <c r="A1610">
        <v>3</v>
      </c>
      <c r="B1610" s="93" t="s">
        <v>1694</v>
      </c>
    </row>
    <row r="1611" spans="1:12">
      <c r="C1611" s="93" t="s">
        <v>1695</v>
      </c>
    </row>
    <row r="1612" spans="1:12">
      <c r="C1612" s="93" t="s">
        <v>1696</v>
      </c>
    </row>
    <row r="1613" spans="1:12">
      <c r="A1613">
        <v>4</v>
      </c>
      <c r="B1613" s="93" t="s">
        <v>40</v>
      </c>
      <c r="D1613" s="93" t="s">
        <v>311</v>
      </c>
    </row>
    <row r="1614" spans="1:12">
      <c r="D1614" s="93"/>
    </row>
    <row r="1615" spans="1:12">
      <c r="A1615" s="30"/>
      <c r="B1615" s="30" t="s">
        <v>1700</v>
      </c>
      <c r="C1615" s="30"/>
      <c r="D1615" s="30"/>
      <c r="E1615" s="30"/>
    </row>
    <row r="1616" spans="1:12">
      <c r="A1616">
        <v>1</v>
      </c>
      <c r="B1616" s="93" t="s">
        <v>661</v>
      </c>
      <c r="E1616" s="30"/>
    </row>
    <row r="1617" spans="1:8">
      <c r="B1617" s="30" t="s">
        <v>1</v>
      </c>
      <c r="C1617">
        <v>7823</v>
      </c>
      <c r="E1617" s="30" t="s">
        <v>6</v>
      </c>
      <c r="F1617">
        <v>4398</v>
      </c>
    </row>
    <row r="1618" spans="1:8">
      <c r="B1618" s="30" t="s">
        <v>2</v>
      </c>
      <c r="C1618">
        <v>3540</v>
      </c>
      <c r="E1618" s="30" t="s">
        <v>9</v>
      </c>
      <c r="F1618">
        <v>2683</v>
      </c>
    </row>
    <row r="1619" spans="1:8">
      <c r="B1619" s="30" t="s">
        <v>3</v>
      </c>
      <c r="C1619">
        <v>296</v>
      </c>
      <c r="E1619" s="30" t="s">
        <v>11</v>
      </c>
      <c r="F1619">
        <v>311</v>
      </c>
    </row>
    <row r="1620" spans="1:8">
      <c r="B1620" s="30" t="s">
        <v>1619</v>
      </c>
      <c r="C1620">
        <v>1132</v>
      </c>
    </row>
    <row r="1621" spans="1:8">
      <c r="B1621" s="30" t="s">
        <v>465</v>
      </c>
      <c r="C1621">
        <v>519</v>
      </c>
    </row>
    <row r="1622" spans="1:8">
      <c r="B1622" s="93" t="s">
        <v>1701</v>
      </c>
      <c r="D1622">
        <v>20656</v>
      </c>
    </row>
    <row r="1623" spans="1:8">
      <c r="B1623" s="93" t="s">
        <v>1702</v>
      </c>
    </row>
    <row r="1624" spans="1:8">
      <c r="A1624" s="30"/>
      <c r="B1624" s="30" t="s">
        <v>303</v>
      </c>
      <c r="E1624" s="30"/>
      <c r="F1624" s="30" t="s">
        <v>304</v>
      </c>
      <c r="G1624" s="30"/>
    </row>
    <row r="1625" spans="1:8">
      <c r="A1625">
        <v>2</v>
      </c>
      <c r="B1625" s="93" t="s">
        <v>49</v>
      </c>
      <c r="E1625">
        <v>1</v>
      </c>
      <c r="F1625" s="93" t="s">
        <v>49</v>
      </c>
      <c r="G1625" s="93"/>
    </row>
    <row r="1626" spans="1:8">
      <c r="B1626" s="93" t="s">
        <v>1703</v>
      </c>
      <c r="D1626" s="93" t="s">
        <v>1704</v>
      </c>
      <c r="F1626" s="93" t="s">
        <v>1715</v>
      </c>
      <c r="G1626" s="93" t="s">
        <v>560</v>
      </c>
    </row>
    <row r="1627" spans="1:8">
      <c r="D1627" s="93" t="s">
        <v>1705</v>
      </c>
      <c r="F1627" s="93" t="s">
        <v>809</v>
      </c>
      <c r="G1627" s="93" t="s">
        <v>560</v>
      </c>
    </row>
    <row r="1628" spans="1:8">
      <c r="D1628" s="93" t="s">
        <v>1706</v>
      </c>
      <c r="F1628" s="93" t="s">
        <v>191</v>
      </c>
      <c r="G1628" s="93" t="s">
        <v>1119</v>
      </c>
    </row>
    <row r="1629" spans="1:8">
      <c r="B1629" s="93" t="s">
        <v>1707</v>
      </c>
      <c r="E1629">
        <v>2</v>
      </c>
      <c r="F1629" s="93" t="s">
        <v>1716</v>
      </c>
    </row>
    <row r="1630" spans="1:8">
      <c r="B1630" s="93" t="s">
        <v>1515</v>
      </c>
      <c r="F1630" s="93" t="s">
        <v>1717</v>
      </c>
    </row>
    <row r="1631" spans="1:8">
      <c r="B1631" s="93" t="s">
        <v>1708</v>
      </c>
      <c r="F1631" s="93" t="s">
        <v>205</v>
      </c>
    </row>
    <row r="1632" spans="1:8">
      <c r="A1632">
        <v>3</v>
      </c>
      <c r="B1632" s="93" t="s">
        <v>1709</v>
      </c>
      <c r="E1632">
        <v>3</v>
      </c>
      <c r="F1632" s="93" t="s">
        <v>971</v>
      </c>
      <c r="H1632" s="93" t="s">
        <v>1652</v>
      </c>
    </row>
    <row r="1633" spans="1:7">
      <c r="B1633" s="93" t="s">
        <v>1533</v>
      </c>
      <c r="C1633">
        <v>1</v>
      </c>
      <c r="E1633">
        <v>4</v>
      </c>
      <c r="F1633" s="93" t="s">
        <v>1718</v>
      </c>
    </row>
    <row r="1634" spans="1:7">
      <c r="B1634" s="93" t="s">
        <v>1656</v>
      </c>
      <c r="C1634">
        <v>2</v>
      </c>
      <c r="E1634">
        <v>5</v>
      </c>
      <c r="F1634" s="93" t="s">
        <v>1719</v>
      </c>
    </row>
    <row r="1635" spans="1:7">
      <c r="B1635" s="93" t="s">
        <v>1710</v>
      </c>
      <c r="C1635">
        <v>1</v>
      </c>
      <c r="E1635">
        <v>6</v>
      </c>
      <c r="F1635" s="93" t="s">
        <v>1720</v>
      </c>
    </row>
    <row r="1636" spans="1:7">
      <c r="A1636">
        <v>4</v>
      </c>
      <c r="B1636" s="93" t="s">
        <v>1636</v>
      </c>
      <c r="G1636" s="93" t="s">
        <v>1722</v>
      </c>
    </row>
    <row r="1637" spans="1:7">
      <c r="B1637" s="93" t="s">
        <v>1710</v>
      </c>
      <c r="C1637" s="93" t="s">
        <v>311</v>
      </c>
      <c r="G1637" s="93" t="s">
        <v>1721</v>
      </c>
    </row>
    <row r="1638" spans="1:7">
      <c r="B1638" s="93" t="s">
        <v>405</v>
      </c>
      <c r="C1638">
        <v>2</v>
      </c>
    </row>
    <row r="1639" spans="1:7">
      <c r="B1639" s="93" t="s">
        <v>1229</v>
      </c>
      <c r="C1639">
        <v>2</v>
      </c>
    </row>
    <row r="1640" spans="1:7">
      <c r="A1640">
        <v>5</v>
      </c>
      <c r="B1640" s="93" t="s">
        <v>1711</v>
      </c>
    </row>
    <row r="1641" spans="1:7">
      <c r="B1641" s="93" t="s">
        <v>1712</v>
      </c>
    </row>
    <row r="1642" spans="1:7">
      <c r="B1642" s="93" t="s">
        <v>1713</v>
      </c>
    </row>
    <row r="1643" spans="1:7">
      <c r="A1643">
        <v>6</v>
      </c>
      <c r="B1643" s="93" t="s">
        <v>1714</v>
      </c>
    </row>
    <row r="1645" spans="1:7">
      <c r="A1645" s="30"/>
      <c r="B1645" s="30" t="s">
        <v>1723</v>
      </c>
      <c r="C1645" s="30"/>
      <c r="D1645" s="30"/>
      <c r="E1645" s="30"/>
    </row>
    <row r="1646" spans="1:7">
      <c r="A1646" s="30">
        <v>1</v>
      </c>
      <c r="B1646" s="30" t="s">
        <v>661</v>
      </c>
      <c r="C1646" s="30"/>
      <c r="D1646" s="30"/>
      <c r="E1646" s="30"/>
    </row>
    <row r="1647" spans="1:7">
      <c r="B1647" s="30" t="s">
        <v>1</v>
      </c>
      <c r="C1647">
        <v>5099</v>
      </c>
      <c r="D1647" s="30"/>
      <c r="E1647" s="30" t="s">
        <v>6</v>
      </c>
      <c r="F1647">
        <v>3709</v>
      </c>
    </row>
    <row r="1648" spans="1:7">
      <c r="B1648" s="30" t="s">
        <v>2</v>
      </c>
      <c r="C1648">
        <v>2985</v>
      </c>
      <c r="D1648" s="30"/>
      <c r="E1648" s="30" t="s">
        <v>9</v>
      </c>
      <c r="F1648">
        <v>2809</v>
      </c>
    </row>
    <row r="1649" spans="1:9">
      <c r="B1649" s="30" t="s">
        <v>3</v>
      </c>
      <c r="C1649">
        <v>287</v>
      </c>
      <c r="D1649" s="30"/>
      <c r="E1649" s="30" t="s">
        <v>11</v>
      </c>
      <c r="F1649">
        <v>0</v>
      </c>
    </row>
    <row r="1650" spans="1:9">
      <c r="B1650" s="30" t="s">
        <v>1619</v>
      </c>
      <c r="C1650">
        <v>1420</v>
      </c>
    </row>
    <row r="1651" spans="1:9">
      <c r="B1651" s="30" t="s">
        <v>465</v>
      </c>
      <c r="C1651">
        <v>726</v>
      </c>
    </row>
    <row r="1652" spans="1:9">
      <c r="B1652" s="94" t="s">
        <v>1024</v>
      </c>
      <c r="D1652">
        <v>18708</v>
      </c>
    </row>
    <row r="1653" spans="1:9">
      <c r="A1653" s="30">
        <v>2</v>
      </c>
      <c r="B1653" s="30" t="s">
        <v>49</v>
      </c>
      <c r="C1653" s="30"/>
      <c r="F1653" s="30"/>
      <c r="G1653" s="30" t="s">
        <v>304</v>
      </c>
      <c r="H1653" s="30"/>
    </row>
    <row r="1654" spans="1:9">
      <c r="A1654" s="30"/>
      <c r="B1654" s="30" t="s">
        <v>314</v>
      </c>
      <c r="C1654" s="30"/>
      <c r="G1654" t="s">
        <v>1732</v>
      </c>
    </row>
    <row r="1655" spans="1:9">
      <c r="B1655" s="94" t="s">
        <v>1724</v>
      </c>
      <c r="C1655" t="s">
        <v>1533</v>
      </c>
      <c r="G1655" t="s">
        <v>1733</v>
      </c>
    </row>
    <row r="1656" spans="1:9">
      <c r="B1656" s="94" t="s">
        <v>1534</v>
      </c>
      <c r="C1656" t="s">
        <v>390</v>
      </c>
      <c r="G1656" t="s">
        <v>63</v>
      </c>
    </row>
    <row r="1657" spans="1:9">
      <c r="B1657" s="94" t="s">
        <v>1725</v>
      </c>
      <c r="C1657" t="s">
        <v>1229</v>
      </c>
      <c r="G1657" t="s">
        <v>1734</v>
      </c>
    </row>
    <row r="1658" spans="1:9">
      <c r="B1658" s="94" t="s">
        <v>1726</v>
      </c>
      <c r="C1658" t="s">
        <v>1656</v>
      </c>
      <c r="H1658" t="s">
        <v>560</v>
      </c>
      <c r="I1658" t="s">
        <v>311</v>
      </c>
    </row>
    <row r="1659" spans="1:9">
      <c r="B1659" s="94" t="s">
        <v>1534</v>
      </c>
      <c r="C1659" t="s">
        <v>405</v>
      </c>
      <c r="H1659" t="s">
        <v>1119</v>
      </c>
      <c r="I1659" t="s">
        <v>119</v>
      </c>
    </row>
    <row r="1660" spans="1:9">
      <c r="A1660" s="30">
        <v>3</v>
      </c>
      <c r="B1660" s="30" t="s">
        <v>63</v>
      </c>
      <c r="C1660" s="30"/>
      <c r="G1660" t="s">
        <v>1735</v>
      </c>
    </row>
    <row r="1661" spans="1:9">
      <c r="B1661" s="94" t="s">
        <v>1727</v>
      </c>
      <c r="G1661" t="s">
        <v>1736</v>
      </c>
    </row>
    <row r="1662" spans="1:9">
      <c r="B1662" s="94" t="s">
        <v>1728</v>
      </c>
      <c r="I1662" t="s">
        <v>179</v>
      </c>
    </row>
    <row r="1663" spans="1:9">
      <c r="B1663" s="94" t="s">
        <v>1729</v>
      </c>
      <c r="I1663" t="s">
        <v>1737</v>
      </c>
    </row>
    <row r="1664" spans="1:9">
      <c r="C1664" t="s">
        <v>1730</v>
      </c>
      <c r="G1664" t="s">
        <v>329</v>
      </c>
    </row>
    <row r="1665" spans="1:9">
      <c r="B1665" s="94" t="s">
        <v>1731</v>
      </c>
      <c r="H1665" t="s">
        <v>1738</v>
      </c>
    </row>
    <row r="1666" spans="1:9">
      <c r="H1666" t="s">
        <v>1739</v>
      </c>
    </row>
    <row r="1667" spans="1:9">
      <c r="G1667" t="s">
        <v>1740</v>
      </c>
    </row>
    <row r="1668" spans="1:9">
      <c r="H1668" t="s">
        <v>1737</v>
      </c>
    </row>
    <row r="1669" spans="1:9">
      <c r="H1669" t="s">
        <v>1741</v>
      </c>
    </row>
    <row r="1671" spans="1:9">
      <c r="A1671" s="22"/>
      <c r="B1671" s="22" t="s">
        <v>219</v>
      </c>
      <c r="C1671" s="22"/>
      <c r="D1671" s="22" t="s">
        <v>1744</v>
      </c>
      <c r="E1671" s="22"/>
      <c r="F1671" s="22"/>
    </row>
    <row r="1672" spans="1:9">
      <c r="A1672">
        <v>1</v>
      </c>
      <c r="B1672" t="s">
        <v>661</v>
      </c>
      <c r="E1672" s="22"/>
    </row>
    <row r="1673" spans="1:9">
      <c r="B1673" s="22" t="s">
        <v>1</v>
      </c>
      <c r="C1673">
        <v>6485</v>
      </c>
      <c r="E1673" s="22" t="s">
        <v>6</v>
      </c>
      <c r="F1673">
        <v>3864</v>
      </c>
    </row>
    <row r="1674" spans="1:9">
      <c r="B1674" s="22" t="s">
        <v>2</v>
      </c>
      <c r="C1674">
        <v>2776</v>
      </c>
      <c r="E1674" s="22" t="s">
        <v>9</v>
      </c>
      <c r="F1674">
        <v>2853</v>
      </c>
    </row>
    <row r="1675" spans="1:9">
      <c r="B1675" s="22" t="s">
        <v>3</v>
      </c>
      <c r="C1675">
        <v>349</v>
      </c>
      <c r="E1675" s="22" t="s">
        <v>11</v>
      </c>
      <c r="F1675">
        <v>0</v>
      </c>
    </row>
    <row r="1676" spans="1:9">
      <c r="B1676" s="22" t="s">
        <v>1619</v>
      </c>
      <c r="C1676">
        <v>999</v>
      </c>
      <c r="E1676" s="22"/>
    </row>
    <row r="1677" spans="1:9">
      <c r="B1677" s="22" t="s">
        <v>465</v>
      </c>
      <c r="C1677">
        <v>619</v>
      </c>
    </row>
    <row r="1678" spans="1:9">
      <c r="B1678" t="s">
        <v>1742</v>
      </c>
      <c r="C1678" t="s">
        <v>1743</v>
      </c>
      <c r="D1678">
        <v>17945</v>
      </c>
    </row>
    <row r="1679" spans="1:9">
      <c r="A1679" s="22">
        <v>2</v>
      </c>
      <c r="B1679" s="22" t="s">
        <v>1745</v>
      </c>
      <c r="C1679" s="22"/>
      <c r="D1679" s="22"/>
      <c r="E1679" s="22"/>
      <c r="F1679" s="22"/>
      <c r="G1679" s="22"/>
      <c r="H1679" s="22"/>
      <c r="I1679" s="22"/>
    </row>
    <row r="1680" spans="1:9">
      <c r="A1680" s="22"/>
      <c r="B1680" s="22" t="s">
        <v>314</v>
      </c>
      <c r="C1680" s="22"/>
      <c r="D1680" s="22"/>
      <c r="E1680" s="22"/>
      <c r="F1680" s="22"/>
      <c r="G1680" s="22"/>
      <c r="H1680" s="22" t="s">
        <v>304</v>
      </c>
      <c r="I1680" s="22"/>
    </row>
    <row r="1681" spans="1:9">
      <c r="B1681" s="95" t="s">
        <v>1746</v>
      </c>
      <c r="C1681" s="95" t="s">
        <v>1229</v>
      </c>
      <c r="E1681" s="95"/>
      <c r="F1681" s="95"/>
      <c r="H1681" s="95" t="s">
        <v>1747</v>
      </c>
      <c r="I1681" s="95" t="s">
        <v>1748</v>
      </c>
    </row>
    <row r="1682" spans="1:9">
      <c r="B1682" s="95" t="s">
        <v>1534</v>
      </c>
      <c r="C1682" s="95" t="s">
        <v>1533</v>
      </c>
      <c r="H1682" s="95" t="s">
        <v>1755</v>
      </c>
      <c r="I1682" s="95" t="s">
        <v>1119</v>
      </c>
    </row>
    <row r="1683" spans="1:9">
      <c r="B1683" s="95" t="s">
        <v>1534</v>
      </c>
      <c r="C1683" s="95" t="s">
        <v>178</v>
      </c>
    </row>
    <row r="1684" spans="1:9">
      <c r="A1684">
        <v>3</v>
      </c>
      <c r="B1684" s="95" t="s">
        <v>63</v>
      </c>
      <c r="H1684" s="95" t="s">
        <v>63</v>
      </c>
    </row>
    <row r="1685" spans="1:9">
      <c r="B1685" s="95" t="s">
        <v>1749</v>
      </c>
      <c r="H1685" s="95" t="s">
        <v>1756</v>
      </c>
    </row>
    <row r="1686" spans="1:9">
      <c r="B1686" s="95" t="s">
        <v>1543</v>
      </c>
      <c r="C1686" s="95" t="s">
        <v>1750</v>
      </c>
      <c r="I1686" s="95" t="s">
        <v>179</v>
      </c>
    </row>
    <row r="1687" spans="1:9">
      <c r="C1687" s="95" t="s">
        <v>178</v>
      </c>
      <c r="I1687" s="95" t="s">
        <v>205</v>
      </c>
    </row>
    <row r="1688" spans="1:9">
      <c r="B1688" s="95" t="s">
        <v>1751</v>
      </c>
      <c r="H1688" s="95" t="s">
        <v>1152</v>
      </c>
    </row>
    <row r="1689" spans="1:9">
      <c r="E1689" s="95" t="s">
        <v>1752</v>
      </c>
      <c r="H1689" s="95" t="s">
        <v>1757</v>
      </c>
    </row>
    <row r="1690" spans="1:9">
      <c r="B1690" s="95" t="s">
        <v>1753</v>
      </c>
      <c r="H1690" s="95" t="s">
        <v>1758</v>
      </c>
    </row>
    <row r="1691" spans="1:9">
      <c r="B1691" s="95" t="s">
        <v>1754</v>
      </c>
    </row>
    <row r="1693" spans="1:9">
      <c r="B1693" s="30" t="s">
        <v>1759</v>
      </c>
      <c r="C1693" s="30"/>
      <c r="D1693" s="30"/>
      <c r="F1693" s="22"/>
    </row>
    <row r="1694" spans="1:9">
      <c r="B1694" s="30" t="s">
        <v>661</v>
      </c>
      <c r="C1694" s="30"/>
      <c r="D1694" s="30"/>
    </row>
    <row r="1695" spans="1:9">
      <c r="B1695" s="30" t="s">
        <v>1</v>
      </c>
      <c r="C1695">
        <v>6434</v>
      </c>
      <c r="D1695" s="30" t="s">
        <v>6</v>
      </c>
      <c r="E1695">
        <v>4694</v>
      </c>
    </row>
    <row r="1696" spans="1:9">
      <c r="B1696" s="30" t="s">
        <v>2</v>
      </c>
      <c r="C1696">
        <v>2947</v>
      </c>
      <c r="D1696" s="30" t="s">
        <v>9</v>
      </c>
      <c r="E1696">
        <v>2453</v>
      </c>
    </row>
    <row r="1697" spans="1:10">
      <c r="B1697" s="30" t="s">
        <v>3</v>
      </c>
      <c r="C1697">
        <v>329</v>
      </c>
      <c r="D1697" s="30" t="s">
        <v>11</v>
      </c>
      <c r="E1697">
        <v>0</v>
      </c>
    </row>
    <row r="1698" spans="1:10">
      <c r="B1698" s="30" t="s">
        <v>1619</v>
      </c>
      <c r="C1698">
        <v>1357</v>
      </c>
      <c r="D1698" s="30"/>
    </row>
    <row r="1699" spans="1:10">
      <c r="B1699" s="30" t="s">
        <v>465</v>
      </c>
      <c r="C1699">
        <v>871</v>
      </c>
      <c r="D1699" s="30"/>
    </row>
    <row r="1700" spans="1:10">
      <c r="B1700" s="96" t="s">
        <v>1024</v>
      </c>
      <c r="D1700">
        <v>19155</v>
      </c>
    </row>
    <row r="1702" spans="1:10">
      <c r="B1702" s="96" t="s">
        <v>49</v>
      </c>
    </row>
    <row r="1703" spans="1:10">
      <c r="B1703" s="96" t="s">
        <v>314</v>
      </c>
      <c r="E1703" s="96" t="s">
        <v>304</v>
      </c>
    </row>
    <row r="1704" spans="1:10">
      <c r="B1704" s="96" t="s">
        <v>1715</v>
      </c>
      <c r="C1704" t="s">
        <v>1760</v>
      </c>
      <c r="E1704" s="96" t="s">
        <v>192</v>
      </c>
      <c r="F1704" s="96" t="s">
        <v>1681</v>
      </c>
    </row>
    <row r="1705" spans="1:10">
      <c r="B1705" s="96" t="s">
        <v>191</v>
      </c>
      <c r="C1705" t="s">
        <v>1533</v>
      </c>
      <c r="E1705" s="96" t="s">
        <v>1534</v>
      </c>
      <c r="F1705" s="96" t="s">
        <v>1626</v>
      </c>
    </row>
    <row r="1706" spans="1:10">
      <c r="B1706" s="96" t="s">
        <v>1680</v>
      </c>
      <c r="C1706" t="s">
        <v>1533</v>
      </c>
      <c r="E1706" s="96" t="s">
        <v>1761</v>
      </c>
    </row>
    <row r="1707" spans="1:10">
      <c r="B1707" s="96" t="s">
        <v>1534</v>
      </c>
      <c r="C1707" t="s">
        <v>405</v>
      </c>
    </row>
    <row r="1709" spans="1:10">
      <c r="A1709" s="30"/>
      <c r="B1709" s="30" t="s">
        <v>1762</v>
      </c>
      <c r="C1709" s="30"/>
      <c r="D1709" s="30"/>
      <c r="E1709" s="30"/>
      <c r="H1709" t="s">
        <v>49</v>
      </c>
    </row>
    <row r="1710" spans="1:10">
      <c r="A1710" s="30"/>
      <c r="B1710" s="30" t="s">
        <v>661</v>
      </c>
      <c r="C1710" s="30"/>
      <c r="D1710" s="30"/>
      <c r="E1710" s="30"/>
    </row>
    <row r="1711" spans="1:10">
      <c r="B1711" s="30" t="s">
        <v>1</v>
      </c>
      <c r="C1711">
        <v>6724</v>
      </c>
      <c r="D1711" s="30" t="s">
        <v>6</v>
      </c>
      <c r="E1711">
        <v>3917</v>
      </c>
      <c r="H1711" t="s">
        <v>1</v>
      </c>
      <c r="I1711" t="s">
        <v>1675</v>
      </c>
    </row>
    <row r="1712" spans="1:10">
      <c r="B1712" s="30" t="s">
        <v>2</v>
      </c>
      <c r="C1712">
        <v>3065</v>
      </c>
      <c r="D1712" s="30" t="s">
        <v>9</v>
      </c>
      <c r="E1712">
        <v>2457</v>
      </c>
      <c r="I1712" t="s">
        <v>1782</v>
      </c>
      <c r="J1712" t="s">
        <v>1783</v>
      </c>
    </row>
    <row r="1713" spans="2:10">
      <c r="B1713" s="30" t="s">
        <v>3</v>
      </c>
      <c r="C1713">
        <v>303</v>
      </c>
      <c r="D1713" s="30" t="s">
        <v>11</v>
      </c>
      <c r="E1713">
        <v>847</v>
      </c>
      <c r="I1713" t="s">
        <v>1476</v>
      </c>
      <c r="J1713" t="s">
        <v>1784</v>
      </c>
    </row>
    <row r="1714" spans="2:10">
      <c r="B1714" s="30" t="s">
        <v>1619</v>
      </c>
      <c r="C1714">
        <v>1094</v>
      </c>
      <c r="H1714" t="s">
        <v>2</v>
      </c>
      <c r="I1714">
        <v>0</v>
      </c>
    </row>
    <row r="1715" spans="2:10">
      <c r="B1715" s="30" t="s">
        <v>465</v>
      </c>
      <c r="C1715">
        <v>127</v>
      </c>
    </row>
    <row r="1716" spans="2:10">
      <c r="B1716" s="30" t="s">
        <v>1024</v>
      </c>
      <c r="D1716">
        <v>18534</v>
      </c>
    </row>
    <row r="1718" spans="2:10">
      <c r="B1718" s="30" t="s">
        <v>1763</v>
      </c>
      <c r="D1718" s="13">
        <v>45043</v>
      </c>
    </row>
    <row r="1719" spans="2:10">
      <c r="B1719" s="30" t="s">
        <v>661</v>
      </c>
    </row>
    <row r="1720" spans="2:10">
      <c r="B1720" s="30" t="s">
        <v>1</v>
      </c>
      <c r="C1720">
        <v>6607</v>
      </c>
      <c r="D1720" s="22" t="s">
        <v>6</v>
      </c>
      <c r="E1720">
        <v>3836</v>
      </c>
    </row>
    <row r="1721" spans="2:10">
      <c r="B1721" s="30" t="s">
        <v>2</v>
      </c>
      <c r="C1721">
        <v>2963</v>
      </c>
      <c r="D1721" s="22" t="s">
        <v>9</v>
      </c>
      <c r="E1721">
        <v>2805</v>
      </c>
    </row>
    <row r="1722" spans="2:10">
      <c r="B1722" s="30" t="s">
        <v>3</v>
      </c>
      <c r="C1722">
        <v>284</v>
      </c>
      <c r="D1722" s="22" t="s">
        <v>11</v>
      </c>
    </row>
    <row r="1723" spans="2:10">
      <c r="B1723" s="30" t="s">
        <v>1619</v>
      </c>
      <c r="C1723">
        <v>1115</v>
      </c>
    </row>
    <row r="1724" spans="2:10">
      <c r="B1724" s="30" t="s">
        <v>465</v>
      </c>
      <c r="C1724">
        <v>126</v>
      </c>
    </row>
    <row r="1725" spans="2:10">
      <c r="B1725" s="97" t="s">
        <v>1024</v>
      </c>
      <c r="D1725">
        <v>18710</v>
      </c>
    </row>
    <row r="1726" spans="2:10">
      <c r="H1726" s="22"/>
    </row>
    <row r="1727" spans="2:10">
      <c r="B1727" s="30" t="s">
        <v>1764</v>
      </c>
    </row>
    <row r="1728" spans="2:10">
      <c r="B1728" s="30" t="s">
        <v>661</v>
      </c>
    </row>
    <row r="1729" spans="2:6">
      <c r="B1729" s="30" t="s">
        <v>1</v>
      </c>
      <c r="C1729">
        <v>5273</v>
      </c>
      <c r="D1729" s="22" t="s">
        <v>6</v>
      </c>
      <c r="E1729">
        <v>3269</v>
      </c>
    </row>
    <row r="1730" spans="2:6">
      <c r="B1730" s="30" t="s">
        <v>2</v>
      </c>
      <c r="C1730">
        <v>3444</v>
      </c>
      <c r="D1730" s="22" t="s">
        <v>9</v>
      </c>
      <c r="E1730">
        <v>2708</v>
      </c>
    </row>
    <row r="1731" spans="2:6">
      <c r="B1731" s="30" t="s">
        <v>3</v>
      </c>
      <c r="C1731">
        <v>262</v>
      </c>
      <c r="D1731" s="22" t="s">
        <v>11</v>
      </c>
      <c r="E1731">
        <v>876</v>
      </c>
    </row>
    <row r="1732" spans="2:6">
      <c r="B1732" s="30" t="s">
        <v>1619</v>
      </c>
      <c r="C1732">
        <v>1224</v>
      </c>
    </row>
    <row r="1733" spans="2:6">
      <c r="B1733" s="30" t="s">
        <v>465</v>
      </c>
      <c r="C1733">
        <v>876</v>
      </c>
    </row>
    <row r="1734" spans="2:6">
      <c r="B1734" s="30" t="s">
        <v>1765</v>
      </c>
    </row>
    <row r="1736" spans="2:6">
      <c r="B1736" s="30" t="s">
        <v>1766</v>
      </c>
    </row>
    <row r="1737" spans="2:6">
      <c r="B1737" s="30" t="s">
        <v>661</v>
      </c>
    </row>
    <row r="1738" spans="2:6">
      <c r="B1738" s="30" t="s">
        <v>1</v>
      </c>
      <c r="C1738">
        <v>5589</v>
      </c>
      <c r="E1738" t="s">
        <v>6</v>
      </c>
      <c r="F1738">
        <v>3994</v>
      </c>
    </row>
    <row r="1739" spans="2:6">
      <c r="B1739" s="30" t="s">
        <v>2</v>
      </c>
      <c r="C1739">
        <v>2722</v>
      </c>
      <c r="E1739" t="s">
        <v>9</v>
      </c>
      <c r="F1739">
        <v>2892</v>
      </c>
    </row>
    <row r="1740" spans="2:6">
      <c r="B1740" s="30" t="s">
        <v>3</v>
      </c>
      <c r="C1740">
        <v>269</v>
      </c>
      <c r="E1740" t="s">
        <v>11</v>
      </c>
      <c r="F1740">
        <v>1354</v>
      </c>
    </row>
    <row r="1741" spans="2:6">
      <c r="B1741" s="30" t="s">
        <v>1619</v>
      </c>
      <c r="C1741">
        <v>965</v>
      </c>
    </row>
    <row r="1742" spans="2:6">
      <c r="B1742" s="30" t="s">
        <v>465</v>
      </c>
      <c r="C1742">
        <v>116</v>
      </c>
    </row>
    <row r="1744" spans="2:6">
      <c r="B1744" s="30" t="s">
        <v>49</v>
      </c>
    </row>
    <row r="1745" spans="2:7">
      <c r="B1745" s="30" t="s">
        <v>314</v>
      </c>
      <c r="E1745" t="s">
        <v>304</v>
      </c>
    </row>
    <row r="1746" spans="2:7">
      <c r="B1746" s="30" t="s">
        <v>192</v>
      </c>
      <c r="C1746" t="s">
        <v>1768</v>
      </c>
      <c r="E1746" t="s">
        <v>192</v>
      </c>
      <c r="F1746" t="s">
        <v>1770</v>
      </c>
      <c r="G1746" t="s">
        <v>1119</v>
      </c>
    </row>
    <row r="1747" spans="2:7">
      <c r="B1747" s="30" t="s">
        <v>1546</v>
      </c>
      <c r="C1747" t="s">
        <v>1769</v>
      </c>
      <c r="E1747" t="s">
        <v>1747</v>
      </c>
      <c r="F1747" t="s">
        <v>1748</v>
      </c>
    </row>
    <row r="1748" spans="2:7">
      <c r="B1748" s="30" t="s">
        <v>1767</v>
      </c>
      <c r="C1748" t="s">
        <v>405</v>
      </c>
    </row>
    <row r="1750" spans="2:7">
      <c r="B1750" s="30" t="s">
        <v>1771</v>
      </c>
    </row>
    <row r="1751" spans="2:7">
      <c r="B1751" s="30" t="s">
        <v>1</v>
      </c>
      <c r="C1751">
        <v>6350</v>
      </c>
    </row>
    <row r="1752" spans="2:7">
      <c r="B1752" s="30" t="s">
        <v>2</v>
      </c>
      <c r="C1752">
        <v>3201</v>
      </c>
      <c r="D1752" t="s">
        <v>6</v>
      </c>
      <c r="E1752">
        <v>4092</v>
      </c>
    </row>
    <row r="1753" spans="2:7">
      <c r="B1753" s="30" t="s">
        <v>3</v>
      </c>
      <c r="C1753">
        <v>333</v>
      </c>
      <c r="D1753" t="s">
        <v>9</v>
      </c>
      <c r="E1753">
        <v>3003</v>
      </c>
    </row>
    <row r="1754" spans="2:7">
      <c r="B1754" s="30" t="s">
        <v>1619</v>
      </c>
      <c r="C1754">
        <v>1181</v>
      </c>
      <c r="D1754" t="s">
        <v>11</v>
      </c>
      <c r="E1754">
        <v>1155</v>
      </c>
    </row>
    <row r="1755" spans="2:7">
      <c r="B1755" s="30" t="s">
        <v>465</v>
      </c>
      <c r="C1755">
        <v>138</v>
      </c>
    </row>
    <row r="1757" spans="2:7">
      <c r="B1757" s="30" t="s">
        <v>1772</v>
      </c>
    </row>
    <row r="1758" spans="2:7">
      <c r="B1758" s="30" t="s">
        <v>1</v>
      </c>
      <c r="D1758" t="s">
        <v>1774</v>
      </c>
    </row>
    <row r="1759" spans="2:7">
      <c r="B1759" s="30" t="s">
        <v>1546</v>
      </c>
      <c r="C1759" t="s">
        <v>1769</v>
      </c>
      <c r="D1759" t="s">
        <v>1747</v>
      </c>
      <c r="E1759" t="s">
        <v>1748</v>
      </c>
    </row>
    <row r="1760" spans="2:7">
      <c r="B1760" s="30" t="s">
        <v>1546</v>
      </c>
      <c r="C1760" t="s">
        <v>1706</v>
      </c>
      <c r="D1760" t="s">
        <v>1776</v>
      </c>
      <c r="E1760" t="s">
        <v>1119</v>
      </c>
    </row>
    <row r="1761" spans="2:6">
      <c r="B1761" s="30" t="s">
        <v>3</v>
      </c>
    </row>
    <row r="1762" spans="2:6">
      <c r="B1762" s="30" t="s">
        <v>1746</v>
      </c>
    </row>
    <row r="1763" spans="2:6">
      <c r="B1763" s="30" t="s">
        <v>1773</v>
      </c>
    </row>
    <row r="1764" spans="2:6">
      <c r="B1764" s="30"/>
    </row>
    <row r="1765" spans="2:6">
      <c r="B1765" s="30" t="s">
        <v>1777</v>
      </c>
    </row>
    <row r="1766" spans="2:6">
      <c r="B1766" s="30" t="s">
        <v>661</v>
      </c>
    </row>
    <row r="1767" spans="2:6">
      <c r="B1767" s="30" t="s">
        <v>1</v>
      </c>
      <c r="C1767">
        <v>6720</v>
      </c>
      <c r="E1767" t="s">
        <v>6</v>
      </c>
      <c r="F1767">
        <v>3901</v>
      </c>
    </row>
    <row r="1768" spans="2:6">
      <c r="B1768" s="30" t="s">
        <v>2</v>
      </c>
      <c r="C1768">
        <v>3174</v>
      </c>
      <c r="E1768" t="s">
        <v>9</v>
      </c>
      <c r="F1768">
        <v>3057</v>
      </c>
    </row>
    <row r="1769" spans="2:6">
      <c r="B1769" s="30" t="s">
        <v>3</v>
      </c>
      <c r="C1769">
        <v>320</v>
      </c>
      <c r="E1769" t="s">
        <v>11</v>
      </c>
      <c r="F1769">
        <v>2030</v>
      </c>
    </row>
    <row r="1770" spans="2:6">
      <c r="B1770" s="30" t="s">
        <v>1619</v>
      </c>
      <c r="C1770">
        <v>1310</v>
      </c>
    </row>
    <row r="1771" spans="2:6">
      <c r="B1771" s="30" t="s">
        <v>1778</v>
      </c>
      <c r="C1771">
        <v>145</v>
      </c>
    </row>
    <row r="1772" spans="2:6">
      <c r="B1772" s="30" t="s">
        <v>49</v>
      </c>
    </row>
    <row r="1773" spans="2:6">
      <c r="B1773" s="30" t="s">
        <v>314</v>
      </c>
      <c r="C1773" t="s">
        <v>1779</v>
      </c>
      <c r="D1773" t="s">
        <v>304</v>
      </c>
    </row>
    <row r="1774" spans="2:6">
      <c r="B1774" s="30" t="s">
        <v>3</v>
      </c>
      <c r="C1774" t="s">
        <v>1779</v>
      </c>
      <c r="D1774" t="s">
        <v>192</v>
      </c>
      <c r="E1774" t="s">
        <v>423</v>
      </c>
    </row>
    <row r="1775" spans="2:6">
      <c r="D1775" t="s">
        <v>1546</v>
      </c>
      <c r="E1775" t="s">
        <v>1780</v>
      </c>
    </row>
    <row r="1777" spans="2:5">
      <c r="B1777" s="30" t="s">
        <v>219</v>
      </c>
      <c r="C1777" s="13">
        <v>45072</v>
      </c>
      <c r="D1777" t="s">
        <v>1785</v>
      </c>
    </row>
    <row r="1778" spans="2:5">
      <c r="B1778" s="30" t="s">
        <v>717</v>
      </c>
    </row>
    <row r="1779" spans="2:5">
      <c r="B1779" s="30" t="s">
        <v>1</v>
      </c>
      <c r="D1779" t="s">
        <v>2</v>
      </c>
    </row>
    <row r="1780" spans="2:5">
      <c r="B1780" s="30" t="s">
        <v>1747</v>
      </c>
      <c r="C1780" t="s">
        <v>1706</v>
      </c>
      <c r="D1780" t="s">
        <v>1787</v>
      </c>
      <c r="E1780" t="s">
        <v>1790</v>
      </c>
    </row>
    <row r="1781" spans="2:5">
      <c r="B1781" s="30" t="s">
        <v>1781</v>
      </c>
      <c r="C1781" t="s">
        <v>1786</v>
      </c>
      <c r="D1781" t="s">
        <v>1788</v>
      </c>
      <c r="E1781" t="s">
        <v>1789</v>
      </c>
    </row>
    <row r="1782" spans="2:5">
      <c r="B1782" s="30" t="s">
        <v>1534</v>
      </c>
      <c r="C1782" t="s">
        <v>392</v>
      </c>
    </row>
    <row r="1783" spans="2:5">
      <c r="B1783" s="30" t="s">
        <v>3</v>
      </c>
      <c r="D1783" t="s">
        <v>6</v>
      </c>
    </row>
    <row r="1784" spans="2:5">
      <c r="B1784" s="30" t="s">
        <v>1775</v>
      </c>
      <c r="D1784" t="s">
        <v>1791</v>
      </c>
      <c r="E1784" t="s">
        <v>1792</v>
      </c>
    </row>
    <row r="1785" spans="2:5">
      <c r="B1785" t="s">
        <v>1773</v>
      </c>
      <c r="D1785" t="s">
        <v>1726</v>
      </c>
      <c r="E1785" t="s">
        <v>1793</v>
      </c>
    </row>
    <row r="1787" spans="2:5">
      <c r="B1787" s="30" t="s">
        <v>1794</v>
      </c>
    </row>
    <row r="1788" spans="2:5">
      <c r="B1788" s="30" t="s">
        <v>717</v>
      </c>
    </row>
    <row r="1789" spans="2:5">
      <c r="B1789" s="30" t="s">
        <v>1</v>
      </c>
      <c r="E1789" t="s">
        <v>1119</v>
      </c>
    </row>
    <row r="1790" spans="2:5">
      <c r="B1790" s="30" t="s">
        <v>1781</v>
      </c>
      <c r="C1790" t="s">
        <v>1676</v>
      </c>
      <c r="E1790" t="s">
        <v>1798</v>
      </c>
    </row>
    <row r="1791" spans="2:5">
      <c r="B1791" s="30" t="s">
        <v>192</v>
      </c>
      <c r="C1791" t="s">
        <v>392</v>
      </c>
      <c r="E1791" t="s">
        <v>1799</v>
      </c>
    </row>
    <row r="1792" spans="2:5">
      <c r="B1792" s="30" t="s">
        <v>1476</v>
      </c>
      <c r="C1792" t="s">
        <v>392</v>
      </c>
    </row>
    <row r="1793" spans="2:6">
      <c r="B1793" s="30" t="s">
        <v>2</v>
      </c>
      <c r="E1793" t="s">
        <v>560</v>
      </c>
    </row>
    <row r="1794" spans="2:6">
      <c r="B1794" s="30" t="s">
        <v>1773</v>
      </c>
      <c r="C1794" t="s">
        <v>1797</v>
      </c>
      <c r="E1794" t="s">
        <v>192</v>
      </c>
      <c r="F1794" t="s">
        <v>423</v>
      </c>
    </row>
    <row r="1795" spans="2:6">
      <c r="B1795" s="30" t="s">
        <v>1795</v>
      </c>
      <c r="C1795" t="s">
        <v>1796</v>
      </c>
      <c r="E1795" t="s">
        <v>192</v>
      </c>
      <c r="F1795" t="s">
        <v>1748</v>
      </c>
    </row>
    <row r="1796" spans="2:6">
      <c r="E1796" t="s">
        <v>1800</v>
      </c>
      <c r="F1796" t="s">
        <v>1748</v>
      </c>
    </row>
    <row r="1798" spans="2:6">
      <c r="B1798" s="30" t="s">
        <v>1801</v>
      </c>
    </row>
    <row r="1799" spans="2:6">
      <c r="B1799" s="30" t="s">
        <v>49</v>
      </c>
    </row>
    <row r="1800" spans="2:6">
      <c r="B1800" s="30" t="s">
        <v>1</v>
      </c>
      <c r="E1800" t="s">
        <v>1119</v>
      </c>
    </row>
    <row r="1801" spans="2:6">
      <c r="B1801" s="30" t="s">
        <v>1802</v>
      </c>
      <c r="C1801" t="s">
        <v>1706</v>
      </c>
      <c r="E1801" t="s">
        <v>1776</v>
      </c>
    </row>
    <row r="1802" spans="2:6">
      <c r="E1802" t="s">
        <v>1546</v>
      </c>
    </row>
    <row r="1803" spans="2:6">
      <c r="B1803" s="30" t="s">
        <v>2</v>
      </c>
      <c r="C1803">
        <v>0</v>
      </c>
    </row>
    <row r="1804" spans="2:6">
      <c r="B1804" s="30" t="s">
        <v>3</v>
      </c>
      <c r="E1804" t="s">
        <v>9</v>
      </c>
    </row>
    <row r="1805" spans="2:6">
      <c r="B1805" s="30" t="s">
        <v>1803</v>
      </c>
      <c r="C1805" t="s">
        <v>1804</v>
      </c>
      <c r="E1805" t="s">
        <v>192</v>
      </c>
      <c r="F1805" t="s">
        <v>1807</v>
      </c>
    </row>
    <row r="1806" spans="2:6">
      <c r="B1806" s="30" t="s">
        <v>1805</v>
      </c>
      <c r="C1806" t="s">
        <v>1804</v>
      </c>
    </row>
    <row r="1807" spans="2:6">
      <c r="B1807" s="30" t="s">
        <v>1806</v>
      </c>
      <c r="C1807" t="s">
        <v>1804</v>
      </c>
    </row>
    <row r="1809" spans="2:5">
      <c r="B1809" s="30" t="s">
        <v>1808</v>
      </c>
    </row>
    <row r="1810" spans="2:5">
      <c r="B1810" s="30" t="s">
        <v>1418</v>
      </c>
    </row>
    <row r="1811" spans="2:5">
      <c r="B1811" s="30" t="s">
        <v>314</v>
      </c>
    </row>
    <row r="1812" spans="2:5">
      <c r="B1812" s="30" t="s">
        <v>1809</v>
      </c>
    </row>
    <row r="1813" spans="2:5">
      <c r="B1813" s="30" t="s">
        <v>6</v>
      </c>
      <c r="D1813" t="s">
        <v>9</v>
      </c>
    </row>
    <row r="1814" spans="2:5">
      <c r="B1814" s="30" t="s">
        <v>1747</v>
      </c>
      <c r="C1814" t="s">
        <v>486</v>
      </c>
      <c r="D1814" t="s">
        <v>192</v>
      </c>
      <c r="E1814" t="s">
        <v>1807</v>
      </c>
    </row>
    <row r="1815" spans="2:5">
      <c r="B1815" s="30" t="s">
        <v>192</v>
      </c>
      <c r="C1815" t="s">
        <v>1770</v>
      </c>
    </row>
    <row r="1817" spans="2:5">
      <c r="B1817" s="30" t="s">
        <v>1810</v>
      </c>
    </row>
    <row r="1818" spans="2:5">
      <c r="B1818" s="30" t="s">
        <v>49</v>
      </c>
    </row>
    <row r="1819" spans="2:5">
      <c r="B1819" s="30" t="s">
        <v>1</v>
      </c>
      <c r="D1819" t="s">
        <v>2</v>
      </c>
    </row>
    <row r="1820" spans="2:5">
      <c r="B1820" s="30" t="s">
        <v>1781</v>
      </c>
      <c r="C1820" t="s">
        <v>1676</v>
      </c>
      <c r="D1820" t="s">
        <v>1813</v>
      </c>
      <c r="E1820" t="s">
        <v>1814</v>
      </c>
    </row>
    <row r="1821" spans="2:5">
      <c r="B1821" s="30" t="s">
        <v>1747</v>
      </c>
      <c r="C1821" t="s">
        <v>1811</v>
      </c>
      <c r="D1821" t="s">
        <v>1817</v>
      </c>
      <c r="E1821" t="s">
        <v>1818</v>
      </c>
    </row>
    <row r="1822" spans="2:5">
      <c r="B1822" s="30" t="s">
        <v>1812</v>
      </c>
      <c r="C1822" t="s">
        <v>1706</v>
      </c>
    </row>
    <row r="1823" spans="2:5">
      <c r="B1823" s="30" t="s">
        <v>3</v>
      </c>
      <c r="D1823" t="s">
        <v>6</v>
      </c>
    </row>
    <row r="1824" spans="2:5">
      <c r="B1824" s="30" t="s">
        <v>1815</v>
      </c>
      <c r="D1824" t="s">
        <v>1747</v>
      </c>
      <c r="E1824" t="s">
        <v>486</v>
      </c>
    </row>
    <row r="1825" spans="1:6">
      <c r="D1825" t="s">
        <v>1816</v>
      </c>
      <c r="E1825" t="s">
        <v>1770</v>
      </c>
    </row>
    <row r="1827" spans="1:6">
      <c r="B1827" s="30" t="s">
        <v>1819</v>
      </c>
    </row>
    <row r="1828" spans="1:6">
      <c r="A1828">
        <v>1</v>
      </c>
      <c r="B1828" s="30" t="s">
        <v>661</v>
      </c>
    </row>
    <row r="1829" spans="1:6">
      <c r="B1829" s="30" t="s">
        <v>1</v>
      </c>
      <c r="C1829">
        <v>7819</v>
      </c>
      <c r="E1829" t="s">
        <v>6</v>
      </c>
      <c r="F1829">
        <v>4015</v>
      </c>
    </row>
    <row r="1830" spans="1:6">
      <c r="B1830" s="30" t="s">
        <v>2</v>
      </c>
      <c r="C1830">
        <v>1785</v>
      </c>
      <c r="E1830" t="s">
        <v>9</v>
      </c>
      <c r="F1830">
        <v>1369</v>
      </c>
    </row>
    <row r="1831" spans="1:6">
      <c r="B1831" s="30" t="s">
        <v>3</v>
      </c>
      <c r="C1831">
        <v>348</v>
      </c>
      <c r="E1831" t="s">
        <v>11</v>
      </c>
      <c r="F1831">
        <v>1219</v>
      </c>
    </row>
    <row r="1832" spans="1:6">
      <c r="B1832" s="30" t="s">
        <v>1619</v>
      </c>
      <c r="C1832">
        <v>0</v>
      </c>
    </row>
    <row r="1833" spans="1:6">
      <c r="B1833" s="30" t="s">
        <v>465</v>
      </c>
      <c r="C1833">
        <v>162</v>
      </c>
    </row>
    <row r="1834" spans="1:6">
      <c r="B1834" s="30" t="s">
        <v>1820</v>
      </c>
    </row>
    <row r="1835" spans="1:6">
      <c r="A1835">
        <v>2</v>
      </c>
      <c r="B1835" s="30" t="s">
        <v>49</v>
      </c>
    </row>
    <row r="1836" spans="1:6">
      <c r="B1836" s="30" t="s">
        <v>1</v>
      </c>
      <c r="E1836" s="99" t="s">
        <v>6</v>
      </c>
    </row>
    <row r="1837" spans="1:6">
      <c r="B1837" s="98" t="s">
        <v>1821</v>
      </c>
      <c r="C1837" s="98"/>
      <c r="E1837" s="99" t="s">
        <v>192</v>
      </c>
      <c r="F1837" s="99" t="s">
        <v>1770</v>
      </c>
    </row>
    <row r="1838" spans="1:6">
      <c r="B1838" s="99" t="s">
        <v>1822</v>
      </c>
      <c r="F1838" s="99" t="s">
        <v>1825</v>
      </c>
    </row>
    <row r="1839" spans="1:6">
      <c r="B1839" s="99" t="s">
        <v>1812</v>
      </c>
      <c r="C1839" s="99" t="s">
        <v>1706</v>
      </c>
      <c r="E1839" s="99" t="s">
        <v>1826</v>
      </c>
      <c r="F1839" s="99" t="s">
        <v>1827</v>
      </c>
    </row>
    <row r="1840" spans="1:6">
      <c r="B1840" s="99" t="s">
        <v>2</v>
      </c>
      <c r="F1840" s="99" t="s">
        <v>1830</v>
      </c>
    </row>
    <row r="1841" spans="1:12">
      <c r="B1841" s="99" t="s">
        <v>1823</v>
      </c>
      <c r="C1841" s="99" t="s">
        <v>1814</v>
      </c>
      <c r="E1841" s="99" t="s">
        <v>9</v>
      </c>
    </row>
    <row r="1842" spans="1:12">
      <c r="B1842" s="99" t="s">
        <v>1773</v>
      </c>
      <c r="C1842" s="99" t="s">
        <v>1824</v>
      </c>
      <c r="E1842" s="99" t="s">
        <v>192</v>
      </c>
      <c r="F1842" s="99" t="s">
        <v>1828</v>
      </c>
    </row>
    <row r="1843" spans="1:12">
      <c r="B1843" s="99" t="s">
        <v>3</v>
      </c>
      <c r="E1843" s="99" t="s">
        <v>1829</v>
      </c>
      <c r="F1843" s="99" t="s">
        <v>423</v>
      </c>
    </row>
    <row r="1844" spans="1:12">
      <c r="B1844" s="99" t="s">
        <v>1773</v>
      </c>
      <c r="C1844" s="99" t="s">
        <v>1804</v>
      </c>
    </row>
    <row r="1846" spans="1:12">
      <c r="A1846">
        <v>3</v>
      </c>
      <c r="B1846" s="99" t="s">
        <v>247</v>
      </c>
    </row>
    <row r="1847" spans="1:12">
      <c r="B1847" s="99" t="s">
        <v>1227</v>
      </c>
      <c r="E1847" s="99" t="s">
        <v>1832</v>
      </c>
      <c r="H1847" s="99" t="s">
        <v>1520</v>
      </c>
      <c r="J1847" s="99" t="s">
        <v>1833</v>
      </c>
      <c r="L1847" s="99" t="s">
        <v>1834</v>
      </c>
    </row>
    <row r="1848" spans="1:12">
      <c r="B1848" s="99" t="s">
        <v>3</v>
      </c>
      <c r="C1848">
        <v>1</v>
      </c>
      <c r="E1848">
        <v>0</v>
      </c>
      <c r="H1848">
        <v>2</v>
      </c>
      <c r="K1848">
        <v>2</v>
      </c>
    </row>
    <row r="1849" spans="1:12">
      <c r="B1849" s="99" t="s">
        <v>2</v>
      </c>
      <c r="C1849">
        <v>1</v>
      </c>
      <c r="E1849">
        <v>0</v>
      </c>
      <c r="H1849">
        <v>3</v>
      </c>
      <c r="K1849">
        <v>3</v>
      </c>
    </row>
    <row r="1850" spans="1:12">
      <c r="B1850" s="99" t="s">
        <v>1831</v>
      </c>
      <c r="C1850">
        <v>1</v>
      </c>
      <c r="E1850">
        <v>1</v>
      </c>
      <c r="H1850">
        <v>0</v>
      </c>
      <c r="K1850">
        <v>2</v>
      </c>
    </row>
    <row r="1851" spans="1:12">
      <c r="B1851" s="99" t="s">
        <v>6</v>
      </c>
      <c r="C1851">
        <v>1</v>
      </c>
      <c r="E1851">
        <v>6</v>
      </c>
      <c r="H1851">
        <v>4</v>
      </c>
      <c r="K1851">
        <v>3</v>
      </c>
    </row>
    <row r="1852" spans="1:12">
      <c r="B1852" s="99" t="s">
        <v>9</v>
      </c>
      <c r="C1852">
        <v>2</v>
      </c>
      <c r="E1852">
        <v>5</v>
      </c>
      <c r="H1852">
        <v>5</v>
      </c>
      <c r="K1852">
        <v>2</v>
      </c>
    </row>
    <row r="1853" spans="1:12">
      <c r="B1853" s="99" t="s">
        <v>1</v>
      </c>
      <c r="C1853">
        <v>1</v>
      </c>
      <c r="E1853">
        <v>0</v>
      </c>
      <c r="H1853">
        <v>2</v>
      </c>
      <c r="K1853">
        <v>0</v>
      </c>
    </row>
    <row r="1855" spans="1:12">
      <c r="A1855" s="30"/>
      <c r="B1855" s="30" t="s">
        <v>1835</v>
      </c>
      <c r="C1855" s="30"/>
      <c r="D1855" s="30"/>
      <c r="E1855" s="30"/>
    </row>
    <row r="1856" spans="1:12">
      <c r="A1856" s="30">
        <v>1</v>
      </c>
      <c r="B1856" s="30" t="s">
        <v>661</v>
      </c>
      <c r="C1856" s="30"/>
    </row>
    <row r="1857" spans="1:12">
      <c r="B1857" s="100" t="s">
        <v>1</v>
      </c>
      <c r="C1857">
        <v>3468</v>
      </c>
      <c r="D1857" t="s">
        <v>6</v>
      </c>
      <c r="E1857">
        <v>4616</v>
      </c>
    </row>
    <row r="1858" spans="1:12">
      <c r="B1858" s="100" t="s">
        <v>2</v>
      </c>
      <c r="C1858">
        <v>3169</v>
      </c>
      <c r="D1858" t="s">
        <v>9</v>
      </c>
      <c r="E1858">
        <v>1435</v>
      </c>
    </row>
    <row r="1859" spans="1:12">
      <c r="B1859" s="100" t="s">
        <v>3</v>
      </c>
      <c r="C1859">
        <v>369</v>
      </c>
      <c r="D1859" t="s">
        <v>11</v>
      </c>
      <c r="E1859">
        <v>1051</v>
      </c>
    </row>
    <row r="1860" spans="1:12">
      <c r="B1860" s="100" t="s">
        <v>1619</v>
      </c>
      <c r="C1860">
        <v>0</v>
      </c>
    </row>
    <row r="1861" spans="1:12">
      <c r="B1861" s="100" t="s">
        <v>465</v>
      </c>
      <c r="C1861">
        <v>160</v>
      </c>
    </row>
    <row r="1862" spans="1:12">
      <c r="B1862" s="100" t="s">
        <v>1654</v>
      </c>
    </row>
    <row r="1863" spans="1:12">
      <c r="A1863" s="30">
        <v>2</v>
      </c>
      <c r="B1863" s="30" t="s">
        <v>49</v>
      </c>
      <c r="C1863" s="30"/>
      <c r="D1863" s="30"/>
      <c r="E1863" s="30"/>
      <c r="F1863" s="30"/>
      <c r="G1863" s="30"/>
      <c r="H1863" s="30"/>
      <c r="I1863" s="30"/>
      <c r="J1863" s="30"/>
      <c r="K1863" s="30"/>
    </row>
    <row r="1864" spans="1:12">
      <c r="A1864" s="30"/>
      <c r="B1864" s="30" t="s">
        <v>1</v>
      </c>
      <c r="C1864" s="30" t="s">
        <v>1837</v>
      </c>
      <c r="D1864" s="30"/>
      <c r="E1864" s="30" t="s">
        <v>6</v>
      </c>
      <c r="F1864" s="30"/>
      <c r="G1864" s="30" t="s">
        <v>1837</v>
      </c>
      <c r="H1864" s="30"/>
      <c r="I1864" s="30" t="s">
        <v>9</v>
      </c>
      <c r="J1864" s="30"/>
      <c r="K1864" s="30" t="s">
        <v>1838</v>
      </c>
    </row>
    <row r="1865" spans="1:12">
      <c r="B1865" s="100" t="s">
        <v>1680</v>
      </c>
      <c r="C1865" t="s">
        <v>1784</v>
      </c>
      <c r="E1865" t="s">
        <v>192</v>
      </c>
      <c r="F1865" t="s">
        <v>311</v>
      </c>
      <c r="G1865" t="s">
        <v>5</v>
      </c>
      <c r="I1865" t="s">
        <v>192</v>
      </c>
      <c r="K1865" t="s">
        <v>1839</v>
      </c>
    </row>
    <row r="1866" spans="1:12">
      <c r="B1866" s="100" t="s">
        <v>1776</v>
      </c>
      <c r="C1866" t="s">
        <v>1706</v>
      </c>
      <c r="E1866" t="s">
        <v>192</v>
      </c>
      <c r="F1866" t="s">
        <v>119</v>
      </c>
      <c r="G1866" t="s">
        <v>1827</v>
      </c>
      <c r="I1866" t="s">
        <v>192</v>
      </c>
      <c r="K1866" t="s">
        <v>1828</v>
      </c>
    </row>
    <row r="1867" spans="1:12">
      <c r="B1867" s="100" t="s">
        <v>1836</v>
      </c>
      <c r="C1867" t="s">
        <v>1706</v>
      </c>
      <c r="E1867" t="s">
        <v>1546</v>
      </c>
      <c r="G1867" t="s">
        <v>1827</v>
      </c>
    </row>
    <row r="1868" spans="1:12">
      <c r="B1868" s="100" t="s">
        <v>2</v>
      </c>
      <c r="E1868" t="s">
        <v>1546</v>
      </c>
      <c r="G1868" t="s">
        <v>903</v>
      </c>
      <c r="I1868" t="s">
        <v>1840</v>
      </c>
    </row>
    <row r="1869" spans="1:12">
      <c r="B1869" s="100" t="s">
        <v>1773</v>
      </c>
      <c r="C1869" t="s">
        <v>1811</v>
      </c>
      <c r="E1869" t="s">
        <v>1842</v>
      </c>
      <c r="I1869" t="s">
        <v>1841</v>
      </c>
    </row>
    <row r="1870" spans="1:12">
      <c r="A1870" s="30"/>
      <c r="B1870" s="30"/>
      <c r="C1870" s="30"/>
      <c r="D1870" s="30"/>
      <c r="E1870" s="30"/>
      <c r="F1870" s="30"/>
      <c r="G1870" s="30"/>
      <c r="H1870" s="30"/>
      <c r="I1870" s="30"/>
      <c r="J1870" s="30"/>
      <c r="K1870" s="30"/>
      <c r="L1870" s="30"/>
    </row>
    <row r="1871" spans="1:12">
      <c r="A1871" s="30">
        <v>3</v>
      </c>
      <c r="B1871" s="30" t="s">
        <v>247</v>
      </c>
      <c r="C1871" s="30"/>
      <c r="D1871" s="30"/>
      <c r="E1871" s="30"/>
      <c r="F1871" s="30"/>
      <c r="G1871" s="30"/>
      <c r="H1871" s="30"/>
      <c r="I1871" s="30"/>
      <c r="J1871" s="30"/>
      <c r="K1871" s="30"/>
      <c r="L1871" s="30"/>
    </row>
    <row r="1872" spans="1:12">
      <c r="A1872" s="30"/>
      <c r="B1872" s="30" t="s">
        <v>1227</v>
      </c>
      <c r="C1872" s="30"/>
      <c r="D1872" s="30" t="s">
        <v>1518</v>
      </c>
      <c r="E1872" s="30"/>
      <c r="F1872" s="30"/>
      <c r="G1872" s="30" t="s">
        <v>1520</v>
      </c>
      <c r="H1872" s="30"/>
      <c r="I1872" s="30"/>
      <c r="J1872" s="30" t="s">
        <v>1843</v>
      </c>
      <c r="K1872" s="30"/>
      <c r="L1872" s="30"/>
    </row>
    <row r="1873" spans="1:10">
      <c r="B1873" s="100" t="s">
        <v>1</v>
      </c>
      <c r="C1873">
        <v>0</v>
      </c>
      <c r="E1873">
        <v>1</v>
      </c>
      <c r="G1873">
        <v>4</v>
      </c>
      <c r="J1873">
        <v>0</v>
      </c>
    </row>
    <row r="1874" spans="1:10">
      <c r="B1874" s="100" t="s">
        <v>2</v>
      </c>
      <c r="C1874">
        <v>4</v>
      </c>
      <c r="E1874">
        <v>0</v>
      </c>
      <c r="G1874">
        <v>3</v>
      </c>
      <c r="J1874">
        <v>6</v>
      </c>
    </row>
    <row r="1875" spans="1:10">
      <c r="B1875" s="100" t="s">
        <v>3</v>
      </c>
      <c r="C1875">
        <v>0</v>
      </c>
      <c r="E1875">
        <v>0</v>
      </c>
      <c r="G1875">
        <v>0</v>
      </c>
      <c r="J1875">
        <v>0</v>
      </c>
    </row>
    <row r="1876" spans="1:10">
      <c r="B1876" s="100" t="s">
        <v>6</v>
      </c>
      <c r="C1876">
        <v>0</v>
      </c>
      <c r="E1876">
        <v>2</v>
      </c>
      <c r="G1876">
        <v>2</v>
      </c>
      <c r="J1876">
        <v>3</v>
      </c>
    </row>
    <row r="1877" spans="1:10">
      <c r="B1877" s="100" t="s">
        <v>9</v>
      </c>
      <c r="C1877">
        <v>2</v>
      </c>
      <c r="E1877">
        <v>5</v>
      </c>
      <c r="G1877">
        <v>4</v>
      </c>
      <c r="J1877">
        <v>2</v>
      </c>
    </row>
    <row r="1878" spans="1:10">
      <c r="B1878" s="100" t="s">
        <v>1844</v>
      </c>
      <c r="C1878">
        <v>1</v>
      </c>
      <c r="E1878">
        <v>0</v>
      </c>
      <c r="G1878">
        <v>0</v>
      </c>
      <c r="J1878">
        <v>2</v>
      </c>
    </row>
    <row r="1879" spans="1:10">
      <c r="B1879" s="100" t="s">
        <v>1831</v>
      </c>
      <c r="C1879">
        <v>0</v>
      </c>
      <c r="E1879">
        <v>1</v>
      </c>
      <c r="G1879">
        <v>0</v>
      </c>
      <c r="J1879">
        <v>0</v>
      </c>
    </row>
    <row r="1881" spans="1:10">
      <c r="A1881" s="31"/>
      <c r="B1881" s="31" t="s">
        <v>1845</v>
      </c>
      <c r="C1881" s="31"/>
      <c r="D1881" s="31"/>
      <c r="E1881" s="31"/>
    </row>
    <row r="1882" spans="1:10">
      <c r="A1882" s="30">
        <v>1</v>
      </c>
      <c r="B1882" s="30" t="s">
        <v>661</v>
      </c>
      <c r="C1882" s="30"/>
    </row>
    <row r="1883" spans="1:10">
      <c r="B1883" s="102" t="s">
        <v>1</v>
      </c>
      <c r="C1883">
        <v>6378</v>
      </c>
      <c r="D1883" t="s">
        <v>6</v>
      </c>
      <c r="E1883">
        <v>3580</v>
      </c>
    </row>
    <row r="1884" spans="1:10">
      <c r="B1884" s="102" t="s">
        <v>2</v>
      </c>
      <c r="C1884">
        <v>2168</v>
      </c>
      <c r="D1884" t="s">
        <v>9</v>
      </c>
      <c r="E1884">
        <v>1536</v>
      </c>
    </row>
    <row r="1885" spans="1:10">
      <c r="B1885" s="102" t="s">
        <v>3</v>
      </c>
      <c r="C1885">
        <v>388</v>
      </c>
      <c r="D1885" t="s">
        <v>11</v>
      </c>
      <c r="E1885">
        <v>2372</v>
      </c>
    </row>
    <row r="1886" spans="1:10">
      <c r="B1886" s="102" t="s">
        <v>465</v>
      </c>
      <c r="C1886">
        <v>152</v>
      </c>
    </row>
    <row r="1887" spans="1:10">
      <c r="B1887" s="102" t="s">
        <v>1619</v>
      </c>
      <c r="C1887">
        <v>0</v>
      </c>
    </row>
    <row r="1888" spans="1:10">
      <c r="A1888" s="30">
        <v>2</v>
      </c>
      <c r="B1888" s="30" t="s">
        <v>49</v>
      </c>
      <c r="C1888" s="30"/>
    </row>
    <row r="1889" spans="1:10">
      <c r="A1889" s="30"/>
      <c r="B1889" s="30" t="s">
        <v>1</v>
      </c>
      <c r="C1889" s="30" t="s">
        <v>1837</v>
      </c>
      <c r="D1889" s="30" t="s">
        <v>1850</v>
      </c>
      <c r="E1889" s="30"/>
      <c r="F1889" s="30" t="s">
        <v>6</v>
      </c>
      <c r="G1889" s="30" t="s">
        <v>1837</v>
      </c>
      <c r="H1889" s="30"/>
      <c r="I1889" s="30" t="s">
        <v>9</v>
      </c>
      <c r="J1889" s="30" t="s">
        <v>1837</v>
      </c>
    </row>
    <row r="1890" spans="1:10">
      <c r="B1890" s="102" t="s">
        <v>1846</v>
      </c>
      <c r="C1890" t="s">
        <v>1847</v>
      </c>
      <c r="D1890" t="s">
        <v>1851</v>
      </c>
      <c r="F1890" t="s">
        <v>192</v>
      </c>
      <c r="G1890" t="s">
        <v>1827</v>
      </c>
      <c r="I1890" t="s">
        <v>1852</v>
      </c>
    </row>
    <row r="1891" spans="1:10">
      <c r="B1891" s="102" t="s">
        <v>1680</v>
      </c>
      <c r="C1891" t="s">
        <v>1848</v>
      </c>
      <c r="D1891" t="s">
        <v>1851</v>
      </c>
      <c r="F1891" t="s">
        <v>192</v>
      </c>
      <c r="G1891" t="s">
        <v>1770</v>
      </c>
      <c r="I1891" t="s">
        <v>1853</v>
      </c>
    </row>
    <row r="1892" spans="1:10">
      <c r="A1892" s="30"/>
      <c r="B1892" s="30" t="s">
        <v>2</v>
      </c>
      <c r="C1892" s="30" t="s">
        <v>1837</v>
      </c>
      <c r="F1892" t="s">
        <v>1546</v>
      </c>
      <c r="G1892" t="s">
        <v>1793</v>
      </c>
      <c r="I1892" t="s">
        <v>1747</v>
      </c>
      <c r="J1892" t="s">
        <v>1855</v>
      </c>
    </row>
    <row r="1893" spans="1:10">
      <c r="B1893" s="102" t="s">
        <v>1817</v>
      </c>
      <c r="C1893" t="s">
        <v>1811</v>
      </c>
      <c r="D1893" t="s">
        <v>1851</v>
      </c>
      <c r="F1893" s="30"/>
      <c r="I1893" t="s">
        <v>1856</v>
      </c>
    </row>
    <row r="1894" spans="1:10">
      <c r="B1894" s="102" t="s">
        <v>1817</v>
      </c>
      <c r="C1894" t="s">
        <v>1814</v>
      </c>
      <c r="D1894" t="s">
        <v>1851</v>
      </c>
    </row>
    <row r="1895" spans="1:10">
      <c r="B1895" s="102" t="s">
        <v>1817</v>
      </c>
      <c r="C1895" t="s">
        <v>1849</v>
      </c>
      <c r="D1895" t="s">
        <v>1851</v>
      </c>
    </row>
    <row r="1896" spans="1:10">
      <c r="A1896" s="30">
        <v>3</v>
      </c>
      <c r="B1896" s="30" t="s">
        <v>247</v>
      </c>
      <c r="C1896" s="30"/>
      <c r="D1896" s="30"/>
      <c r="E1896" s="30"/>
      <c r="F1896" s="30"/>
      <c r="G1896" s="30"/>
      <c r="H1896" s="30"/>
      <c r="I1896" s="30"/>
      <c r="J1896" s="30"/>
    </row>
    <row r="1897" spans="1:10">
      <c r="A1897" s="30"/>
      <c r="B1897" s="30" t="s">
        <v>1227</v>
      </c>
      <c r="C1897" s="30"/>
      <c r="D1897" s="30" t="s">
        <v>1518</v>
      </c>
      <c r="E1897" s="30"/>
      <c r="F1897" s="30" t="s">
        <v>1520</v>
      </c>
      <c r="G1897" s="30"/>
      <c r="H1897" s="30" t="s">
        <v>1854</v>
      </c>
      <c r="I1897" s="30"/>
      <c r="J1897" s="30"/>
    </row>
    <row r="1898" spans="1:10">
      <c r="B1898" s="102" t="s">
        <v>1</v>
      </c>
      <c r="C1898">
        <v>0</v>
      </c>
      <c r="D1898">
        <v>0</v>
      </c>
      <c r="F1898">
        <v>3</v>
      </c>
      <c r="H1898">
        <v>0</v>
      </c>
    </row>
    <row r="1899" spans="1:10">
      <c r="B1899" s="102" t="s">
        <v>2</v>
      </c>
      <c r="C1899">
        <v>8</v>
      </c>
      <c r="D1899">
        <v>0</v>
      </c>
      <c r="F1899">
        <v>2</v>
      </c>
      <c r="H1899">
        <v>8</v>
      </c>
    </row>
    <row r="1900" spans="1:10">
      <c r="B1900" s="102" t="s">
        <v>3</v>
      </c>
      <c r="C1900">
        <v>0</v>
      </c>
      <c r="D1900">
        <v>0</v>
      </c>
      <c r="F1900">
        <v>0</v>
      </c>
      <c r="H1900">
        <v>0</v>
      </c>
    </row>
    <row r="1901" spans="1:10">
      <c r="B1901" s="102" t="s">
        <v>6</v>
      </c>
      <c r="C1901">
        <v>0</v>
      </c>
      <c r="D1901">
        <v>0</v>
      </c>
      <c r="F1901">
        <v>3</v>
      </c>
      <c r="H1901">
        <v>0</v>
      </c>
    </row>
    <row r="1902" spans="1:10">
      <c r="B1902" s="102" t="s">
        <v>9</v>
      </c>
      <c r="C1902">
        <v>0</v>
      </c>
      <c r="D1902">
        <v>4</v>
      </c>
      <c r="F1902">
        <v>0</v>
      </c>
      <c r="H1902">
        <v>2</v>
      </c>
    </row>
    <row r="1903" spans="1:10">
      <c r="B1903" s="102" t="s">
        <v>1844</v>
      </c>
      <c r="C1903">
        <v>3</v>
      </c>
      <c r="D1903">
        <v>0</v>
      </c>
      <c r="F1903">
        <v>0</v>
      </c>
      <c r="H1903">
        <v>2</v>
      </c>
    </row>
    <row r="1904" spans="1:10">
      <c r="B1904" s="102" t="s">
        <v>1831</v>
      </c>
      <c r="C1904">
        <v>0</v>
      </c>
      <c r="D1904">
        <v>1</v>
      </c>
      <c r="F1904">
        <v>1</v>
      </c>
      <c r="H1904">
        <v>0</v>
      </c>
    </row>
    <row r="1906" spans="1:5">
      <c r="A1906" s="30"/>
      <c r="B1906" s="30" t="s">
        <v>1857</v>
      </c>
      <c r="C1906" s="30"/>
      <c r="D1906" s="30"/>
      <c r="E1906" s="30"/>
    </row>
    <row r="1907" spans="1:5">
      <c r="A1907" s="30">
        <v>1</v>
      </c>
      <c r="B1907" s="30" t="s">
        <v>661</v>
      </c>
      <c r="C1907" s="30"/>
      <c r="D1907" s="30"/>
      <c r="E1907" s="30"/>
    </row>
    <row r="1908" spans="1:5">
      <c r="B1908" s="30" t="s">
        <v>1</v>
      </c>
      <c r="C1908">
        <v>6895</v>
      </c>
      <c r="D1908" s="30" t="s">
        <v>6</v>
      </c>
      <c r="E1908">
        <v>4666</v>
      </c>
    </row>
    <row r="1909" spans="1:5">
      <c r="B1909" s="30" t="s">
        <v>2</v>
      </c>
      <c r="C1909">
        <v>3412</v>
      </c>
      <c r="D1909" s="30" t="s">
        <v>9</v>
      </c>
      <c r="E1909">
        <v>3136</v>
      </c>
    </row>
    <row r="1910" spans="1:5">
      <c r="B1910" s="30" t="s">
        <v>3</v>
      </c>
      <c r="C1910">
        <v>372</v>
      </c>
      <c r="D1910" s="30" t="s">
        <v>11</v>
      </c>
      <c r="E1910">
        <v>1433</v>
      </c>
    </row>
    <row r="1911" spans="1:5">
      <c r="B1911" s="30" t="s">
        <v>465</v>
      </c>
      <c r="C1911">
        <v>152</v>
      </c>
    </row>
    <row r="1912" spans="1:5">
      <c r="B1912" s="30" t="s">
        <v>1619</v>
      </c>
      <c r="C1912">
        <v>0</v>
      </c>
    </row>
    <row r="1913" spans="1:5">
      <c r="A1913" s="30">
        <v>2</v>
      </c>
      <c r="B1913" s="30" t="s">
        <v>49</v>
      </c>
      <c r="C1913" s="30"/>
    </row>
    <row r="1914" spans="1:5">
      <c r="B1914" s="103" t="s">
        <v>1</v>
      </c>
      <c r="D1914" t="s">
        <v>6</v>
      </c>
    </row>
    <row r="1915" spans="1:5">
      <c r="B1915" s="103" t="s">
        <v>1781</v>
      </c>
      <c r="C1915" t="s">
        <v>1859</v>
      </c>
      <c r="D1915" t="s">
        <v>192</v>
      </c>
      <c r="E1915" t="s">
        <v>486</v>
      </c>
    </row>
    <row r="1916" spans="1:5">
      <c r="B1916" s="103" t="s">
        <v>1858</v>
      </c>
      <c r="C1916" t="s">
        <v>1768</v>
      </c>
      <c r="D1916" t="s">
        <v>192</v>
      </c>
      <c r="E1916" t="s">
        <v>903</v>
      </c>
    </row>
    <row r="1917" spans="1:5">
      <c r="B1917" s="103" t="s">
        <v>2</v>
      </c>
      <c r="D1917" t="s">
        <v>1747</v>
      </c>
      <c r="E1917" t="s">
        <v>903</v>
      </c>
    </row>
    <row r="1918" spans="1:5">
      <c r="B1918" s="103" t="s">
        <v>192</v>
      </c>
      <c r="C1918" t="s">
        <v>1824</v>
      </c>
      <c r="D1918" t="s">
        <v>9</v>
      </c>
    </row>
    <row r="1919" spans="1:5">
      <c r="B1919" s="103" t="s">
        <v>1860</v>
      </c>
      <c r="D1919" t="s">
        <v>1680</v>
      </c>
      <c r="E1919" t="s">
        <v>1748</v>
      </c>
    </row>
    <row r="1920" spans="1:5">
      <c r="B1920" s="103" t="s">
        <v>1817</v>
      </c>
      <c r="C1920" t="s">
        <v>1818</v>
      </c>
      <c r="D1920" t="s">
        <v>192</v>
      </c>
      <c r="E1920" t="s">
        <v>423</v>
      </c>
    </row>
    <row r="1922" spans="1:6">
      <c r="A1922" s="30"/>
      <c r="B1922" s="30" t="s">
        <v>1861</v>
      </c>
      <c r="C1922" s="30"/>
      <c r="D1922" s="30"/>
      <c r="E1922" s="30"/>
    </row>
    <row r="1923" spans="1:6">
      <c r="A1923" s="30">
        <v>1</v>
      </c>
      <c r="B1923" s="30" t="s">
        <v>661</v>
      </c>
      <c r="C1923" s="30"/>
      <c r="D1923" s="30"/>
      <c r="E1923" s="30"/>
    </row>
    <row r="1924" spans="1:6">
      <c r="B1924" s="30" t="s">
        <v>1</v>
      </c>
      <c r="C1924">
        <v>4134</v>
      </c>
      <c r="D1924" s="30" t="s">
        <v>6</v>
      </c>
      <c r="E1924">
        <v>3826</v>
      </c>
    </row>
    <row r="1925" spans="1:6">
      <c r="B1925" s="30" t="s">
        <v>2</v>
      </c>
      <c r="C1925">
        <v>1361</v>
      </c>
      <c r="D1925" s="30" t="s">
        <v>9</v>
      </c>
      <c r="E1925">
        <v>3112</v>
      </c>
    </row>
    <row r="1926" spans="1:6">
      <c r="B1926" s="30" t="s">
        <v>3</v>
      </c>
      <c r="C1926">
        <v>390</v>
      </c>
      <c r="D1926" s="30" t="s">
        <v>11</v>
      </c>
      <c r="E1926">
        <v>2114</v>
      </c>
    </row>
    <row r="1927" spans="1:6">
      <c r="B1927" s="30" t="s">
        <v>1619</v>
      </c>
      <c r="C1927">
        <v>0</v>
      </c>
    </row>
    <row r="1928" spans="1:6">
      <c r="B1928" s="30" t="s">
        <v>465</v>
      </c>
      <c r="C1928">
        <v>160</v>
      </c>
    </row>
    <row r="1929" spans="1:6">
      <c r="B1929" s="104" t="s">
        <v>1862</v>
      </c>
      <c r="D1929">
        <v>15110</v>
      </c>
    </row>
    <row r="1930" spans="1:6">
      <c r="A1930" s="30">
        <v>2</v>
      </c>
      <c r="B1930" s="30" t="s">
        <v>49</v>
      </c>
      <c r="C1930" s="30"/>
      <c r="D1930" s="30"/>
      <c r="E1930" s="30"/>
      <c r="F1930" s="30"/>
    </row>
    <row r="1931" spans="1:6">
      <c r="A1931" s="30"/>
      <c r="B1931" s="30" t="s">
        <v>1</v>
      </c>
      <c r="C1931" s="30" t="s">
        <v>1837</v>
      </c>
      <c r="D1931" s="30"/>
      <c r="E1931" s="30" t="s">
        <v>6</v>
      </c>
      <c r="F1931" s="30" t="s">
        <v>1838</v>
      </c>
    </row>
    <row r="1932" spans="1:6">
      <c r="B1932" s="104" t="s">
        <v>1674</v>
      </c>
      <c r="C1932" s="104" t="s">
        <v>1784</v>
      </c>
      <c r="E1932" s="104" t="s">
        <v>192</v>
      </c>
      <c r="F1932" s="104" t="s">
        <v>1770</v>
      </c>
    </row>
    <row r="1933" spans="1:6">
      <c r="B1933" s="104" t="s">
        <v>1680</v>
      </c>
      <c r="C1933" s="105" t="s">
        <v>1863</v>
      </c>
      <c r="E1933" s="104" t="s">
        <v>192</v>
      </c>
      <c r="F1933" s="104" t="s">
        <v>486</v>
      </c>
    </row>
    <row r="1934" spans="1:6">
      <c r="B1934" s="104" t="s">
        <v>2</v>
      </c>
      <c r="E1934" s="104" t="s">
        <v>9</v>
      </c>
      <c r="F1934" s="104" t="s">
        <v>1837</v>
      </c>
    </row>
    <row r="1935" spans="1:6">
      <c r="B1935" s="104" t="s">
        <v>192</v>
      </c>
      <c r="C1935" s="104" t="s">
        <v>1864</v>
      </c>
      <c r="E1935" s="104" t="s">
        <v>192</v>
      </c>
      <c r="F1935" s="104" t="s">
        <v>1865</v>
      </c>
    </row>
    <row r="1937" spans="1:6">
      <c r="A1937" s="22"/>
      <c r="B1937" s="22" t="s">
        <v>1866</v>
      </c>
      <c r="C1937" s="22"/>
      <c r="D1937" s="22"/>
    </row>
    <row r="1938" spans="1:6">
      <c r="A1938" s="22"/>
      <c r="B1938" s="22" t="s">
        <v>661</v>
      </c>
      <c r="C1938" s="22"/>
      <c r="D1938" s="22"/>
    </row>
    <row r="1939" spans="1:6">
      <c r="B1939" s="106" t="s">
        <v>1</v>
      </c>
      <c r="C1939">
        <v>4418</v>
      </c>
      <c r="D1939" t="s">
        <v>6</v>
      </c>
      <c r="E1939">
        <v>3804</v>
      </c>
    </row>
    <row r="1940" spans="1:6">
      <c r="B1940" s="106" t="s">
        <v>2</v>
      </c>
      <c r="C1940">
        <v>175</v>
      </c>
      <c r="D1940" t="s">
        <v>9</v>
      </c>
      <c r="E1940">
        <v>2836</v>
      </c>
    </row>
    <row r="1941" spans="1:6">
      <c r="B1941" s="106" t="s">
        <v>3</v>
      </c>
      <c r="C1941">
        <v>277</v>
      </c>
      <c r="D1941" t="s">
        <v>11</v>
      </c>
      <c r="E1941">
        <v>0</v>
      </c>
    </row>
    <row r="1942" spans="1:6">
      <c r="B1942" s="106" t="s">
        <v>465</v>
      </c>
      <c r="C1942">
        <v>0</v>
      </c>
    </row>
    <row r="1943" spans="1:6">
      <c r="B1943" s="106" t="s">
        <v>1619</v>
      </c>
      <c r="C1943">
        <v>189</v>
      </c>
    </row>
    <row r="1944" spans="1:6">
      <c r="B1944" s="106" t="s">
        <v>1867</v>
      </c>
    </row>
    <row r="1946" spans="1:6">
      <c r="A1946" s="30"/>
      <c r="B1946" s="30" t="s">
        <v>1868</v>
      </c>
      <c r="C1946" s="30"/>
      <c r="D1946" s="30"/>
    </row>
    <row r="1947" spans="1:6">
      <c r="A1947" s="30">
        <v>1</v>
      </c>
      <c r="B1947" s="30" t="s">
        <v>661</v>
      </c>
      <c r="C1947" s="30"/>
      <c r="D1947" s="30"/>
      <c r="E1947" s="30"/>
    </row>
    <row r="1948" spans="1:6">
      <c r="B1948" s="30" t="s">
        <v>1</v>
      </c>
      <c r="C1948">
        <v>7169</v>
      </c>
      <c r="E1948" s="30" t="s">
        <v>6</v>
      </c>
      <c r="F1948">
        <v>3907</v>
      </c>
    </row>
    <row r="1949" spans="1:6">
      <c r="B1949" s="30" t="s">
        <v>2</v>
      </c>
      <c r="C1949">
        <v>1601</v>
      </c>
      <c r="E1949" s="30" t="s">
        <v>9</v>
      </c>
      <c r="F1949">
        <v>1335</v>
      </c>
    </row>
    <row r="1950" spans="1:6">
      <c r="B1950" s="30" t="s">
        <v>3</v>
      </c>
      <c r="C1950">
        <v>503</v>
      </c>
      <c r="E1950" s="30" t="s">
        <v>11</v>
      </c>
      <c r="F1950">
        <v>297</v>
      </c>
    </row>
    <row r="1951" spans="1:6">
      <c r="B1951" s="30" t="s">
        <v>465</v>
      </c>
      <c r="C1951">
        <v>190</v>
      </c>
    </row>
    <row r="1952" spans="1:6">
      <c r="B1952" s="30" t="s">
        <v>1619</v>
      </c>
      <c r="C1952">
        <v>0</v>
      </c>
    </row>
    <row r="1953" spans="1:8">
      <c r="B1953" s="107" t="s">
        <v>430</v>
      </c>
      <c r="C1953">
        <v>15002</v>
      </c>
    </row>
    <row r="1954" spans="1:8">
      <c r="B1954" s="107" t="s">
        <v>1869</v>
      </c>
    </row>
    <row r="1955" spans="1:8">
      <c r="A1955" s="30">
        <v>2</v>
      </c>
      <c r="B1955" s="30" t="s">
        <v>49</v>
      </c>
      <c r="C1955" s="30"/>
    </row>
    <row r="1956" spans="1:8">
      <c r="B1956" s="30" t="s">
        <v>1</v>
      </c>
      <c r="C1956" s="107" t="s">
        <v>1878</v>
      </c>
      <c r="E1956" s="30" t="s">
        <v>6</v>
      </c>
      <c r="F1956" t="s">
        <v>1875</v>
      </c>
      <c r="G1956" t="s">
        <v>1770</v>
      </c>
    </row>
    <row r="1957" spans="1:8">
      <c r="B1957" s="30" t="s">
        <v>2</v>
      </c>
      <c r="E1957" s="30"/>
      <c r="F1957" t="s">
        <v>1876</v>
      </c>
      <c r="G1957" t="s">
        <v>1827</v>
      </c>
    </row>
    <row r="1958" spans="1:8">
      <c r="B1958" s="30" t="s">
        <v>1870</v>
      </c>
      <c r="C1958" t="s">
        <v>1817</v>
      </c>
      <c r="E1958" s="30"/>
      <c r="F1958" t="s">
        <v>1877</v>
      </c>
      <c r="G1958" t="s">
        <v>903</v>
      </c>
    </row>
    <row r="1959" spans="1:8">
      <c r="B1959" s="30" t="s">
        <v>1871</v>
      </c>
      <c r="C1959" t="s">
        <v>1817</v>
      </c>
      <c r="E1959" s="30" t="s">
        <v>9</v>
      </c>
      <c r="F1959" s="107" t="s">
        <v>1878</v>
      </c>
    </row>
    <row r="1960" spans="1:8">
      <c r="B1960" s="30" t="s">
        <v>3</v>
      </c>
      <c r="C1960" t="s">
        <v>1872</v>
      </c>
    </row>
    <row r="1962" spans="1:8">
      <c r="A1962" s="30">
        <v>3</v>
      </c>
      <c r="B1962" s="30" t="s">
        <v>247</v>
      </c>
      <c r="C1962" s="30"/>
      <c r="D1962" s="30"/>
      <c r="E1962" s="30"/>
      <c r="F1962" s="30"/>
      <c r="G1962" s="30"/>
      <c r="H1962" s="30"/>
    </row>
    <row r="1963" spans="1:8">
      <c r="A1963" s="30"/>
      <c r="B1963" s="30" t="s">
        <v>1873</v>
      </c>
      <c r="C1963" s="30"/>
      <c r="D1963" s="30" t="s">
        <v>1518</v>
      </c>
      <c r="E1963" s="30"/>
      <c r="F1963" s="30" t="s">
        <v>1874</v>
      </c>
      <c r="G1963" s="30"/>
      <c r="H1963" s="30"/>
    </row>
    <row r="1964" spans="1:8">
      <c r="B1964" s="30" t="s">
        <v>1</v>
      </c>
      <c r="C1964">
        <v>0</v>
      </c>
      <c r="E1964">
        <v>3</v>
      </c>
      <c r="G1964">
        <v>15</v>
      </c>
    </row>
    <row r="1965" spans="1:8">
      <c r="B1965" s="30" t="s">
        <v>2</v>
      </c>
      <c r="C1965">
        <v>6</v>
      </c>
      <c r="E1965">
        <v>4</v>
      </c>
      <c r="G1965">
        <v>0</v>
      </c>
    </row>
    <row r="1966" spans="1:8">
      <c r="B1966" s="30" t="s">
        <v>3</v>
      </c>
      <c r="C1966">
        <v>1</v>
      </c>
      <c r="E1966">
        <v>0</v>
      </c>
      <c r="G1966">
        <v>0</v>
      </c>
    </row>
    <row r="1967" spans="1:8">
      <c r="B1967" s="30" t="s">
        <v>6</v>
      </c>
      <c r="C1967">
        <v>0</v>
      </c>
      <c r="E1967">
        <v>0</v>
      </c>
      <c r="G1967">
        <v>0</v>
      </c>
    </row>
    <row r="1968" spans="1:8">
      <c r="B1968" s="30" t="s">
        <v>9</v>
      </c>
      <c r="C1968">
        <v>0</v>
      </c>
      <c r="E1968">
        <v>6</v>
      </c>
      <c r="G1968">
        <v>0</v>
      </c>
    </row>
    <row r="1969" spans="2:7">
      <c r="B1969" s="30" t="s">
        <v>1831</v>
      </c>
      <c r="C1969">
        <v>1</v>
      </c>
      <c r="E1969">
        <v>0</v>
      </c>
      <c r="G1969">
        <v>15</v>
      </c>
    </row>
    <row r="1971" spans="2:7">
      <c r="B1971" s="30" t="s">
        <v>1879</v>
      </c>
    </row>
    <row r="1972" spans="2:7">
      <c r="B1972" s="30" t="s">
        <v>661</v>
      </c>
    </row>
    <row r="1973" spans="2:7">
      <c r="B1973" s="30" t="s">
        <v>1</v>
      </c>
      <c r="C1973">
        <v>5947</v>
      </c>
      <c r="D1973" t="s">
        <v>6</v>
      </c>
      <c r="E1973">
        <v>5260</v>
      </c>
    </row>
    <row r="1974" spans="2:7">
      <c r="B1974" s="30" t="s">
        <v>2</v>
      </c>
      <c r="C1974">
        <v>560</v>
      </c>
      <c r="D1974" t="s">
        <v>9</v>
      </c>
      <c r="E1974">
        <v>1465</v>
      </c>
    </row>
    <row r="1975" spans="2:7">
      <c r="B1975" s="30" t="s">
        <v>3</v>
      </c>
      <c r="C1975">
        <v>356</v>
      </c>
      <c r="D1975" t="s">
        <v>11</v>
      </c>
      <c r="E1975">
        <v>0</v>
      </c>
    </row>
    <row r="1976" spans="2:7">
      <c r="B1976" s="30" t="s">
        <v>465</v>
      </c>
      <c r="C1976">
        <v>173</v>
      </c>
    </row>
    <row r="1977" spans="2:7">
      <c r="B1977" s="30" t="s">
        <v>1619</v>
      </c>
      <c r="C1977">
        <v>0</v>
      </c>
    </row>
    <row r="1978" spans="2:7">
      <c r="B1978" s="30" t="s">
        <v>466</v>
      </c>
      <c r="C1978">
        <v>13761</v>
      </c>
    </row>
    <row r="1979" spans="2:7">
      <c r="B1979" s="30" t="s">
        <v>49</v>
      </c>
    </row>
    <row r="1980" spans="2:7">
      <c r="B1980" s="30" t="s">
        <v>2</v>
      </c>
      <c r="D1980" t="s">
        <v>6</v>
      </c>
    </row>
    <row r="1981" spans="2:7">
      <c r="B1981" s="30" t="s">
        <v>1880</v>
      </c>
      <c r="D1981" t="s">
        <v>1882</v>
      </c>
    </row>
    <row r="1982" spans="2:7">
      <c r="B1982" s="30" t="s">
        <v>9</v>
      </c>
      <c r="D1982" t="s">
        <v>1877</v>
      </c>
    </row>
    <row r="1983" spans="2:7">
      <c r="B1983" s="30" t="s">
        <v>1880</v>
      </c>
    </row>
    <row r="1984" spans="2:7">
      <c r="B1984" s="30" t="s">
        <v>1881</v>
      </c>
    </row>
    <row r="1985" spans="2:6">
      <c r="B1985" s="30" t="s">
        <v>247</v>
      </c>
    </row>
    <row r="1986" spans="2:6">
      <c r="B1986" s="30" t="s">
        <v>1883</v>
      </c>
      <c r="C1986" t="s">
        <v>1873</v>
      </c>
      <c r="D1986" t="s">
        <v>1518</v>
      </c>
      <c r="F1986" t="s">
        <v>1843</v>
      </c>
    </row>
    <row r="1987" spans="2:6">
      <c r="B1987" s="30" t="s">
        <v>1</v>
      </c>
      <c r="C1987">
        <v>0</v>
      </c>
      <c r="D1987">
        <v>3</v>
      </c>
      <c r="F1987">
        <v>15</v>
      </c>
    </row>
    <row r="1988" spans="2:6">
      <c r="B1988" s="30" t="s">
        <v>2</v>
      </c>
      <c r="C1988">
        <v>6</v>
      </c>
      <c r="D1988">
        <v>3</v>
      </c>
      <c r="F1988">
        <v>12</v>
      </c>
    </row>
    <row r="1989" spans="2:6">
      <c r="B1989" s="30" t="s">
        <v>3</v>
      </c>
      <c r="C1989">
        <v>1</v>
      </c>
      <c r="D1989">
        <v>0</v>
      </c>
      <c r="F1989">
        <v>1</v>
      </c>
    </row>
    <row r="1990" spans="2:6">
      <c r="B1990" s="30" t="s">
        <v>1831</v>
      </c>
      <c r="C1990">
        <v>1</v>
      </c>
      <c r="D1990">
        <v>0</v>
      </c>
      <c r="F1990">
        <v>7</v>
      </c>
    </row>
    <row r="1991" spans="2:6">
      <c r="B1991" s="30" t="s">
        <v>9</v>
      </c>
      <c r="C1991">
        <v>1</v>
      </c>
      <c r="D1991">
        <v>1</v>
      </c>
      <c r="F1991">
        <v>2</v>
      </c>
    </row>
    <row r="1992" spans="2:6">
      <c r="B1992" s="30" t="s">
        <v>1844</v>
      </c>
      <c r="C1992">
        <v>0</v>
      </c>
      <c r="D1992">
        <v>0</v>
      </c>
      <c r="F1992">
        <v>18</v>
      </c>
    </row>
    <row r="1994" spans="2:6">
      <c r="B1994" s="30" t="s">
        <v>1884</v>
      </c>
    </row>
    <row r="1995" spans="2:6">
      <c r="B1995" s="30" t="s">
        <v>661</v>
      </c>
    </row>
    <row r="1996" spans="2:6">
      <c r="B1996" s="30" t="s">
        <v>1883</v>
      </c>
      <c r="D1996" s="30" t="s">
        <v>6</v>
      </c>
      <c r="E1996">
        <v>3780</v>
      </c>
    </row>
    <row r="1997" spans="2:6">
      <c r="B1997" s="30" t="s">
        <v>1</v>
      </c>
      <c r="C1997">
        <v>6709</v>
      </c>
      <c r="D1997" s="30" t="s">
        <v>9</v>
      </c>
      <c r="E1997">
        <v>2841</v>
      </c>
    </row>
    <row r="1998" spans="2:6">
      <c r="B1998" s="30" t="s">
        <v>2</v>
      </c>
      <c r="C1998">
        <v>3104</v>
      </c>
      <c r="D1998" s="30" t="s">
        <v>11</v>
      </c>
      <c r="E1998">
        <v>1580</v>
      </c>
    </row>
    <row r="1999" spans="2:6">
      <c r="B1999" s="30" t="s">
        <v>3</v>
      </c>
      <c r="C1999">
        <v>506</v>
      </c>
    </row>
    <row r="2000" spans="2:6">
      <c r="B2000" s="30" t="s">
        <v>465</v>
      </c>
      <c r="C2000">
        <v>203</v>
      </c>
    </row>
    <row r="2001" spans="1:6">
      <c r="B2001" s="30" t="s">
        <v>1654</v>
      </c>
      <c r="C2001">
        <v>18723</v>
      </c>
    </row>
    <row r="2003" spans="1:6">
      <c r="B2003" s="30"/>
    </row>
    <row r="2004" spans="1:6">
      <c r="B2004" s="30" t="s">
        <v>661</v>
      </c>
    </row>
    <row r="2005" spans="1:6">
      <c r="B2005" s="30" t="s">
        <v>1</v>
      </c>
      <c r="C2005">
        <v>3440</v>
      </c>
      <c r="D2005" s="30" t="s">
        <v>6</v>
      </c>
      <c r="E2005">
        <v>3871</v>
      </c>
    </row>
    <row r="2006" spans="1:6">
      <c r="B2006" s="30" t="s">
        <v>2</v>
      </c>
      <c r="C2006">
        <v>2171</v>
      </c>
      <c r="D2006" s="30" t="s">
        <v>9</v>
      </c>
      <c r="E2006">
        <v>2468</v>
      </c>
    </row>
    <row r="2007" spans="1:6">
      <c r="B2007" s="30" t="s">
        <v>3</v>
      </c>
      <c r="C2007">
        <v>400</v>
      </c>
      <c r="D2007" s="30" t="s">
        <v>11</v>
      </c>
      <c r="E2007">
        <v>1420</v>
      </c>
    </row>
    <row r="2008" spans="1:6">
      <c r="B2008" s="30" t="s">
        <v>465</v>
      </c>
      <c r="C2008">
        <v>199</v>
      </c>
    </row>
    <row r="2009" spans="1:6">
      <c r="B2009" s="30" t="s">
        <v>1619</v>
      </c>
      <c r="C2009">
        <v>0</v>
      </c>
    </row>
    <row r="2010" spans="1:6">
      <c r="B2010" s="108" t="s">
        <v>1024</v>
      </c>
      <c r="D2010">
        <v>13969</v>
      </c>
    </row>
    <row r="2012" spans="1:6">
      <c r="A2012" s="30"/>
      <c r="B2012" s="30" t="s">
        <v>49</v>
      </c>
      <c r="C2012" s="30"/>
      <c r="D2012" s="30"/>
      <c r="E2012" s="30"/>
      <c r="F2012" s="30"/>
    </row>
    <row r="2013" spans="1:6">
      <c r="A2013" s="30"/>
      <c r="B2013" s="30" t="s">
        <v>314</v>
      </c>
      <c r="C2013" s="30"/>
      <c r="D2013" s="30"/>
      <c r="E2013" s="30" t="s">
        <v>304</v>
      </c>
      <c r="F2013" s="30"/>
    </row>
    <row r="2014" spans="1:6">
      <c r="B2014" s="108" t="s">
        <v>1674</v>
      </c>
      <c r="C2014" s="108" t="s">
        <v>1</v>
      </c>
      <c r="E2014" s="108" t="s">
        <v>1888</v>
      </c>
      <c r="F2014" s="108" t="s">
        <v>1748</v>
      </c>
    </row>
    <row r="2015" spans="1:6">
      <c r="B2015" s="108" t="s">
        <v>1885</v>
      </c>
      <c r="C2015" s="108" t="s">
        <v>1886</v>
      </c>
      <c r="E2015" s="108" t="s">
        <v>1876</v>
      </c>
      <c r="F2015" s="108" t="s">
        <v>423</v>
      </c>
    </row>
    <row r="2016" spans="1:6">
      <c r="B2016" s="108" t="s">
        <v>1887</v>
      </c>
      <c r="C2016" s="108" t="s">
        <v>405</v>
      </c>
    </row>
    <row r="2017" spans="2:6">
      <c r="B2017" s="108"/>
    </row>
    <row r="2018" spans="2:6">
      <c r="B2018" s="109" t="s">
        <v>1889</v>
      </c>
    </row>
    <row r="2019" spans="2:6">
      <c r="B2019" s="30" t="s">
        <v>661</v>
      </c>
    </row>
    <row r="2020" spans="2:6">
      <c r="B2020" s="30" t="s">
        <v>1</v>
      </c>
      <c r="C2020">
        <v>2805</v>
      </c>
      <c r="D2020" s="30" t="s">
        <v>6</v>
      </c>
      <c r="E2020">
        <v>3916</v>
      </c>
    </row>
    <row r="2021" spans="2:6">
      <c r="B2021" s="30" t="s">
        <v>2</v>
      </c>
      <c r="C2021">
        <v>3272</v>
      </c>
      <c r="D2021" s="30" t="s">
        <v>9</v>
      </c>
      <c r="E2021">
        <v>1387</v>
      </c>
    </row>
    <row r="2022" spans="2:6">
      <c r="B2022" s="30" t="s">
        <v>3</v>
      </c>
      <c r="C2022">
        <v>271</v>
      </c>
      <c r="D2022" s="30" t="s">
        <v>11</v>
      </c>
      <c r="E2022">
        <v>2049</v>
      </c>
    </row>
    <row r="2023" spans="2:6">
      <c r="B2023" s="30" t="s">
        <v>465</v>
      </c>
      <c r="C2023">
        <v>124</v>
      </c>
    </row>
    <row r="2024" spans="2:6">
      <c r="B2024" s="30" t="s">
        <v>1619</v>
      </c>
      <c r="C2024">
        <v>0</v>
      </c>
    </row>
    <row r="2025" spans="2:6">
      <c r="B2025" s="108" t="s">
        <v>1024</v>
      </c>
      <c r="D2025">
        <v>14824</v>
      </c>
    </row>
    <row r="2027" spans="2:6">
      <c r="B2027" s="30" t="s">
        <v>49</v>
      </c>
      <c r="C2027" s="30"/>
      <c r="D2027" s="30"/>
      <c r="E2027" s="30"/>
      <c r="F2027" s="30"/>
    </row>
    <row r="2028" spans="2:6">
      <c r="B2028" s="30" t="s">
        <v>314</v>
      </c>
      <c r="C2028" s="30"/>
      <c r="D2028" s="30"/>
      <c r="E2028" s="30" t="s">
        <v>304</v>
      </c>
      <c r="F2028" s="30"/>
    </row>
    <row r="2029" spans="2:6">
      <c r="B2029" s="109" t="s">
        <v>1890</v>
      </c>
      <c r="C2029" s="108" t="s">
        <v>1</v>
      </c>
      <c r="E2029" s="108" t="s">
        <v>1888</v>
      </c>
      <c r="F2029" s="108" t="s">
        <v>1748</v>
      </c>
    </row>
    <row r="2030" spans="2:6">
      <c r="B2030" s="109" t="s">
        <v>1891</v>
      </c>
      <c r="C2030" s="109" t="s">
        <v>1</v>
      </c>
      <c r="E2030" s="108" t="s">
        <v>1876</v>
      </c>
      <c r="F2030" s="108" t="s">
        <v>423</v>
      </c>
    </row>
    <row r="2031" spans="2:6">
      <c r="B2031" s="109" t="s">
        <v>1892</v>
      </c>
      <c r="C2031" s="108" t="s">
        <v>405</v>
      </c>
    </row>
    <row r="2032" spans="2:6">
      <c r="B2032" s="108"/>
    </row>
    <row r="2034" spans="1:11">
      <c r="B2034" s="18" t="s">
        <v>1899</v>
      </c>
      <c r="C2034" s="18" t="s">
        <v>1900</v>
      </c>
      <c r="D2034" s="112">
        <v>45401</v>
      </c>
      <c r="E2034" s="18" t="s">
        <v>1901</v>
      </c>
      <c r="F2034" s="112">
        <v>45407</v>
      </c>
    </row>
    <row r="2036" spans="1:11">
      <c r="B2036" s="18" t="s">
        <v>1893</v>
      </c>
      <c r="C2036" s="18" t="s">
        <v>1894</v>
      </c>
      <c r="D2036" s="18" t="s">
        <v>1743</v>
      </c>
      <c r="E2036" s="18" t="s">
        <v>1895</v>
      </c>
      <c r="F2036" s="18" t="s">
        <v>1896</v>
      </c>
      <c r="K2036" s="18" t="s">
        <v>1898</v>
      </c>
    </row>
    <row r="2037" spans="1:11">
      <c r="B2037" s="18" t="s">
        <v>1</v>
      </c>
      <c r="C2037">
        <v>5600</v>
      </c>
      <c r="F2037">
        <v>7</v>
      </c>
      <c r="J2037" t="s">
        <v>1905</v>
      </c>
      <c r="K2037" t="s">
        <v>1902</v>
      </c>
    </row>
    <row r="2038" spans="1:11">
      <c r="B2038" s="18" t="s">
        <v>2</v>
      </c>
      <c r="C2038">
        <v>4200</v>
      </c>
      <c r="F2038">
        <v>7</v>
      </c>
      <c r="J2038" t="s">
        <v>1906</v>
      </c>
      <c r="K2038" t="s">
        <v>1903</v>
      </c>
    </row>
    <row r="2039" spans="1:11">
      <c r="B2039" s="18" t="s">
        <v>6</v>
      </c>
      <c r="C2039">
        <v>4900</v>
      </c>
      <c r="F2039">
        <v>7</v>
      </c>
      <c r="J2039" t="s">
        <v>1907</v>
      </c>
      <c r="K2039" t="s">
        <v>1904</v>
      </c>
    </row>
    <row r="2040" spans="1:11">
      <c r="B2040" s="18" t="s">
        <v>1364</v>
      </c>
      <c r="C2040">
        <v>3500</v>
      </c>
      <c r="F2040">
        <v>7</v>
      </c>
      <c r="J2040" t="s">
        <v>1908</v>
      </c>
    </row>
    <row r="2041" spans="1:11">
      <c r="B2041" s="18" t="s">
        <v>3</v>
      </c>
      <c r="C2041">
        <v>700</v>
      </c>
      <c r="F2041">
        <v>7</v>
      </c>
      <c r="J2041" t="s">
        <v>1909</v>
      </c>
    </row>
    <row r="2042" spans="1:11">
      <c r="B2042" s="18" t="s">
        <v>1897</v>
      </c>
      <c r="C2042">
        <v>350</v>
      </c>
      <c r="F2042">
        <v>7</v>
      </c>
      <c r="J2042" t="s">
        <v>1910</v>
      </c>
    </row>
    <row r="2043" spans="1:11">
      <c r="B2043" s="18" t="s">
        <v>11</v>
      </c>
      <c r="F2043">
        <v>7</v>
      </c>
    </row>
    <row r="2044" spans="1:11">
      <c r="B2044" s="18" t="s">
        <v>466</v>
      </c>
      <c r="C2044">
        <v>19250</v>
      </c>
      <c r="F2044">
        <v>7</v>
      </c>
    </row>
    <row r="2045" spans="1:11">
      <c r="B2045" s="18"/>
    </row>
    <row r="2047" spans="1:11">
      <c r="A2047" s="111"/>
      <c r="B2047" s="18" t="s">
        <v>1899</v>
      </c>
      <c r="C2047" s="18" t="s">
        <v>1900</v>
      </c>
      <c r="D2047" s="112">
        <v>45408</v>
      </c>
      <c r="E2047" s="18" t="s">
        <v>1901</v>
      </c>
      <c r="F2047" s="112">
        <v>45414</v>
      </c>
    </row>
    <row r="2049" spans="2:11">
      <c r="B2049" s="18" t="s">
        <v>1893</v>
      </c>
      <c r="C2049" s="18" t="s">
        <v>1894</v>
      </c>
      <c r="D2049" s="18" t="s">
        <v>1743</v>
      </c>
      <c r="E2049" s="18" t="s">
        <v>1895</v>
      </c>
      <c r="F2049" s="18" t="s">
        <v>1896</v>
      </c>
      <c r="K2049" s="18" t="s">
        <v>1898</v>
      </c>
    </row>
    <row r="2050" spans="2:11">
      <c r="B2050" s="18" t="s">
        <v>1</v>
      </c>
      <c r="C2050">
        <v>5600</v>
      </c>
      <c r="D2050">
        <v>3278</v>
      </c>
      <c r="E2050">
        <f>C2050-D2050</f>
        <v>2322</v>
      </c>
      <c r="F2050">
        <v>7</v>
      </c>
      <c r="J2050" t="s">
        <v>1911</v>
      </c>
      <c r="K2050" t="s">
        <v>1913</v>
      </c>
    </row>
    <row r="2051" spans="2:11">
      <c r="B2051" s="18" t="s">
        <v>2</v>
      </c>
      <c r="C2051">
        <v>4200</v>
      </c>
      <c r="D2051">
        <v>2177</v>
      </c>
      <c r="E2051">
        <f t="shared" ref="E2051:E2056" si="0">C2051-D2051</f>
        <v>2023</v>
      </c>
      <c r="F2051">
        <v>7</v>
      </c>
      <c r="J2051" t="s">
        <v>1912</v>
      </c>
      <c r="K2051" t="s">
        <v>1914</v>
      </c>
    </row>
    <row r="2052" spans="2:11">
      <c r="B2052" s="18" t="s">
        <v>6</v>
      </c>
      <c r="C2052">
        <v>4900</v>
      </c>
      <c r="D2052">
        <v>3278</v>
      </c>
      <c r="E2052">
        <f t="shared" si="0"/>
        <v>1622</v>
      </c>
      <c r="F2052">
        <v>7</v>
      </c>
      <c r="J2052" t="s">
        <v>1907</v>
      </c>
      <c r="K2052" t="s">
        <v>1915</v>
      </c>
    </row>
    <row r="2053" spans="2:11">
      <c r="B2053" s="18" t="s">
        <v>1364</v>
      </c>
      <c r="C2053">
        <v>3500</v>
      </c>
      <c r="D2053">
        <v>621</v>
      </c>
      <c r="E2053">
        <f t="shared" si="0"/>
        <v>2879</v>
      </c>
      <c r="F2053">
        <v>7</v>
      </c>
      <c r="J2053" t="s">
        <v>1920</v>
      </c>
      <c r="K2053" t="s">
        <v>1916</v>
      </c>
    </row>
    <row r="2054" spans="2:11">
      <c r="B2054" s="18" t="s">
        <v>3</v>
      </c>
      <c r="C2054">
        <v>700</v>
      </c>
      <c r="D2054">
        <v>296</v>
      </c>
      <c r="E2054">
        <f t="shared" si="0"/>
        <v>404</v>
      </c>
      <c r="F2054">
        <v>7</v>
      </c>
      <c r="J2054" t="s">
        <v>1921</v>
      </c>
      <c r="K2054" t="s">
        <v>1917</v>
      </c>
    </row>
    <row r="2055" spans="2:11">
      <c r="B2055" s="18" t="s">
        <v>1897</v>
      </c>
      <c r="C2055">
        <v>350</v>
      </c>
      <c r="D2055">
        <v>109</v>
      </c>
      <c r="E2055">
        <f t="shared" si="0"/>
        <v>241</v>
      </c>
      <c r="F2055">
        <v>7</v>
      </c>
      <c r="J2055" t="s">
        <v>1922</v>
      </c>
      <c r="K2055" t="s">
        <v>1918</v>
      </c>
    </row>
    <row r="2056" spans="2:11">
      <c r="B2056" s="18" t="s">
        <v>11</v>
      </c>
      <c r="C2056">
        <v>0</v>
      </c>
      <c r="D2056">
        <v>0</v>
      </c>
      <c r="E2056">
        <f t="shared" si="0"/>
        <v>0</v>
      </c>
      <c r="F2056">
        <v>7</v>
      </c>
      <c r="J2056" t="s">
        <v>1923</v>
      </c>
      <c r="K2056" t="s">
        <v>1919</v>
      </c>
    </row>
    <row r="2057" spans="2:11">
      <c r="B2057" s="18" t="s">
        <v>466</v>
      </c>
      <c r="C2057">
        <v>19250</v>
      </c>
      <c r="D2057">
        <f>D2050+D2051+D2052+D2053+D2054+D2055+D2056</f>
        <v>9759</v>
      </c>
      <c r="E2057">
        <f>E2050+E2051+E2052+E2053+E2054+E2055+E2056</f>
        <v>9491</v>
      </c>
      <c r="F2057">
        <v>7</v>
      </c>
      <c r="J2057" t="s">
        <v>1924</v>
      </c>
      <c r="K2057" t="s">
        <v>1925</v>
      </c>
    </row>
    <row r="2061" spans="2:11">
      <c r="B2061" s="18" t="s">
        <v>1899</v>
      </c>
      <c r="C2061" s="18" t="s">
        <v>1900</v>
      </c>
      <c r="D2061" s="112">
        <v>45415</v>
      </c>
      <c r="E2061" s="18" t="s">
        <v>1901</v>
      </c>
      <c r="F2061" s="112">
        <v>45421</v>
      </c>
    </row>
    <row r="2063" spans="2:11">
      <c r="B2063" s="18" t="s">
        <v>1893</v>
      </c>
      <c r="C2063" s="18" t="s">
        <v>1894</v>
      </c>
      <c r="D2063" s="18" t="s">
        <v>1743</v>
      </c>
      <c r="E2063" s="18" t="s">
        <v>1895</v>
      </c>
      <c r="F2063" s="18" t="s">
        <v>1896</v>
      </c>
      <c r="K2063" s="18" t="s">
        <v>1898</v>
      </c>
    </row>
    <row r="2064" spans="2:11">
      <c r="B2064" s="18" t="s">
        <v>1</v>
      </c>
      <c r="C2064">
        <v>5600</v>
      </c>
      <c r="D2064">
        <v>4423</v>
      </c>
      <c r="E2064">
        <f>C2064-D2064</f>
        <v>1177</v>
      </c>
      <c r="F2064">
        <v>7</v>
      </c>
      <c r="J2064" t="s">
        <v>1926</v>
      </c>
      <c r="K2064" t="s">
        <v>1928</v>
      </c>
    </row>
    <row r="2065" spans="2:11">
      <c r="B2065" s="18" t="s">
        <v>2</v>
      </c>
      <c r="C2065">
        <v>4200</v>
      </c>
      <c r="D2065">
        <v>2594</v>
      </c>
      <c r="E2065">
        <f t="shared" ref="E2065:E2071" si="1">C2065-D2065</f>
        <v>1606</v>
      </c>
      <c r="F2065">
        <v>7</v>
      </c>
      <c r="J2065" t="s">
        <v>1927</v>
      </c>
      <c r="K2065" t="s">
        <v>1929</v>
      </c>
    </row>
    <row r="2066" spans="2:11">
      <c r="B2066" s="18" t="s">
        <v>6</v>
      </c>
      <c r="C2066">
        <v>4900</v>
      </c>
      <c r="D2066">
        <v>3747</v>
      </c>
      <c r="E2066">
        <f t="shared" si="1"/>
        <v>1153</v>
      </c>
      <c r="F2066">
        <v>7</v>
      </c>
      <c r="J2066" t="s">
        <v>1930</v>
      </c>
      <c r="K2066" t="s">
        <v>1931</v>
      </c>
    </row>
    <row r="2067" spans="2:11">
      <c r="B2067" s="18" t="s">
        <v>1364</v>
      </c>
      <c r="C2067">
        <v>3500</v>
      </c>
      <c r="D2067">
        <v>2410</v>
      </c>
      <c r="E2067">
        <f t="shared" si="1"/>
        <v>1090</v>
      </c>
      <c r="F2067">
        <v>7</v>
      </c>
      <c r="J2067" t="s">
        <v>1932</v>
      </c>
      <c r="K2067" t="s">
        <v>1941</v>
      </c>
    </row>
    <row r="2068" spans="2:11">
      <c r="B2068" s="18" t="s">
        <v>3</v>
      </c>
      <c r="C2068">
        <v>700</v>
      </c>
      <c r="D2068">
        <v>314</v>
      </c>
      <c r="E2068">
        <f t="shared" si="1"/>
        <v>386</v>
      </c>
      <c r="F2068">
        <v>7</v>
      </c>
      <c r="J2068" t="s">
        <v>1933</v>
      </c>
      <c r="K2068" t="s">
        <v>1934</v>
      </c>
    </row>
    <row r="2069" spans="2:11">
      <c r="B2069" s="18" t="s">
        <v>1897</v>
      </c>
      <c r="C2069">
        <v>350</v>
      </c>
      <c r="D2069">
        <v>98</v>
      </c>
      <c r="E2069">
        <f t="shared" si="1"/>
        <v>252</v>
      </c>
      <c r="F2069">
        <v>7</v>
      </c>
      <c r="J2069" t="s">
        <v>1935</v>
      </c>
      <c r="K2069" t="s">
        <v>1936</v>
      </c>
    </row>
    <row r="2070" spans="2:11">
      <c r="B2070" s="18" t="s">
        <v>11</v>
      </c>
      <c r="C2070">
        <v>0</v>
      </c>
      <c r="D2070">
        <v>0</v>
      </c>
      <c r="E2070">
        <f t="shared" si="1"/>
        <v>0</v>
      </c>
      <c r="F2070">
        <v>7</v>
      </c>
      <c r="J2070" t="s">
        <v>1937</v>
      </c>
      <c r="K2070" t="s">
        <v>1938</v>
      </c>
    </row>
    <row r="2071" spans="2:11">
      <c r="B2071" s="18" t="s">
        <v>466</v>
      </c>
      <c r="C2071">
        <v>19250</v>
      </c>
      <c r="D2071">
        <f>D2064+D2065+D2066+D2067+D2068+D2069+D2070</f>
        <v>13586</v>
      </c>
      <c r="E2071">
        <f t="shared" si="1"/>
        <v>5664</v>
      </c>
      <c r="F2071">
        <v>7</v>
      </c>
      <c r="J2071" t="s">
        <v>1939</v>
      </c>
      <c r="K2071" t="s">
        <v>1940</v>
      </c>
    </row>
    <row r="2072" spans="2:11">
      <c r="J2072" t="s">
        <v>1942</v>
      </c>
      <c r="K2072" t="s">
        <v>1943</v>
      </c>
    </row>
    <row r="2074" spans="2:11" s="18" customFormat="1">
      <c r="B2074" s="18" t="s">
        <v>1899</v>
      </c>
      <c r="C2074" s="18" t="s">
        <v>1900</v>
      </c>
      <c r="D2074" s="112">
        <v>45429</v>
      </c>
      <c r="E2074" s="18" t="s">
        <v>1901</v>
      </c>
      <c r="F2074" s="112">
        <v>45435</v>
      </c>
    </row>
    <row r="2075" spans="2:11">
      <c r="K2075" s="18" t="s">
        <v>1898</v>
      </c>
    </row>
    <row r="2076" spans="2:11" s="18" customFormat="1">
      <c r="B2076" s="18" t="s">
        <v>1893</v>
      </c>
      <c r="C2076" s="18" t="s">
        <v>1894</v>
      </c>
      <c r="D2076" s="18" t="s">
        <v>1743</v>
      </c>
      <c r="E2076" s="18" t="s">
        <v>1895</v>
      </c>
      <c r="F2076" s="18" t="s">
        <v>1896</v>
      </c>
      <c r="J2076" t="s">
        <v>1926</v>
      </c>
      <c r="K2076" s="113" t="s">
        <v>1944</v>
      </c>
    </row>
    <row r="2077" spans="2:11">
      <c r="B2077" s="18" t="s">
        <v>1</v>
      </c>
      <c r="C2077">
        <v>5600</v>
      </c>
      <c r="D2077">
        <v>7663</v>
      </c>
      <c r="E2077">
        <f>C2077-D2077</f>
        <v>-2063</v>
      </c>
      <c r="F2077">
        <v>7</v>
      </c>
      <c r="J2077" t="s">
        <v>1927</v>
      </c>
      <c r="K2077" s="113" t="s">
        <v>1945</v>
      </c>
    </row>
    <row r="2078" spans="2:11">
      <c r="B2078" s="18" t="s">
        <v>2</v>
      </c>
      <c r="C2078">
        <v>4200</v>
      </c>
      <c r="D2078">
        <v>3232</v>
      </c>
      <c r="E2078">
        <f t="shared" ref="E2078:E2084" si="2">C2078-D2078</f>
        <v>968</v>
      </c>
      <c r="F2078">
        <v>7</v>
      </c>
      <c r="J2078" t="s">
        <v>1930</v>
      </c>
      <c r="K2078" s="113" t="s">
        <v>1946</v>
      </c>
    </row>
    <row r="2079" spans="2:11">
      <c r="B2079" s="18" t="s">
        <v>6</v>
      </c>
      <c r="C2079">
        <v>4900</v>
      </c>
      <c r="D2079">
        <v>3343</v>
      </c>
      <c r="E2079">
        <f t="shared" si="2"/>
        <v>1557</v>
      </c>
      <c r="F2079">
        <v>7</v>
      </c>
      <c r="J2079" t="s">
        <v>1932</v>
      </c>
      <c r="K2079" s="113" t="s">
        <v>1947</v>
      </c>
    </row>
    <row r="2080" spans="2:11">
      <c r="B2080" s="18" t="s">
        <v>9</v>
      </c>
      <c r="C2080">
        <v>3500</v>
      </c>
      <c r="D2080">
        <v>2802</v>
      </c>
      <c r="E2080">
        <f t="shared" si="2"/>
        <v>698</v>
      </c>
      <c r="F2080">
        <v>7</v>
      </c>
      <c r="J2080" t="s">
        <v>1933</v>
      </c>
      <c r="K2080" s="113" t="s">
        <v>1948</v>
      </c>
    </row>
    <row r="2081" spans="2:11">
      <c r="B2081" s="18" t="s">
        <v>3</v>
      </c>
      <c r="C2081">
        <v>700</v>
      </c>
      <c r="D2081">
        <v>298</v>
      </c>
      <c r="E2081">
        <f t="shared" si="2"/>
        <v>402</v>
      </c>
      <c r="F2081">
        <v>7</v>
      </c>
      <c r="J2081" t="s">
        <v>1935</v>
      </c>
      <c r="K2081" s="113" t="s">
        <v>1949</v>
      </c>
    </row>
    <row r="2082" spans="2:11">
      <c r="B2082" s="18" t="s">
        <v>907</v>
      </c>
      <c r="C2082">
        <v>350</v>
      </c>
      <c r="D2082">
        <v>160</v>
      </c>
      <c r="E2082">
        <f t="shared" si="2"/>
        <v>190</v>
      </c>
      <c r="F2082">
        <v>7</v>
      </c>
      <c r="J2082" t="s">
        <v>1937</v>
      </c>
      <c r="K2082" t="s">
        <v>1938</v>
      </c>
    </row>
    <row r="2083" spans="2:11">
      <c r="B2083" s="18" t="s">
        <v>11</v>
      </c>
      <c r="C2083">
        <v>0</v>
      </c>
      <c r="D2083">
        <v>0</v>
      </c>
      <c r="E2083">
        <f t="shared" si="2"/>
        <v>0</v>
      </c>
      <c r="F2083">
        <v>7</v>
      </c>
      <c r="J2083" t="s">
        <v>1939</v>
      </c>
      <c r="K2083" s="113" t="s">
        <v>1950</v>
      </c>
    </row>
    <row r="2084" spans="2:11">
      <c r="B2084" s="18" t="s">
        <v>466</v>
      </c>
      <c r="C2084">
        <v>19250</v>
      </c>
      <c r="D2084">
        <f>D2077+D2078+D2079+D2080+D2081+D2082+D2083</f>
        <v>17498</v>
      </c>
      <c r="E2084">
        <f t="shared" si="2"/>
        <v>1752</v>
      </c>
      <c r="F2084">
        <v>7</v>
      </c>
      <c r="J2084" t="s">
        <v>1942</v>
      </c>
      <c r="K2084" s="113" t="s">
        <v>1951</v>
      </c>
    </row>
    <row r="2087" spans="2:11" s="18" customFormat="1">
      <c r="B2087" s="18" t="s">
        <v>1899</v>
      </c>
      <c r="C2087" s="18" t="s">
        <v>1900</v>
      </c>
      <c r="D2087" s="112">
        <v>45436</v>
      </c>
      <c r="E2087" s="18" t="s">
        <v>1901</v>
      </c>
      <c r="F2087" s="112">
        <v>45442</v>
      </c>
    </row>
    <row r="2088" spans="2:11">
      <c r="K2088" s="18" t="s">
        <v>1898</v>
      </c>
    </row>
    <row r="2089" spans="2:11" s="18" customFormat="1">
      <c r="B2089" s="18" t="s">
        <v>1893</v>
      </c>
      <c r="C2089" s="18" t="s">
        <v>1894</v>
      </c>
      <c r="D2089" s="18" t="s">
        <v>1743</v>
      </c>
      <c r="E2089" s="18" t="s">
        <v>1895</v>
      </c>
      <c r="F2089" s="18" t="s">
        <v>1896</v>
      </c>
      <c r="J2089" t="s">
        <v>1926</v>
      </c>
      <c r="K2089" s="114" t="s">
        <v>1952</v>
      </c>
    </row>
    <row r="2090" spans="2:11">
      <c r="B2090" s="18" t="s">
        <v>1</v>
      </c>
      <c r="C2090">
        <v>5600</v>
      </c>
      <c r="D2090">
        <v>3065</v>
      </c>
      <c r="E2090">
        <f>C2090-D2090</f>
        <v>2535</v>
      </c>
      <c r="F2090">
        <v>7</v>
      </c>
      <c r="J2090" t="s">
        <v>1927</v>
      </c>
      <c r="K2090" s="114" t="s">
        <v>1953</v>
      </c>
    </row>
    <row r="2091" spans="2:11">
      <c r="B2091" s="18" t="s">
        <v>2</v>
      </c>
      <c r="C2091">
        <v>4200</v>
      </c>
      <c r="D2091">
        <v>3764</v>
      </c>
      <c r="E2091">
        <f t="shared" ref="E2091:E2097" si="3">C2091-D2091</f>
        <v>436</v>
      </c>
      <c r="F2091">
        <v>7</v>
      </c>
      <c r="J2091" t="s">
        <v>1930</v>
      </c>
      <c r="K2091" s="113" t="s">
        <v>1946</v>
      </c>
    </row>
    <row r="2092" spans="2:11">
      <c r="B2092" s="18" t="s">
        <v>6</v>
      </c>
      <c r="C2092">
        <v>4900</v>
      </c>
      <c r="D2092">
        <v>3609</v>
      </c>
      <c r="E2092">
        <f t="shared" si="3"/>
        <v>1291</v>
      </c>
      <c r="F2092">
        <v>7</v>
      </c>
      <c r="J2092" t="s">
        <v>1932</v>
      </c>
      <c r="K2092" s="114" t="s">
        <v>1954</v>
      </c>
    </row>
    <row r="2093" spans="2:11">
      <c r="B2093" s="18" t="s">
        <v>9</v>
      </c>
      <c r="C2093">
        <v>3500</v>
      </c>
      <c r="D2093">
        <v>2749</v>
      </c>
      <c r="E2093">
        <f t="shared" si="3"/>
        <v>751</v>
      </c>
      <c r="F2093">
        <v>7</v>
      </c>
      <c r="J2093" t="s">
        <v>1933</v>
      </c>
      <c r="K2093" s="119" t="s">
        <v>1955</v>
      </c>
    </row>
    <row r="2094" spans="2:11">
      <c r="B2094" s="18" t="s">
        <v>3</v>
      </c>
      <c r="C2094">
        <v>700</v>
      </c>
      <c r="D2094">
        <v>350</v>
      </c>
      <c r="E2094">
        <f t="shared" si="3"/>
        <v>350</v>
      </c>
      <c r="F2094">
        <v>7</v>
      </c>
      <c r="J2094" t="s">
        <v>1935</v>
      </c>
      <c r="K2094" s="113" t="s">
        <v>1949</v>
      </c>
    </row>
    <row r="2095" spans="2:11">
      <c r="B2095" s="18" t="s">
        <v>907</v>
      </c>
      <c r="C2095">
        <v>350</v>
      </c>
      <c r="D2095">
        <v>95</v>
      </c>
      <c r="E2095">
        <f t="shared" si="3"/>
        <v>255</v>
      </c>
      <c r="F2095">
        <v>7</v>
      </c>
      <c r="J2095" t="s">
        <v>1937</v>
      </c>
      <c r="K2095" t="s">
        <v>1938</v>
      </c>
    </row>
    <row r="2096" spans="2:11">
      <c r="B2096" s="18" t="s">
        <v>11</v>
      </c>
      <c r="C2096">
        <v>2272</v>
      </c>
      <c r="D2096">
        <v>2272</v>
      </c>
      <c r="E2096">
        <f t="shared" si="3"/>
        <v>0</v>
      </c>
      <c r="F2096">
        <v>7</v>
      </c>
      <c r="J2096" t="s">
        <v>1939</v>
      </c>
      <c r="K2096" s="113" t="s">
        <v>1950</v>
      </c>
    </row>
    <row r="2097" spans="2:11">
      <c r="B2097" s="18" t="s">
        <v>466</v>
      </c>
      <c r="C2097">
        <v>19250</v>
      </c>
      <c r="D2097">
        <f>D2090+D2091+D2092+D2093+D2094+D2095+D2096</f>
        <v>15904</v>
      </c>
      <c r="E2097">
        <f t="shared" si="3"/>
        <v>3346</v>
      </c>
      <c r="F2097">
        <v>7</v>
      </c>
      <c r="J2097" t="s">
        <v>1942</v>
      </c>
      <c r="K2097" s="114" t="s">
        <v>1958</v>
      </c>
    </row>
    <row r="2098" spans="2:11">
      <c r="J2098" t="s">
        <v>1956</v>
      </c>
      <c r="K2098" s="114" t="s">
        <v>1957</v>
      </c>
    </row>
    <row r="2101" spans="2:11" s="18" customFormat="1">
      <c r="B2101" s="18" t="s">
        <v>1899</v>
      </c>
      <c r="C2101" s="18" t="s">
        <v>1900</v>
      </c>
      <c r="D2101" s="112">
        <v>45443</v>
      </c>
      <c r="E2101" s="18" t="s">
        <v>1901</v>
      </c>
      <c r="F2101" s="112">
        <v>45449</v>
      </c>
    </row>
    <row r="2102" spans="2:11">
      <c r="K2102" s="18" t="s">
        <v>1898</v>
      </c>
    </row>
    <row r="2103" spans="2:11" s="18" customFormat="1">
      <c r="B2103" s="18" t="s">
        <v>1893</v>
      </c>
      <c r="C2103" s="18" t="s">
        <v>1894</v>
      </c>
      <c r="D2103" s="18" t="s">
        <v>1743</v>
      </c>
      <c r="E2103" s="18" t="s">
        <v>1895</v>
      </c>
      <c r="F2103" s="18" t="s">
        <v>1896</v>
      </c>
      <c r="J2103" t="s">
        <v>1926</v>
      </c>
      <c r="K2103" s="115" t="s">
        <v>1959</v>
      </c>
    </row>
    <row r="2104" spans="2:11">
      <c r="B2104" s="18" t="s">
        <v>1</v>
      </c>
      <c r="C2104">
        <v>5600</v>
      </c>
      <c r="D2104">
        <v>4999</v>
      </c>
      <c r="E2104">
        <f>C2104-D2104</f>
        <v>601</v>
      </c>
      <c r="F2104">
        <v>7</v>
      </c>
      <c r="J2104" t="s">
        <v>1927</v>
      </c>
      <c r="K2104" s="115" t="s">
        <v>1960</v>
      </c>
    </row>
    <row r="2105" spans="2:11">
      <c r="B2105" s="18" t="s">
        <v>2</v>
      </c>
      <c r="C2105">
        <v>4200</v>
      </c>
      <c r="D2105">
        <v>3219</v>
      </c>
      <c r="E2105">
        <f>C2105-D2105</f>
        <v>981</v>
      </c>
      <c r="F2105">
        <v>7</v>
      </c>
      <c r="J2105" t="s">
        <v>1930</v>
      </c>
      <c r="K2105" s="115" t="s">
        <v>1961</v>
      </c>
    </row>
    <row r="2106" spans="2:11">
      <c r="B2106" s="18" t="s">
        <v>6</v>
      </c>
      <c r="C2106">
        <v>4900</v>
      </c>
      <c r="D2106">
        <v>3609</v>
      </c>
      <c r="E2106">
        <f t="shared" ref="E2106:E2109" si="4">C2106-D2106</f>
        <v>1291</v>
      </c>
      <c r="F2106">
        <v>7</v>
      </c>
      <c r="J2106" t="s">
        <v>1932</v>
      </c>
      <c r="K2106" s="114" t="s">
        <v>1954</v>
      </c>
    </row>
    <row r="2107" spans="2:11">
      <c r="B2107" s="18" t="s">
        <v>9</v>
      </c>
      <c r="C2107">
        <v>3500</v>
      </c>
      <c r="D2107">
        <v>2725</v>
      </c>
      <c r="E2107">
        <f t="shared" si="4"/>
        <v>775</v>
      </c>
      <c r="F2107">
        <v>7</v>
      </c>
      <c r="J2107" t="s">
        <v>1933</v>
      </c>
      <c r="K2107" s="115" t="s">
        <v>1962</v>
      </c>
    </row>
    <row r="2108" spans="2:11">
      <c r="B2108" s="18" t="s">
        <v>3</v>
      </c>
      <c r="C2108">
        <v>700</v>
      </c>
      <c r="D2108">
        <v>347</v>
      </c>
      <c r="E2108">
        <f t="shared" si="4"/>
        <v>353</v>
      </c>
      <c r="F2108">
        <v>7</v>
      </c>
      <c r="J2108" t="s">
        <v>1935</v>
      </c>
      <c r="K2108" s="113" t="s">
        <v>1949</v>
      </c>
    </row>
    <row r="2109" spans="2:11">
      <c r="B2109" s="18" t="s">
        <v>907</v>
      </c>
      <c r="C2109">
        <v>350</v>
      </c>
      <c r="D2109">
        <v>139</v>
      </c>
      <c r="E2109">
        <f t="shared" si="4"/>
        <v>211</v>
      </c>
      <c r="F2109">
        <v>7</v>
      </c>
      <c r="J2109" t="s">
        <v>1937</v>
      </c>
      <c r="K2109" t="s">
        <v>1938</v>
      </c>
    </row>
    <row r="2110" spans="2:11">
      <c r="B2110" s="18" t="s">
        <v>11</v>
      </c>
      <c r="C2110">
        <v>2272</v>
      </c>
      <c r="D2110">
        <v>489</v>
      </c>
      <c r="E2110">
        <f>C2110-D2110</f>
        <v>1783</v>
      </c>
      <c r="F2110">
        <v>7</v>
      </c>
      <c r="J2110" t="s">
        <v>1939</v>
      </c>
      <c r="K2110" s="115" t="s">
        <v>1963</v>
      </c>
    </row>
    <row r="2111" spans="2:11">
      <c r="B2111" s="18" t="s">
        <v>466</v>
      </c>
      <c r="C2111">
        <v>19250</v>
      </c>
      <c r="D2111">
        <f>D2104+D2105+D2106+D2107+D2108+D2109+D2110</f>
        <v>15527</v>
      </c>
      <c r="E2111">
        <f t="shared" ref="E2111" si="5">C2111-D2111</f>
        <v>3723</v>
      </c>
      <c r="F2111">
        <v>7</v>
      </c>
      <c r="J2111" t="s">
        <v>1942</v>
      </c>
      <c r="K2111" s="115" t="s">
        <v>1964</v>
      </c>
    </row>
    <row r="2112" spans="2:11">
      <c r="C2112" t="s">
        <v>1965</v>
      </c>
      <c r="K2112" s="114"/>
    </row>
    <row r="2113" spans="2:11" ht="15" customHeight="1">
      <c r="B2113" s="116" t="s">
        <v>1893</v>
      </c>
      <c r="C2113" s="116" t="s">
        <v>1743</v>
      </c>
      <c r="D2113" s="116" t="s">
        <v>1894</v>
      </c>
      <c r="E2113" s="116" t="s">
        <v>1895</v>
      </c>
      <c r="F2113" s="116" t="s">
        <v>1896</v>
      </c>
      <c r="K2113" s="18" t="s">
        <v>1898</v>
      </c>
    </row>
    <row r="2114" spans="2:11">
      <c r="B2114" s="117" t="s">
        <v>1</v>
      </c>
      <c r="C2114">
        <v>4949</v>
      </c>
      <c r="D2114">
        <v>5600</v>
      </c>
      <c r="E2114" s="118">
        <f t="shared" ref="E2114:E2121" si="6">D2114-C2114</f>
        <v>651</v>
      </c>
      <c r="F2114" s="118">
        <v>7</v>
      </c>
      <c r="J2114" t="s">
        <v>1926</v>
      </c>
      <c r="K2114" s="119"/>
    </row>
    <row r="2115" spans="2:11">
      <c r="B2115" s="117" t="s">
        <v>2</v>
      </c>
      <c r="C2115">
        <v>3122</v>
      </c>
      <c r="D2115">
        <v>4200</v>
      </c>
      <c r="E2115" s="118">
        <f t="shared" si="6"/>
        <v>1078</v>
      </c>
      <c r="F2115" s="118">
        <v>7</v>
      </c>
      <c r="K2115" s="119"/>
    </row>
    <row r="2116" spans="2:11">
      <c r="B2116" s="117" t="s">
        <v>6</v>
      </c>
      <c r="C2116">
        <v>3669</v>
      </c>
      <c r="D2116">
        <v>4900</v>
      </c>
      <c r="E2116" s="118">
        <f t="shared" si="6"/>
        <v>1231</v>
      </c>
      <c r="F2116" s="118">
        <v>7</v>
      </c>
    </row>
    <row r="2117" spans="2:11">
      <c r="B2117" s="117" t="s">
        <v>9</v>
      </c>
      <c r="C2117">
        <v>2929</v>
      </c>
      <c r="D2117">
        <v>3500</v>
      </c>
      <c r="E2117" s="118">
        <f t="shared" si="6"/>
        <v>571</v>
      </c>
      <c r="F2117" s="118">
        <v>7</v>
      </c>
    </row>
    <row r="2118" spans="2:11">
      <c r="B2118" s="117" t="s">
        <v>3</v>
      </c>
      <c r="C2118">
        <v>536</v>
      </c>
      <c r="D2118">
        <v>700</v>
      </c>
      <c r="E2118" s="118">
        <f t="shared" si="6"/>
        <v>164</v>
      </c>
      <c r="F2118" s="118">
        <v>7</v>
      </c>
    </row>
    <row r="2119" spans="2:11">
      <c r="B2119" s="117" t="s">
        <v>907</v>
      </c>
      <c r="C2119">
        <v>126</v>
      </c>
      <c r="D2119">
        <v>350</v>
      </c>
      <c r="E2119" s="118">
        <f t="shared" si="6"/>
        <v>224</v>
      </c>
      <c r="F2119" s="118">
        <v>7</v>
      </c>
    </row>
    <row r="2120" spans="2:11">
      <c r="B2120" s="117" t="s">
        <v>11</v>
      </c>
      <c r="C2120">
        <v>0</v>
      </c>
      <c r="D2120">
        <v>2272</v>
      </c>
      <c r="E2120" s="118">
        <f t="shared" si="6"/>
        <v>2272</v>
      </c>
      <c r="F2120" s="118">
        <v>7</v>
      </c>
    </row>
    <row r="2121" spans="2:11">
      <c r="B2121" s="117" t="s">
        <v>466</v>
      </c>
      <c r="C2121" s="117">
        <f>C2114+C2115+C2117+C2116+C2118+C2119+C2120</f>
        <v>15331</v>
      </c>
      <c r="D2121" s="117">
        <f>SUM(D2114:D2120)</f>
        <v>21522</v>
      </c>
      <c r="E2121" s="117">
        <f t="shared" si="6"/>
        <v>6191</v>
      </c>
      <c r="F2121" s="117"/>
    </row>
    <row r="2122" spans="2:11">
      <c r="K2122" s="115"/>
    </row>
    <row r="2123" spans="2:11">
      <c r="K2123" s="115"/>
    </row>
    <row r="2124" spans="2:11">
      <c r="K2124" s="114"/>
    </row>
    <row r="2125" spans="2:11">
      <c r="C2125" s="124" t="s">
        <v>1966</v>
      </c>
      <c r="D2125" s="110"/>
    </row>
    <row r="2126" spans="2:11" ht="15.5">
      <c r="B2126" s="116" t="s">
        <v>1893</v>
      </c>
      <c r="C2126" s="122" t="s">
        <v>1743</v>
      </c>
      <c r="D2126" s="122" t="s">
        <v>1894</v>
      </c>
      <c r="E2126" s="116" t="s">
        <v>1895</v>
      </c>
      <c r="F2126" s="116" t="s">
        <v>1896</v>
      </c>
    </row>
    <row r="2127" spans="2:11">
      <c r="B2127" s="120" t="s">
        <v>6</v>
      </c>
      <c r="C2127" s="8">
        <v>3853</v>
      </c>
      <c r="D2127" s="8">
        <v>4900</v>
      </c>
      <c r="E2127" s="121">
        <f t="shared" ref="E2127:E2130" si="7">D2127-C2127</f>
        <v>1047</v>
      </c>
      <c r="F2127" s="118">
        <v>7</v>
      </c>
    </row>
    <row r="2128" spans="2:11">
      <c r="B2128" s="120" t="s">
        <v>9</v>
      </c>
      <c r="C2128" s="8">
        <v>1275</v>
      </c>
      <c r="D2128" s="8">
        <v>3500</v>
      </c>
      <c r="E2128" s="121">
        <f t="shared" si="7"/>
        <v>2225</v>
      </c>
      <c r="F2128" s="118">
        <v>7</v>
      </c>
    </row>
    <row r="2129" spans="2:6">
      <c r="B2129" s="120" t="s">
        <v>11</v>
      </c>
      <c r="C2129" s="8">
        <v>1166</v>
      </c>
      <c r="D2129" s="8">
        <v>2272</v>
      </c>
      <c r="E2129" s="121">
        <f t="shared" si="7"/>
        <v>1106</v>
      </c>
      <c r="F2129" s="118">
        <v>7</v>
      </c>
    </row>
    <row r="2130" spans="2:6">
      <c r="B2130" s="117" t="s">
        <v>466</v>
      </c>
      <c r="C2130" s="123">
        <f>C2127+C2128+C2129</f>
        <v>6294</v>
      </c>
      <c r="D2130" s="123">
        <f>SUM(D2127:D2129)</f>
        <v>10672</v>
      </c>
      <c r="E2130" s="117">
        <f t="shared" si="7"/>
        <v>4378</v>
      </c>
      <c r="F2130" s="117"/>
    </row>
    <row r="2134" spans="2:6">
      <c r="B2134" s="139" t="s">
        <v>1967</v>
      </c>
      <c r="C2134" s="140"/>
      <c r="D2134" s="140"/>
      <c r="E2134" s="140"/>
    </row>
    <row r="2135" spans="2:6" ht="15.5">
      <c r="B2135" s="116" t="s">
        <v>1893</v>
      </c>
      <c r="C2135" s="122" t="s">
        <v>1743</v>
      </c>
      <c r="D2135" s="122" t="s">
        <v>1894</v>
      </c>
      <c r="E2135" s="116" t="s">
        <v>1895</v>
      </c>
      <c r="F2135" s="116" t="s">
        <v>1896</v>
      </c>
    </row>
    <row r="2136" spans="2:6">
      <c r="B2136" s="120" t="s">
        <v>6</v>
      </c>
      <c r="C2136" s="8">
        <v>3883</v>
      </c>
      <c r="D2136" s="8">
        <v>4900</v>
      </c>
      <c r="E2136" s="121">
        <f t="shared" ref="E2136:E2139" si="8">D2136-C2136</f>
        <v>1017</v>
      </c>
      <c r="F2136" s="118">
        <v>7</v>
      </c>
    </row>
    <row r="2137" spans="2:6">
      <c r="B2137" s="120" t="s">
        <v>9</v>
      </c>
      <c r="C2137" s="8">
        <v>1447</v>
      </c>
      <c r="D2137" s="8">
        <v>3500</v>
      </c>
      <c r="E2137" s="121">
        <f t="shared" si="8"/>
        <v>2053</v>
      </c>
      <c r="F2137" s="118">
        <v>7</v>
      </c>
    </row>
    <row r="2138" spans="2:6">
      <c r="B2138" s="120" t="s">
        <v>11</v>
      </c>
      <c r="C2138" s="8">
        <v>55</v>
      </c>
      <c r="D2138" s="8">
        <v>2272</v>
      </c>
      <c r="E2138" s="121">
        <f t="shared" si="8"/>
        <v>2217</v>
      </c>
      <c r="F2138" s="118">
        <v>7</v>
      </c>
    </row>
    <row r="2139" spans="2:6">
      <c r="B2139" s="117" t="s">
        <v>466</v>
      </c>
      <c r="C2139" s="123">
        <f>C2136+C2137+C2138</f>
        <v>5385</v>
      </c>
      <c r="D2139" s="123">
        <f>SUM(D2136:D2138)</f>
        <v>10672</v>
      </c>
      <c r="E2139" s="117">
        <f t="shared" si="8"/>
        <v>5287</v>
      </c>
      <c r="F2139" s="117">
        <v>7</v>
      </c>
    </row>
    <row r="2142" spans="2:6">
      <c r="B2142" s="141" t="s">
        <v>1968</v>
      </c>
      <c r="C2142" s="140"/>
      <c r="D2142" s="140"/>
      <c r="E2142" s="140"/>
    </row>
    <row r="2143" spans="2:6" ht="15.5">
      <c r="B2143" s="116" t="s">
        <v>1893</v>
      </c>
      <c r="C2143" s="122" t="s">
        <v>1743</v>
      </c>
      <c r="D2143" s="122" t="s">
        <v>1894</v>
      </c>
      <c r="E2143" s="116" t="s">
        <v>1895</v>
      </c>
      <c r="F2143" s="116" t="s">
        <v>1896</v>
      </c>
    </row>
    <row r="2144" spans="2:6">
      <c r="B2144" s="120" t="s">
        <v>6</v>
      </c>
      <c r="C2144" s="8">
        <v>3828</v>
      </c>
      <c r="D2144" s="8">
        <v>4900</v>
      </c>
      <c r="E2144" s="121">
        <f t="shared" ref="E2144:E2147" si="9">D2144-C2144</f>
        <v>1072</v>
      </c>
      <c r="F2144" s="118">
        <v>7</v>
      </c>
    </row>
    <row r="2145" spans="2:6">
      <c r="B2145" s="120" t="s">
        <v>9</v>
      </c>
      <c r="C2145" s="8">
        <v>1709</v>
      </c>
      <c r="D2145" s="8">
        <v>3500</v>
      </c>
      <c r="E2145" s="121">
        <f t="shared" si="9"/>
        <v>1791</v>
      </c>
      <c r="F2145" s="118">
        <v>7</v>
      </c>
    </row>
    <row r="2146" spans="2:6">
      <c r="B2146" s="120" t="s">
        <v>11</v>
      </c>
      <c r="C2146" s="8">
        <v>0</v>
      </c>
      <c r="D2146" s="8">
        <v>2272</v>
      </c>
      <c r="E2146" s="121">
        <f t="shared" si="9"/>
        <v>2272</v>
      </c>
      <c r="F2146" s="118">
        <v>7</v>
      </c>
    </row>
    <row r="2147" spans="2:6">
      <c r="B2147" s="117" t="s">
        <v>466</v>
      </c>
      <c r="C2147" s="123">
        <f>C2144+C2145+C2146</f>
        <v>5537</v>
      </c>
      <c r="D2147" s="123">
        <f>SUM(D2144:D2146)</f>
        <v>10672</v>
      </c>
      <c r="E2147" s="117">
        <f t="shared" si="9"/>
        <v>5135</v>
      </c>
      <c r="F2147" s="117">
        <v>7</v>
      </c>
    </row>
    <row r="2150" spans="2:6">
      <c r="B2150" s="142" t="s">
        <v>1969</v>
      </c>
      <c r="C2150" s="140"/>
      <c r="D2150" s="140"/>
      <c r="E2150" s="140"/>
    </row>
    <row r="2151" spans="2:6" ht="15.5">
      <c r="B2151" s="116" t="s">
        <v>1893</v>
      </c>
      <c r="C2151" s="122" t="s">
        <v>1743</v>
      </c>
      <c r="D2151" s="122" t="s">
        <v>1894</v>
      </c>
      <c r="E2151" s="116" t="s">
        <v>1895</v>
      </c>
      <c r="F2151" s="116" t="s">
        <v>1896</v>
      </c>
    </row>
    <row r="2152" spans="2:6">
      <c r="B2152" s="120" t="s">
        <v>6</v>
      </c>
      <c r="C2152" s="8">
        <v>4193</v>
      </c>
      <c r="D2152" s="8">
        <v>4900</v>
      </c>
      <c r="E2152" s="121">
        <f t="shared" ref="E2152:E2155" si="10">D2152-C2152</f>
        <v>707</v>
      </c>
      <c r="F2152" s="118">
        <v>7</v>
      </c>
    </row>
    <row r="2153" spans="2:6">
      <c r="B2153" s="120" t="s">
        <v>9</v>
      </c>
      <c r="C2153" s="8">
        <v>1500</v>
      </c>
      <c r="D2153" s="8">
        <v>3500</v>
      </c>
      <c r="E2153" s="121">
        <f t="shared" si="10"/>
        <v>2000</v>
      </c>
      <c r="F2153" s="118">
        <v>7</v>
      </c>
    </row>
    <row r="2154" spans="2:6">
      <c r="B2154" s="120" t="s">
        <v>11</v>
      </c>
      <c r="C2154" s="8">
        <v>1353</v>
      </c>
      <c r="D2154" s="8">
        <v>2272</v>
      </c>
      <c r="E2154" s="121">
        <f t="shared" si="10"/>
        <v>919</v>
      </c>
      <c r="F2154" s="118">
        <v>7</v>
      </c>
    </row>
    <row r="2155" spans="2:6">
      <c r="B2155" s="117" t="s">
        <v>466</v>
      </c>
      <c r="C2155" s="123">
        <f>C2152+C2153+C2154</f>
        <v>7046</v>
      </c>
      <c r="D2155" s="123">
        <f>SUM(D2152:D2154)</f>
        <v>10672</v>
      </c>
      <c r="E2155" s="117">
        <f t="shared" si="10"/>
        <v>3626</v>
      </c>
      <c r="F2155" s="117">
        <v>7</v>
      </c>
    </row>
    <row r="2158" spans="2:6">
      <c r="B2158" s="143" t="s">
        <v>1970</v>
      </c>
      <c r="C2158" s="140"/>
      <c r="D2158" s="140"/>
      <c r="E2158" s="140"/>
    </row>
    <row r="2159" spans="2:6" ht="15.5">
      <c r="B2159" s="116" t="s">
        <v>1893</v>
      </c>
      <c r="C2159" s="122" t="s">
        <v>1743</v>
      </c>
      <c r="D2159" s="122" t="s">
        <v>1894</v>
      </c>
      <c r="E2159" s="116" t="s">
        <v>1895</v>
      </c>
      <c r="F2159" s="116" t="s">
        <v>1896</v>
      </c>
    </row>
    <row r="2160" spans="2:6">
      <c r="B2160" s="120" t="s">
        <v>6</v>
      </c>
      <c r="C2160" s="8">
        <v>3987</v>
      </c>
      <c r="D2160" s="8">
        <v>4900</v>
      </c>
      <c r="E2160" s="121">
        <f t="shared" ref="E2160:E2163" si="11">D2160-C2160</f>
        <v>913</v>
      </c>
      <c r="F2160" s="118">
        <v>7</v>
      </c>
    </row>
    <row r="2161" spans="2:6">
      <c r="B2161" s="120" t="s">
        <v>9</v>
      </c>
      <c r="C2161" s="8">
        <v>1311</v>
      </c>
      <c r="D2161" s="8">
        <v>3500</v>
      </c>
      <c r="E2161" s="121">
        <f t="shared" si="11"/>
        <v>2189</v>
      </c>
      <c r="F2161" s="118">
        <v>7</v>
      </c>
    </row>
    <row r="2162" spans="2:6">
      <c r="B2162" s="120" t="s">
        <v>11</v>
      </c>
      <c r="C2162" s="8">
        <v>1353</v>
      </c>
      <c r="D2162" s="8">
        <v>2272</v>
      </c>
      <c r="E2162" s="121">
        <f t="shared" si="11"/>
        <v>919</v>
      </c>
      <c r="F2162" s="118">
        <v>7</v>
      </c>
    </row>
    <row r="2163" spans="2:6">
      <c r="B2163" s="117" t="s">
        <v>466</v>
      </c>
      <c r="C2163" s="123">
        <f>C2160+C2161+C2162</f>
        <v>6651</v>
      </c>
      <c r="D2163" s="123">
        <f>SUM(D2160:D2162)</f>
        <v>10672</v>
      </c>
      <c r="E2163" s="117">
        <f t="shared" si="11"/>
        <v>4021</v>
      </c>
      <c r="F2163" s="117">
        <v>7</v>
      </c>
    </row>
    <row r="2166" spans="2:6">
      <c r="B2166" s="143" t="s">
        <v>1971</v>
      </c>
      <c r="C2166" s="140"/>
      <c r="D2166" s="140"/>
      <c r="E2166" s="140"/>
    </row>
    <row r="2167" spans="2:6" ht="15.5">
      <c r="B2167" s="116" t="s">
        <v>1893</v>
      </c>
      <c r="C2167" s="122" t="s">
        <v>1743</v>
      </c>
      <c r="D2167" s="122" t="s">
        <v>1894</v>
      </c>
      <c r="E2167" s="116" t="s">
        <v>1895</v>
      </c>
      <c r="F2167" s="116" t="s">
        <v>1896</v>
      </c>
    </row>
    <row r="2168" spans="2:6">
      <c r="B2168" s="120" t="s">
        <v>6</v>
      </c>
      <c r="C2168" s="8">
        <v>3817</v>
      </c>
      <c r="D2168" s="8">
        <v>4900</v>
      </c>
      <c r="E2168" s="121">
        <f t="shared" ref="E2168:E2171" si="12">D2168-C2168</f>
        <v>1083</v>
      </c>
      <c r="F2168" s="118">
        <v>7</v>
      </c>
    </row>
    <row r="2169" spans="2:6">
      <c r="B2169" s="120" t="s">
        <v>9</v>
      </c>
      <c r="C2169" s="8">
        <v>1249</v>
      </c>
      <c r="D2169" s="8">
        <v>3500</v>
      </c>
      <c r="E2169" s="121">
        <f t="shared" si="12"/>
        <v>2251</v>
      </c>
      <c r="F2169" s="118">
        <v>7</v>
      </c>
    </row>
    <row r="2170" spans="2:6">
      <c r="B2170" s="120" t="s">
        <v>11</v>
      </c>
      <c r="C2170" s="8">
        <v>34</v>
      </c>
      <c r="D2170" s="8">
        <v>2272</v>
      </c>
      <c r="E2170" s="121">
        <f t="shared" si="12"/>
        <v>2238</v>
      </c>
      <c r="F2170" s="118">
        <v>7</v>
      </c>
    </row>
    <row r="2171" spans="2:6">
      <c r="B2171" s="117" t="s">
        <v>466</v>
      </c>
      <c r="C2171" s="123">
        <f>C2168+C2169+C2170</f>
        <v>5100</v>
      </c>
      <c r="D2171" s="123">
        <f>SUM(D2168:D2170)</f>
        <v>10672</v>
      </c>
      <c r="E2171" s="117">
        <f t="shared" si="12"/>
        <v>5572</v>
      </c>
      <c r="F2171" s="117">
        <v>7</v>
      </c>
    </row>
  </sheetData>
  <mergeCells count="5">
    <mergeCell ref="B2134:E2134"/>
    <mergeCell ref="B2142:E2142"/>
    <mergeCell ref="B2150:E2150"/>
    <mergeCell ref="B2158:E2158"/>
    <mergeCell ref="B2166:E216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SUPPLY VOL</vt:lpstr>
      <vt:lpstr>WEEKLY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Lakeview</dc:creator>
  <cp:lastModifiedBy>ICT Assistant</cp:lastModifiedBy>
  <cp:lastPrinted>2023-09-26T06:37:42Z</cp:lastPrinted>
  <dcterms:created xsi:type="dcterms:W3CDTF">2021-07-05T07:20:00Z</dcterms:created>
  <dcterms:modified xsi:type="dcterms:W3CDTF">2026-04-15T16:42:18Z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1033-11.2.0.10223</vt:lpwstr>
  </property>
</Properties>
</file>