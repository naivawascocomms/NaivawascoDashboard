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trlProps/ctrlProp8.xml" ContentType="application/vnd.ms-excel.control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trlProps/ctrlProp9.xml" ContentType="application/vnd.ms-excel.controlproperties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trlProps/ctrlProp10.xml" ContentType="application/vnd.ms-excel.controlproperties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trlProps/ctrlProp11.xml" ContentType="application/vnd.ms-excel.controlproperties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trlProps/ctrlProp12.xml" ContentType="application/vnd.ms-excel.controlproperties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trlProps/ctrlProp13.xml" ContentType="application/vnd.ms-excel.controlproperties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trlProps/ctrlProp14.xml" ContentType="application/vnd.ms-excel.controlproperties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trlProps/ctrlProp15.xml" ContentType="application/vnd.ms-excel.controlproperties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trlProps/ctrlProp16.xml" ContentType="application/vnd.ms-excel.controlproperties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trlProps/ctrlProp17.xml" ContentType="application/vnd.ms-excel.controlproperties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trlProps/ctrlProp18.xml" ContentType="application/vnd.ms-excel.controlproperties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trlProps/ctrlProp19.xml" ContentType="application/vnd.ms-excel.controlproperties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trlProps/ctrlProp20.xml" ContentType="application/vnd.ms-excel.controlproperties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trlProps/ctrlProp21.xml" ContentType="application/vnd.ms-excel.controlproperties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trlProps/ctrlProp22.xml" ContentType="application/vnd.ms-excel.controlproperties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trlProps/ctrlProp23.xml" ContentType="application/vnd.ms-excel.controlproperties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trlProps/ctrlProp24.xml" ContentType="application/vnd.ms-excel.controlproperties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trlProps/ctrlProp25.xml" ContentType="application/vnd.ms-excel.controlproperties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trlProps/ctrlProp26.xml" ContentType="application/vnd.ms-excel.controlproperties+xml"/>
  <Override PartName="/xl/charts/chart25.xml" ContentType="application/vnd.openxmlformats-officedocument.drawingml.chart+xml"/>
  <Override PartName="/xl/drawings/drawing27.xml" ContentType="application/vnd.openxmlformats-officedocument.drawing+xml"/>
  <Override PartName="/xl/ctrlProps/ctrlProp27.xml" ContentType="application/vnd.ms-excel.controlproperties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trlProps/ctrlProp28.xml" ContentType="application/vnd.ms-excel.controlproperties+xml"/>
  <Override PartName="/xl/charts/chart27.xml" ContentType="application/vnd.openxmlformats-officedocument.drawingml.chart+xml"/>
  <Override PartName="/xl/drawings/drawing29.xml" ContentType="application/vnd.openxmlformats-officedocument.drawing+xml"/>
  <Override PartName="/xl/ctrlProps/ctrlProp29.xml" ContentType="application/vnd.ms-excel.controlproperties+xml"/>
  <Override PartName="/xl/charts/chart28.xml" ContentType="application/vnd.openxmlformats-officedocument.drawingml.chart+xml"/>
  <Override PartName="/xl/drawings/drawing30.xml" ContentType="application/vnd.openxmlformats-officedocument.drawing+xml"/>
  <Override PartName="/xl/ctrlProps/ctrlProp30.xml" ContentType="application/vnd.ms-excel.controlproperties+xml"/>
  <Override PartName="/xl/charts/chart29.xml" ContentType="application/vnd.openxmlformats-officedocument.drawingml.chart+xml"/>
  <Override PartName="/xl/drawings/drawing31.xml" ContentType="application/vnd.openxmlformats-officedocument.drawing+xml"/>
  <Override PartName="/xl/ctrlProps/ctrlProp31.xml" ContentType="application/vnd.ms-excel.controlproperties+xml"/>
  <Override PartName="/xl/charts/chart30.xml" ContentType="application/vnd.openxmlformats-officedocument.drawingml.chart+xml"/>
  <Override PartName="/xl/drawings/drawing32.xml" ContentType="application/vnd.openxmlformats-officedocument.drawing+xml"/>
  <Override PartName="/xl/ctrlProps/ctrlProp32.xml" ContentType="application/vnd.ms-excel.controlproperties+xml"/>
  <Override PartName="/xl/charts/chart31.xml" ContentType="application/vnd.openxmlformats-officedocument.drawingml.chart+xml"/>
  <Override PartName="/xl/drawings/drawing33.xml" ContentType="application/vnd.openxmlformats-officedocument.drawing+xml"/>
  <Override PartName="/xl/ctrlProps/ctrlProp33.xml" ContentType="application/vnd.ms-excel.controlproperties+xml"/>
  <Override PartName="/xl/charts/chart32.xml" ContentType="application/vnd.openxmlformats-officedocument.drawingml.chart+xml"/>
  <Override PartName="/xl/drawings/drawing34.xml" ContentType="application/vnd.openxmlformats-officedocument.drawing+xml"/>
  <Override PartName="/xl/ctrlProps/ctrlProp34.xml" ContentType="application/vnd.ms-excel.controlproperties+xml"/>
  <Override PartName="/xl/charts/chart33.xml" ContentType="application/vnd.openxmlformats-officedocument.drawingml.chart+xml"/>
  <Override PartName="/xl/drawings/drawing35.xml" ContentType="application/vnd.openxmlformats-officedocument.drawing+xml"/>
  <Override PartName="/xl/ctrlProps/ctrlProp35.xml" ContentType="application/vnd.ms-excel.controlproperties+xml"/>
  <Override PartName="/xl/charts/chart34.xml" ContentType="application/vnd.openxmlformats-officedocument.drawingml.chart+xml"/>
  <Override PartName="/xl/drawings/drawing36.xml" ContentType="application/vnd.openxmlformats-officedocument.drawing+xml"/>
  <Override PartName="/xl/ctrlProps/ctrlProp36.xml" ContentType="application/vnd.ms-excel.controlproperties+xml"/>
  <Override PartName="/xl/charts/chart35.xml" ContentType="application/vnd.openxmlformats-officedocument.drawingml.chart+xml"/>
  <Override PartName="/xl/drawings/drawing37.xml" ContentType="application/vnd.openxmlformats-officedocument.drawing+xml"/>
  <Override PartName="/xl/ctrlProps/ctrlProp37.xml" ContentType="application/vnd.ms-excel.controlproperties+xml"/>
  <Override PartName="/xl/charts/chart36.xml" ContentType="application/vnd.openxmlformats-officedocument.drawingml.chart+xml"/>
  <Override PartName="/xl/drawings/drawing38.xml" ContentType="application/vnd.openxmlformats-officedocument.drawing+xml"/>
  <Override PartName="/xl/ctrlProps/ctrlProp38.xml" ContentType="application/vnd.ms-excel.controlproperties+xml"/>
  <Override PartName="/xl/charts/chart37.xml" ContentType="application/vnd.openxmlformats-officedocument.drawingml.chart+xml"/>
  <Override PartName="/xl/drawings/drawing39.xml" ContentType="application/vnd.openxmlformats-officedocument.drawing+xml"/>
  <Override PartName="/xl/ctrlProps/ctrlProp39.xml" ContentType="application/vnd.ms-excel.controlproperties+xml"/>
  <Override PartName="/xl/charts/chart38.xml" ContentType="application/vnd.openxmlformats-officedocument.drawingml.chart+xml"/>
  <Override PartName="/xl/drawings/drawing40.xml" ContentType="application/vnd.openxmlformats-officedocument.drawing+xml"/>
  <Override PartName="/xl/ctrlProps/ctrlProp40.xml" ContentType="application/vnd.ms-excel.controlproperties+xml"/>
  <Override PartName="/xl/charts/chart39.xml" ContentType="application/vnd.openxmlformats-officedocument.drawingml.chart+xml"/>
  <Override PartName="/xl/drawings/drawing41.xml" ContentType="application/vnd.openxmlformats-officedocument.drawing+xml"/>
  <Override PartName="/xl/ctrlProps/ctrlProp41.xml" ContentType="application/vnd.ms-excel.controlproperties+xml"/>
  <Override PartName="/xl/charts/chart40.xml" ContentType="application/vnd.openxmlformats-officedocument.drawingml.chart+xml"/>
  <Override PartName="/xl/drawings/drawing42.xml" ContentType="application/vnd.openxmlformats-officedocument.drawing+xml"/>
  <Override PartName="/xl/ctrlProps/ctrlProp42.xml" ContentType="application/vnd.ms-excel.controlproperties+xml"/>
  <Override PartName="/xl/charts/chart41.xml" ContentType="application/vnd.openxmlformats-officedocument.drawingml.chart+xml"/>
  <Override PartName="/xl/drawings/drawing43.xml" ContentType="application/vnd.openxmlformats-officedocument.drawing+xml"/>
  <Override PartName="/xl/ctrlProps/ctrlProp43.xml" ContentType="application/vnd.ms-excel.controlproperties+xml"/>
  <Override PartName="/xl/charts/chart42.xml" ContentType="application/vnd.openxmlformats-officedocument.drawingml.chart+xml"/>
  <Override PartName="/xl/drawings/drawing44.xml" ContentType="application/vnd.openxmlformats-officedocument.drawing+xml"/>
  <Override PartName="/xl/ctrlProps/ctrlProp44.xml" ContentType="application/vnd.ms-excel.controlproperties+xml"/>
  <Override PartName="/xl/charts/chart43.xml" ContentType="application/vnd.openxmlformats-officedocument.drawingml.chart+xml"/>
  <Override PartName="/xl/drawings/drawing45.xml" ContentType="application/vnd.openxmlformats-officedocument.drawing+xml"/>
  <Override PartName="/xl/ctrlProps/ctrlProp45.xml" ContentType="application/vnd.ms-excel.controlproperties+xml"/>
  <Override PartName="/xl/charts/chart44.xml" ContentType="application/vnd.openxmlformats-officedocument.drawingml.chart+xml"/>
  <Override PartName="/xl/drawings/drawing46.xml" ContentType="application/vnd.openxmlformats-officedocument.drawing+xml"/>
  <Override PartName="/xl/ctrlProps/ctrlProp46.xml" ContentType="application/vnd.ms-excel.controlproperties+xml"/>
  <Override PartName="/xl/charts/chart45.xml" ContentType="application/vnd.openxmlformats-officedocument.drawingml.chart+xml"/>
  <Override PartName="/xl/drawings/drawing47.xml" ContentType="application/vnd.openxmlformats-officedocument.drawing+xml"/>
  <Override PartName="/xl/ctrlProps/ctrlProp47.xml" ContentType="application/vnd.ms-excel.controlproperties+xml"/>
  <Override PartName="/xl/charts/chart46.xml" ContentType="application/vnd.openxmlformats-officedocument.drawingml.chart+xml"/>
  <Override PartName="/xl/drawings/drawing48.xml" ContentType="application/vnd.openxmlformats-officedocument.drawing+xml"/>
  <Override PartName="/xl/ctrlProps/ctrlProp48.xml" ContentType="application/vnd.ms-excel.controlproperties+xml"/>
  <Override PartName="/xl/charts/chart47.xml" ContentType="application/vnd.openxmlformats-officedocument.drawingml.chart+xml"/>
  <Override PartName="/xl/drawings/drawing49.xml" ContentType="application/vnd.openxmlformats-officedocument.drawing+xml"/>
  <Override PartName="/xl/ctrlProps/ctrlProp49.xml" ContentType="application/vnd.ms-excel.controlproperties+xml"/>
  <Override PartName="/xl/charts/chart48.xml" ContentType="application/vnd.openxmlformats-officedocument.drawingml.chart+xml"/>
  <Override PartName="/xl/drawings/drawing50.xml" ContentType="application/vnd.openxmlformats-officedocument.drawing+xml"/>
  <Override PartName="/xl/ctrlProps/ctrlProp50.xml" ContentType="application/vnd.ms-excel.controlproperties+xml"/>
  <Override PartName="/xl/charts/chart49.xml" ContentType="application/vnd.openxmlformats-officedocument.drawingml.chart+xml"/>
  <Override PartName="/xl/drawings/drawing51.xml" ContentType="application/vnd.openxmlformats-officedocument.drawing+xml"/>
  <Override PartName="/xl/ctrlProps/ctrlProp51.xml" ContentType="application/vnd.ms-excel.controlproperties+xml"/>
  <Override PartName="/xl/charts/chart50.xml" ContentType="application/vnd.openxmlformats-officedocument.drawingml.chart+xml"/>
  <Override PartName="/xl/drawings/drawing52.xml" ContentType="application/vnd.openxmlformats-officedocument.drawing+xml"/>
  <Override PartName="/xl/ctrlProps/ctrlProp52.xml" ContentType="application/vnd.ms-excel.controlproperties+xml"/>
  <Override PartName="/xl/charts/chart51.xml" ContentType="application/vnd.openxmlformats-officedocument.drawingml.chart+xml"/>
  <Override PartName="/xl/drawings/drawing53.xml" ContentType="application/vnd.openxmlformats-officedocument.drawing+xml"/>
  <Override PartName="/xl/ctrlProps/ctrlProp53.xml" ContentType="application/vnd.ms-excel.controlproperties+xml"/>
  <Override PartName="/xl/charts/chart52.xml" ContentType="application/vnd.openxmlformats-officedocument.drawingml.chart+xml"/>
  <Override PartName="/xl/drawings/drawing54.xml" ContentType="application/vnd.openxmlformats-officedocument.drawing+xml"/>
  <Override PartName="/xl/ctrlProps/ctrlProp54.xml" ContentType="application/vnd.ms-excel.controlproperties+xml"/>
  <Override PartName="/xl/charts/chart53.xml" ContentType="application/vnd.openxmlformats-officedocument.drawingml.chart+xml"/>
  <Override PartName="/xl/drawings/drawing55.xml" ContentType="application/vnd.openxmlformats-officedocument.drawing+xml"/>
  <Override PartName="/xl/ctrlProps/ctrlProp55.xml" ContentType="application/vnd.ms-excel.controlproperties+xml"/>
  <Override PartName="/xl/charts/chart54.xml" ContentType="application/vnd.openxmlformats-officedocument.drawingml.chart+xml"/>
  <Override PartName="/xl/drawings/drawing56.xml" ContentType="application/vnd.openxmlformats-officedocument.drawing+xml"/>
  <Override PartName="/xl/ctrlProps/ctrlProp56.xml" ContentType="application/vnd.ms-excel.controlproperties+xml"/>
  <Override PartName="/xl/charts/chart55.xml" ContentType="application/vnd.openxmlformats-officedocument.drawingml.chart+xml"/>
  <Override PartName="/xl/drawings/drawing57.xml" ContentType="application/vnd.openxmlformats-officedocument.drawing+xml"/>
  <Override PartName="/xl/ctrlProps/ctrlProp57.xml" ContentType="application/vnd.ms-excel.controlproperties+xml"/>
  <Override PartName="/xl/charts/chart5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cto.NAIVAWASCO0\Desktop\FEB\MAR\"/>
    </mc:Choice>
  </mc:AlternateContent>
  <xr:revisionPtr revIDLastSave="0" documentId="13_ncr:1_{EB54A4BC-AF87-42EA-96D5-3F389DC47E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34" r:id="rId1"/>
    <sheet name="BUDGET2526" sheetId="205" r:id="rId2"/>
    <sheet name="ACTUAL 2526" sheetId="262" r:id="rId3"/>
    <sheet name="Actual 202425" sheetId="260" r:id="rId4"/>
    <sheet name="Actual2223" sheetId="236" state="hidden" r:id="rId5"/>
    <sheet name="ACTUAL2122" sheetId="206" state="hidden" r:id="rId6"/>
    <sheet name="ACTUAL2021" sheetId="207" state="hidden" r:id="rId7"/>
    <sheet name="KPI 1" sheetId="123" r:id="rId8"/>
    <sheet name="KPI 3 (2)" sheetId="239" r:id="rId9"/>
    <sheet name="KPI 2" sheetId="124" r:id="rId10"/>
    <sheet name="KPI a" sheetId="240" r:id="rId11"/>
    <sheet name="KPI b1" sheetId="261" r:id="rId12"/>
    <sheet name="KPI b" sheetId="241" r:id="rId13"/>
    <sheet name="KPI c" sheetId="242" r:id="rId14"/>
    <sheet name="KPI e" sheetId="243" r:id="rId15"/>
    <sheet name="KPI 3" sheetId="125" r:id="rId16"/>
    <sheet name="KPI 3a" sheetId="126" state="hidden" r:id="rId17"/>
    <sheet name="KPI 3b" sheetId="127" state="hidden" r:id="rId18"/>
    <sheet name="KPI 3c" sheetId="131" state="hidden" r:id="rId19"/>
    <sheet name="KPI 3d" sheetId="132" state="hidden" r:id="rId20"/>
    <sheet name="KPI k" sheetId="133" r:id="rId21"/>
    <sheet name="KPI 4a" sheetId="134" state="hidden" r:id="rId22"/>
    <sheet name="KPI 4b" sheetId="135" state="hidden" r:id="rId23"/>
    <sheet name="KPI 4c" sheetId="136" state="hidden" r:id="rId24"/>
    <sheet name="KPI 4d" sheetId="137" state="hidden" r:id="rId25"/>
    <sheet name="KPI y" sheetId="244" r:id="rId26"/>
    <sheet name="KPI w" sheetId="245" r:id="rId27"/>
    <sheet name="KPI z" sheetId="208" r:id="rId28"/>
    <sheet name="KPI j" sheetId="204" r:id="rId29"/>
    <sheet name="KPI 4(i)" sheetId="246" r:id="rId30"/>
    <sheet name="KPI 4 (ii)" sheetId="209" r:id="rId31"/>
    <sheet name="KPI 5" sheetId="138" r:id="rId32"/>
    <sheet name="KPI g" sheetId="249" r:id="rId33"/>
    <sheet name="KPI x" sheetId="250" r:id="rId34"/>
    <sheet name="KPI x (2)" sheetId="258" r:id="rId35"/>
    <sheet name="KPI qi" sheetId="142" r:id="rId36"/>
    <sheet name="KPI h" sheetId="247" r:id="rId37"/>
    <sheet name="KPI 6" sheetId="248" r:id="rId38"/>
    <sheet name="KPI 9" sheetId="145" r:id="rId39"/>
    <sheet name="KPI 10" sheetId="194" r:id="rId40"/>
    <sheet name="KPI 11" sheetId="195" r:id="rId41"/>
    <sheet name="KPI 11a" sheetId="215" r:id="rId42"/>
    <sheet name="KPI 12" sheetId="196" r:id="rId43"/>
    <sheet name="KPI 13" sheetId="197" r:id="rId44"/>
    <sheet name="KPI 14 (3)" sheetId="259" r:id="rId45"/>
    <sheet name="KPI 14 (2)" sheetId="257" r:id="rId46"/>
    <sheet name="KPI 14" sheetId="198" r:id="rId47"/>
    <sheet name="KPI 15" sheetId="199" r:id="rId48"/>
    <sheet name="KPI 16" sheetId="200" r:id="rId49"/>
    <sheet name="KPI 16A" sheetId="216" r:id="rId50"/>
    <sheet name="KPI 17" sheetId="202" r:id="rId51"/>
    <sheet name="KPI 10 (2)" sheetId="251" r:id="rId52"/>
    <sheet name="KPI 11 (2)" sheetId="252" r:id="rId53"/>
    <sheet name="KPI 11a (2)" sheetId="253" r:id="rId54"/>
    <sheet name="KPI 12 (2)" sheetId="254" r:id="rId55"/>
    <sheet name="KPI 13 (2)" sheetId="255" r:id="rId56"/>
    <sheet name="KPI 18" sheetId="201" r:id="rId57"/>
    <sheet name="KPI 19" sheetId="203" r:id="rId58"/>
    <sheet name="KPI q" sheetId="237" r:id="rId59"/>
    <sheet name="KPI 20" sheetId="147" r:id="rId60"/>
    <sheet name="KPI v" sheetId="238" r:id="rId61"/>
    <sheet name="KPI 25" sheetId="149" r:id="rId62"/>
    <sheet name="KPI s" sheetId="232" r:id="rId63"/>
    <sheet name="General" sheetId="12" r:id="rId64"/>
  </sheets>
  <externalReferences>
    <externalReference r:id="rId65"/>
    <externalReference r:id="rId66"/>
    <externalReference r:id="rId67"/>
  </externalReferences>
  <definedNames>
    <definedName name="Actual_month">General!$B$3</definedName>
    <definedName name="_xlnm.Print_Area" localSheetId="0">Dashboard!$A$1:$O$55</definedName>
    <definedName name="_xlnm.Print_Titles" localSheetId="0">Dashboard!$1:$4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62" l="1"/>
  <c r="I35" i="262" l="1"/>
  <c r="I34" i="262"/>
  <c r="I33" i="262"/>
  <c r="I10" i="262"/>
  <c r="I7" i="262"/>
  <c r="I6" i="262"/>
  <c r="G34" i="262" l="1"/>
  <c r="G7" i="262"/>
  <c r="G49" i="262" l="1"/>
  <c r="G10" i="262"/>
  <c r="H47" i="262"/>
  <c r="G6" i="262"/>
  <c r="E20" i="199" l="1"/>
  <c r="H37" i="262" l="1"/>
  <c r="F20" i="123" l="1"/>
  <c r="G20" i="123"/>
  <c r="H20" i="123"/>
  <c r="I20" i="123"/>
  <c r="J20" i="123"/>
  <c r="K20" i="123"/>
  <c r="L20" i="123"/>
  <c r="M20" i="123"/>
  <c r="N20" i="123"/>
  <c r="O20" i="123"/>
  <c r="P20" i="123"/>
  <c r="E43" i="262" l="1"/>
  <c r="C28" i="262"/>
  <c r="C29" i="262"/>
  <c r="C27" i="262"/>
  <c r="C7" i="262"/>
  <c r="C8" i="262"/>
  <c r="C9" i="262"/>
  <c r="C10" i="262"/>
  <c r="C11" i="262"/>
  <c r="C12" i="262"/>
  <c r="C13" i="262"/>
  <c r="C28" i="205"/>
  <c r="C29" i="205"/>
  <c r="C30" i="205"/>
  <c r="C31" i="205"/>
  <c r="C27" i="205"/>
  <c r="C24" i="205"/>
  <c r="C25" i="205"/>
  <c r="C23" i="205"/>
  <c r="C24" i="262"/>
  <c r="C25" i="262"/>
  <c r="C23" i="262"/>
  <c r="F21" i="238" l="1"/>
  <c r="G21" i="238"/>
  <c r="H21" i="238"/>
  <c r="I21" i="238"/>
  <c r="J21" i="238"/>
  <c r="K21" i="238"/>
  <c r="L21" i="238"/>
  <c r="M21" i="238"/>
  <c r="N21" i="238"/>
  <c r="O21" i="238"/>
  <c r="P21" i="238"/>
  <c r="E21" i="238"/>
  <c r="F20" i="238"/>
  <c r="G20" i="238"/>
  <c r="H20" i="238"/>
  <c r="I20" i="238"/>
  <c r="J20" i="238"/>
  <c r="K20" i="238"/>
  <c r="L20" i="238"/>
  <c r="M20" i="238"/>
  <c r="N20" i="238"/>
  <c r="O20" i="238"/>
  <c r="P20" i="238"/>
  <c r="E20" i="238"/>
  <c r="F21" i="237"/>
  <c r="G21" i="237"/>
  <c r="H21" i="237"/>
  <c r="I21" i="237"/>
  <c r="J21" i="237"/>
  <c r="K21" i="237"/>
  <c r="L21" i="237"/>
  <c r="M21" i="237"/>
  <c r="N21" i="237"/>
  <c r="O21" i="237"/>
  <c r="P21" i="237"/>
  <c r="E21" i="237"/>
  <c r="F20" i="237"/>
  <c r="G20" i="237"/>
  <c r="H20" i="237"/>
  <c r="I20" i="237"/>
  <c r="J20" i="237"/>
  <c r="K20" i="237"/>
  <c r="L20" i="237"/>
  <c r="M20" i="237"/>
  <c r="N20" i="237"/>
  <c r="O20" i="237"/>
  <c r="P20" i="237"/>
  <c r="E20" i="237"/>
  <c r="F21" i="255"/>
  <c r="G21" i="255"/>
  <c r="H21" i="255"/>
  <c r="I21" i="255"/>
  <c r="J21" i="255"/>
  <c r="K21" i="255"/>
  <c r="L21" i="255"/>
  <c r="M21" i="255"/>
  <c r="N21" i="255"/>
  <c r="O21" i="255"/>
  <c r="P21" i="255"/>
  <c r="E21" i="255"/>
  <c r="F20" i="255"/>
  <c r="G20" i="255"/>
  <c r="H20" i="255"/>
  <c r="I20" i="255"/>
  <c r="J20" i="255"/>
  <c r="K20" i="255"/>
  <c r="L20" i="255"/>
  <c r="M20" i="255"/>
  <c r="N20" i="255"/>
  <c r="O20" i="255"/>
  <c r="P20" i="255"/>
  <c r="E20" i="255"/>
  <c r="F21" i="253"/>
  <c r="G21" i="253"/>
  <c r="H21" i="253"/>
  <c r="I21" i="253"/>
  <c r="J21" i="253"/>
  <c r="K21" i="253"/>
  <c r="L21" i="253"/>
  <c r="N21" i="253"/>
  <c r="O21" i="253"/>
  <c r="P21" i="253"/>
  <c r="E21" i="253"/>
  <c r="F20" i="253"/>
  <c r="G20" i="253"/>
  <c r="H20" i="253"/>
  <c r="I20" i="253"/>
  <c r="J20" i="253"/>
  <c r="K20" i="253"/>
  <c r="L20" i="253"/>
  <c r="M20" i="253"/>
  <c r="N20" i="253"/>
  <c r="O20" i="253"/>
  <c r="P20" i="253"/>
  <c r="E20" i="253"/>
  <c r="F21" i="252"/>
  <c r="G21" i="252"/>
  <c r="H21" i="252"/>
  <c r="I21" i="252"/>
  <c r="J21" i="252"/>
  <c r="K21" i="252"/>
  <c r="L21" i="252"/>
  <c r="M21" i="252"/>
  <c r="N21" i="252"/>
  <c r="O21" i="252"/>
  <c r="P21" i="252"/>
  <c r="E21" i="252"/>
  <c r="F20" i="252"/>
  <c r="G20" i="252"/>
  <c r="H20" i="252"/>
  <c r="I20" i="252"/>
  <c r="J20" i="252"/>
  <c r="K20" i="252"/>
  <c r="L20" i="252"/>
  <c r="M20" i="252"/>
  <c r="N20" i="252"/>
  <c r="O20" i="252"/>
  <c r="P20" i="252"/>
  <c r="E20" i="252"/>
  <c r="F21" i="251"/>
  <c r="G21" i="251"/>
  <c r="H21" i="251"/>
  <c r="I21" i="251"/>
  <c r="J21" i="251"/>
  <c r="K21" i="251"/>
  <c r="L21" i="251"/>
  <c r="M21" i="251"/>
  <c r="N21" i="251"/>
  <c r="O21" i="251"/>
  <c r="P21" i="251"/>
  <c r="E21" i="251"/>
  <c r="F20" i="251"/>
  <c r="G20" i="251"/>
  <c r="H20" i="251"/>
  <c r="I20" i="251"/>
  <c r="J20" i="251"/>
  <c r="K20" i="251"/>
  <c r="L20" i="251"/>
  <c r="M20" i="251"/>
  <c r="N20" i="251"/>
  <c r="O20" i="251"/>
  <c r="P20" i="251"/>
  <c r="E20" i="251"/>
  <c r="F21" i="201"/>
  <c r="G21" i="201"/>
  <c r="H21" i="201"/>
  <c r="I21" i="201"/>
  <c r="J21" i="201"/>
  <c r="K21" i="201"/>
  <c r="L21" i="201"/>
  <c r="M21" i="201"/>
  <c r="N21" i="201"/>
  <c r="O21" i="201"/>
  <c r="P21" i="201"/>
  <c r="E21" i="201"/>
  <c r="F20" i="201"/>
  <c r="G20" i="201"/>
  <c r="H20" i="201"/>
  <c r="I20" i="201"/>
  <c r="J20" i="201"/>
  <c r="K20" i="201"/>
  <c r="L20" i="201"/>
  <c r="M20" i="201"/>
  <c r="N20" i="201"/>
  <c r="O20" i="201"/>
  <c r="P20" i="201"/>
  <c r="E20" i="201"/>
  <c r="F21" i="216"/>
  <c r="G21" i="216"/>
  <c r="H21" i="216"/>
  <c r="I21" i="216"/>
  <c r="J21" i="216"/>
  <c r="K21" i="216"/>
  <c r="L21" i="216"/>
  <c r="M21" i="216"/>
  <c r="N21" i="216"/>
  <c r="O21" i="216"/>
  <c r="P21" i="216"/>
  <c r="E21" i="216"/>
  <c r="F20" i="216"/>
  <c r="G20" i="216"/>
  <c r="H20" i="216"/>
  <c r="I20" i="216"/>
  <c r="J20" i="216"/>
  <c r="K20" i="216"/>
  <c r="L20" i="216"/>
  <c r="M20" i="216"/>
  <c r="N20" i="216"/>
  <c r="O20" i="216"/>
  <c r="P20" i="216"/>
  <c r="E20" i="216"/>
  <c r="F21" i="200"/>
  <c r="G21" i="200"/>
  <c r="H21" i="200"/>
  <c r="I21" i="200"/>
  <c r="J21" i="200"/>
  <c r="K21" i="200"/>
  <c r="L21" i="200"/>
  <c r="M21" i="200"/>
  <c r="N21" i="200"/>
  <c r="O21" i="200"/>
  <c r="P21" i="200"/>
  <c r="E21" i="200"/>
  <c r="F20" i="200"/>
  <c r="G20" i="200"/>
  <c r="H20" i="200"/>
  <c r="I20" i="200"/>
  <c r="J20" i="200"/>
  <c r="K20" i="200"/>
  <c r="L20" i="200"/>
  <c r="M20" i="200"/>
  <c r="N20" i="200"/>
  <c r="O20" i="200"/>
  <c r="P20" i="200"/>
  <c r="E20" i="200"/>
  <c r="F21" i="199"/>
  <c r="G21" i="199"/>
  <c r="H21" i="199"/>
  <c r="I21" i="199"/>
  <c r="J21" i="199"/>
  <c r="K21" i="199"/>
  <c r="L21" i="199"/>
  <c r="M21" i="199"/>
  <c r="N21" i="199"/>
  <c r="O21" i="199"/>
  <c r="P21" i="199"/>
  <c r="E21" i="199"/>
  <c r="F20" i="199"/>
  <c r="G20" i="199"/>
  <c r="H20" i="199"/>
  <c r="I20" i="199"/>
  <c r="J20" i="199"/>
  <c r="K20" i="199"/>
  <c r="L20" i="199"/>
  <c r="M20" i="199"/>
  <c r="N20" i="199"/>
  <c r="O20" i="199"/>
  <c r="P20" i="199"/>
  <c r="F21" i="194"/>
  <c r="G21" i="194"/>
  <c r="H21" i="194"/>
  <c r="I21" i="194"/>
  <c r="J21" i="194"/>
  <c r="K21" i="194"/>
  <c r="L21" i="194"/>
  <c r="M21" i="194"/>
  <c r="N21" i="194"/>
  <c r="O21" i="194"/>
  <c r="P21" i="194"/>
  <c r="E21" i="194"/>
  <c r="F21" i="197"/>
  <c r="G21" i="197"/>
  <c r="H21" i="197"/>
  <c r="I21" i="197"/>
  <c r="J21" i="197"/>
  <c r="K21" i="197"/>
  <c r="L21" i="197"/>
  <c r="M21" i="197"/>
  <c r="N21" i="197"/>
  <c r="O21" i="197"/>
  <c r="P21" i="197"/>
  <c r="E21" i="197"/>
  <c r="F20" i="197"/>
  <c r="G20" i="197"/>
  <c r="H20" i="197"/>
  <c r="I20" i="197"/>
  <c r="J20" i="197"/>
  <c r="K20" i="197"/>
  <c r="L20" i="197"/>
  <c r="M20" i="197"/>
  <c r="N20" i="197"/>
  <c r="O20" i="197"/>
  <c r="P20" i="197"/>
  <c r="E20" i="197"/>
  <c r="G21" i="215"/>
  <c r="H21" i="215"/>
  <c r="I21" i="215"/>
  <c r="J21" i="215"/>
  <c r="L21" i="215"/>
  <c r="M21" i="215"/>
  <c r="N21" i="215"/>
  <c r="O21" i="215"/>
  <c r="P21" i="215"/>
  <c r="E21" i="215"/>
  <c r="F20" i="215"/>
  <c r="G20" i="215"/>
  <c r="H20" i="215"/>
  <c r="I20" i="215"/>
  <c r="J20" i="215"/>
  <c r="K20" i="215"/>
  <c r="L20" i="215"/>
  <c r="M20" i="215"/>
  <c r="N20" i="215"/>
  <c r="O20" i="215"/>
  <c r="P20" i="215"/>
  <c r="E20" i="215"/>
  <c r="G21" i="195"/>
  <c r="H21" i="195"/>
  <c r="I21" i="195"/>
  <c r="J21" i="195"/>
  <c r="L21" i="195"/>
  <c r="M21" i="195"/>
  <c r="N21" i="195"/>
  <c r="O21" i="195"/>
  <c r="P21" i="195"/>
  <c r="E21" i="195"/>
  <c r="F20" i="195"/>
  <c r="G20" i="195"/>
  <c r="H20" i="195"/>
  <c r="I20" i="195"/>
  <c r="J20" i="195"/>
  <c r="K20" i="195"/>
  <c r="L20" i="195"/>
  <c r="M20" i="195"/>
  <c r="N20" i="195"/>
  <c r="O20" i="195"/>
  <c r="P20" i="195"/>
  <c r="E20" i="195"/>
  <c r="F20" i="194"/>
  <c r="G20" i="194"/>
  <c r="H20" i="194"/>
  <c r="I20" i="194"/>
  <c r="J20" i="194"/>
  <c r="K20" i="194"/>
  <c r="L20" i="194"/>
  <c r="M20" i="194"/>
  <c r="N20" i="194"/>
  <c r="O20" i="194"/>
  <c r="P20" i="194"/>
  <c r="E20" i="194"/>
  <c r="F21" i="248"/>
  <c r="G21" i="248"/>
  <c r="H21" i="248"/>
  <c r="I21" i="248"/>
  <c r="J21" i="248"/>
  <c r="K21" i="248"/>
  <c r="L21" i="248"/>
  <c r="M21" i="248"/>
  <c r="N21" i="248"/>
  <c r="O21" i="248"/>
  <c r="P21" i="248"/>
  <c r="E21" i="248"/>
  <c r="F20" i="248"/>
  <c r="G20" i="248"/>
  <c r="H20" i="248"/>
  <c r="I20" i="248"/>
  <c r="J20" i="248"/>
  <c r="K20" i="248"/>
  <c r="L20" i="248"/>
  <c r="M20" i="248"/>
  <c r="N20" i="248"/>
  <c r="O20" i="248"/>
  <c r="P20" i="248"/>
  <c r="E20" i="248"/>
  <c r="F21" i="247"/>
  <c r="G21" i="247"/>
  <c r="H21" i="247"/>
  <c r="I21" i="247"/>
  <c r="J21" i="247"/>
  <c r="K21" i="247"/>
  <c r="L21" i="247"/>
  <c r="M21" i="247"/>
  <c r="N21" i="247"/>
  <c r="O21" i="247"/>
  <c r="P21" i="247"/>
  <c r="E21" i="247"/>
  <c r="F20" i="247"/>
  <c r="G20" i="247"/>
  <c r="H20" i="247"/>
  <c r="I20" i="247"/>
  <c r="J20" i="247"/>
  <c r="K20" i="247"/>
  <c r="L20" i="247"/>
  <c r="M20" i="247"/>
  <c r="N20" i="247"/>
  <c r="O20" i="247"/>
  <c r="P20" i="247"/>
  <c r="E20" i="247"/>
  <c r="F21" i="142"/>
  <c r="G21" i="142"/>
  <c r="H21" i="142"/>
  <c r="I21" i="142"/>
  <c r="J21" i="142"/>
  <c r="K21" i="142"/>
  <c r="L21" i="142"/>
  <c r="M21" i="142"/>
  <c r="N21" i="142"/>
  <c r="O21" i="142"/>
  <c r="P21" i="142"/>
  <c r="E21" i="142"/>
  <c r="F20" i="142"/>
  <c r="G20" i="142"/>
  <c r="H20" i="142"/>
  <c r="I20" i="142"/>
  <c r="J20" i="142"/>
  <c r="K20" i="142"/>
  <c r="L20" i="142"/>
  <c r="M20" i="142"/>
  <c r="N20" i="142"/>
  <c r="O20" i="142"/>
  <c r="P20" i="142"/>
  <c r="E20" i="142"/>
  <c r="F21" i="258"/>
  <c r="G21" i="258"/>
  <c r="H21" i="258"/>
  <c r="I21" i="258"/>
  <c r="J21" i="258"/>
  <c r="K21" i="258"/>
  <c r="L21" i="258"/>
  <c r="M21" i="258"/>
  <c r="N21" i="258"/>
  <c r="O21" i="258"/>
  <c r="P21" i="258"/>
  <c r="E21" i="258"/>
  <c r="F20" i="258"/>
  <c r="G20" i="258"/>
  <c r="H20" i="258"/>
  <c r="I20" i="258"/>
  <c r="J20" i="258"/>
  <c r="K20" i="258"/>
  <c r="L20" i="258"/>
  <c r="M20" i="258"/>
  <c r="N20" i="258"/>
  <c r="O20" i="258"/>
  <c r="P20" i="258"/>
  <c r="E20" i="258"/>
  <c r="F21" i="250"/>
  <c r="G21" i="250"/>
  <c r="H21" i="250"/>
  <c r="I21" i="250"/>
  <c r="J21" i="250"/>
  <c r="K21" i="250"/>
  <c r="L21" i="250"/>
  <c r="M21" i="250"/>
  <c r="N21" i="250"/>
  <c r="O21" i="250"/>
  <c r="P21" i="250"/>
  <c r="E21" i="250"/>
  <c r="F20" i="250"/>
  <c r="G20" i="250"/>
  <c r="H20" i="250"/>
  <c r="I20" i="250"/>
  <c r="J20" i="250"/>
  <c r="K20" i="250"/>
  <c r="L20" i="250"/>
  <c r="M20" i="250"/>
  <c r="N20" i="250"/>
  <c r="O20" i="250"/>
  <c r="P20" i="250"/>
  <c r="E20" i="250"/>
  <c r="F21" i="249"/>
  <c r="G21" i="249"/>
  <c r="H21" i="249"/>
  <c r="I21" i="249"/>
  <c r="J21" i="249"/>
  <c r="K21" i="249"/>
  <c r="L21" i="249"/>
  <c r="M21" i="249"/>
  <c r="N21" i="249"/>
  <c r="O21" i="249"/>
  <c r="P21" i="249"/>
  <c r="E21" i="249"/>
  <c r="F20" i="249"/>
  <c r="G20" i="249"/>
  <c r="H20" i="249"/>
  <c r="I20" i="249"/>
  <c r="J20" i="249"/>
  <c r="K20" i="249"/>
  <c r="L20" i="249"/>
  <c r="M20" i="249"/>
  <c r="N20" i="249"/>
  <c r="O20" i="249"/>
  <c r="P20" i="249"/>
  <c r="E20" i="249"/>
  <c r="F21" i="209"/>
  <c r="G21" i="209"/>
  <c r="H21" i="209"/>
  <c r="I21" i="209"/>
  <c r="J21" i="209"/>
  <c r="K21" i="209"/>
  <c r="L21" i="209"/>
  <c r="M21" i="209"/>
  <c r="N21" i="209"/>
  <c r="O21" i="209"/>
  <c r="P21" i="209"/>
  <c r="E21" i="209"/>
  <c r="F20" i="209"/>
  <c r="G20" i="209"/>
  <c r="H20" i="209"/>
  <c r="I20" i="209"/>
  <c r="J20" i="209"/>
  <c r="K20" i="209"/>
  <c r="L20" i="209"/>
  <c r="M20" i="209"/>
  <c r="N20" i="209"/>
  <c r="O20" i="209"/>
  <c r="P20" i="209"/>
  <c r="E20" i="209"/>
  <c r="F21" i="246"/>
  <c r="G21" i="246"/>
  <c r="H21" i="246"/>
  <c r="I21" i="246"/>
  <c r="J21" i="246"/>
  <c r="K21" i="246"/>
  <c r="L21" i="246"/>
  <c r="M21" i="246"/>
  <c r="N21" i="246"/>
  <c r="O21" i="246"/>
  <c r="P21" i="246"/>
  <c r="E21" i="246"/>
  <c r="F20" i="246"/>
  <c r="G20" i="246"/>
  <c r="H20" i="246"/>
  <c r="I20" i="246"/>
  <c r="J20" i="246"/>
  <c r="K20" i="246"/>
  <c r="L20" i="246"/>
  <c r="M20" i="246"/>
  <c r="N20" i="246"/>
  <c r="O20" i="246"/>
  <c r="P20" i="246"/>
  <c r="E20" i="246"/>
  <c r="F21" i="204"/>
  <c r="G21" i="204"/>
  <c r="H21" i="204"/>
  <c r="I21" i="204"/>
  <c r="J21" i="204"/>
  <c r="K21" i="204"/>
  <c r="L21" i="204"/>
  <c r="M21" i="204"/>
  <c r="N21" i="204"/>
  <c r="O21" i="204"/>
  <c r="P21" i="204"/>
  <c r="E21" i="204"/>
  <c r="F20" i="204"/>
  <c r="G20" i="204"/>
  <c r="H20" i="204"/>
  <c r="I20" i="204"/>
  <c r="J20" i="204"/>
  <c r="K20" i="204"/>
  <c r="L20" i="204"/>
  <c r="M20" i="204"/>
  <c r="N20" i="204"/>
  <c r="O20" i="204"/>
  <c r="P20" i="204"/>
  <c r="E20" i="204"/>
  <c r="F21" i="208"/>
  <c r="G21" i="208"/>
  <c r="H21" i="208"/>
  <c r="I21" i="208"/>
  <c r="J21" i="208"/>
  <c r="K21" i="208"/>
  <c r="L21" i="208"/>
  <c r="M21" i="208"/>
  <c r="N21" i="208"/>
  <c r="O21" i="208"/>
  <c r="P21" i="208"/>
  <c r="E21" i="208"/>
  <c r="F20" i="208"/>
  <c r="G20" i="208"/>
  <c r="H20" i="208"/>
  <c r="I20" i="208"/>
  <c r="J20" i="208"/>
  <c r="K20" i="208"/>
  <c r="L20" i="208"/>
  <c r="M20" i="208"/>
  <c r="N20" i="208"/>
  <c r="O20" i="208"/>
  <c r="P20" i="208"/>
  <c r="E20" i="208"/>
  <c r="F21" i="245"/>
  <c r="G21" i="245"/>
  <c r="H21" i="245"/>
  <c r="I21" i="245"/>
  <c r="J21" i="245"/>
  <c r="K21" i="245"/>
  <c r="L21" i="245"/>
  <c r="M21" i="245"/>
  <c r="N21" i="245"/>
  <c r="O21" i="245"/>
  <c r="P21" i="245"/>
  <c r="E21" i="245"/>
  <c r="F20" i="245"/>
  <c r="G20" i="245"/>
  <c r="H20" i="245"/>
  <c r="I20" i="245"/>
  <c r="J20" i="245"/>
  <c r="K20" i="245"/>
  <c r="L20" i="245"/>
  <c r="M20" i="245"/>
  <c r="N20" i="245"/>
  <c r="O20" i="245"/>
  <c r="P20" i="245"/>
  <c r="E20" i="245"/>
  <c r="F21" i="244"/>
  <c r="G21" i="244"/>
  <c r="H21" i="244"/>
  <c r="I21" i="244"/>
  <c r="J21" i="244"/>
  <c r="K21" i="244"/>
  <c r="L21" i="244"/>
  <c r="M21" i="244"/>
  <c r="N21" i="244"/>
  <c r="O21" i="244"/>
  <c r="P21" i="244"/>
  <c r="E21" i="244"/>
  <c r="F20" i="244"/>
  <c r="G20" i="244"/>
  <c r="H20" i="244"/>
  <c r="I20" i="244"/>
  <c r="J20" i="244"/>
  <c r="K20" i="244"/>
  <c r="L20" i="244"/>
  <c r="M20" i="244"/>
  <c r="N20" i="244"/>
  <c r="O20" i="244"/>
  <c r="P20" i="244"/>
  <c r="E20" i="244"/>
  <c r="F21" i="133"/>
  <c r="G21" i="133"/>
  <c r="H21" i="133"/>
  <c r="I21" i="133"/>
  <c r="K21" i="133"/>
  <c r="L21" i="133"/>
  <c r="M21" i="133"/>
  <c r="N21" i="133"/>
  <c r="O21" i="133"/>
  <c r="P21" i="133"/>
  <c r="E21" i="133"/>
  <c r="F20" i="133"/>
  <c r="G20" i="133"/>
  <c r="H20" i="133"/>
  <c r="I20" i="133"/>
  <c r="J20" i="133"/>
  <c r="K20" i="133"/>
  <c r="L20" i="133"/>
  <c r="M20" i="133"/>
  <c r="N20" i="133"/>
  <c r="O20" i="133"/>
  <c r="P20" i="133"/>
  <c r="E20" i="133"/>
  <c r="F21" i="243"/>
  <c r="G21" i="243"/>
  <c r="H21" i="243"/>
  <c r="I21" i="243"/>
  <c r="J21" i="243"/>
  <c r="K21" i="243"/>
  <c r="L21" i="243"/>
  <c r="M21" i="243"/>
  <c r="N21" i="243"/>
  <c r="O21" i="243"/>
  <c r="P21" i="243"/>
  <c r="E21" i="243"/>
  <c r="F20" i="243"/>
  <c r="G20" i="243"/>
  <c r="H20" i="243"/>
  <c r="I20" i="243"/>
  <c r="J20" i="243"/>
  <c r="K20" i="243"/>
  <c r="L20" i="243"/>
  <c r="M20" i="243"/>
  <c r="N20" i="243"/>
  <c r="O20" i="243"/>
  <c r="P20" i="243"/>
  <c r="E20" i="243"/>
  <c r="F21" i="242"/>
  <c r="G21" i="242"/>
  <c r="H21" i="242"/>
  <c r="I21" i="242"/>
  <c r="J21" i="242"/>
  <c r="K21" i="242"/>
  <c r="L21" i="242"/>
  <c r="M21" i="242"/>
  <c r="N21" i="242"/>
  <c r="O21" i="242"/>
  <c r="P21" i="242"/>
  <c r="E21" i="242"/>
  <c r="F20" i="242"/>
  <c r="G20" i="242"/>
  <c r="H20" i="242"/>
  <c r="I20" i="242"/>
  <c r="J20" i="242"/>
  <c r="K20" i="242"/>
  <c r="L20" i="242"/>
  <c r="M20" i="242"/>
  <c r="N20" i="242"/>
  <c r="O20" i="242"/>
  <c r="P20" i="242"/>
  <c r="E20" i="242"/>
  <c r="F20" i="261"/>
  <c r="G20" i="261"/>
  <c r="H20" i="261"/>
  <c r="I20" i="261"/>
  <c r="J20" i="261"/>
  <c r="K20" i="261"/>
  <c r="L20" i="261"/>
  <c r="M20" i="261"/>
  <c r="N20" i="261"/>
  <c r="O20" i="261"/>
  <c r="P20" i="261"/>
  <c r="E20" i="261"/>
  <c r="B1" i="261"/>
  <c r="C1" i="261"/>
  <c r="F21" i="241"/>
  <c r="G21" i="241"/>
  <c r="H21" i="241"/>
  <c r="I21" i="241"/>
  <c r="J21" i="241"/>
  <c r="L21" i="241"/>
  <c r="M21" i="241"/>
  <c r="N21" i="241"/>
  <c r="O21" i="241"/>
  <c r="P21" i="241"/>
  <c r="E21" i="241"/>
  <c r="F20" i="241"/>
  <c r="G20" i="241"/>
  <c r="H20" i="241"/>
  <c r="I20" i="241"/>
  <c r="J20" i="241"/>
  <c r="K20" i="241"/>
  <c r="L20" i="241"/>
  <c r="M20" i="241"/>
  <c r="N20" i="241"/>
  <c r="O20" i="241"/>
  <c r="P20" i="241"/>
  <c r="E20" i="241"/>
  <c r="F21" i="240"/>
  <c r="G21" i="240"/>
  <c r="H21" i="240"/>
  <c r="I21" i="240"/>
  <c r="J21" i="240"/>
  <c r="K21" i="240"/>
  <c r="L21" i="240"/>
  <c r="M21" i="240"/>
  <c r="N21" i="240"/>
  <c r="O21" i="240"/>
  <c r="P21" i="240"/>
  <c r="E21" i="240"/>
  <c r="F20" i="240"/>
  <c r="G20" i="240"/>
  <c r="H20" i="240"/>
  <c r="I20" i="240"/>
  <c r="J20" i="240"/>
  <c r="K20" i="240"/>
  <c r="L20" i="240"/>
  <c r="M20" i="240"/>
  <c r="N20" i="240"/>
  <c r="O20" i="240"/>
  <c r="P20" i="240"/>
  <c r="E20" i="240"/>
  <c r="F21" i="124"/>
  <c r="G21" i="124"/>
  <c r="H21" i="124"/>
  <c r="I21" i="124"/>
  <c r="J21" i="124"/>
  <c r="L21" i="124"/>
  <c r="M21" i="124"/>
  <c r="N21" i="124"/>
  <c r="O21" i="124"/>
  <c r="P21" i="124"/>
  <c r="E21" i="124"/>
  <c r="F20" i="124"/>
  <c r="G20" i="124"/>
  <c r="H20" i="124"/>
  <c r="I20" i="124"/>
  <c r="J20" i="124"/>
  <c r="K20" i="124"/>
  <c r="L20" i="124"/>
  <c r="M20" i="124"/>
  <c r="N20" i="124"/>
  <c r="O20" i="124"/>
  <c r="P20" i="124"/>
  <c r="E20" i="124"/>
  <c r="F21" i="123"/>
  <c r="G21" i="123"/>
  <c r="H21" i="123"/>
  <c r="I21" i="123"/>
  <c r="J21" i="123"/>
  <c r="K21" i="123"/>
  <c r="L21" i="123"/>
  <c r="M21" i="123"/>
  <c r="N21" i="123"/>
  <c r="O21" i="123"/>
  <c r="P21" i="123"/>
  <c r="E21" i="123"/>
  <c r="E20" i="123"/>
  <c r="E21" i="205" l="1"/>
  <c r="E29" i="205" s="1"/>
  <c r="F21" i="205"/>
  <c r="F29" i="205" s="1"/>
  <c r="G21" i="205"/>
  <c r="G29" i="205" s="1"/>
  <c r="H21" i="205"/>
  <c r="H29" i="205" s="1"/>
  <c r="I21" i="205"/>
  <c r="I29" i="205" s="1"/>
  <c r="J21" i="205"/>
  <c r="J29" i="205" s="1"/>
  <c r="K21" i="205"/>
  <c r="K29" i="205" s="1"/>
  <c r="L21" i="205"/>
  <c r="L29" i="205" s="1"/>
  <c r="M21" i="205"/>
  <c r="M29" i="205" s="1"/>
  <c r="N21" i="205"/>
  <c r="N29" i="205" s="1"/>
  <c r="O21" i="205"/>
  <c r="O29" i="205" s="1"/>
  <c r="D21" i="205"/>
  <c r="D29" i="205" s="1"/>
  <c r="C64" i="262" l="1"/>
  <c r="B64" i="262"/>
  <c r="A64" i="262"/>
  <c r="C63" i="262"/>
  <c r="B63" i="262"/>
  <c r="A63" i="262"/>
  <c r="C62" i="262"/>
  <c r="B62" i="262"/>
  <c r="A62" i="262"/>
  <c r="C61" i="262"/>
  <c r="B61" i="262"/>
  <c r="A61" i="262"/>
  <c r="C60" i="262"/>
  <c r="B60" i="262"/>
  <c r="A60" i="262"/>
  <c r="C59" i="262"/>
  <c r="B59" i="262"/>
  <c r="A59" i="262"/>
  <c r="C58" i="262"/>
  <c r="B58" i="262"/>
  <c r="A58" i="262"/>
  <c r="C57" i="262"/>
  <c r="B57" i="262"/>
  <c r="A57" i="262"/>
  <c r="C56" i="262"/>
  <c r="B56" i="262"/>
  <c r="A56" i="262"/>
  <c r="C55" i="262"/>
  <c r="B55" i="262"/>
  <c r="A55" i="262"/>
  <c r="C54" i="262"/>
  <c r="B54" i="262"/>
  <c r="A54" i="262"/>
  <c r="C53" i="262"/>
  <c r="B53" i="262"/>
  <c r="A53" i="262"/>
  <c r="C52" i="262"/>
  <c r="B52" i="262"/>
  <c r="A52" i="262"/>
  <c r="C51" i="262"/>
  <c r="B51" i="262"/>
  <c r="A51" i="262"/>
  <c r="P50" i="262"/>
  <c r="P20" i="254" s="1"/>
  <c r="O50" i="262"/>
  <c r="N50" i="262"/>
  <c r="L50" i="262"/>
  <c r="K50" i="262"/>
  <c r="J50" i="262"/>
  <c r="I50" i="262"/>
  <c r="H50" i="262"/>
  <c r="G50" i="262"/>
  <c r="F50" i="262"/>
  <c r="E50" i="262"/>
  <c r="C50" i="262"/>
  <c r="B50" i="262"/>
  <c r="A50" i="262"/>
  <c r="M50" i="262"/>
  <c r="C49" i="262"/>
  <c r="B49" i="262"/>
  <c r="A49" i="262"/>
  <c r="C48" i="262"/>
  <c r="B48" i="262"/>
  <c r="A48" i="262"/>
  <c r="C47" i="262"/>
  <c r="B47" i="262"/>
  <c r="A47" i="262"/>
  <c r="C46" i="262"/>
  <c r="B46" i="262"/>
  <c r="A46" i="262"/>
  <c r="C45" i="262"/>
  <c r="B45" i="262"/>
  <c r="A45" i="262"/>
  <c r="C44" i="262"/>
  <c r="B44" i="262"/>
  <c r="A44" i="262"/>
  <c r="P43" i="262"/>
  <c r="P20" i="202" s="1"/>
  <c r="O43" i="262"/>
  <c r="N43" i="262"/>
  <c r="M43" i="262"/>
  <c r="L43" i="262"/>
  <c r="K43" i="262"/>
  <c r="J43" i="262"/>
  <c r="I43" i="262"/>
  <c r="H43" i="262"/>
  <c r="G43" i="262"/>
  <c r="F43" i="262"/>
  <c r="C43" i="262"/>
  <c r="B43" i="262"/>
  <c r="A43" i="262"/>
  <c r="C42" i="262"/>
  <c r="B42" i="262"/>
  <c r="A42" i="262"/>
  <c r="C41" i="262"/>
  <c r="B41" i="262"/>
  <c r="A41" i="262"/>
  <c r="C40" i="262"/>
  <c r="B40" i="262"/>
  <c r="A40" i="262"/>
  <c r="A39" i="262"/>
  <c r="C38" i="262"/>
  <c r="B38" i="262"/>
  <c r="A38" i="262"/>
  <c r="C37" i="262"/>
  <c r="B37" i="262"/>
  <c r="A37" i="262"/>
  <c r="P36" i="262"/>
  <c r="P20" i="196" s="1"/>
  <c r="O36" i="262"/>
  <c r="N36" i="262"/>
  <c r="N20" i="196" s="1"/>
  <c r="M36" i="262"/>
  <c r="M20" i="196" s="1"/>
  <c r="L36" i="262"/>
  <c r="J36" i="262"/>
  <c r="I36" i="262"/>
  <c r="H36" i="262"/>
  <c r="G36" i="262"/>
  <c r="E36" i="262"/>
  <c r="C36" i="262"/>
  <c r="B36" i="262"/>
  <c r="A36" i="262"/>
  <c r="C35" i="262"/>
  <c r="B35" i="262"/>
  <c r="A35" i="262"/>
  <c r="K36" i="262"/>
  <c r="F36" i="262"/>
  <c r="C34" i="262"/>
  <c r="B34" i="262"/>
  <c r="A34" i="262"/>
  <c r="C33" i="262"/>
  <c r="B33" i="262"/>
  <c r="A33" i="262"/>
  <c r="A32" i="262"/>
  <c r="B31" i="262"/>
  <c r="A31" i="262"/>
  <c r="C30" i="262"/>
  <c r="B30" i="262"/>
  <c r="A30" i="262"/>
  <c r="B29" i="262"/>
  <c r="A29" i="262"/>
  <c r="B28" i="262"/>
  <c r="A28" i="262"/>
  <c r="B27" i="262"/>
  <c r="A27" i="262"/>
  <c r="C26" i="262"/>
  <c r="B26" i="262"/>
  <c r="A26" i="262"/>
  <c r="B25" i="262"/>
  <c r="A25" i="262"/>
  <c r="B24" i="262"/>
  <c r="A24" i="262"/>
  <c r="B23" i="262"/>
  <c r="A23" i="262"/>
  <c r="C22" i="262"/>
  <c r="B22" i="262"/>
  <c r="A22" i="262"/>
  <c r="P21" i="262"/>
  <c r="P20" i="138" s="1"/>
  <c r="O21" i="262"/>
  <c r="N21" i="262"/>
  <c r="M21" i="262"/>
  <c r="M20" i="138" s="1"/>
  <c r="L21" i="262"/>
  <c r="J21" i="262"/>
  <c r="I21" i="262"/>
  <c r="I20" i="138" s="1"/>
  <c r="H21" i="262"/>
  <c r="H20" i="138" s="1"/>
  <c r="G21" i="262"/>
  <c r="H31" i="262" s="1"/>
  <c r="F21" i="262"/>
  <c r="E21" i="262"/>
  <c r="C21" i="262"/>
  <c r="B21" i="262"/>
  <c r="A21" i="262"/>
  <c r="C20" i="262"/>
  <c r="B20" i="262"/>
  <c r="A20" i="262"/>
  <c r="C19" i="262"/>
  <c r="B19" i="262"/>
  <c r="A19" i="262"/>
  <c r="C18" i="262"/>
  <c r="B18" i="262"/>
  <c r="A18" i="262"/>
  <c r="C17" i="262"/>
  <c r="B17" i="262"/>
  <c r="A17" i="262"/>
  <c r="C16" i="262"/>
  <c r="B16" i="262"/>
  <c r="A16" i="262"/>
  <c r="C15" i="262"/>
  <c r="B15" i="262"/>
  <c r="A15" i="262"/>
  <c r="C14" i="262"/>
  <c r="B14" i="262"/>
  <c r="A14" i="262"/>
  <c r="B13" i="262"/>
  <c r="A13" i="262"/>
  <c r="B12" i="262"/>
  <c r="A12" i="262"/>
  <c r="B11" i="262"/>
  <c r="A11" i="262"/>
  <c r="B10" i="262"/>
  <c r="A10" i="262"/>
  <c r="B8" i="262"/>
  <c r="A8" i="262"/>
  <c r="K21" i="262"/>
  <c r="B7" i="262"/>
  <c r="A7" i="262"/>
  <c r="C6" i="262"/>
  <c r="B6" i="262"/>
  <c r="A6" i="262"/>
  <c r="A5" i="262"/>
  <c r="A1" i="262"/>
  <c r="J31" i="262" l="1"/>
  <c r="J20" i="145" s="1"/>
  <c r="J38" i="262"/>
  <c r="J20" i="198" s="1"/>
  <c r="I20" i="196"/>
  <c r="P52" i="262"/>
  <c r="P20" i="259" s="1"/>
  <c r="O20" i="254"/>
  <c r="O31" i="262"/>
  <c r="O20" i="145" s="1"/>
  <c r="N20" i="138"/>
  <c r="N31" i="262"/>
  <c r="N20" i="145" s="1"/>
  <c r="K38" i="262"/>
  <c r="K20" i="198" s="1"/>
  <c r="J20" i="196"/>
  <c r="P38" i="262"/>
  <c r="P20" i="198" s="1"/>
  <c r="O20" i="196"/>
  <c r="K45" i="262"/>
  <c r="K20" i="257" s="1"/>
  <c r="J20" i="202"/>
  <c r="O45" i="262"/>
  <c r="O20" i="257" s="1"/>
  <c r="N20" i="202"/>
  <c r="L52" i="262"/>
  <c r="L20" i="259" s="1"/>
  <c r="K20" i="254"/>
  <c r="L38" i="262"/>
  <c r="L20" i="198" s="1"/>
  <c r="K20" i="196"/>
  <c r="M38" i="262"/>
  <c r="M20" i="198" s="1"/>
  <c r="L20" i="196"/>
  <c r="N38" i="262"/>
  <c r="N20" i="198" s="1"/>
  <c r="L45" i="262"/>
  <c r="L20" i="257" s="1"/>
  <c r="K20" i="202"/>
  <c r="P45" i="262"/>
  <c r="P20" i="257" s="1"/>
  <c r="O20" i="202"/>
  <c r="M52" i="262"/>
  <c r="M20" i="259" s="1"/>
  <c r="L20" i="254"/>
  <c r="J45" i="262"/>
  <c r="J20" i="257" s="1"/>
  <c r="I20" i="202"/>
  <c r="N45" i="262"/>
  <c r="N20" i="257" s="1"/>
  <c r="M20" i="202"/>
  <c r="K52" i="262"/>
  <c r="K20" i="259" s="1"/>
  <c r="J20" i="254"/>
  <c r="L31" i="262"/>
  <c r="L20" i="145" s="1"/>
  <c r="K20" i="138"/>
  <c r="K31" i="262"/>
  <c r="K20" i="145" s="1"/>
  <c r="J20" i="138"/>
  <c r="P31" i="262"/>
  <c r="P20" i="145" s="1"/>
  <c r="O20" i="138"/>
  <c r="M31" i="262"/>
  <c r="M20" i="145" s="1"/>
  <c r="L20" i="138"/>
  <c r="O38" i="262"/>
  <c r="O20" i="198" s="1"/>
  <c r="M45" i="262"/>
  <c r="M20" i="257" s="1"/>
  <c r="L20" i="202"/>
  <c r="N52" i="262"/>
  <c r="N20" i="259" s="1"/>
  <c r="M20" i="254"/>
  <c r="E20" i="254"/>
  <c r="F52" i="262"/>
  <c r="J52" i="262"/>
  <c r="J20" i="259" s="1"/>
  <c r="I20" i="254"/>
  <c r="O52" i="262"/>
  <c r="O20" i="259" s="1"/>
  <c r="N20" i="254"/>
  <c r="I52" i="262"/>
  <c r="I20" i="259" s="1"/>
  <c r="H20" i="254"/>
  <c r="I45" i="262"/>
  <c r="I20" i="257" s="1"/>
  <c r="H20" i="202"/>
  <c r="I38" i="262"/>
  <c r="I20" i="198" s="1"/>
  <c r="H20" i="196"/>
  <c r="I31" i="262"/>
  <c r="I20" i="145" s="1"/>
  <c r="H52" i="262"/>
  <c r="H20" i="259" s="1"/>
  <c r="G20" i="254"/>
  <c r="H45" i="262"/>
  <c r="H20" i="257" s="1"/>
  <c r="G20" i="202"/>
  <c r="H38" i="262"/>
  <c r="H20" i="198" s="1"/>
  <c r="G20" i="196"/>
  <c r="H20" i="145"/>
  <c r="G20" i="138"/>
  <c r="G52" i="262"/>
  <c r="G20" i="259" s="1"/>
  <c r="F20" i="254"/>
  <c r="G45" i="262"/>
  <c r="G20" i="257" s="1"/>
  <c r="F20" i="202"/>
  <c r="G38" i="262"/>
  <c r="G20" i="198" s="1"/>
  <c r="F20" i="196"/>
  <c r="G31" i="262"/>
  <c r="G20" i="145" s="1"/>
  <c r="F20" i="138"/>
  <c r="F45" i="262"/>
  <c r="F20" i="257" s="1"/>
  <c r="E20" i="202"/>
  <c r="F38" i="262"/>
  <c r="F20" i="198" s="1"/>
  <c r="E20" i="196"/>
  <c r="F31" i="262"/>
  <c r="F20" i="145" s="1"/>
  <c r="E20" i="138"/>
  <c r="N53" i="262" l="1"/>
  <c r="O53" i="262"/>
  <c r="K53" i="262"/>
  <c r="J53" i="262"/>
  <c r="P53" i="262"/>
  <c r="M53" i="262"/>
  <c r="L53" i="262"/>
  <c r="I53" i="262"/>
  <c r="H53" i="262"/>
  <c r="G53" i="262"/>
  <c r="F53" i="262"/>
  <c r="F20" i="259"/>
  <c r="F21" i="260"/>
  <c r="F21" i="138" s="1"/>
  <c r="G21" i="260"/>
  <c r="G21" i="138" s="1"/>
  <c r="H21" i="260"/>
  <c r="H21" i="138" s="1"/>
  <c r="I21" i="260"/>
  <c r="I21" i="138" s="1"/>
  <c r="L21" i="260"/>
  <c r="L21" i="138" s="1"/>
  <c r="M21" i="260"/>
  <c r="M21" i="138" s="1"/>
  <c r="N21" i="260"/>
  <c r="N21" i="138" s="1"/>
  <c r="O21" i="260"/>
  <c r="O21" i="138" s="1"/>
  <c r="P21" i="260"/>
  <c r="E21" i="260"/>
  <c r="E21" i="138" s="1"/>
  <c r="I22" i="261"/>
  <c r="M22" i="261"/>
  <c r="F19" i="261"/>
  <c r="G19" i="261"/>
  <c r="G22" i="261" s="1"/>
  <c r="H19" i="261"/>
  <c r="I19" i="261"/>
  <c r="J19" i="261"/>
  <c r="J23" i="261" s="1"/>
  <c r="K19" i="261"/>
  <c r="K22" i="261" s="1"/>
  <c r="L19" i="261"/>
  <c r="L23" i="261" s="1"/>
  <c r="M19" i="261"/>
  <c r="N19" i="261"/>
  <c r="O19" i="261"/>
  <c r="P19" i="261"/>
  <c r="E19" i="261"/>
  <c r="E23" i="261" s="1"/>
  <c r="D29" i="261"/>
  <c r="E27" i="261"/>
  <c r="D25" i="261"/>
  <c r="D23" i="261"/>
  <c r="D22" i="261"/>
  <c r="P21" i="261"/>
  <c r="O21" i="261"/>
  <c r="N21" i="261"/>
  <c r="M21" i="261"/>
  <c r="L21" i="261"/>
  <c r="K21" i="261"/>
  <c r="J21" i="261"/>
  <c r="I21" i="261"/>
  <c r="H21" i="261"/>
  <c r="G21" i="261"/>
  <c r="F21" i="261"/>
  <c r="E21" i="261"/>
  <c r="D21" i="261"/>
  <c r="P22" i="261"/>
  <c r="L22" i="261"/>
  <c r="D20" i="261"/>
  <c r="D19" i="261"/>
  <c r="P18" i="261"/>
  <c r="O18" i="261"/>
  <c r="N18" i="261"/>
  <c r="M18" i="261"/>
  <c r="L18" i="261"/>
  <c r="K18" i="261"/>
  <c r="J18" i="261"/>
  <c r="I18" i="261"/>
  <c r="H18" i="261"/>
  <c r="G18" i="261"/>
  <c r="F18" i="261"/>
  <c r="E18" i="261"/>
  <c r="I1" i="261"/>
  <c r="B10" i="260"/>
  <c r="A10" i="260"/>
  <c r="B10" i="205"/>
  <c r="A10" i="205"/>
  <c r="J22" i="261" l="1"/>
  <c r="D21" i="262"/>
  <c r="E31" i="262" s="1"/>
  <c r="E20" i="145" s="1"/>
  <c r="P21" i="138"/>
  <c r="K28" i="261"/>
  <c r="J28" i="261"/>
  <c r="G9" i="34"/>
  <c r="Q21" i="261"/>
  <c r="O22" i="261"/>
  <c r="N23" i="261"/>
  <c r="F23" i="261"/>
  <c r="H9" i="34"/>
  <c r="O23" i="261"/>
  <c r="O27" i="261"/>
  <c r="H22" i="261"/>
  <c r="M23" i="261"/>
  <c r="J26" i="261"/>
  <c r="E26" i="261"/>
  <c r="E30" i="261" s="1"/>
  <c r="L26" i="261"/>
  <c r="M26" i="261"/>
  <c r="E22" i="261"/>
  <c r="E29" i="261" s="1"/>
  <c r="G23" i="261"/>
  <c r="H27" i="261"/>
  <c r="F22" i="261"/>
  <c r="N22" i="261"/>
  <c r="H23" i="261"/>
  <c r="P23" i="261"/>
  <c r="F26" i="261"/>
  <c r="N26" i="261"/>
  <c r="I27" i="261"/>
  <c r="L28" i="261"/>
  <c r="M27" i="261"/>
  <c r="Q20" i="261"/>
  <c r="Q19" i="261"/>
  <c r="I23" i="261"/>
  <c r="G26" i="261"/>
  <c r="O26" i="261"/>
  <c r="J27" i="261"/>
  <c r="E28" i="261"/>
  <c r="M28" i="261"/>
  <c r="H28" i="261"/>
  <c r="P27" i="261"/>
  <c r="H26" i="261"/>
  <c r="P26" i="261"/>
  <c r="K27" i="261"/>
  <c r="F28" i="261"/>
  <c r="N28" i="261"/>
  <c r="P28" i="261"/>
  <c r="K23" i="261"/>
  <c r="I26" i="261"/>
  <c r="L27" i="261"/>
  <c r="L30" i="261" s="1"/>
  <c r="G28" i="261"/>
  <c r="O28" i="261"/>
  <c r="K26" i="261"/>
  <c r="F27" i="261"/>
  <c r="N27" i="261"/>
  <c r="I28" i="261"/>
  <c r="G27" i="261"/>
  <c r="M49" i="260"/>
  <c r="M21" i="253" s="1"/>
  <c r="N9" i="34" l="1"/>
  <c r="M9" i="34"/>
  <c r="K30" i="261"/>
  <c r="L29" i="261"/>
  <c r="S5" i="261"/>
  <c r="S6" i="261" s="1"/>
  <c r="G30" i="261"/>
  <c r="J30" i="261"/>
  <c r="O30" i="261"/>
  <c r="H29" i="261"/>
  <c r="N30" i="261"/>
  <c r="M29" i="261"/>
  <c r="F30" i="261"/>
  <c r="O29" i="261"/>
  <c r="K29" i="261"/>
  <c r="S4" i="261"/>
  <c r="M30" i="261"/>
  <c r="N29" i="261"/>
  <c r="Q22" i="261"/>
  <c r="P30" i="261"/>
  <c r="I30" i="261"/>
  <c r="F29" i="261"/>
  <c r="G29" i="261"/>
  <c r="H30" i="261"/>
  <c r="J29" i="261"/>
  <c r="I29" i="261"/>
  <c r="P29" i="261"/>
  <c r="K35" i="260"/>
  <c r="K21" i="215" s="1"/>
  <c r="K34" i="260"/>
  <c r="K21" i="195" s="1"/>
  <c r="K9" i="260"/>
  <c r="K21" i="241" s="1"/>
  <c r="K7" i="260"/>
  <c r="O9" i="34" l="1"/>
  <c r="K21" i="124"/>
  <c r="K21" i="260"/>
  <c r="K21" i="138" s="1"/>
  <c r="J13" i="260"/>
  <c r="J21" i="133" l="1"/>
  <c r="J21" i="260"/>
  <c r="J21" i="138" s="1"/>
  <c r="F34" i="260"/>
  <c r="F21" i="195" s="1"/>
  <c r="F35" i="260" l="1"/>
  <c r="F21" i="215" s="1"/>
  <c r="E38" i="260" l="1"/>
  <c r="E21" i="198" s="1"/>
  <c r="E45" i="260"/>
  <c r="E21" i="257" s="1"/>
  <c r="E52" i="260"/>
  <c r="E21" i="259" s="1"/>
  <c r="E31" i="260" l="1"/>
  <c r="E21" i="145" s="1"/>
  <c r="C46" i="205" l="1"/>
  <c r="L50" i="260" l="1"/>
  <c r="L21" i="254" s="1"/>
  <c r="L43" i="260"/>
  <c r="L21" i="202" s="1"/>
  <c r="L36" i="260"/>
  <c r="L21" i="196" s="1"/>
  <c r="H36" i="260" l="1"/>
  <c r="H21" i="196" s="1"/>
  <c r="I36" i="260"/>
  <c r="I21" i="196" s="1"/>
  <c r="J36" i="260"/>
  <c r="J21" i="196" s="1"/>
  <c r="K36" i="260"/>
  <c r="K21" i="196" s="1"/>
  <c r="M36" i="260"/>
  <c r="M21" i="196" s="1"/>
  <c r="N36" i="260"/>
  <c r="N21" i="196" s="1"/>
  <c r="O36" i="260"/>
  <c r="O21" i="196" s="1"/>
  <c r="F50" i="260" l="1"/>
  <c r="F21" i="254" s="1"/>
  <c r="F19" i="257" l="1"/>
  <c r="G19" i="257"/>
  <c r="H19" i="257"/>
  <c r="I19" i="257"/>
  <c r="J19" i="257"/>
  <c r="K19" i="257"/>
  <c r="L19" i="257"/>
  <c r="M19" i="257"/>
  <c r="N19" i="257"/>
  <c r="O19" i="257"/>
  <c r="P19" i="257"/>
  <c r="E19" i="257"/>
  <c r="C64" i="260" l="1"/>
  <c r="B64" i="260"/>
  <c r="A64" i="260"/>
  <c r="C63" i="260"/>
  <c r="B63" i="260"/>
  <c r="A63" i="260"/>
  <c r="C62" i="260"/>
  <c r="B62" i="260"/>
  <c r="A62" i="260"/>
  <c r="C61" i="260"/>
  <c r="B61" i="260"/>
  <c r="A61" i="260"/>
  <c r="C60" i="260"/>
  <c r="B60" i="260"/>
  <c r="A60" i="260"/>
  <c r="C59" i="260"/>
  <c r="B59" i="260"/>
  <c r="A59" i="260"/>
  <c r="C58" i="260"/>
  <c r="B58" i="260"/>
  <c r="A58" i="260"/>
  <c r="C57" i="260"/>
  <c r="B57" i="260"/>
  <c r="A57" i="260"/>
  <c r="C56" i="260"/>
  <c r="B56" i="260"/>
  <c r="A56" i="260"/>
  <c r="C55" i="260"/>
  <c r="B55" i="260"/>
  <c r="A55" i="260"/>
  <c r="C54" i="260"/>
  <c r="B54" i="260"/>
  <c r="A54" i="260"/>
  <c r="C53" i="260"/>
  <c r="B53" i="260"/>
  <c r="A53" i="260"/>
  <c r="C52" i="260"/>
  <c r="B52" i="260"/>
  <c r="A52" i="260"/>
  <c r="C51" i="260"/>
  <c r="B51" i="260"/>
  <c r="A51" i="260"/>
  <c r="P50" i="260"/>
  <c r="O50" i="260"/>
  <c r="N50" i="260"/>
  <c r="M50" i="260"/>
  <c r="M52" i="260"/>
  <c r="M21" i="259" s="1"/>
  <c r="K50" i="260"/>
  <c r="J50" i="260"/>
  <c r="I50" i="260"/>
  <c r="H50" i="260"/>
  <c r="G50" i="260"/>
  <c r="G52" i="260"/>
  <c r="G21" i="259" s="1"/>
  <c r="E50" i="260"/>
  <c r="E21" i="254" s="1"/>
  <c r="C50" i="260"/>
  <c r="B50" i="260"/>
  <c r="A50" i="260"/>
  <c r="C49" i="260"/>
  <c r="B49" i="260"/>
  <c r="A49" i="260"/>
  <c r="C48" i="260"/>
  <c r="B48" i="260"/>
  <c r="A48" i="260"/>
  <c r="C47" i="260"/>
  <c r="B47" i="260"/>
  <c r="A47" i="260"/>
  <c r="C46" i="260"/>
  <c r="B46" i="260"/>
  <c r="A46" i="260"/>
  <c r="C45" i="260"/>
  <c r="B45" i="260"/>
  <c r="A45" i="260"/>
  <c r="C44" i="260"/>
  <c r="B44" i="260"/>
  <c r="A44" i="260"/>
  <c r="P43" i="260"/>
  <c r="O43" i="260"/>
  <c r="N43" i="260"/>
  <c r="M43" i="260"/>
  <c r="M45" i="260"/>
  <c r="M21" i="257" s="1"/>
  <c r="K43" i="260"/>
  <c r="J43" i="260"/>
  <c r="I43" i="260"/>
  <c r="H43" i="260"/>
  <c r="G43" i="260"/>
  <c r="F43" i="260"/>
  <c r="E43" i="260"/>
  <c r="C43" i="260"/>
  <c r="B43" i="260"/>
  <c r="A43" i="260"/>
  <c r="C42" i="260"/>
  <c r="B42" i="260"/>
  <c r="A42" i="260"/>
  <c r="C41" i="260"/>
  <c r="B41" i="260"/>
  <c r="A41" i="260"/>
  <c r="C40" i="260"/>
  <c r="B40" i="260"/>
  <c r="A40" i="260"/>
  <c r="A39" i="260"/>
  <c r="C38" i="260"/>
  <c r="B38" i="260"/>
  <c r="A38" i="260"/>
  <c r="C37" i="260"/>
  <c r="B37" i="260"/>
  <c r="A37" i="260"/>
  <c r="P36" i="260"/>
  <c r="P38" i="260"/>
  <c r="P21" i="198" s="1"/>
  <c r="O38" i="260"/>
  <c r="O21" i="198" s="1"/>
  <c r="N38" i="260"/>
  <c r="N21" i="198" s="1"/>
  <c r="M38" i="260"/>
  <c r="M21" i="198" s="1"/>
  <c r="L38" i="260"/>
  <c r="L21" i="198" s="1"/>
  <c r="K38" i="260"/>
  <c r="K21" i="198" s="1"/>
  <c r="J38" i="260"/>
  <c r="J21" i="198" s="1"/>
  <c r="I38" i="260"/>
  <c r="I21" i="198" s="1"/>
  <c r="G36" i="260"/>
  <c r="F36" i="260"/>
  <c r="E36" i="260"/>
  <c r="C36" i="260"/>
  <c r="B36" i="260"/>
  <c r="A36" i="260"/>
  <c r="C35" i="260"/>
  <c r="B35" i="260"/>
  <c r="A35" i="260"/>
  <c r="C34" i="260"/>
  <c r="B34" i="260"/>
  <c r="A34" i="260"/>
  <c r="C33" i="260"/>
  <c r="B33" i="260"/>
  <c r="A33" i="260"/>
  <c r="A32" i="260"/>
  <c r="B31" i="260"/>
  <c r="A31" i="260"/>
  <c r="C30" i="260"/>
  <c r="B30" i="260"/>
  <c r="A30" i="260"/>
  <c r="C29" i="260"/>
  <c r="B29" i="260"/>
  <c r="A29" i="260"/>
  <c r="C28" i="260"/>
  <c r="B28" i="260"/>
  <c r="A28" i="260"/>
  <c r="C27" i="260"/>
  <c r="B27" i="260"/>
  <c r="A27" i="260"/>
  <c r="C26" i="260"/>
  <c r="B26" i="260"/>
  <c r="A26" i="260"/>
  <c r="C25" i="260"/>
  <c r="B25" i="260"/>
  <c r="A25" i="260"/>
  <c r="C24" i="260"/>
  <c r="B24" i="260"/>
  <c r="A24" i="260"/>
  <c r="C23" i="260"/>
  <c r="B23" i="260"/>
  <c r="A23" i="260"/>
  <c r="C22" i="260"/>
  <c r="B22" i="260"/>
  <c r="A22" i="260"/>
  <c r="P31" i="260"/>
  <c r="P21" i="145" s="1"/>
  <c r="O31" i="260"/>
  <c r="O21" i="145" s="1"/>
  <c r="N31" i="260"/>
  <c r="N21" i="145" s="1"/>
  <c r="M31" i="260"/>
  <c r="M21" i="145" s="1"/>
  <c r="L31" i="260"/>
  <c r="L21" i="145" s="1"/>
  <c r="K31" i="260"/>
  <c r="K21" i="145" s="1"/>
  <c r="J31" i="260"/>
  <c r="J21" i="145" s="1"/>
  <c r="I31" i="260"/>
  <c r="I21" i="145" s="1"/>
  <c r="H31" i="260"/>
  <c r="H21" i="145" s="1"/>
  <c r="G31" i="260"/>
  <c r="G21" i="145" s="1"/>
  <c r="F31" i="260"/>
  <c r="F21" i="145" s="1"/>
  <c r="C21" i="260"/>
  <c r="B21" i="260"/>
  <c r="A21" i="260"/>
  <c r="C20" i="260"/>
  <c r="B20" i="260"/>
  <c r="A20" i="260"/>
  <c r="C19" i="260"/>
  <c r="B19" i="260"/>
  <c r="A19" i="260"/>
  <c r="C18" i="260"/>
  <c r="B18" i="260"/>
  <c r="A18" i="260"/>
  <c r="C17" i="260"/>
  <c r="B17" i="260"/>
  <c r="A17" i="260"/>
  <c r="C16" i="260"/>
  <c r="B16" i="260"/>
  <c r="A16" i="260"/>
  <c r="C15" i="260"/>
  <c r="B15" i="260"/>
  <c r="A15" i="260"/>
  <c r="C14" i="260"/>
  <c r="B14" i="260"/>
  <c r="A14" i="260"/>
  <c r="B13" i="260"/>
  <c r="A13" i="260"/>
  <c r="B12" i="260"/>
  <c r="A12" i="260"/>
  <c r="B11" i="260"/>
  <c r="A11" i="260"/>
  <c r="B9" i="260"/>
  <c r="A9" i="260"/>
  <c r="B8" i="260"/>
  <c r="A8" i="260"/>
  <c r="C7" i="260"/>
  <c r="B7" i="260"/>
  <c r="A7" i="260"/>
  <c r="C6" i="260"/>
  <c r="B6" i="260"/>
  <c r="A6" i="260"/>
  <c r="A5" i="260"/>
  <c r="A1" i="260"/>
  <c r="H38" i="260" l="1"/>
  <c r="H21" i="198" s="1"/>
  <c r="G21" i="196"/>
  <c r="H52" i="260"/>
  <c r="H21" i="259" s="1"/>
  <c r="G21" i="254"/>
  <c r="P52" i="260"/>
  <c r="P21" i="259" s="1"/>
  <c r="O21" i="254"/>
  <c r="P21" i="196"/>
  <c r="D36" i="262"/>
  <c r="E38" i="262" s="1"/>
  <c r="E20" i="198" s="1"/>
  <c r="J45" i="260"/>
  <c r="J21" i="257" s="1"/>
  <c r="I21" i="202"/>
  <c r="I52" i="260"/>
  <c r="I21" i="259" s="1"/>
  <c r="H21" i="254"/>
  <c r="D50" i="262"/>
  <c r="E52" i="262" s="1"/>
  <c r="P21" i="254"/>
  <c r="F38" i="260"/>
  <c r="F21" i="198" s="1"/>
  <c r="E21" i="196"/>
  <c r="G45" i="260"/>
  <c r="G21" i="257" s="1"/>
  <c r="F21" i="202"/>
  <c r="K45" i="260"/>
  <c r="K21" i="257" s="1"/>
  <c r="J21" i="202"/>
  <c r="O45" i="260"/>
  <c r="O21" i="257" s="1"/>
  <c r="N21" i="202"/>
  <c r="J52" i="260"/>
  <c r="J21" i="259" s="1"/>
  <c r="I21" i="254"/>
  <c r="N52" i="260"/>
  <c r="N21" i="259" s="1"/>
  <c r="M21" i="254"/>
  <c r="I45" i="260"/>
  <c r="I21" i="257" s="1"/>
  <c r="H21" i="202"/>
  <c r="D43" i="262"/>
  <c r="E45" i="262" s="1"/>
  <c r="E20" i="257" s="1"/>
  <c r="P21" i="202"/>
  <c r="L52" i="260"/>
  <c r="L21" i="259" s="1"/>
  <c r="K21" i="254"/>
  <c r="F45" i="260"/>
  <c r="F21" i="257" s="1"/>
  <c r="E21" i="202"/>
  <c r="N45" i="260"/>
  <c r="N21" i="257" s="1"/>
  <c r="M21" i="202"/>
  <c r="G38" i="260"/>
  <c r="G21" i="198" s="1"/>
  <c r="F21" i="196"/>
  <c r="H45" i="260"/>
  <c r="H21" i="257" s="1"/>
  <c r="G21" i="202"/>
  <c r="L45" i="260"/>
  <c r="L21" i="257" s="1"/>
  <c r="K21" i="202"/>
  <c r="O21" i="202"/>
  <c r="P45" i="260"/>
  <c r="P21" i="257" s="1"/>
  <c r="K52" i="260"/>
  <c r="K21" i="259" s="1"/>
  <c r="J21" i="254"/>
  <c r="O52" i="260"/>
  <c r="O21" i="259" s="1"/>
  <c r="N21" i="254"/>
  <c r="H11" i="34"/>
  <c r="M53" i="260"/>
  <c r="N53" i="260"/>
  <c r="G53" i="260"/>
  <c r="E53" i="260"/>
  <c r="F52" i="260"/>
  <c r="F21" i="259" s="1"/>
  <c r="N27" i="201"/>
  <c r="M27" i="201"/>
  <c r="L27" i="201"/>
  <c r="K53" i="260" l="1"/>
  <c r="P53" i="260"/>
  <c r="I53" i="260"/>
  <c r="J53" i="260"/>
  <c r="H53" i="260"/>
  <c r="L53" i="260"/>
  <c r="O53" i="260"/>
  <c r="E53" i="262"/>
  <c r="E20" i="259"/>
  <c r="H51" i="34"/>
  <c r="F53" i="260"/>
  <c r="P19" i="145"/>
  <c r="F19" i="145"/>
  <c r="G19" i="145"/>
  <c r="H19" i="145"/>
  <c r="I19" i="145"/>
  <c r="J19" i="145"/>
  <c r="K19" i="145"/>
  <c r="L19" i="145"/>
  <c r="M19" i="145"/>
  <c r="N19" i="145"/>
  <c r="O19" i="145"/>
  <c r="E19" i="145"/>
  <c r="M27" i="238" l="1"/>
  <c r="L27" i="238" l="1"/>
  <c r="G55" i="34"/>
  <c r="C56" i="205"/>
  <c r="B56" i="205"/>
  <c r="A56" i="205"/>
  <c r="C55" i="236"/>
  <c r="B55" i="236"/>
  <c r="A55" i="236"/>
  <c r="O27" i="238" l="1"/>
  <c r="N27" i="238"/>
  <c r="P27" i="238"/>
  <c r="F19" i="124"/>
  <c r="G19" i="124"/>
  <c r="H19" i="124"/>
  <c r="I19" i="124"/>
  <c r="J19" i="124"/>
  <c r="K19" i="124"/>
  <c r="L19" i="124"/>
  <c r="M19" i="124"/>
  <c r="N19" i="124"/>
  <c r="O19" i="124"/>
  <c r="P19" i="124"/>
  <c r="E19" i="124"/>
  <c r="E23" i="124" s="1"/>
  <c r="F19" i="245"/>
  <c r="F23" i="245" s="1"/>
  <c r="G19" i="245"/>
  <c r="H19" i="245"/>
  <c r="I19" i="245"/>
  <c r="J19" i="245"/>
  <c r="K19" i="245"/>
  <c r="L19" i="245"/>
  <c r="M19" i="245"/>
  <c r="N19" i="245"/>
  <c r="O19" i="245"/>
  <c r="P19" i="245"/>
  <c r="E19" i="245"/>
  <c r="E23" i="245" s="1"/>
  <c r="H20" i="236" l="1"/>
  <c r="C1" i="259" l="1"/>
  <c r="D29" i="259"/>
  <c r="D25" i="259"/>
  <c r="D23" i="259"/>
  <c r="D22" i="259"/>
  <c r="D21" i="259"/>
  <c r="D20" i="259"/>
  <c r="D19" i="259"/>
  <c r="P18" i="259"/>
  <c r="O18" i="259"/>
  <c r="N18" i="259"/>
  <c r="M18" i="259"/>
  <c r="L18" i="259"/>
  <c r="K18" i="259"/>
  <c r="J18" i="259"/>
  <c r="I18" i="259"/>
  <c r="H18" i="259"/>
  <c r="G18" i="259"/>
  <c r="F18" i="259"/>
  <c r="E18" i="259"/>
  <c r="I1" i="259"/>
  <c r="B1" i="259"/>
  <c r="C1" i="257"/>
  <c r="C1" i="198"/>
  <c r="E20" i="236" l="1"/>
  <c r="F30" i="236" l="1"/>
  <c r="F26" i="145"/>
  <c r="G26" i="145"/>
  <c r="H26" i="145"/>
  <c r="I26" i="145"/>
  <c r="J26" i="145"/>
  <c r="K26" i="145"/>
  <c r="L26" i="145"/>
  <c r="M26" i="145"/>
  <c r="N26" i="145"/>
  <c r="O26" i="145"/>
  <c r="P26" i="145"/>
  <c r="E26" i="145"/>
  <c r="B44" i="236" l="1"/>
  <c r="B45" i="236"/>
  <c r="B46" i="236"/>
  <c r="A44" i="236"/>
  <c r="A45" i="236"/>
  <c r="A46" i="236"/>
  <c r="D44" i="236"/>
  <c r="C44" i="236"/>
  <c r="C45" i="205"/>
  <c r="B45" i="205"/>
  <c r="A45" i="205"/>
  <c r="A43" i="236"/>
  <c r="A47" i="236"/>
  <c r="A48" i="236"/>
  <c r="E42" i="236" l="1"/>
  <c r="E35" i="236"/>
  <c r="F37" i="236" l="1"/>
  <c r="F44" i="236"/>
  <c r="F19" i="258"/>
  <c r="G19" i="258"/>
  <c r="H19" i="258"/>
  <c r="I19" i="258"/>
  <c r="J19" i="258"/>
  <c r="K19" i="258"/>
  <c r="L19" i="258"/>
  <c r="M19" i="258"/>
  <c r="N19" i="258"/>
  <c r="O19" i="258"/>
  <c r="P19" i="258"/>
  <c r="E19" i="258"/>
  <c r="F19" i="250"/>
  <c r="G19" i="250"/>
  <c r="H19" i="250"/>
  <c r="I19" i="250"/>
  <c r="J19" i="250"/>
  <c r="K19" i="250"/>
  <c r="L19" i="250"/>
  <c r="M19" i="250"/>
  <c r="N19" i="250"/>
  <c r="O19" i="250"/>
  <c r="P19" i="250"/>
  <c r="E19" i="250"/>
  <c r="B23" i="236"/>
  <c r="B24" i="236"/>
  <c r="B24" i="205"/>
  <c r="B25" i="205"/>
  <c r="C23" i="236"/>
  <c r="A23" i="236"/>
  <c r="A24" i="205"/>
  <c r="C1" i="250"/>
  <c r="C1" i="258"/>
  <c r="D29" i="258"/>
  <c r="P28" i="258"/>
  <c r="O28" i="258"/>
  <c r="N28" i="258"/>
  <c r="M28" i="258"/>
  <c r="L28" i="258"/>
  <c r="K28" i="258"/>
  <c r="J28" i="258"/>
  <c r="I28" i="258"/>
  <c r="H28" i="258"/>
  <c r="G28" i="258"/>
  <c r="F28" i="258"/>
  <c r="E28" i="258"/>
  <c r="D25" i="258"/>
  <c r="D23" i="258"/>
  <c r="D22" i="258"/>
  <c r="Q21" i="258"/>
  <c r="D21" i="258"/>
  <c r="D20" i="258"/>
  <c r="D19" i="258"/>
  <c r="P18" i="258"/>
  <c r="O18" i="258"/>
  <c r="N18" i="258"/>
  <c r="M18" i="258"/>
  <c r="L18" i="258"/>
  <c r="K18" i="258"/>
  <c r="J18" i="258"/>
  <c r="I18" i="258"/>
  <c r="H18" i="258"/>
  <c r="G18" i="258"/>
  <c r="F18" i="258"/>
  <c r="E18" i="258"/>
  <c r="B1" i="258"/>
  <c r="I1" i="258" l="1"/>
  <c r="G23" i="34"/>
  <c r="H23" i="34"/>
  <c r="N23" i="34" s="1"/>
  <c r="O26" i="258"/>
  <c r="N26" i="258"/>
  <c r="N27" i="258"/>
  <c r="G27" i="258"/>
  <c r="E26" i="258"/>
  <c r="E30" i="258" s="1"/>
  <c r="H26" i="258"/>
  <c r="L26" i="258"/>
  <c r="P26" i="258"/>
  <c r="K27" i="258"/>
  <c r="O27" i="258"/>
  <c r="Q20" i="258"/>
  <c r="I26" i="258"/>
  <c r="M26" i="258"/>
  <c r="H27" i="258"/>
  <c r="L27" i="258"/>
  <c r="P27" i="258"/>
  <c r="F26" i="258"/>
  <c r="J26" i="258"/>
  <c r="E27" i="258"/>
  <c r="I27" i="258"/>
  <c r="M27" i="258"/>
  <c r="M30" i="258" s="1"/>
  <c r="Q19" i="258"/>
  <c r="G26" i="258"/>
  <c r="K26" i="258"/>
  <c r="F27" i="258"/>
  <c r="J27" i="258"/>
  <c r="D29" i="257"/>
  <c r="D25" i="257"/>
  <c r="D23" i="257"/>
  <c r="D22" i="257"/>
  <c r="D21" i="257"/>
  <c r="D20" i="257"/>
  <c r="D19" i="257"/>
  <c r="P18" i="257"/>
  <c r="O18" i="257"/>
  <c r="N18" i="257"/>
  <c r="M18" i="257"/>
  <c r="L18" i="257"/>
  <c r="K18" i="257"/>
  <c r="J18" i="257"/>
  <c r="I18" i="257"/>
  <c r="H18" i="257"/>
  <c r="G18" i="257"/>
  <c r="F18" i="257"/>
  <c r="E18" i="257"/>
  <c r="I1" i="257"/>
  <c r="B1" i="257"/>
  <c r="C1" i="255"/>
  <c r="D29" i="255"/>
  <c r="D25" i="255"/>
  <c r="D23" i="255"/>
  <c r="D22" i="255"/>
  <c r="D21" i="255"/>
  <c r="D20" i="255"/>
  <c r="D19" i="255"/>
  <c r="P18" i="255"/>
  <c r="O18" i="255"/>
  <c r="N18" i="255"/>
  <c r="M18" i="255"/>
  <c r="L18" i="255"/>
  <c r="K18" i="255"/>
  <c r="J18" i="255"/>
  <c r="I18" i="255"/>
  <c r="H18" i="255"/>
  <c r="G18" i="255"/>
  <c r="F18" i="255"/>
  <c r="E18" i="255"/>
  <c r="B1" i="255"/>
  <c r="E50" i="205"/>
  <c r="F50" i="205"/>
  <c r="G50" i="205"/>
  <c r="H50" i="205"/>
  <c r="I50" i="205"/>
  <c r="J50" i="205"/>
  <c r="K50" i="205"/>
  <c r="L50" i="205"/>
  <c r="M50" i="205"/>
  <c r="N50" i="205"/>
  <c r="O50" i="205"/>
  <c r="D50" i="205"/>
  <c r="F19" i="252"/>
  <c r="G19" i="252"/>
  <c r="H19" i="252"/>
  <c r="I19" i="252"/>
  <c r="I23" i="252" s="1"/>
  <c r="J19" i="252"/>
  <c r="J23" i="252" s="1"/>
  <c r="K19" i="252"/>
  <c r="L19" i="252"/>
  <c r="M19" i="252"/>
  <c r="M22" i="252" s="1"/>
  <c r="N19" i="252"/>
  <c r="O19" i="252"/>
  <c r="P19" i="252"/>
  <c r="E19" i="252"/>
  <c r="E23" i="252" s="1"/>
  <c r="F19" i="251"/>
  <c r="G19" i="251"/>
  <c r="H19" i="251"/>
  <c r="I19" i="251"/>
  <c r="I22" i="251" s="1"/>
  <c r="J19" i="251"/>
  <c r="K19" i="251"/>
  <c r="L19" i="251"/>
  <c r="L23" i="251" s="1"/>
  <c r="M19" i="251"/>
  <c r="M22" i="251" s="1"/>
  <c r="N19" i="251"/>
  <c r="O19" i="251"/>
  <c r="P19" i="251"/>
  <c r="P23" i="251" s="1"/>
  <c r="E19" i="251"/>
  <c r="F19" i="253"/>
  <c r="F22" i="253" s="1"/>
  <c r="G19" i="253"/>
  <c r="H19" i="253"/>
  <c r="I19" i="253"/>
  <c r="J19" i="253"/>
  <c r="J22" i="253" s="1"/>
  <c r="K19" i="253"/>
  <c r="L19" i="253"/>
  <c r="L22" i="253" s="1"/>
  <c r="M19" i="253"/>
  <c r="N19" i="253"/>
  <c r="N22" i="253" s="1"/>
  <c r="O19" i="253"/>
  <c r="O22" i="253" s="1"/>
  <c r="P19" i="253"/>
  <c r="E19" i="253"/>
  <c r="E49" i="236"/>
  <c r="F49" i="236"/>
  <c r="G49" i="236"/>
  <c r="H49" i="236"/>
  <c r="I49" i="236"/>
  <c r="J49" i="236"/>
  <c r="K49" i="236"/>
  <c r="L49" i="236"/>
  <c r="M49" i="236"/>
  <c r="N49" i="236"/>
  <c r="D49" i="236"/>
  <c r="G48" i="34"/>
  <c r="C1" i="254"/>
  <c r="D29" i="254"/>
  <c r="D25" i="254"/>
  <c r="D23" i="254"/>
  <c r="D22" i="254"/>
  <c r="D21" i="254"/>
  <c r="D20" i="254"/>
  <c r="D19" i="254"/>
  <c r="P18" i="254"/>
  <c r="O18" i="254"/>
  <c r="N18" i="254"/>
  <c r="M18" i="254"/>
  <c r="L18" i="254"/>
  <c r="K18" i="254"/>
  <c r="J18" i="254"/>
  <c r="I18" i="254"/>
  <c r="H18" i="254"/>
  <c r="G18" i="254"/>
  <c r="F18" i="254"/>
  <c r="E18" i="254"/>
  <c r="B1" i="254"/>
  <c r="D29" i="253"/>
  <c r="D25" i="253"/>
  <c r="D23" i="253"/>
  <c r="D22" i="253"/>
  <c r="O28" i="253"/>
  <c r="M28" i="253"/>
  <c r="D21" i="253"/>
  <c r="D20" i="253"/>
  <c r="D19" i="253"/>
  <c r="P18" i="253"/>
  <c r="O18" i="253"/>
  <c r="N18" i="253"/>
  <c r="M18" i="253"/>
  <c r="L18" i="253"/>
  <c r="K18" i="253"/>
  <c r="J18" i="253"/>
  <c r="I18" i="253"/>
  <c r="H18" i="253"/>
  <c r="G18" i="253"/>
  <c r="F18" i="253"/>
  <c r="E18" i="253"/>
  <c r="C1" i="253"/>
  <c r="B1" i="253"/>
  <c r="C1" i="252"/>
  <c r="D29" i="252"/>
  <c r="D25" i="252"/>
  <c r="D23" i="252"/>
  <c r="D22" i="252"/>
  <c r="D21" i="252"/>
  <c r="D20" i="252"/>
  <c r="D19" i="252"/>
  <c r="P18" i="252"/>
  <c r="O18" i="252"/>
  <c r="N18" i="252"/>
  <c r="M18" i="252"/>
  <c r="L18" i="252"/>
  <c r="K18" i="252"/>
  <c r="J18" i="252"/>
  <c r="I18" i="252"/>
  <c r="H18" i="252"/>
  <c r="G18" i="252"/>
  <c r="F18" i="252"/>
  <c r="E18" i="252"/>
  <c r="B1" i="252"/>
  <c r="H23" i="251"/>
  <c r="C1" i="251"/>
  <c r="D29" i="251"/>
  <c r="D25" i="251"/>
  <c r="D23" i="251"/>
  <c r="D22" i="251"/>
  <c r="D21" i="251"/>
  <c r="D20" i="251"/>
  <c r="D19" i="251"/>
  <c r="P18" i="251"/>
  <c r="O18" i="251"/>
  <c r="N18" i="251"/>
  <c r="M18" i="251"/>
  <c r="L18" i="251"/>
  <c r="K18" i="251"/>
  <c r="J18" i="251"/>
  <c r="I18" i="251"/>
  <c r="H18" i="251"/>
  <c r="G18" i="251"/>
  <c r="F18" i="251"/>
  <c r="E18" i="251"/>
  <c r="B1" i="251"/>
  <c r="F19" i="199"/>
  <c r="G19" i="199"/>
  <c r="H19" i="199"/>
  <c r="I19" i="199"/>
  <c r="J19" i="199"/>
  <c r="K19" i="199"/>
  <c r="L19" i="199"/>
  <c r="M19" i="199"/>
  <c r="N19" i="199"/>
  <c r="O19" i="199"/>
  <c r="P19" i="199"/>
  <c r="E19" i="199"/>
  <c r="E23" i="199" s="1"/>
  <c r="F19" i="195"/>
  <c r="G19" i="195"/>
  <c r="H19" i="195"/>
  <c r="I19" i="195"/>
  <c r="J19" i="195"/>
  <c r="K19" i="195"/>
  <c r="L19" i="195"/>
  <c r="M19" i="195"/>
  <c r="N19" i="195"/>
  <c r="O19" i="195"/>
  <c r="P19" i="195"/>
  <c r="E19" i="195"/>
  <c r="E23" i="195" s="1"/>
  <c r="F19" i="194"/>
  <c r="G19" i="194"/>
  <c r="H19" i="194"/>
  <c r="I19" i="194"/>
  <c r="J19" i="194"/>
  <c r="K19" i="194"/>
  <c r="L19" i="194"/>
  <c r="M19" i="194"/>
  <c r="N19" i="194"/>
  <c r="O19" i="194"/>
  <c r="P19" i="194"/>
  <c r="E19" i="194"/>
  <c r="E23" i="194" s="1"/>
  <c r="C40" i="236"/>
  <c r="C41" i="236"/>
  <c r="C42" i="236"/>
  <c r="C43" i="236"/>
  <c r="C45" i="236"/>
  <c r="C46" i="236"/>
  <c r="C47" i="236"/>
  <c r="C48" i="236"/>
  <c r="C49" i="236"/>
  <c r="C50" i="236"/>
  <c r="C41" i="205"/>
  <c r="C42" i="205"/>
  <c r="C43" i="205"/>
  <c r="C44" i="205"/>
  <c r="C47" i="205"/>
  <c r="C48" i="205"/>
  <c r="C49" i="205"/>
  <c r="C50" i="205"/>
  <c r="C51" i="205"/>
  <c r="B40" i="236"/>
  <c r="B41" i="236"/>
  <c r="B42" i="236"/>
  <c r="B43" i="236"/>
  <c r="B47" i="236"/>
  <c r="B48" i="236"/>
  <c r="B49" i="236"/>
  <c r="B50" i="236"/>
  <c r="B51" i="236"/>
  <c r="B41" i="205"/>
  <c r="B42" i="205"/>
  <c r="B43" i="205"/>
  <c r="B44" i="205"/>
  <c r="B46" i="205"/>
  <c r="B47" i="205"/>
  <c r="B48" i="205"/>
  <c r="B49" i="205"/>
  <c r="B50" i="205"/>
  <c r="B51" i="205"/>
  <c r="B52" i="205"/>
  <c r="A40" i="236"/>
  <c r="A41" i="236"/>
  <c r="A42" i="236"/>
  <c r="A49" i="236"/>
  <c r="A50" i="236"/>
  <c r="A51" i="236"/>
  <c r="A52" i="236"/>
  <c r="A41" i="205"/>
  <c r="A42" i="205"/>
  <c r="A43" i="205"/>
  <c r="A44" i="205"/>
  <c r="A46" i="205"/>
  <c r="A47" i="205"/>
  <c r="A48" i="205"/>
  <c r="A49" i="205"/>
  <c r="A50" i="205"/>
  <c r="A51" i="205"/>
  <c r="A52" i="205"/>
  <c r="A53" i="205"/>
  <c r="C52" i="236"/>
  <c r="B52" i="236"/>
  <c r="C51" i="236"/>
  <c r="C53" i="205"/>
  <c r="B53" i="205"/>
  <c r="C52" i="205"/>
  <c r="I1" i="255" l="1"/>
  <c r="I1" i="251"/>
  <c r="N23" i="253"/>
  <c r="J51" i="205"/>
  <c r="K19" i="255" s="1"/>
  <c r="M51" i="205"/>
  <c r="N19" i="255" s="1"/>
  <c r="N22" i="255" s="1"/>
  <c r="D51" i="205"/>
  <c r="E19" i="255" s="1"/>
  <c r="E23" i="255" s="1"/>
  <c r="L51" i="205"/>
  <c r="M19" i="255" s="1"/>
  <c r="M22" i="255" s="1"/>
  <c r="H51" i="205"/>
  <c r="I19" i="255" s="1"/>
  <c r="N51" i="205"/>
  <c r="O19" i="255" s="1"/>
  <c r="O22" i="255" s="1"/>
  <c r="F51" i="205"/>
  <c r="G19" i="255" s="1"/>
  <c r="G23" i="255" s="1"/>
  <c r="I51" i="205"/>
  <c r="J19" i="255" s="1"/>
  <c r="J23" i="255" s="1"/>
  <c r="E51" i="205"/>
  <c r="F19" i="255" s="1"/>
  <c r="O51" i="205"/>
  <c r="P19" i="255" s="1"/>
  <c r="K51" i="205"/>
  <c r="L19" i="255" s="1"/>
  <c r="L23" i="255" s="1"/>
  <c r="G51" i="205"/>
  <c r="H19" i="255" s="1"/>
  <c r="I1" i="252"/>
  <c r="I1" i="253"/>
  <c r="I1" i="254"/>
  <c r="M51" i="236"/>
  <c r="I51" i="236"/>
  <c r="H51" i="236"/>
  <c r="P19" i="254"/>
  <c r="L19" i="254"/>
  <c r="L22" i="254" s="1"/>
  <c r="M19" i="254"/>
  <c r="M23" i="254" s="1"/>
  <c r="H19" i="254"/>
  <c r="H22" i="254" s="1"/>
  <c r="I19" i="254"/>
  <c r="O30" i="258"/>
  <c r="N22" i="252"/>
  <c r="J22" i="252"/>
  <c r="F22" i="252"/>
  <c r="E19" i="254"/>
  <c r="G19" i="254"/>
  <c r="G23" i="254" s="1"/>
  <c r="K19" i="254"/>
  <c r="K22" i="254" s="1"/>
  <c r="N22" i="251"/>
  <c r="J22" i="251"/>
  <c r="F22" i="251"/>
  <c r="O19" i="254"/>
  <c r="O23" i="254" s="1"/>
  <c r="N19" i="254"/>
  <c r="N23" i="254" s="1"/>
  <c r="J19" i="254"/>
  <c r="F19" i="254"/>
  <c r="F23" i="254" s="1"/>
  <c r="N51" i="236"/>
  <c r="L51" i="236"/>
  <c r="H49" i="34"/>
  <c r="F51" i="236"/>
  <c r="E51" i="236"/>
  <c r="O22" i="254"/>
  <c r="L30" i="258"/>
  <c r="P23" i="252"/>
  <c r="L23" i="252"/>
  <c r="H23" i="252"/>
  <c r="G46" i="34"/>
  <c r="G47" i="34"/>
  <c r="M23" i="34"/>
  <c r="K22" i="253"/>
  <c r="S5" i="258"/>
  <c r="S6" i="258" s="1"/>
  <c r="H46" i="34"/>
  <c r="J51" i="236"/>
  <c r="K51" i="236"/>
  <c r="I30" i="258"/>
  <c r="I23" i="251"/>
  <c r="I22" i="252"/>
  <c r="M23" i="252"/>
  <c r="G30" i="258"/>
  <c r="J23" i="251"/>
  <c r="K27" i="253"/>
  <c r="H47" i="34"/>
  <c r="N30" i="258"/>
  <c r="H30" i="258"/>
  <c r="P30" i="258"/>
  <c r="J30" i="258"/>
  <c r="G22" i="253"/>
  <c r="H48" i="34"/>
  <c r="M23" i="251"/>
  <c r="S4" i="258"/>
  <c r="F30" i="258"/>
  <c r="P29" i="258"/>
  <c r="L29" i="258"/>
  <c r="H29" i="258"/>
  <c r="O29" i="258"/>
  <c r="K29" i="258"/>
  <c r="G29" i="258"/>
  <c r="N29" i="258"/>
  <c r="J29" i="258"/>
  <c r="F29" i="258"/>
  <c r="M29" i="258"/>
  <c r="I29" i="258"/>
  <c r="E29" i="258"/>
  <c r="K30" i="258"/>
  <c r="P28" i="255"/>
  <c r="L28" i="255"/>
  <c r="H28" i="255"/>
  <c r="O28" i="255"/>
  <c r="K28" i="255"/>
  <c r="G28" i="255"/>
  <c r="N28" i="255"/>
  <c r="J28" i="255"/>
  <c r="F28" i="255"/>
  <c r="M28" i="255"/>
  <c r="I28" i="255"/>
  <c r="E28" i="255"/>
  <c r="Q21" i="255"/>
  <c r="F23" i="252"/>
  <c r="M19" i="259"/>
  <c r="I19" i="259"/>
  <c r="O26" i="253"/>
  <c r="H19" i="259"/>
  <c r="P23" i="253"/>
  <c r="O19" i="259"/>
  <c r="K19" i="259"/>
  <c r="G19" i="259"/>
  <c r="K23" i="253"/>
  <c r="E26" i="253"/>
  <c r="E19" i="259"/>
  <c r="P19" i="259"/>
  <c r="L19" i="259"/>
  <c r="F23" i="251"/>
  <c r="N19" i="259"/>
  <c r="J19" i="259"/>
  <c r="F19" i="259"/>
  <c r="G28" i="254"/>
  <c r="O28" i="254"/>
  <c r="E27" i="254"/>
  <c r="H28" i="254"/>
  <c r="L28" i="254"/>
  <c r="F27" i="254"/>
  <c r="E28" i="254"/>
  <c r="M28" i="254"/>
  <c r="G27" i="254"/>
  <c r="F28" i="254"/>
  <c r="O23" i="253"/>
  <c r="J23" i="253"/>
  <c r="G27" i="253"/>
  <c r="N27" i="253"/>
  <c r="M23" i="253"/>
  <c r="H22" i="253"/>
  <c r="P22" i="253"/>
  <c r="O27" i="253"/>
  <c r="N28" i="253"/>
  <c r="Q20" i="253"/>
  <c r="I22" i="253"/>
  <c r="M22" i="253"/>
  <c r="L27" i="253"/>
  <c r="G28" i="253"/>
  <c r="K28" i="253"/>
  <c r="H23" i="253"/>
  <c r="L23" i="253"/>
  <c r="F26" i="253"/>
  <c r="E27" i="253"/>
  <c r="I27" i="253"/>
  <c r="M27" i="253"/>
  <c r="H28" i="253"/>
  <c r="L28" i="253"/>
  <c r="P28" i="253"/>
  <c r="F23" i="253"/>
  <c r="F28" i="253"/>
  <c r="J28" i="253"/>
  <c r="E22" i="253"/>
  <c r="H27" i="253"/>
  <c r="P27" i="253"/>
  <c r="Q21" i="253"/>
  <c r="E23" i="253"/>
  <c r="G26" i="253"/>
  <c r="F27" i="253"/>
  <c r="J27" i="253"/>
  <c r="E28" i="253"/>
  <c r="I28" i="253"/>
  <c r="N23" i="252"/>
  <c r="F27" i="252"/>
  <c r="K23" i="252"/>
  <c r="O23" i="252"/>
  <c r="N26" i="252"/>
  <c r="J26" i="252"/>
  <c r="F26" i="252"/>
  <c r="M26" i="252"/>
  <c r="I26" i="252"/>
  <c r="E26" i="252"/>
  <c r="P26" i="252"/>
  <c r="L26" i="252"/>
  <c r="H26" i="252"/>
  <c r="O26" i="252"/>
  <c r="K26" i="252"/>
  <c r="G26" i="252"/>
  <c r="Q19" i="252"/>
  <c r="G23" i="252"/>
  <c r="O27" i="252"/>
  <c r="K27" i="252"/>
  <c r="G27" i="252"/>
  <c r="N27" i="252"/>
  <c r="J27" i="252"/>
  <c r="G22" i="252"/>
  <c r="M27" i="252"/>
  <c r="K22" i="252"/>
  <c r="P28" i="252"/>
  <c r="L28" i="252"/>
  <c r="H28" i="252"/>
  <c r="O28" i="252"/>
  <c r="K28" i="252"/>
  <c r="G28" i="252"/>
  <c r="N28" i="252"/>
  <c r="J28" i="252"/>
  <c r="F28" i="252"/>
  <c r="M28" i="252"/>
  <c r="I28" i="252"/>
  <c r="E28" i="252"/>
  <c r="Q21" i="252"/>
  <c r="O22" i="252"/>
  <c r="H22" i="252"/>
  <c r="L22" i="252"/>
  <c r="P22" i="252"/>
  <c r="Q20" i="252"/>
  <c r="E22" i="252"/>
  <c r="H27" i="252"/>
  <c r="L27" i="252"/>
  <c r="P27" i="252"/>
  <c r="E27" i="252"/>
  <c r="I27" i="252"/>
  <c r="N23" i="251"/>
  <c r="F27" i="251"/>
  <c r="K23" i="251"/>
  <c r="O23" i="251"/>
  <c r="N26" i="251"/>
  <c r="J26" i="251"/>
  <c r="F26" i="251"/>
  <c r="M26" i="251"/>
  <c r="I26" i="251"/>
  <c r="E26" i="251"/>
  <c r="P26" i="251"/>
  <c r="L26" i="251"/>
  <c r="H26" i="251"/>
  <c r="O26" i="251"/>
  <c r="K26" i="251"/>
  <c r="G26" i="251"/>
  <c r="Q19" i="251"/>
  <c r="G23" i="251"/>
  <c r="O27" i="251"/>
  <c r="K27" i="251"/>
  <c r="G27" i="251"/>
  <c r="N27" i="251"/>
  <c r="J27" i="251"/>
  <c r="G22" i="251"/>
  <c r="M27" i="251"/>
  <c r="K22" i="251"/>
  <c r="P28" i="251"/>
  <c r="L28" i="251"/>
  <c r="H28" i="251"/>
  <c r="O28" i="251"/>
  <c r="K28" i="251"/>
  <c r="G28" i="251"/>
  <c r="N28" i="251"/>
  <c r="J28" i="251"/>
  <c r="F28" i="251"/>
  <c r="M28" i="251"/>
  <c r="I28" i="251"/>
  <c r="E28" i="251"/>
  <c r="E23" i="251"/>
  <c r="Q21" i="251"/>
  <c r="O22" i="251"/>
  <c r="H22" i="251"/>
  <c r="L22" i="251"/>
  <c r="P22" i="251"/>
  <c r="Q20" i="251"/>
  <c r="E22" i="251"/>
  <c r="H27" i="251"/>
  <c r="L27" i="251"/>
  <c r="P27" i="251"/>
  <c r="E27" i="251"/>
  <c r="I27" i="251"/>
  <c r="E30" i="252" l="1"/>
  <c r="E22" i="254"/>
  <c r="E23" i="254"/>
  <c r="G50" i="34"/>
  <c r="F26" i="255"/>
  <c r="P26" i="255"/>
  <c r="K26" i="255"/>
  <c r="J26" i="255"/>
  <c r="O26" i="255"/>
  <c r="M26" i="255"/>
  <c r="L26" i="255"/>
  <c r="G26" i="255"/>
  <c r="N26" i="255"/>
  <c r="I26" i="255"/>
  <c r="H26" i="255"/>
  <c r="Q19" i="255"/>
  <c r="E26" i="255"/>
  <c r="I23" i="255"/>
  <c r="I22" i="255"/>
  <c r="Q55" i="34"/>
  <c r="K23" i="255"/>
  <c r="K22" i="255"/>
  <c r="M22" i="254"/>
  <c r="G22" i="254"/>
  <c r="N22" i="254"/>
  <c r="E30" i="251"/>
  <c r="F22" i="254"/>
  <c r="P23" i="254"/>
  <c r="P22" i="254"/>
  <c r="G49" i="34"/>
  <c r="N28" i="254"/>
  <c r="I28" i="254"/>
  <c r="K28" i="254"/>
  <c r="Q21" i="254"/>
  <c r="J28" i="254"/>
  <c r="P28" i="254"/>
  <c r="K23" i="254"/>
  <c r="J26" i="254"/>
  <c r="E26" i="254"/>
  <c r="E30" i="254" s="1"/>
  <c r="J22" i="254"/>
  <c r="O23" i="255"/>
  <c r="N23" i="255"/>
  <c r="M52" i="236"/>
  <c r="M23" i="255"/>
  <c r="N52" i="236"/>
  <c r="O51" i="236"/>
  <c r="E30" i="253"/>
  <c r="H27" i="254"/>
  <c r="N48" i="34"/>
  <c r="J22" i="255"/>
  <c r="L22" i="255"/>
  <c r="L23" i="254"/>
  <c r="L52" i="236"/>
  <c r="K52" i="236"/>
  <c r="K26" i="259"/>
  <c r="K26" i="257"/>
  <c r="F26" i="259"/>
  <c r="F26" i="257"/>
  <c r="O26" i="259"/>
  <c r="O26" i="257"/>
  <c r="I26" i="259"/>
  <c r="I26" i="257"/>
  <c r="L26" i="259"/>
  <c r="L26" i="257"/>
  <c r="M26" i="259"/>
  <c r="M26" i="257"/>
  <c r="N26" i="259"/>
  <c r="N26" i="257"/>
  <c r="P26" i="259"/>
  <c r="P26" i="257"/>
  <c r="G26" i="259"/>
  <c r="G26" i="257"/>
  <c r="H26" i="259"/>
  <c r="H26" i="257"/>
  <c r="E26" i="259"/>
  <c r="E26" i="257"/>
  <c r="O27" i="254"/>
  <c r="J23" i="254"/>
  <c r="J52" i="236"/>
  <c r="I52" i="236"/>
  <c r="I22" i="254"/>
  <c r="I23" i="254"/>
  <c r="M27" i="254"/>
  <c r="L27" i="254"/>
  <c r="Q20" i="254"/>
  <c r="K27" i="254"/>
  <c r="N27" i="254"/>
  <c r="I27" i="254"/>
  <c r="J27" i="254"/>
  <c r="H23" i="254"/>
  <c r="P27" i="254"/>
  <c r="G51" i="236"/>
  <c r="H52" i="236"/>
  <c r="G22" i="255"/>
  <c r="D51" i="236"/>
  <c r="F52" i="236"/>
  <c r="S4" i="251"/>
  <c r="N46" i="34"/>
  <c r="N30" i="252"/>
  <c r="S4" i="252"/>
  <c r="N47" i="34"/>
  <c r="I30" i="252"/>
  <c r="K30" i="251"/>
  <c r="N30" i="251"/>
  <c r="J26" i="253"/>
  <c r="J30" i="253" s="1"/>
  <c r="L26" i="253"/>
  <c r="L30" i="253" s="1"/>
  <c r="I23" i="253"/>
  <c r="H30" i="252"/>
  <c r="M26" i="253"/>
  <c r="M30" i="253" s="1"/>
  <c r="Q19" i="254"/>
  <c r="K30" i="252"/>
  <c r="I26" i="254"/>
  <c r="P26" i="254"/>
  <c r="J30" i="252"/>
  <c r="O30" i="252"/>
  <c r="S5" i="252"/>
  <c r="S6" i="252" s="1"/>
  <c r="M47" i="34"/>
  <c r="H26" i="254"/>
  <c r="K26" i="254"/>
  <c r="S5" i="251"/>
  <c r="S6" i="251" s="1"/>
  <c r="M46" i="34"/>
  <c r="G26" i="254"/>
  <c r="G30" i="254" s="1"/>
  <c r="F26" i="254"/>
  <c r="O26" i="254"/>
  <c r="I26" i="253"/>
  <c r="I30" i="253" s="1"/>
  <c r="P26" i="253"/>
  <c r="P30" i="253" s="1"/>
  <c r="G23" i="253"/>
  <c r="K26" i="253"/>
  <c r="K30" i="253" s="1"/>
  <c r="Q19" i="253"/>
  <c r="H26" i="253"/>
  <c r="H30" i="253" s="1"/>
  <c r="N26" i="253"/>
  <c r="N30" i="253" s="1"/>
  <c r="L26" i="254"/>
  <c r="N26" i="254"/>
  <c r="M26" i="254"/>
  <c r="O30" i="253"/>
  <c r="E29" i="254"/>
  <c r="G30" i="253"/>
  <c r="S4" i="253"/>
  <c r="F30" i="253"/>
  <c r="P29" i="253"/>
  <c r="L29" i="253"/>
  <c r="H29" i="253"/>
  <c r="J29" i="253"/>
  <c r="Q22" i="253"/>
  <c r="M29" i="253"/>
  <c r="I29" i="253"/>
  <c r="E29" i="253"/>
  <c r="O29" i="253"/>
  <c r="K29" i="253"/>
  <c r="G29" i="253"/>
  <c r="N29" i="253"/>
  <c r="F29" i="253"/>
  <c r="F30" i="252"/>
  <c r="O29" i="252"/>
  <c r="K29" i="252"/>
  <c r="G29" i="252"/>
  <c r="N29" i="252"/>
  <c r="J29" i="252"/>
  <c r="F29" i="252"/>
  <c r="Q22" i="252"/>
  <c r="M29" i="252"/>
  <c r="I29" i="252"/>
  <c r="E29" i="252"/>
  <c r="P29" i="252"/>
  <c r="L29" i="252"/>
  <c r="H29" i="252"/>
  <c r="P30" i="252"/>
  <c r="M30" i="252"/>
  <c r="L30" i="252"/>
  <c r="G30" i="252"/>
  <c r="F30" i="251"/>
  <c r="I30" i="251"/>
  <c r="H30" i="251"/>
  <c r="J30" i="251"/>
  <c r="O30" i="251"/>
  <c r="O29" i="251"/>
  <c r="K29" i="251"/>
  <c r="G29" i="251"/>
  <c r="N29" i="251"/>
  <c r="J29" i="251"/>
  <c r="F29" i="251"/>
  <c r="Q22" i="251"/>
  <c r="M29" i="251"/>
  <c r="I29" i="251"/>
  <c r="E29" i="251"/>
  <c r="P29" i="251"/>
  <c r="L29" i="251"/>
  <c r="H29" i="251"/>
  <c r="P30" i="251"/>
  <c r="M30" i="251"/>
  <c r="L30" i="251"/>
  <c r="G30" i="251"/>
  <c r="M50" i="34" l="1"/>
  <c r="G29" i="254"/>
  <c r="S5" i="255"/>
  <c r="S6" i="255" s="1"/>
  <c r="I29" i="254"/>
  <c r="H29" i="254"/>
  <c r="F29" i="254"/>
  <c r="N49" i="34"/>
  <c r="N29" i="254"/>
  <c r="J30" i="254"/>
  <c r="O29" i="254"/>
  <c r="S5" i="253"/>
  <c r="S6" i="253" s="1"/>
  <c r="O52" i="236"/>
  <c r="P23" i="255"/>
  <c r="P22" i="255"/>
  <c r="F27" i="259"/>
  <c r="G27" i="259"/>
  <c r="E27" i="259"/>
  <c r="H30" i="254"/>
  <c r="M48" i="34"/>
  <c r="S4" i="254"/>
  <c r="K30" i="254"/>
  <c r="S5" i="254"/>
  <c r="S6" i="254" s="1"/>
  <c r="O30" i="254"/>
  <c r="J26" i="257"/>
  <c r="G44" i="34"/>
  <c r="J26" i="259"/>
  <c r="G51" i="34"/>
  <c r="M30" i="254"/>
  <c r="N30" i="254"/>
  <c r="Q22" i="254"/>
  <c r="L29" i="254"/>
  <c r="M29" i="254"/>
  <c r="K29" i="254"/>
  <c r="P29" i="254"/>
  <c r="J29" i="254"/>
  <c r="L30" i="254"/>
  <c r="P30" i="254"/>
  <c r="I30" i="254"/>
  <c r="H22" i="255"/>
  <c r="H23" i="255"/>
  <c r="G52" i="236"/>
  <c r="E22" i="255"/>
  <c r="E29" i="255" s="1"/>
  <c r="E27" i="255"/>
  <c r="E30" i="255" s="1"/>
  <c r="D52" i="236"/>
  <c r="F22" i="255"/>
  <c r="F27" i="255"/>
  <c r="F23" i="255"/>
  <c r="G27" i="255"/>
  <c r="G30" i="255" s="1"/>
  <c r="L27" i="255"/>
  <c r="L30" i="255" s="1"/>
  <c r="J27" i="255"/>
  <c r="J30" i="255" s="1"/>
  <c r="H50" i="34"/>
  <c r="N27" i="255"/>
  <c r="N30" i="255" s="1"/>
  <c r="M27" i="255"/>
  <c r="M30" i="255" s="1"/>
  <c r="Q20" i="255"/>
  <c r="P27" i="255"/>
  <c r="P30" i="255" s="1"/>
  <c r="O27" i="255"/>
  <c r="O30" i="255" s="1"/>
  <c r="K27" i="255"/>
  <c r="H27" i="255"/>
  <c r="H30" i="255" s="1"/>
  <c r="I27" i="255"/>
  <c r="I30" i="255" s="1"/>
  <c r="E52" i="236"/>
  <c r="F30" i="254"/>
  <c r="M49" i="34"/>
  <c r="K30" i="255" l="1"/>
  <c r="M51" i="34"/>
  <c r="S4" i="259"/>
  <c r="M44" i="34"/>
  <c r="S4" i="257"/>
  <c r="N27" i="259"/>
  <c r="K27" i="259"/>
  <c r="P27" i="259"/>
  <c r="M27" i="259"/>
  <c r="O27" i="259"/>
  <c r="J27" i="259"/>
  <c r="H27" i="259"/>
  <c r="I27" i="259"/>
  <c r="L27" i="259"/>
  <c r="G29" i="255"/>
  <c r="Q22" i="255"/>
  <c r="P29" i="255"/>
  <c r="N29" i="255"/>
  <c r="M29" i="255"/>
  <c r="L29" i="255"/>
  <c r="O29" i="255"/>
  <c r="J29" i="255"/>
  <c r="I29" i="255"/>
  <c r="H29" i="255"/>
  <c r="K29" i="255"/>
  <c r="F29" i="255"/>
  <c r="S4" i="255"/>
  <c r="N50" i="34"/>
  <c r="F30" i="255"/>
  <c r="N51" i="34" l="1"/>
  <c r="F19" i="249"/>
  <c r="G19" i="249"/>
  <c r="H19" i="249"/>
  <c r="I19" i="249"/>
  <c r="J19" i="249"/>
  <c r="K19" i="249"/>
  <c r="L19" i="249"/>
  <c r="M19" i="249"/>
  <c r="N19" i="249"/>
  <c r="O19" i="249"/>
  <c r="P19" i="249"/>
  <c r="G22" i="34"/>
  <c r="E19" i="243" l="1"/>
  <c r="E23" i="243" s="1"/>
  <c r="D42" i="236"/>
  <c r="D35" i="236"/>
  <c r="F20" i="236"/>
  <c r="G20" i="236"/>
  <c r="I30" i="236"/>
  <c r="I20" i="236"/>
  <c r="J20" i="236"/>
  <c r="K20" i="236"/>
  <c r="L20" i="236"/>
  <c r="M20" i="236"/>
  <c r="N20" i="236"/>
  <c r="O20" i="236"/>
  <c r="D20" i="236"/>
  <c r="O30" i="236" l="1"/>
  <c r="E37" i="236"/>
  <c r="E44" i="236"/>
  <c r="E30" i="236"/>
  <c r="G30" i="236"/>
  <c r="L30" i="236"/>
  <c r="J30" i="236"/>
  <c r="F27" i="145"/>
  <c r="H30" i="236"/>
  <c r="N30" i="236"/>
  <c r="M30" i="236"/>
  <c r="K30" i="236"/>
  <c r="F19" i="247"/>
  <c r="G19" i="247"/>
  <c r="H19" i="247"/>
  <c r="I19" i="247"/>
  <c r="J19" i="247"/>
  <c r="K19" i="247"/>
  <c r="L19" i="247"/>
  <c r="M19" i="247"/>
  <c r="N19" i="247"/>
  <c r="O19" i="247"/>
  <c r="P19" i="247"/>
  <c r="E19" i="247"/>
  <c r="F19" i="142"/>
  <c r="G19" i="142"/>
  <c r="H19" i="142"/>
  <c r="I19" i="142"/>
  <c r="J19" i="142"/>
  <c r="K19" i="142"/>
  <c r="L19" i="142"/>
  <c r="M19" i="142"/>
  <c r="N19" i="142"/>
  <c r="O19" i="142"/>
  <c r="P19" i="142"/>
  <c r="E19" i="142"/>
  <c r="E23" i="142" s="1"/>
  <c r="F19" i="248"/>
  <c r="G19" i="248"/>
  <c r="H19" i="248"/>
  <c r="I19" i="248"/>
  <c r="J19" i="248"/>
  <c r="K19" i="248"/>
  <c r="L19" i="248"/>
  <c r="M19" i="248"/>
  <c r="N19" i="248"/>
  <c r="O19" i="248"/>
  <c r="P19" i="248"/>
  <c r="E19" i="248"/>
  <c r="E23" i="248" s="1"/>
  <c r="G26" i="34" l="1"/>
  <c r="Q26" i="34" s="1"/>
  <c r="G27" i="34"/>
  <c r="H27" i="34"/>
  <c r="H26" i="34"/>
  <c r="A27" i="236"/>
  <c r="A28" i="236"/>
  <c r="A29" i="236"/>
  <c r="A30" i="236"/>
  <c r="A28" i="205"/>
  <c r="A29" i="205"/>
  <c r="A30" i="205"/>
  <c r="A31" i="205"/>
  <c r="B30" i="236"/>
  <c r="B31" i="205"/>
  <c r="B28" i="205"/>
  <c r="B29" i="205"/>
  <c r="B30" i="205"/>
  <c r="B27" i="236"/>
  <c r="B28" i="236"/>
  <c r="B29" i="236"/>
  <c r="G22" i="249" l="1"/>
  <c r="H22" i="249"/>
  <c r="K22" i="249"/>
  <c r="O23" i="249"/>
  <c r="P22" i="249"/>
  <c r="E19" i="249"/>
  <c r="G21" i="34" s="1"/>
  <c r="H22" i="34"/>
  <c r="G22" i="250"/>
  <c r="H22" i="250"/>
  <c r="K22" i="250"/>
  <c r="L22" i="250"/>
  <c r="O22" i="250"/>
  <c r="P22" i="250"/>
  <c r="E26" i="250"/>
  <c r="B1" i="250"/>
  <c r="D29" i="250"/>
  <c r="P28" i="250"/>
  <c r="O28" i="250"/>
  <c r="N28" i="250"/>
  <c r="M28" i="250"/>
  <c r="L28" i="250"/>
  <c r="K28" i="250"/>
  <c r="J28" i="250"/>
  <c r="I28" i="250"/>
  <c r="H28" i="250"/>
  <c r="G28" i="250"/>
  <c r="F28" i="250"/>
  <c r="E28" i="250"/>
  <c r="D25" i="250"/>
  <c r="D23" i="250"/>
  <c r="D22" i="250"/>
  <c r="Q21" i="250"/>
  <c r="D21" i="250"/>
  <c r="D20" i="250"/>
  <c r="D19" i="250"/>
  <c r="P18" i="250"/>
  <c r="O18" i="250"/>
  <c r="N18" i="250"/>
  <c r="M18" i="250"/>
  <c r="L18" i="250"/>
  <c r="K18" i="250"/>
  <c r="J18" i="250"/>
  <c r="I18" i="250"/>
  <c r="H18" i="250"/>
  <c r="G18" i="250"/>
  <c r="F18" i="250"/>
  <c r="E18" i="250"/>
  <c r="I1" i="250"/>
  <c r="C1" i="249"/>
  <c r="B1" i="249"/>
  <c r="D29" i="249"/>
  <c r="P28" i="249"/>
  <c r="O28" i="249"/>
  <c r="N28" i="249"/>
  <c r="M28" i="249"/>
  <c r="L28" i="249"/>
  <c r="K28" i="249"/>
  <c r="J28" i="249"/>
  <c r="I28" i="249"/>
  <c r="H28" i="249"/>
  <c r="G28" i="249"/>
  <c r="F28" i="249"/>
  <c r="E28" i="249"/>
  <c r="D25" i="249"/>
  <c r="D23" i="249"/>
  <c r="D22" i="249"/>
  <c r="Q21" i="249"/>
  <c r="D21" i="249"/>
  <c r="D20" i="249"/>
  <c r="D19" i="249"/>
  <c r="P18" i="249"/>
  <c r="O18" i="249"/>
  <c r="N18" i="249"/>
  <c r="M18" i="249"/>
  <c r="L18" i="249"/>
  <c r="K18" i="249"/>
  <c r="J18" i="249"/>
  <c r="I18" i="249"/>
  <c r="H18" i="249"/>
  <c r="G18" i="249"/>
  <c r="F18" i="249"/>
  <c r="E18" i="249"/>
  <c r="P19" i="138"/>
  <c r="C16" i="236"/>
  <c r="C17" i="236"/>
  <c r="C18" i="236"/>
  <c r="C19" i="236"/>
  <c r="C20" i="236"/>
  <c r="C21" i="236"/>
  <c r="C22" i="236"/>
  <c r="C24" i="236"/>
  <c r="C25" i="236"/>
  <c r="C26" i="236"/>
  <c r="C17" i="205"/>
  <c r="C18" i="205"/>
  <c r="C19" i="205"/>
  <c r="C20" i="205"/>
  <c r="C21" i="205"/>
  <c r="B20" i="236"/>
  <c r="B21" i="236"/>
  <c r="B22" i="236"/>
  <c r="B25" i="236"/>
  <c r="B26" i="236"/>
  <c r="B21" i="205"/>
  <c r="B22" i="205"/>
  <c r="B23" i="205"/>
  <c r="B26" i="205"/>
  <c r="B27" i="205"/>
  <c r="A25" i="236"/>
  <c r="A26" i="236"/>
  <c r="A26" i="205"/>
  <c r="A27" i="205"/>
  <c r="A20" i="236"/>
  <c r="A21" i="236"/>
  <c r="A22" i="236"/>
  <c r="A24" i="236"/>
  <c r="A21" i="205"/>
  <c r="A22" i="205"/>
  <c r="A23" i="205"/>
  <c r="A25" i="205"/>
  <c r="I1" i="249" l="1"/>
  <c r="I22" i="34"/>
  <c r="N22" i="34"/>
  <c r="O22" i="249"/>
  <c r="H21" i="34"/>
  <c r="N21" i="34" s="1"/>
  <c r="N19" i="138"/>
  <c r="N30" i="205"/>
  <c r="I30" i="205"/>
  <c r="I19" i="138"/>
  <c r="L30" i="205"/>
  <c r="L19" i="138"/>
  <c r="G19" i="138"/>
  <c r="G30" i="205"/>
  <c r="J30" i="205"/>
  <c r="J19" i="138"/>
  <c r="M19" i="138"/>
  <c r="M30" i="205"/>
  <c r="O19" i="138"/>
  <c r="O30" i="205"/>
  <c r="K19" i="138"/>
  <c r="K30" i="205"/>
  <c r="H30" i="205"/>
  <c r="H19" i="138"/>
  <c r="E19" i="138"/>
  <c r="E23" i="138" s="1"/>
  <c r="E30" i="205"/>
  <c r="L23" i="249"/>
  <c r="H23" i="249"/>
  <c r="P26" i="250"/>
  <c r="F26" i="250"/>
  <c r="F19" i="138"/>
  <c r="F30" i="205"/>
  <c r="N23" i="249"/>
  <c r="O27" i="250"/>
  <c r="K23" i="249"/>
  <c r="L22" i="249"/>
  <c r="F26" i="249"/>
  <c r="N26" i="250"/>
  <c r="Q20" i="250"/>
  <c r="E22" i="250"/>
  <c r="I22" i="250"/>
  <c r="M22" i="250"/>
  <c r="I26" i="250"/>
  <c r="M26" i="250"/>
  <c r="H27" i="250"/>
  <c r="L27" i="250"/>
  <c r="P27" i="250"/>
  <c r="E30" i="250"/>
  <c r="F22" i="250"/>
  <c r="J22" i="250"/>
  <c r="N22" i="250"/>
  <c r="J26" i="250"/>
  <c r="E27" i="250"/>
  <c r="I27" i="250"/>
  <c r="M27" i="250"/>
  <c r="Q19" i="250"/>
  <c r="G26" i="250"/>
  <c r="K26" i="250"/>
  <c r="O26" i="250"/>
  <c r="F27" i="250"/>
  <c r="J27" i="250"/>
  <c r="N27" i="250"/>
  <c r="H26" i="250"/>
  <c r="L26" i="250"/>
  <c r="G27" i="250"/>
  <c r="K27" i="250"/>
  <c r="E26" i="249"/>
  <c r="P26" i="249"/>
  <c r="P23" i="249"/>
  <c r="N26" i="249"/>
  <c r="J23" i="249"/>
  <c r="F23" i="249"/>
  <c r="O27" i="249"/>
  <c r="I23" i="249"/>
  <c r="M23" i="249"/>
  <c r="Q20" i="249"/>
  <c r="E22" i="249"/>
  <c r="I22" i="249"/>
  <c r="M22" i="249"/>
  <c r="G23" i="249"/>
  <c r="I26" i="249"/>
  <c r="M26" i="249"/>
  <c r="H27" i="249"/>
  <c r="L27" i="249"/>
  <c r="P27" i="249"/>
  <c r="F22" i="249"/>
  <c r="J22" i="249"/>
  <c r="N22" i="249"/>
  <c r="J26" i="249"/>
  <c r="E27" i="249"/>
  <c r="I27" i="249"/>
  <c r="M27" i="249"/>
  <c r="Q19" i="249"/>
  <c r="E23" i="249"/>
  <c r="G26" i="249"/>
  <c r="K26" i="249"/>
  <c r="O26" i="249"/>
  <c r="O30" i="249" s="1"/>
  <c r="F27" i="249"/>
  <c r="J27" i="249"/>
  <c r="N27" i="249"/>
  <c r="H26" i="249"/>
  <c r="L26" i="249"/>
  <c r="G27" i="249"/>
  <c r="G30" i="249" s="1"/>
  <c r="K27" i="249"/>
  <c r="D36" i="205"/>
  <c r="D37" i="205" s="1"/>
  <c r="I22" i="248"/>
  <c r="L22" i="248"/>
  <c r="K23" i="248"/>
  <c r="L23" i="248"/>
  <c r="O23" i="248"/>
  <c r="P23" i="248"/>
  <c r="E26" i="248"/>
  <c r="C1" i="248"/>
  <c r="B1" i="248"/>
  <c r="D29" i="248"/>
  <c r="D25" i="248"/>
  <c r="D23" i="248"/>
  <c r="D22" i="248"/>
  <c r="D21" i="248"/>
  <c r="O22" i="248"/>
  <c r="D20" i="248"/>
  <c r="D19" i="248"/>
  <c r="P18" i="248"/>
  <c r="O18" i="248"/>
  <c r="N18" i="248"/>
  <c r="M18" i="248"/>
  <c r="L18" i="248"/>
  <c r="K18" i="248"/>
  <c r="J18" i="248"/>
  <c r="I18" i="248"/>
  <c r="H18" i="248"/>
  <c r="G18" i="248"/>
  <c r="F18" i="248"/>
  <c r="E18" i="248"/>
  <c r="L22" i="247"/>
  <c r="P22" i="247"/>
  <c r="C1" i="247"/>
  <c r="B1" i="247"/>
  <c r="D29" i="247"/>
  <c r="D25" i="247"/>
  <c r="D23" i="247"/>
  <c r="D22" i="247"/>
  <c r="N28" i="247"/>
  <c r="D21" i="247"/>
  <c r="H22" i="247"/>
  <c r="D20" i="247"/>
  <c r="D19" i="247"/>
  <c r="P18" i="247"/>
  <c r="O18" i="247"/>
  <c r="N18" i="247"/>
  <c r="M18" i="247"/>
  <c r="L18" i="247"/>
  <c r="K18" i="247"/>
  <c r="J18" i="247"/>
  <c r="I18" i="247"/>
  <c r="H18" i="247"/>
  <c r="G18" i="247"/>
  <c r="F18" i="247"/>
  <c r="E18" i="247"/>
  <c r="C27" i="236"/>
  <c r="C28" i="236"/>
  <c r="C29" i="236"/>
  <c r="A18" i="205"/>
  <c r="B18" i="205"/>
  <c r="A17" i="236"/>
  <c r="B17" i="236"/>
  <c r="F19" i="209"/>
  <c r="G19" i="209"/>
  <c r="H19" i="209"/>
  <c r="I19" i="209"/>
  <c r="J19" i="209"/>
  <c r="K19" i="209"/>
  <c r="L19" i="209"/>
  <c r="M19" i="209"/>
  <c r="N19" i="209"/>
  <c r="O19" i="209"/>
  <c r="P19" i="209"/>
  <c r="E19" i="209"/>
  <c r="C1" i="209"/>
  <c r="B1" i="209"/>
  <c r="F19" i="246"/>
  <c r="G19" i="246"/>
  <c r="H19" i="246"/>
  <c r="I19" i="246"/>
  <c r="J19" i="246"/>
  <c r="K19" i="246"/>
  <c r="L19" i="246"/>
  <c r="M19" i="246"/>
  <c r="N19" i="246"/>
  <c r="O19" i="246"/>
  <c r="P19" i="246"/>
  <c r="E19" i="246"/>
  <c r="C1" i="246"/>
  <c r="B1" i="246"/>
  <c r="J30" i="246"/>
  <c r="I30" i="246"/>
  <c r="H30" i="246"/>
  <c r="G30" i="246"/>
  <c r="F30" i="246"/>
  <c r="E30" i="246"/>
  <c r="J29" i="246"/>
  <c r="I29" i="246"/>
  <c r="H29" i="246"/>
  <c r="G29" i="246"/>
  <c r="F29" i="246"/>
  <c r="E29" i="246"/>
  <c r="D29" i="246"/>
  <c r="J28" i="246"/>
  <c r="I28" i="246"/>
  <c r="H28" i="246"/>
  <c r="G28" i="246"/>
  <c r="F28" i="246"/>
  <c r="E28" i="246"/>
  <c r="D25" i="246"/>
  <c r="J23" i="246"/>
  <c r="I23" i="246"/>
  <c r="H23" i="246"/>
  <c r="G23" i="246"/>
  <c r="F23" i="246"/>
  <c r="E23" i="246"/>
  <c r="D23" i="246"/>
  <c r="J22" i="246"/>
  <c r="I22" i="246"/>
  <c r="H22" i="246"/>
  <c r="G22" i="246"/>
  <c r="F22" i="246"/>
  <c r="E22" i="246"/>
  <c r="D22" i="246"/>
  <c r="D21" i="246"/>
  <c r="D20" i="246"/>
  <c r="D19" i="246"/>
  <c r="P18" i="246"/>
  <c r="P24" i="246" s="1"/>
  <c r="O18" i="246"/>
  <c r="O24" i="246" s="1"/>
  <c r="N18" i="246"/>
  <c r="N24" i="246" s="1"/>
  <c r="M18" i="246"/>
  <c r="M24" i="246" s="1"/>
  <c r="L18" i="246"/>
  <c r="L24" i="246" s="1"/>
  <c r="K18" i="246"/>
  <c r="K24" i="246" s="1"/>
  <c r="J18" i="246"/>
  <c r="J24" i="246" s="1"/>
  <c r="I18" i="246"/>
  <c r="I24" i="246" s="1"/>
  <c r="H18" i="246"/>
  <c r="H24" i="246" s="1"/>
  <c r="G18" i="246"/>
  <c r="G24" i="246" s="1"/>
  <c r="F18" i="246"/>
  <c r="F24" i="246" s="1"/>
  <c r="E18" i="246"/>
  <c r="E24" i="246" s="1"/>
  <c r="F19" i="206"/>
  <c r="E19" i="206"/>
  <c r="D19" i="206"/>
  <c r="F19" i="204"/>
  <c r="G19" i="204"/>
  <c r="H19" i="204"/>
  <c r="I19" i="204"/>
  <c r="J19" i="204"/>
  <c r="K19" i="204"/>
  <c r="L19" i="204"/>
  <c r="M19" i="204"/>
  <c r="N19" i="204"/>
  <c r="O19" i="204"/>
  <c r="P19" i="204"/>
  <c r="E19" i="204"/>
  <c r="E23" i="204" s="1"/>
  <c r="C1" i="204"/>
  <c r="B1" i="204"/>
  <c r="F19" i="208"/>
  <c r="G19" i="208"/>
  <c r="H19" i="208"/>
  <c r="I19" i="208"/>
  <c r="J19" i="208"/>
  <c r="K19" i="208"/>
  <c r="L19" i="208"/>
  <c r="M19" i="208"/>
  <c r="N19" i="208"/>
  <c r="O19" i="208"/>
  <c r="P19" i="208"/>
  <c r="E19" i="208"/>
  <c r="E23" i="208" s="1"/>
  <c r="C1" i="208"/>
  <c r="B1" i="208"/>
  <c r="L22" i="245"/>
  <c r="P22" i="245"/>
  <c r="I23" i="245"/>
  <c r="C1" i="245"/>
  <c r="B1" i="245"/>
  <c r="D29" i="245"/>
  <c r="D25" i="245"/>
  <c r="D23" i="245"/>
  <c r="D22" i="245"/>
  <c r="Q21" i="245"/>
  <c r="N28" i="245"/>
  <c r="D21" i="245"/>
  <c r="O22" i="245"/>
  <c r="D20" i="245"/>
  <c r="D19" i="245"/>
  <c r="P18" i="245"/>
  <c r="O18" i="245"/>
  <c r="N18" i="245"/>
  <c r="M18" i="245"/>
  <c r="L18" i="245"/>
  <c r="K18" i="245"/>
  <c r="J18" i="245"/>
  <c r="I18" i="245"/>
  <c r="H18" i="245"/>
  <c r="G18" i="245"/>
  <c r="F18" i="245"/>
  <c r="E18" i="245"/>
  <c r="F19" i="244"/>
  <c r="G19" i="244"/>
  <c r="H19" i="244"/>
  <c r="I19" i="244"/>
  <c r="I23" i="244" s="1"/>
  <c r="J19" i="244"/>
  <c r="K19" i="244"/>
  <c r="L19" i="244"/>
  <c r="M19" i="244"/>
  <c r="M23" i="244" s="1"/>
  <c r="N19" i="244"/>
  <c r="O19" i="244"/>
  <c r="P19" i="244"/>
  <c r="E19" i="244"/>
  <c r="E23" i="244" s="1"/>
  <c r="C1" i="244"/>
  <c r="B1" i="244"/>
  <c r="D29" i="244"/>
  <c r="D25" i="244"/>
  <c r="D23" i="244"/>
  <c r="G22" i="244"/>
  <c r="D22" i="244"/>
  <c r="D21" i="244"/>
  <c r="D20" i="244"/>
  <c r="D19" i="244"/>
  <c r="P18" i="244"/>
  <c r="O18" i="244"/>
  <c r="N18" i="244"/>
  <c r="M18" i="244"/>
  <c r="L18" i="244"/>
  <c r="K18" i="244"/>
  <c r="J18" i="244"/>
  <c r="I18" i="244"/>
  <c r="H18" i="244"/>
  <c r="G18" i="244"/>
  <c r="F18" i="244"/>
  <c r="E18" i="244"/>
  <c r="F19" i="133"/>
  <c r="G19" i="133"/>
  <c r="H19" i="133"/>
  <c r="I19" i="133"/>
  <c r="J19" i="133"/>
  <c r="K19" i="133"/>
  <c r="L19" i="133"/>
  <c r="M19" i="133"/>
  <c r="N19" i="133"/>
  <c r="O19" i="133"/>
  <c r="P19" i="133"/>
  <c r="E19" i="133"/>
  <c r="E23" i="133" s="1"/>
  <c r="F19" i="243"/>
  <c r="G19" i="243"/>
  <c r="H19" i="243"/>
  <c r="H23" i="243" s="1"/>
  <c r="I19" i="243"/>
  <c r="J19" i="243"/>
  <c r="K19" i="243"/>
  <c r="L19" i="243"/>
  <c r="M19" i="243"/>
  <c r="N19" i="243"/>
  <c r="O19" i="243"/>
  <c r="P19" i="243"/>
  <c r="D29" i="243"/>
  <c r="D25" i="243"/>
  <c r="D23" i="243"/>
  <c r="D22" i="243"/>
  <c r="Q21" i="243"/>
  <c r="D21" i="243"/>
  <c r="D20" i="243"/>
  <c r="D19" i="243"/>
  <c r="P18" i="243"/>
  <c r="O18" i="243"/>
  <c r="N18" i="243"/>
  <c r="M18" i="243"/>
  <c r="L18" i="243"/>
  <c r="K18" i="243"/>
  <c r="J18" i="243"/>
  <c r="I18" i="243"/>
  <c r="H18" i="243"/>
  <c r="G18" i="243"/>
  <c r="F18" i="243"/>
  <c r="E18" i="243"/>
  <c r="C1" i="243"/>
  <c r="B1" i="243"/>
  <c r="F19" i="242"/>
  <c r="G19" i="242"/>
  <c r="H19" i="242"/>
  <c r="I19" i="242"/>
  <c r="J19" i="242"/>
  <c r="K19" i="242"/>
  <c r="L19" i="242"/>
  <c r="M19" i="242"/>
  <c r="N19" i="242"/>
  <c r="O19" i="242"/>
  <c r="O23" i="242" s="1"/>
  <c r="P19" i="242"/>
  <c r="E19" i="242"/>
  <c r="E23" i="242" s="1"/>
  <c r="B1" i="242"/>
  <c r="D29" i="242"/>
  <c r="D25" i="242"/>
  <c r="D23" i="242"/>
  <c r="D22" i="242"/>
  <c r="D21" i="242"/>
  <c r="D20" i="242"/>
  <c r="D19" i="242"/>
  <c r="P18" i="242"/>
  <c r="O18" i="242"/>
  <c r="N18" i="242"/>
  <c r="M18" i="242"/>
  <c r="L18" i="242"/>
  <c r="K18" i="242"/>
  <c r="J18" i="242"/>
  <c r="I18" i="242"/>
  <c r="H18" i="242"/>
  <c r="G18" i="242"/>
  <c r="F18" i="242"/>
  <c r="E18" i="242"/>
  <c r="C1" i="242"/>
  <c r="F19" i="241"/>
  <c r="G19" i="241"/>
  <c r="G23" i="241" s="1"/>
  <c r="H19" i="241"/>
  <c r="I19" i="241"/>
  <c r="I23" i="241" s="1"/>
  <c r="J19" i="241"/>
  <c r="K19" i="241"/>
  <c r="K23" i="241" s="1"/>
  <c r="L19" i="241"/>
  <c r="M19" i="241"/>
  <c r="N19" i="241"/>
  <c r="O19" i="241"/>
  <c r="P19" i="241"/>
  <c r="E19" i="241"/>
  <c r="C1" i="241"/>
  <c r="B1" i="241"/>
  <c r="A1" i="241"/>
  <c r="D29" i="241"/>
  <c r="D25" i="241"/>
  <c r="D23" i="241"/>
  <c r="D22" i="241"/>
  <c r="D21" i="241"/>
  <c r="D20" i="241"/>
  <c r="D19" i="241"/>
  <c r="P18" i="241"/>
  <c r="O18" i="241"/>
  <c r="N18" i="241"/>
  <c r="M18" i="241"/>
  <c r="L18" i="241"/>
  <c r="K18" i="241"/>
  <c r="J18" i="241"/>
  <c r="I18" i="241"/>
  <c r="H18" i="241"/>
  <c r="G18" i="241"/>
  <c r="F18" i="241"/>
  <c r="E18" i="241"/>
  <c r="F19" i="240"/>
  <c r="G19" i="240"/>
  <c r="H19" i="240"/>
  <c r="I19" i="240"/>
  <c r="I23" i="240" s="1"/>
  <c r="J19" i="240"/>
  <c r="K19" i="240"/>
  <c r="L19" i="240"/>
  <c r="M19" i="240"/>
  <c r="M23" i="240" s="1"/>
  <c r="N19" i="240"/>
  <c r="O19" i="240"/>
  <c r="P19" i="240"/>
  <c r="E19" i="240"/>
  <c r="E23" i="240" s="1"/>
  <c r="C1" i="240"/>
  <c r="B1" i="240"/>
  <c r="A1" i="240"/>
  <c r="D29" i="240"/>
  <c r="D25" i="240"/>
  <c r="D23" i="240"/>
  <c r="D22" i="240"/>
  <c r="D21" i="240"/>
  <c r="D20" i="240"/>
  <c r="D19" i="240"/>
  <c r="P18" i="240"/>
  <c r="O18" i="240"/>
  <c r="N18" i="240"/>
  <c r="M18" i="240"/>
  <c r="L18" i="240"/>
  <c r="K18" i="240"/>
  <c r="J18" i="240"/>
  <c r="I18" i="240"/>
  <c r="H18" i="240"/>
  <c r="G18" i="240"/>
  <c r="F18" i="240"/>
  <c r="E18" i="240"/>
  <c r="I1" i="240" s="1"/>
  <c r="F19" i="123"/>
  <c r="G19" i="123"/>
  <c r="H19" i="123"/>
  <c r="I19" i="123"/>
  <c r="J19" i="123"/>
  <c r="K19" i="123"/>
  <c r="L19" i="123"/>
  <c r="M19" i="123"/>
  <c r="N19" i="123"/>
  <c r="O19" i="123"/>
  <c r="P19" i="123"/>
  <c r="E19" i="123"/>
  <c r="E23" i="123" s="1"/>
  <c r="C1" i="123"/>
  <c r="D29" i="239"/>
  <c r="D25" i="239"/>
  <c r="D23" i="239"/>
  <c r="D22" i="239"/>
  <c r="D21" i="239"/>
  <c r="P20" i="239"/>
  <c r="O20" i="239"/>
  <c r="N20" i="239"/>
  <c r="M20" i="239"/>
  <c r="L20" i="239"/>
  <c r="K20" i="239"/>
  <c r="J20" i="239"/>
  <c r="I20" i="239"/>
  <c r="H20" i="239"/>
  <c r="G20" i="239"/>
  <c r="F20" i="239"/>
  <c r="E20" i="239"/>
  <c r="D20" i="239"/>
  <c r="P19" i="239"/>
  <c r="O19" i="239"/>
  <c r="N19" i="239"/>
  <c r="M19" i="239"/>
  <c r="L19" i="239"/>
  <c r="K19" i="239"/>
  <c r="J19" i="239"/>
  <c r="I19" i="239"/>
  <c r="H19" i="239"/>
  <c r="G19" i="239"/>
  <c r="F19" i="239"/>
  <c r="E19" i="239"/>
  <c r="E26" i="239" s="1"/>
  <c r="D19" i="239"/>
  <c r="P18" i="239"/>
  <c r="O18" i="239"/>
  <c r="N18" i="239"/>
  <c r="M18" i="239"/>
  <c r="L18" i="239"/>
  <c r="K18" i="239"/>
  <c r="J18" i="239"/>
  <c r="I18" i="239"/>
  <c r="H18" i="239"/>
  <c r="G18" i="239"/>
  <c r="F18" i="239"/>
  <c r="E18" i="239"/>
  <c r="C1" i="239"/>
  <c r="B1" i="239"/>
  <c r="A7" i="236"/>
  <c r="B7" i="236"/>
  <c r="A8" i="236"/>
  <c r="B8" i="236"/>
  <c r="A9" i="236"/>
  <c r="B9" i="236"/>
  <c r="A10" i="236"/>
  <c r="B10" i="236"/>
  <c r="A11" i="236"/>
  <c r="B11" i="236"/>
  <c r="A12" i="236"/>
  <c r="B12" i="236"/>
  <c r="A13" i="236"/>
  <c r="B13" i="236"/>
  <c r="A14" i="236"/>
  <c r="B14" i="236"/>
  <c r="A15" i="236"/>
  <c r="B15" i="236"/>
  <c r="A16" i="236"/>
  <c r="B16" i="236"/>
  <c r="A18" i="236"/>
  <c r="B18" i="236"/>
  <c r="A19" i="236"/>
  <c r="B19" i="236"/>
  <c r="A7" i="205"/>
  <c r="B7" i="205"/>
  <c r="A8" i="205"/>
  <c r="B8" i="205"/>
  <c r="A9" i="205"/>
  <c r="B9" i="205"/>
  <c r="A11" i="205"/>
  <c r="B11" i="205"/>
  <c r="A12" i="205"/>
  <c r="B12" i="205"/>
  <c r="A13" i="205"/>
  <c r="B13" i="205"/>
  <c r="A14" i="205"/>
  <c r="B14" i="205"/>
  <c r="A15" i="205"/>
  <c r="B15" i="205"/>
  <c r="A16" i="205"/>
  <c r="B16" i="205"/>
  <c r="A17" i="205"/>
  <c r="B17" i="205"/>
  <c r="A19" i="205"/>
  <c r="B19" i="205"/>
  <c r="A20" i="205"/>
  <c r="B20" i="205"/>
  <c r="B6" i="236"/>
  <c r="B6" i="205"/>
  <c r="A6" i="236"/>
  <c r="A6" i="205"/>
  <c r="I1" i="244" l="1"/>
  <c r="I1" i="241"/>
  <c r="I1" i="247"/>
  <c r="I1" i="248"/>
  <c r="I1" i="242"/>
  <c r="I1" i="243"/>
  <c r="G22" i="239"/>
  <c r="E22" i="209"/>
  <c r="E23" i="209"/>
  <c r="I1" i="246"/>
  <c r="M23" i="241"/>
  <c r="I1" i="239"/>
  <c r="I1" i="245"/>
  <c r="K22" i="239"/>
  <c r="O22" i="239"/>
  <c r="K30" i="250"/>
  <c r="K30" i="249"/>
  <c r="E19" i="196"/>
  <c r="G30" i="250"/>
  <c r="O22" i="243"/>
  <c r="P22" i="239"/>
  <c r="O22" i="240"/>
  <c r="N22" i="241"/>
  <c r="P22" i="242"/>
  <c r="M22" i="244"/>
  <c r="M22" i="239"/>
  <c r="N22" i="240"/>
  <c r="M22" i="241"/>
  <c r="O22" i="242"/>
  <c r="N22" i="246"/>
  <c r="N22" i="244"/>
  <c r="M22" i="240"/>
  <c r="P22" i="243"/>
  <c r="P23" i="240"/>
  <c r="O23" i="243"/>
  <c r="N23" i="240"/>
  <c r="G18" i="34"/>
  <c r="F30" i="249"/>
  <c r="H27" i="246"/>
  <c r="G27" i="246"/>
  <c r="I27" i="246"/>
  <c r="F27" i="246"/>
  <c r="J27" i="246"/>
  <c r="E27" i="246"/>
  <c r="K27" i="246"/>
  <c r="F23" i="240"/>
  <c r="L22" i="243"/>
  <c r="H22" i="243"/>
  <c r="H22" i="239"/>
  <c r="L22" i="239"/>
  <c r="K22" i="243"/>
  <c r="G22" i="243"/>
  <c r="G26" i="246"/>
  <c r="K26" i="246"/>
  <c r="O26" i="246"/>
  <c r="H26" i="246"/>
  <c r="L26" i="246"/>
  <c r="P26" i="246"/>
  <c r="I26" i="246"/>
  <c r="M26" i="246"/>
  <c r="F26" i="246"/>
  <c r="J26" i="246"/>
  <c r="N26" i="246"/>
  <c r="E26" i="246"/>
  <c r="M21" i="34"/>
  <c r="J22" i="240"/>
  <c r="I22" i="241"/>
  <c r="L22" i="242"/>
  <c r="H22" i="242"/>
  <c r="G11" i="34"/>
  <c r="J22" i="244"/>
  <c r="I22" i="240"/>
  <c r="G22" i="242"/>
  <c r="I22" i="244"/>
  <c r="S5" i="249"/>
  <c r="S6" i="249" s="1"/>
  <c r="I22" i="245"/>
  <c r="H22" i="245"/>
  <c r="K22" i="245"/>
  <c r="G22" i="245"/>
  <c r="L27" i="246"/>
  <c r="P27" i="246"/>
  <c r="M27" i="246"/>
  <c r="N27" i="246"/>
  <c r="O27" i="246"/>
  <c r="L23" i="243"/>
  <c r="M22" i="34"/>
  <c r="R22" i="34" s="1"/>
  <c r="G8" i="34"/>
  <c r="H8" i="34"/>
  <c r="F30" i="250"/>
  <c r="G17" i="34"/>
  <c r="F22" i="240"/>
  <c r="G13" i="34"/>
  <c r="H13" i="34"/>
  <c r="F22" i="241"/>
  <c r="G14" i="34"/>
  <c r="H14" i="34"/>
  <c r="G16" i="34"/>
  <c r="H16" i="34"/>
  <c r="P30" i="250"/>
  <c r="S5" i="250"/>
  <c r="S6" i="250" s="1"/>
  <c r="S4" i="250"/>
  <c r="O30" i="250"/>
  <c r="S4" i="249"/>
  <c r="H17" i="34"/>
  <c r="H15" i="34"/>
  <c r="E22" i="242"/>
  <c r="E29" i="242" s="1"/>
  <c r="H10" i="34"/>
  <c r="F27" i="241"/>
  <c r="G15" i="34"/>
  <c r="E26" i="242"/>
  <c r="G10" i="34"/>
  <c r="P22" i="248"/>
  <c r="H22" i="248"/>
  <c r="K22" i="248"/>
  <c r="G22" i="248"/>
  <c r="O22" i="247"/>
  <c r="K22" i="247"/>
  <c r="G22" i="247"/>
  <c r="L23" i="246"/>
  <c r="H30" i="250"/>
  <c r="E30" i="249"/>
  <c r="P30" i="249"/>
  <c r="N30" i="250"/>
  <c r="M30" i="250"/>
  <c r="M29" i="250"/>
  <c r="I29" i="250"/>
  <c r="E29" i="250"/>
  <c r="P29" i="250"/>
  <c r="L29" i="250"/>
  <c r="H29" i="250"/>
  <c r="O29" i="250"/>
  <c r="K29" i="250"/>
  <c r="G29" i="250"/>
  <c r="N29" i="250"/>
  <c r="J29" i="250"/>
  <c r="F29" i="250"/>
  <c r="Q22" i="250"/>
  <c r="J30" i="250"/>
  <c r="I30" i="250"/>
  <c r="L30" i="250"/>
  <c r="J23" i="243"/>
  <c r="Q27" i="34"/>
  <c r="N23" i="247"/>
  <c r="J23" i="247"/>
  <c r="F23" i="247"/>
  <c r="N30" i="249"/>
  <c r="P23" i="242"/>
  <c r="N23" i="243"/>
  <c r="P26" i="247"/>
  <c r="O23" i="241"/>
  <c r="P23" i="246"/>
  <c r="F23" i="243"/>
  <c r="H23" i="248"/>
  <c r="L30" i="249"/>
  <c r="M30" i="249"/>
  <c r="M29" i="249"/>
  <c r="I29" i="249"/>
  <c r="E29" i="249"/>
  <c r="P29" i="249"/>
  <c r="L29" i="249"/>
  <c r="H29" i="249"/>
  <c r="O29" i="249"/>
  <c r="K29" i="249"/>
  <c r="G29" i="249"/>
  <c r="N29" i="249"/>
  <c r="J29" i="249"/>
  <c r="F29" i="249"/>
  <c r="Q22" i="249"/>
  <c r="J30" i="249"/>
  <c r="I30" i="249"/>
  <c r="H30" i="249"/>
  <c r="F26" i="243"/>
  <c r="I21" i="34"/>
  <c r="G28" i="34"/>
  <c r="H28" i="34"/>
  <c r="N26" i="248"/>
  <c r="J23" i="241"/>
  <c r="H23" i="242"/>
  <c r="M28" i="246"/>
  <c r="M23" i="247"/>
  <c r="I23" i="247"/>
  <c r="H23" i="239"/>
  <c r="L23" i="239"/>
  <c r="P23" i="239"/>
  <c r="M28" i="241"/>
  <c r="L23" i="242"/>
  <c r="N28" i="242"/>
  <c r="N28" i="246"/>
  <c r="M23" i="245"/>
  <c r="F27" i="240"/>
  <c r="P28" i="246"/>
  <c r="O27" i="247"/>
  <c r="M23" i="248"/>
  <c r="O27" i="248"/>
  <c r="P26" i="248"/>
  <c r="F26" i="248"/>
  <c r="F23" i="248"/>
  <c r="J23" i="248"/>
  <c r="N23" i="248"/>
  <c r="Q20" i="248"/>
  <c r="E22" i="248"/>
  <c r="M22" i="248"/>
  <c r="G23" i="248"/>
  <c r="I26" i="248"/>
  <c r="M26" i="248"/>
  <c r="H27" i="248"/>
  <c r="P27" i="248"/>
  <c r="J26" i="248"/>
  <c r="Q19" i="248"/>
  <c r="I23" i="248"/>
  <c r="G26" i="248"/>
  <c r="K26" i="248"/>
  <c r="O26" i="248"/>
  <c r="F27" i="248"/>
  <c r="J27" i="248"/>
  <c r="N27" i="248"/>
  <c r="E28" i="248"/>
  <c r="L27" i="248"/>
  <c r="F22" i="248"/>
  <c r="J22" i="248"/>
  <c r="N22" i="248"/>
  <c r="E27" i="248"/>
  <c r="E30" i="248" s="1"/>
  <c r="I27" i="248"/>
  <c r="M27" i="248"/>
  <c r="H26" i="248"/>
  <c r="L26" i="248"/>
  <c r="G27" i="248"/>
  <c r="K27" i="248"/>
  <c r="Q20" i="247"/>
  <c r="E22" i="247"/>
  <c r="I22" i="247"/>
  <c r="M22" i="247"/>
  <c r="G23" i="247"/>
  <c r="K23" i="247"/>
  <c r="O23" i="247"/>
  <c r="E26" i="247"/>
  <c r="I26" i="247"/>
  <c r="M26" i="247"/>
  <c r="H27" i="247"/>
  <c r="L27" i="247"/>
  <c r="P27" i="247"/>
  <c r="G28" i="247"/>
  <c r="K28" i="247"/>
  <c r="O28" i="247"/>
  <c r="F22" i="247"/>
  <c r="J22" i="247"/>
  <c r="N22" i="247"/>
  <c r="H23" i="247"/>
  <c r="L23" i="247"/>
  <c r="P23" i="247"/>
  <c r="F26" i="247"/>
  <c r="J26" i="247"/>
  <c r="N26" i="247"/>
  <c r="E27" i="247"/>
  <c r="I27" i="247"/>
  <c r="M27" i="247"/>
  <c r="H28" i="247"/>
  <c r="L28" i="247"/>
  <c r="P28" i="247"/>
  <c r="Q19" i="247"/>
  <c r="Q21" i="247"/>
  <c r="E23" i="247"/>
  <c r="G26" i="247"/>
  <c r="K26" i="247"/>
  <c r="O26" i="247"/>
  <c r="F27" i="247"/>
  <c r="J27" i="247"/>
  <c r="N27" i="247"/>
  <c r="E28" i="247"/>
  <c r="I28" i="247"/>
  <c r="M28" i="247"/>
  <c r="H26" i="247"/>
  <c r="L26" i="247"/>
  <c r="G27" i="247"/>
  <c r="K27" i="247"/>
  <c r="F28" i="247"/>
  <c r="J28" i="247"/>
  <c r="J23" i="245"/>
  <c r="O27" i="245"/>
  <c r="J22" i="241"/>
  <c r="M23" i="242"/>
  <c r="F26" i="239"/>
  <c r="I23" i="239"/>
  <c r="P23" i="241"/>
  <c r="L23" i="241"/>
  <c r="H23" i="241"/>
  <c r="K23" i="243"/>
  <c r="M22" i="245"/>
  <c r="J23" i="240"/>
  <c r="O27" i="239"/>
  <c r="M22" i="242"/>
  <c r="K23" i="242"/>
  <c r="K23" i="239"/>
  <c r="O23" i="239"/>
  <c r="N23" i="241"/>
  <c r="M27" i="241"/>
  <c r="K22" i="242"/>
  <c r="O23" i="246"/>
  <c r="K23" i="246"/>
  <c r="L23" i="240"/>
  <c r="H23" i="240"/>
  <c r="I23" i="242"/>
  <c r="N23" i="245"/>
  <c r="F23" i="241"/>
  <c r="N26" i="241"/>
  <c r="P23" i="243"/>
  <c r="P26" i="245"/>
  <c r="Q21" i="246"/>
  <c r="K28" i="246"/>
  <c r="O28" i="246"/>
  <c r="L28" i="246"/>
  <c r="Q19" i="246"/>
  <c r="K22" i="246"/>
  <c r="O22" i="246"/>
  <c r="M23" i="246"/>
  <c r="L22" i="246"/>
  <c r="P22" i="246"/>
  <c r="N23" i="246"/>
  <c r="Q20" i="246"/>
  <c r="M22" i="246"/>
  <c r="P28" i="244"/>
  <c r="Q20" i="245"/>
  <c r="E22" i="245"/>
  <c r="G23" i="245"/>
  <c r="K23" i="245"/>
  <c r="O23" i="245"/>
  <c r="E26" i="245"/>
  <c r="I26" i="245"/>
  <c r="M26" i="245"/>
  <c r="H27" i="245"/>
  <c r="L27" i="245"/>
  <c r="P27" i="245"/>
  <c r="G28" i="245"/>
  <c r="K28" i="245"/>
  <c r="O28" i="245"/>
  <c r="F22" i="245"/>
  <c r="J22" i="245"/>
  <c r="N22" i="245"/>
  <c r="H23" i="245"/>
  <c r="L23" i="245"/>
  <c r="P23" i="245"/>
  <c r="F26" i="245"/>
  <c r="J26" i="245"/>
  <c r="N26" i="245"/>
  <c r="E27" i="245"/>
  <c r="I27" i="245"/>
  <c r="M27" i="245"/>
  <c r="H28" i="245"/>
  <c r="L28" i="245"/>
  <c r="P28" i="245"/>
  <c r="Q19" i="245"/>
  <c r="G26" i="245"/>
  <c r="K26" i="245"/>
  <c r="O26" i="245"/>
  <c r="F27" i="245"/>
  <c r="J27" i="245"/>
  <c r="N27" i="245"/>
  <c r="E28" i="245"/>
  <c r="I28" i="245"/>
  <c r="M28" i="245"/>
  <c r="H26" i="245"/>
  <c r="L26" i="245"/>
  <c r="G27" i="245"/>
  <c r="K27" i="245"/>
  <c r="F28" i="245"/>
  <c r="J28" i="245"/>
  <c r="K23" i="244"/>
  <c r="M26" i="239"/>
  <c r="F23" i="239"/>
  <c r="J23" i="239"/>
  <c r="N23" i="239"/>
  <c r="N23" i="244"/>
  <c r="F23" i="244"/>
  <c r="F22" i="244"/>
  <c r="P26" i="239"/>
  <c r="J23" i="244"/>
  <c r="F27" i="244"/>
  <c r="H23" i="244"/>
  <c r="L23" i="244"/>
  <c r="P23" i="244"/>
  <c r="L28" i="244"/>
  <c r="H28" i="244"/>
  <c r="O28" i="244"/>
  <c r="K28" i="244"/>
  <c r="G28" i="244"/>
  <c r="N28" i="244"/>
  <c r="J28" i="244"/>
  <c r="F28" i="244"/>
  <c r="M28" i="244"/>
  <c r="I28" i="244"/>
  <c r="E28" i="244"/>
  <c r="N26" i="244"/>
  <c r="J26" i="244"/>
  <c r="F26" i="244"/>
  <c r="M26" i="244"/>
  <c r="I26" i="244"/>
  <c r="E26" i="244"/>
  <c r="P26" i="244"/>
  <c r="L26" i="244"/>
  <c r="H26" i="244"/>
  <c r="O26" i="244"/>
  <c r="K26" i="244"/>
  <c r="G26" i="244"/>
  <c r="Q19" i="244"/>
  <c r="G23" i="244"/>
  <c r="O27" i="244"/>
  <c r="K27" i="244"/>
  <c r="G27" i="244"/>
  <c r="N27" i="244"/>
  <c r="J27" i="244"/>
  <c r="O23" i="244"/>
  <c r="O22" i="244"/>
  <c r="M27" i="244"/>
  <c r="K22" i="244"/>
  <c r="H22" i="244"/>
  <c r="L22" i="244"/>
  <c r="P22" i="244"/>
  <c r="Q20" i="244"/>
  <c r="E22" i="244"/>
  <c r="H27" i="244"/>
  <c r="L27" i="244"/>
  <c r="P27" i="244"/>
  <c r="P30" i="244" s="1"/>
  <c r="E27" i="244"/>
  <c r="I27" i="244"/>
  <c r="E26" i="243"/>
  <c r="O27" i="243"/>
  <c r="K27" i="243"/>
  <c r="G27" i="243"/>
  <c r="N27" i="243"/>
  <c r="J27" i="243"/>
  <c r="F27" i="243"/>
  <c r="M27" i="243"/>
  <c r="I27" i="243"/>
  <c r="E27" i="243"/>
  <c r="P27" i="243"/>
  <c r="L27" i="243"/>
  <c r="H27" i="243"/>
  <c r="I23" i="243"/>
  <c r="I22" i="243"/>
  <c r="M23" i="243"/>
  <c r="M22" i="243"/>
  <c r="Q20" i="243"/>
  <c r="P28" i="243"/>
  <c r="L28" i="243"/>
  <c r="H28" i="243"/>
  <c r="O28" i="243"/>
  <c r="K28" i="243"/>
  <c r="G28" i="243"/>
  <c r="E22" i="243"/>
  <c r="N26" i="243"/>
  <c r="J26" i="243"/>
  <c r="M26" i="243"/>
  <c r="I26" i="243"/>
  <c r="G23" i="243"/>
  <c r="N28" i="243"/>
  <c r="P26" i="243"/>
  <c r="F22" i="243"/>
  <c r="J22" i="243"/>
  <c r="N22" i="243"/>
  <c r="Q19" i="243"/>
  <c r="G26" i="243"/>
  <c r="K26" i="243"/>
  <c r="O26" i="243"/>
  <c r="E28" i="243"/>
  <c r="I28" i="243"/>
  <c r="M28" i="243"/>
  <c r="H26" i="243"/>
  <c r="L26" i="243"/>
  <c r="F28" i="243"/>
  <c r="J28" i="243"/>
  <c r="F23" i="242"/>
  <c r="J23" i="242"/>
  <c r="N23" i="242"/>
  <c r="F26" i="242"/>
  <c r="N26" i="242"/>
  <c r="J26" i="242"/>
  <c r="M26" i="242"/>
  <c r="I26" i="242"/>
  <c r="G23" i="242"/>
  <c r="P26" i="242"/>
  <c r="O27" i="242"/>
  <c r="K27" i="242"/>
  <c r="G27" i="242"/>
  <c r="N27" i="242"/>
  <c r="J27" i="242"/>
  <c r="F27" i="242"/>
  <c r="M27" i="242"/>
  <c r="I27" i="242"/>
  <c r="E27" i="242"/>
  <c r="P27" i="242"/>
  <c r="L27" i="242"/>
  <c r="H27" i="242"/>
  <c r="Q20" i="242"/>
  <c r="P28" i="242"/>
  <c r="L28" i="242"/>
  <c r="H28" i="242"/>
  <c r="O28" i="242"/>
  <c r="K28" i="242"/>
  <c r="G28" i="242"/>
  <c r="I22" i="242"/>
  <c r="F22" i="242"/>
  <c r="J22" i="242"/>
  <c r="N22" i="242"/>
  <c r="Q19" i="242"/>
  <c r="Q21" i="242"/>
  <c r="G26" i="242"/>
  <c r="K26" i="242"/>
  <c r="O26" i="242"/>
  <c r="E28" i="242"/>
  <c r="I28" i="242"/>
  <c r="M28" i="242"/>
  <c r="H26" i="242"/>
  <c r="L26" i="242"/>
  <c r="F28" i="242"/>
  <c r="J28" i="242"/>
  <c r="O28" i="241"/>
  <c r="H28" i="241"/>
  <c r="L28" i="241"/>
  <c r="P28" i="241"/>
  <c r="F28" i="241"/>
  <c r="J28" i="241"/>
  <c r="N28" i="241"/>
  <c r="G28" i="241"/>
  <c r="K28" i="241"/>
  <c r="Q21" i="241"/>
  <c r="E28" i="241"/>
  <c r="I28" i="241"/>
  <c r="Q19" i="241"/>
  <c r="G22" i="241"/>
  <c r="K22" i="241"/>
  <c r="O22" i="241"/>
  <c r="E23" i="241"/>
  <c r="G26" i="241"/>
  <c r="K26" i="241"/>
  <c r="O26" i="241"/>
  <c r="J27" i="241"/>
  <c r="N27" i="241"/>
  <c r="H22" i="241"/>
  <c r="L22" i="241"/>
  <c r="P22" i="241"/>
  <c r="H26" i="241"/>
  <c r="L26" i="241"/>
  <c r="P26" i="241"/>
  <c r="G27" i="241"/>
  <c r="K27" i="241"/>
  <c r="O27" i="241"/>
  <c r="Q20" i="241"/>
  <c r="E22" i="241"/>
  <c r="E26" i="241"/>
  <c r="I26" i="241"/>
  <c r="M26" i="241"/>
  <c r="H27" i="241"/>
  <c r="L27" i="241"/>
  <c r="P27" i="241"/>
  <c r="F26" i="241"/>
  <c r="J26" i="241"/>
  <c r="E27" i="241"/>
  <c r="I27" i="241"/>
  <c r="I30" i="241" s="1"/>
  <c r="K23" i="240"/>
  <c r="O23" i="240"/>
  <c r="P28" i="240"/>
  <c r="L28" i="240"/>
  <c r="H28" i="240"/>
  <c r="O28" i="240"/>
  <c r="K28" i="240"/>
  <c r="G28" i="240"/>
  <c r="N28" i="240"/>
  <c r="J28" i="240"/>
  <c r="F28" i="240"/>
  <c r="M28" i="240"/>
  <c r="I28" i="240"/>
  <c r="E28" i="240"/>
  <c r="Q21" i="240"/>
  <c r="N26" i="240"/>
  <c r="J26" i="240"/>
  <c r="F26" i="240"/>
  <c r="M26" i="240"/>
  <c r="I26" i="240"/>
  <c r="E26" i="240"/>
  <c r="P26" i="240"/>
  <c r="L26" i="240"/>
  <c r="H26" i="240"/>
  <c r="O26" i="240"/>
  <c r="K26" i="240"/>
  <c r="G26" i="240"/>
  <c r="Q19" i="240"/>
  <c r="G23" i="240"/>
  <c r="O27" i="240"/>
  <c r="K27" i="240"/>
  <c r="G27" i="240"/>
  <c r="N27" i="240"/>
  <c r="J27" i="240"/>
  <c r="G22" i="240"/>
  <c r="M27" i="240"/>
  <c r="K22" i="240"/>
  <c r="H22" i="240"/>
  <c r="L22" i="240"/>
  <c r="P22" i="240"/>
  <c r="Q20" i="240"/>
  <c r="E22" i="240"/>
  <c r="H27" i="240"/>
  <c r="L27" i="240"/>
  <c r="P27" i="240"/>
  <c r="E27" i="240"/>
  <c r="I27" i="240"/>
  <c r="Q20" i="239"/>
  <c r="I22" i="239"/>
  <c r="L27" i="239"/>
  <c r="J26" i="239"/>
  <c r="N26" i="239"/>
  <c r="E27" i="239"/>
  <c r="I27" i="239"/>
  <c r="M27" i="239"/>
  <c r="Q19" i="239"/>
  <c r="M23" i="239"/>
  <c r="G26" i="239"/>
  <c r="K26" i="239"/>
  <c r="O26" i="239"/>
  <c r="F27" i="239"/>
  <c r="J27" i="239"/>
  <c r="N27" i="239"/>
  <c r="E22" i="239"/>
  <c r="G23" i="239"/>
  <c r="I26" i="239"/>
  <c r="H27" i="239"/>
  <c r="P27" i="239"/>
  <c r="F22" i="239"/>
  <c r="J22" i="239"/>
  <c r="N22" i="239"/>
  <c r="H26" i="239"/>
  <c r="L26" i="239"/>
  <c r="G27" i="239"/>
  <c r="K27" i="239"/>
  <c r="M17" i="34" l="1"/>
  <c r="P30" i="240"/>
  <c r="E30" i="244"/>
  <c r="E30" i="242"/>
  <c r="E30" i="243"/>
  <c r="E30" i="245"/>
  <c r="E30" i="240"/>
  <c r="H30" i="244"/>
  <c r="R9" i="34"/>
  <c r="Q9" i="34"/>
  <c r="I9" i="34"/>
  <c r="L30" i="246"/>
  <c r="I30" i="244"/>
  <c r="M30" i="248"/>
  <c r="P30" i="246"/>
  <c r="K30" i="246"/>
  <c r="N11" i="34"/>
  <c r="O22" i="34"/>
  <c r="G30" i="248"/>
  <c r="M30" i="246"/>
  <c r="N10" i="34"/>
  <c r="S4" i="241"/>
  <c r="N8" i="34"/>
  <c r="S5" i="239"/>
  <c r="S6" i="239" s="1"/>
  <c r="N13" i="34"/>
  <c r="N30" i="246"/>
  <c r="O30" i="246"/>
  <c r="M14" i="34"/>
  <c r="M10" i="34"/>
  <c r="M8" i="34"/>
  <c r="M13" i="34"/>
  <c r="M27" i="34"/>
  <c r="S4" i="240"/>
  <c r="S5" i="241"/>
  <c r="S6" i="241" s="1"/>
  <c r="N30" i="241"/>
  <c r="S4" i="243"/>
  <c r="S5" i="246"/>
  <c r="S6" i="246" s="1"/>
  <c r="S4" i="242"/>
  <c r="S4" i="244"/>
  <c r="S5" i="242"/>
  <c r="S6" i="242" s="1"/>
  <c r="S4" i="239"/>
  <c r="S5" i="240"/>
  <c r="S6" i="240" s="1"/>
  <c r="F30" i="241"/>
  <c r="N30" i="239"/>
  <c r="S5" i="244"/>
  <c r="S6" i="244" s="1"/>
  <c r="S5" i="245"/>
  <c r="S6" i="245" s="1"/>
  <c r="S5" i="248"/>
  <c r="S6" i="248" s="1"/>
  <c r="F30" i="240"/>
  <c r="S5" i="243"/>
  <c r="S6" i="243" s="1"/>
  <c r="M11" i="34"/>
  <c r="S4" i="248"/>
  <c r="N27" i="34"/>
  <c r="S4" i="246"/>
  <c r="N17" i="34"/>
  <c r="S4" i="245"/>
  <c r="N14" i="34"/>
  <c r="O30" i="245"/>
  <c r="S4" i="247"/>
  <c r="N26" i="34"/>
  <c r="S5" i="247"/>
  <c r="S6" i="247" s="1"/>
  <c r="M26" i="34"/>
  <c r="R26" i="34" s="1"/>
  <c r="P30" i="248"/>
  <c r="F30" i="243"/>
  <c r="P30" i="247"/>
  <c r="I28" i="34"/>
  <c r="J30" i="239"/>
  <c r="I27" i="34"/>
  <c r="F30" i="248"/>
  <c r="N30" i="248"/>
  <c r="M30" i="241"/>
  <c r="O30" i="247"/>
  <c r="F30" i="239"/>
  <c r="O30" i="239"/>
  <c r="I23" i="34"/>
  <c r="F30" i="244"/>
  <c r="P30" i="245"/>
  <c r="O30" i="248"/>
  <c r="L30" i="248"/>
  <c r="H30" i="248"/>
  <c r="K30" i="248"/>
  <c r="M29" i="248"/>
  <c r="I29" i="248"/>
  <c r="E29" i="248"/>
  <c r="K29" i="248"/>
  <c r="N29" i="248"/>
  <c r="J29" i="248"/>
  <c r="F29" i="248"/>
  <c r="Q22" i="248"/>
  <c r="P29" i="248"/>
  <c r="L29" i="248"/>
  <c r="H29" i="248"/>
  <c r="O29" i="248"/>
  <c r="G29" i="248"/>
  <c r="I30" i="248"/>
  <c r="J30" i="248"/>
  <c r="G30" i="247"/>
  <c r="N30" i="247"/>
  <c r="M30" i="247"/>
  <c r="J30" i="247"/>
  <c r="I30" i="247"/>
  <c r="L30" i="247"/>
  <c r="F30" i="247"/>
  <c r="H30" i="247"/>
  <c r="K30" i="247"/>
  <c r="E30" i="247"/>
  <c r="M29" i="247"/>
  <c r="I29" i="247"/>
  <c r="E29" i="247"/>
  <c r="P29" i="247"/>
  <c r="L29" i="247"/>
  <c r="H29" i="247"/>
  <c r="O29" i="247"/>
  <c r="K29" i="247"/>
  <c r="G29" i="247"/>
  <c r="N29" i="247"/>
  <c r="J29" i="247"/>
  <c r="F29" i="247"/>
  <c r="Q22" i="247"/>
  <c r="K29" i="242"/>
  <c r="M30" i="245"/>
  <c r="G30" i="244"/>
  <c r="P30" i="239"/>
  <c r="K30" i="240"/>
  <c r="M29" i="246"/>
  <c r="K29" i="246"/>
  <c r="P29" i="246"/>
  <c r="N29" i="246"/>
  <c r="L29" i="246"/>
  <c r="O29" i="246"/>
  <c r="Q22" i="246"/>
  <c r="Q21" i="244"/>
  <c r="G30" i="245"/>
  <c r="N30" i="245"/>
  <c r="I30" i="245"/>
  <c r="F30" i="245"/>
  <c r="L30" i="245"/>
  <c r="M29" i="245"/>
  <c r="I29" i="245"/>
  <c r="E29" i="245"/>
  <c r="P29" i="245"/>
  <c r="L29" i="245"/>
  <c r="H29" i="245"/>
  <c r="O29" i="245"/>
  <c r="K29" i="245"/>
  <c r="G29" i="245"/>
  <c r="N29" i="245"/>
  <c r="J29" i="245"/>
  <c r="F29" i="245"/>
  <c r="Q22" i="245"/>
  <c r="H30" i="245"/>
  <c r="K30" i="245"/>
  <c r="J30" i="245"/>
  <c r="L30" i="239"/>
  <c r="M30" i="239"/>
  <c r="G30" i="239"/>
  <c r="J30" i="244"/>
  <c r="L30" i="244"/>
  <c r="M30" i="244"/>
  <c r="O30" i="244"/>
  <c r="O29" i="244"/>
  <c r="K29" i="244"/>
  <c r="G29" i="244"/>
  <c r="N29" i="244"/>
  <c r="J29" i="244"/>
  <c r="F29" i="244"/>
  <c r="Q22" i="244"/>
  <c r="M29" i="244"/>
  <c r="I29" i="244"/>
  <c r="E29" i="244"/>
  <c r="P29" i="244"/>
  <c r="L29" i="244"/>
  <c r="H29" i="244"/>
  <c r="K30" i="244"/>
  <c r="N30" i="244"/>
  <c r="P30" i="243"/>
  <c r="H30" i="243"/>
  <c r="O30" i="243"/>
  <c r="K30" i="243"/>
  <c r="J30" i="243"/>
  <c r="M29" i="243"/>
  <c r="I29" i="243"/>
  <c r="E29" i="243"/>
  <c r="P29" i="243"/>
  <c r="L29" i="243"/>
  <c r="H29" i="243"/>
  <c r="O29" i="243"/>
  <c r="K29" i="243"/>
  <c r="G29" i="243"/>
  <c r="N29" i="243"/>
  <c r="J29" i="243"/>
  <c r="F29" i="243"/>
  <c r="Q22" i="243"/>
  <c r="I30" i="243"/>
  <c r="N30" i="243"/>
  <c r="L30" i="243"/>
  <c r="M30" i="243"/>
  <c r="G30" i="243"/>
  <c r="P29" i="242"/>
  <c r="O29" i="242"/>
  <c r="F30" i="242"/>
  <c r="M29" i="242"/>
  <c r="F29" i="242"/>
  <c r="M30" i="242"/>
  <c r="K30" i="242"/>
  <c r="L30" i="242"/>
  <c r="G30" i="242"/>
  <c r="P30" i="242"/>
  <c r="J29" i="242"/>
  <c r="J30" i="242"/>
  <c r="O30" i="242"/>
  <c r="N29" i="242"/>
  <c r="H29" i="242"/>
  <c r="I29" i="242"/>
  <c r="H30" i="242"/>
  <c r="I30" i="242"/>
  <c r="N30" i="242"/>
  <c r="Q22" i="242"/>
  <c r="G29" i="242"/>
  <c r="L29" i="242"/>
  <c r="P30" i="241"/>
  <c r="O30" i="241"/>
  <c r="L30" i="241"/>
  <c r="K30" i="241"/>
  <c r="E30" i="241"/>
  <c r="H30" i="241"/>
  <c r="O29" i="241"/>
  <c r="K29" i="241"/>
  <c r="G29" i="241"/>
  <c r="N29" i="241"/>
  <c r="J29" i="241"/>
  <c r="F29" i="241"/>
  <c r="Q22" i="241"/>
  <c r="M29" i="241"/>
  <c r="I29" i="241"/>
  <c r="E29" i="241"/>
  <c r="P29" i="241"/>
  <c r="L29" i="241"/>
  <c r="H29" i="241"/>
  <c r="G30" i="241"/>
  <c r="J30" i="241"/>
  <c r="L30" i="240"/>
  <c r="J30" i="240"/>
  <c r="O30" i="240"/>
  <c r="G30" i="240"/>
  <c r="I30" i="240"/>
  <c r="H30" i="240"/>
  <c r="M30" i="240"/>
  <c r="O29" i="240"/>
  <c r="K29" i="240"/>
  <c r="G29" i="240"/>
  <c r="N29" i="240"/>
  <c r="J29" i="240"/>
  <c r="F29" i="240"/>
  <c r="Q22" i="240"/>
  <c r="M29" i="240"/>
  <c r="I29" i="240"/>
  <c r="E29" i="240"/>
  <c r="P29" i="240"/>
  <c r="L29" i="240"/>
  <c r="H29" i="240"/>
  <c r="N30" i="240"/>
  <c r="M29" i="239"/>
  <c r="I29" i="239"/>
  <c r="E29" i="239"/>
  <c r="P29" i="239"/>
  <c r="L29" i="239"/>
  <c r="H29" i="239"/>
  <c r="O29" i="239"/>
  <c r="K29" i="239"/>
  <c r="G29" i="239"/>
  <c r="N29" i="239"/>
  <c r="J29" i="239"/>
  <c r="F29" i="239"/>
  <c r="Q22" i="239"/>
  <c r="K30" i="239"/>
  <c r="H30" i="239"/>
  <c r="I30" i="239"/>
  <c r="O11" i="34" l="1"/>
  <c r="H18" i="34"/>
  <c r="Q18" i="34"/>
  <c r="Q17" i="34"/>
  <c r="Q16" i="34"/>
  <c r="Q15" i="34"/>
  <c r="Q14" i="34"/>
  <c r="Q13" i="34"/>
  <c r="I17" i="34" l="1"/>
  <c r="I14" i="34"/>
  <c r="I16" i="34"/>
  <c r="I18" i="34"/>
  <c r="I13" i="34"/>
  <c r="I15" i="34"/>
  <c r="N43" i="205"/>
  <c r="N44" i="205" s="1"/>
  <c r="M43" i="205"/>
  <c r="M44" i="205" s="1"/>
  <c r="J43" i="205"/>
  <c r="J44" i="205" s="1"/>
  <c r="I43" i="205"/>
  <c r="I44" i="205" s="1"/>
  <c r="F43" i="205"/>
  <c r="F44" i="205" s="1"/>
  <c r="E43" i="205"/>
  <c r="E44" i="205" s="1"/>
  <c r="O43" i="205"/>
  <c r="O44" i="205" s="1"/>
  <c r="L43" i="205"/>
  <c r="L44" i="205" s="1"/>
  <c r="K43" i="205"/>
  <c r="K44" i="205" s="1"/>
  <c r="H43" i="205"/>
  <c r="H44" i="205" s="1"/>
  <c r="G43" i="205"/>
  <c r="G44" i="205" s="1"/>
  <c r="D43" i="205"/>
  <c r="O36" i="205"/>
  <c r="O37" i="205" s="1"/>
  <c r="L36" i="205"/>
  <c r="L37" i="205" s="1"/>
  <c r="K36" i="205"/>
  <c r="K37" i="205" s="1"/>
  <c r="H36" i="205"/>
  <c r="H37" i="205" s="1"/>
  <c r="G36" i="205"/>
  <c r="G37" i="205" s="1"/>
  <c r="N36" i="205"/>
  <c r="N37" i="205" s="1"/>
  <c r="M36" i="205"/>
  <c r="M37" i="205" s="1"/>
  <c r="J36" i="205"/>
  <c r="J37" i="205" s="1"/>
  <c r="I36" i="205"/>
  <c r="I37" i="205" s="1"/>
  <c r="F36" i="205"/>
  <c r="F37" i="205" s="1"/>
  <c r="E36" i="205"/>
  <c r="E37" i="205" s="1"/>
  <c r="M42" i="236"/>
  <c r="I42" i="236"/>
  <c r="H42" i="236"/>
  <c r="N42" i="236"/>
  <c r="L42" i="236"/>
  <c r="K42" i="236"/>
  <c r="J42" i="236"/>
  <c r="G42" i="236"/>
  <c r="F42" i="236"/>
  <c r="I35" i="236"/>
  <c r="O35" i="236"/>
  <c r="K35" i="236"/>
  <c r="G35" i="236"/>
  <c r="L35" i="236"/>
  <c r="H35" i="236"/>
  <c r="F35" i="236"/>
  <c r="C53" i="206"/>
  <c r="B53" i="206"/>
  <c r="A53" i="206"/>
  <c r="C52" i="206"/>
  <c r="B52" i="206"/>
  <c r="A52" i="206"/>
  <c r="C51" i="206"/>
  <c r="B51" i="206"/>
  <c r="A51" i="206"/>
  <c r="C50" i="206"/>
  <c r="B50" i="206"/>
  <c r="A50" i="206"/>
  <c r="C49" i="206"/>
  <c r="B49" i="206"/>
  <c r="A49" i="206"/>
  <c r="C48" i="206"/>
  <c r="B48" i="206"/>
  <c r="A48" i="206"/>
  <c r="C47" i="206"/>
  <c r="B47" i="206"/>
  <c r="A47" i="206"/>
  <c r="C46" i="206"/>
  <c r="B46" i="206"/>
  <c r="A46" i="206"/>
  <c r="C45" i="206"/>
  <c r="B45" i="206"/>
  <c r="A45" i="206"/>
  <c r="C44" i="206"/>
  <c r="B44" i="206"/>
  <c r="A44" i="206"/>
  <c r="C43" i="206"/>
  <c r="B43" i="206"/>
  <c r="A43" i="206"/>
  <c r="C42" i="206"/>
  <c r="B42" i="206"/>
  <c r="A42" i="206"/>
  <c r="C41" i="206"/>
  <c r="B41" i="206"/>
  <c r="A41" i="206"/>
  <c r="C40" i="206"/>
  <c r="B40" i="206"/>
  <c r="A40" i="206"/>
  <c r="C39" i="206"/>
  <c r="B39" i="206"/>
  <c r="A39" i="206"/>
  <c r="C38" i="206"/>
  <c r="B38" i="206"/>
  <c r="A38" i="206"/>
  <c r="C37" i="206"/>
  <c r="B37" i="206"/>
  <c r="A37" i="206"/>
  <c r="A36" i="206"/>
  <c r="C35" i="206"/>
  <c r="B35" i="206"/>
  <c r="A35" i="206"/>
  <c r="C34" i="206"/>
  <c r="B34" i="206"/>
  <c r="A34" i="206"/>
  <c r="C33" i="206"/>
  <c r="B33" i="206"/>
  <c r="A33" i="206"/>
  <c r="C32" i="206"/>
  <c r="B32" i="206"/>
  <c r="A32" i="206"/>
  <c r="C31" i="206"/>
  <c r="B31" i="206"/>
  <c r="A31" i="206"/>
  <c r="D33" i="206"/>
  <c r="C30" i="206"/>
  <c r="B30" i="206"/>
  <c r="A30" i="206"/>
  <c r="A29" i="206"/>
  <c r="A28" i="206"/>
  <c r="D27" i="206"/>
  <c r="C27" i="206"/>
  <c r="B27" i="206"/>
  <c r="A27" i="206"/>
  <c r="M26" i="206"/>
  <c r="L26" i="206"/>
  <c r="J26" i="206"/>
  <c r="D26" i="206"/>
  <c r="C26" i="206"/>
  <c r="B26" i="206"/>
  <c r="A26" i="206"/>
  <c r="C25" i="206"/>
  <c r="B25" i="206"/>
  <c r="A25" i="206"/>
  <c r="C24" i="206"/>
  <c r="B24" i="206"/>
  <c r="A24" i="206"/>
  <c r="A23" i="206"/>
  <c r="C22" i="206"/>
  <c r="B22" i="206"/>
  <c r="A22" i="206"/>
  <c r="O21" i="206"/>
  <c r="N21" i="206"/>
  <c r="M21" i="206"/>
  <c r="L21" i="206"/>
  <c r="K21" i="206"/>
  <c r="J21" i="206"/>
  <c r="I21" i="206"/>
  <c r="H21" i="206"/>
  <c r="G21" i="206"/>
  <c r="F21" i="206"/>
  <c r="E21" i="206"/>
  <c r="D21" i="206"/>
  <c r="C21" i="206"/>
  <c r="B21" i="206"/>
  <c r="A21" i="206"/>
  <c r="C16" i="206"/>
  <c r="B16" i="206"/>
  <c r="A16" i="206"/>
  <c r="C15" i="206"/>
  <c r="B15" i="206"/>
  <c r="A15" i="206"/>
  <c r="O14" i="206"/>
  <c r="P21" i="239" s="1"/>
  <c r="N14" i="206"/>
  <c r="O21" i="239" s="1"/>
  <c r="M14" i="206"/>
  <c r="N21" i="239" s="1"/>
  <c r="L14" i="206"/>
  <c r="M21" i="239" s="1"/>
  <c r="K14" i="206"/>
  <c r="L21" i="239" s="1"/>
  <c r="J14" i="206"/>
  <c r="K21" i="239" s="1"/>
  <c r="I14" i="206"/>
  <c r="J21" i="239" s="1"/>
  <c r="H14" i="206"/>
  <c r="I21" i="239" s="1"/>
  <c r="G14" i="206"/>
  <c r="H21" i="239" s="1"/>
  <c r="F14" i="206"/>
  <c r="G21" i="239" s="1"/>
  <c r="E14" i="206"/>
  <c r="F21" i="239" s="1"/>
  <c r="D14" i="206"/>
  <c r="E21" i="239" s="1"/>
  <c r="C14" i="206"/>
  <c r="B14" i="206"/>
  <c r="A14" i="206"/>
  <c r="I22" i="206"/>
  <c r="J27" i="206" s="1"/>
  <c r="C7" i="206"/>
  <c r="B7" i="206"/>
  <c r="A7" i="206"/>
  <c r="C6" i="206"/>
  <c r="B6" i="206"/>
  <c r="A6" i="206"/>
  <c r="A5" i="206"/>
  <c r="A1" i="206"/>
  <c r="D56" i="205" l="1"/>
  <c r="D44" i="205"/>
  <c r="G19" i="237"/>
  <c r="F56" i="205"/>
  <c r="O19" i="237"/>
  <c r="N56" i="205"/>
  <c r="M19" i="237"/>
  <c r="L56" i="205"/>
  <c r="J19" i="237"/>
  <c r="I56" i="205"/>
  <c r="H19" i="237"/>
  <c r="G56" i="205"/>
  <c r="P19" i="237"/>
  <c r="O56" i="205"/>
  <c r="K19" i="237"/>
  <c r="J56" i="205"/>
  <c r="L37" i="236"/>
  <c r="J37" i="236"/>
  <c r="G37" i="236"/>
  <c r="I37" i="236"/>
  <c r="M37" i="236"/>
  <c r="H37" i="236"/>
  <c r="L44" i="236"/>
  <c r="I44" i="236"/>
  <c r="G44" i="236"/>
  <c r="M44" i="236"/>
  <c r="J44" i="236"/>
  <c r="H44" i="236"/>
  <c r="O44" i="236"/>
  <c r="N44" i="236"/>
  <c r="K44" i="236"/>
  <c r="O19" i="196"/>
  <c r="J19" i="196"/>
  <c r="H19" i="196"/>
  <c r="P19" i="196"/>
  <c r="M19" i="196"/>
  <c r="K19" i="196"/>
  <c r="I19" i="196"/>
  <c r="G19" i="196"/>
  <c r="F19" i="196"/>
  <c r="N19" i="196"/>
  <c r="L19" i="196"/>
  <c r="O26" i="206"/>
  <c r="F26" i="206"/>
  <c r="G33" i="206"/>
  <c r="K33" i="206"/>
  <c r="O33" i="206"/>
  <c r="D37" i="236" s="1"/>
  <c r="O28" i="239"/>
  <c r="G28" i="239"/>
  <c r="L28" i="239"/>
  <c r="E23" i="239"/>
  <c r="E28" i="239"/>
  <c r="E30" i="239" s="1"/>
  <c r="J28" i="239"/>
  <c r="K28" i="239"/>
  <c r="P28" i="239"/>
  <c r="H28" i="239"/>
  <c r="F28" i="239"/>
  <c r="I28" i="239"/>
  <c r="N28" i="239"/>
  <c r="Q21" i="239"/>
  <c r="M28" i="239"/>
  <c r="D22" i="206"/>
  <c r="E27" i="206" s="1"/>
  <c r="G26" i="206"/>
  <c r="K28" i="248"/>
  <c r="K26" i="206"/>
  <c r="N28" i="248"/>
  <c r="J33" i="206"/>
  <c r="J28" i="248"/>
  <c r="G28" i="248"/>
  <c r="O28" i="248"/>
  <c r="F28" i="248"/>
  <c r="H26" i="206"/>
  <c r="E26" i="206"/>
  <c r="G22" i="206"/>
  <c r="H27" i="206" s="1"/>
  <c r="K22" i="206"/>
  <c r="L27" i="206" s="1"/>
  <c r="O22" i="206"/>
  <c r="D30" i="236" s="1"/>
  <c r="L22" i="206"/>
  <c r="M27" i="206" s="1"/>
  <c r="F22" i="206"/>
  <c r="G27" i="206" s="1"/>
  <c r="J22" i="206"/>
  <c r="K27" i="206" s="1"/>
  <c r="N22" i="206"/>
  <c r="O27" i="206" s="1"/>
  <c r="H22" i="206"/>
  <c r="I27" i="206" s="1"/>
  <c r="E22" i="206"/>
  <c r="F27" i="206" s="1"/>
  <c r="M22" i="206"/>
  <c r="N27" i="206" s="1"/>
  <c r="I26" i="206"/>
  <c r="N26" i="206"/>
  <c r="N35" i="236"/>
  <c r="J35" i="236"/>
  <c r="O42" i="236"/>
  <c r="M35" i="236"/>
  <c r="H33" i="206"/>
  <c r="L33" i="206"/>
  <c r="E33" i="206"/>
  <c r="M33" i="206"/>
  <c r="F33" i="206"/>
  <c r="N33" i="206"/>
  <c r="I33" i="206"/>
  <c r="F19" i="237" l="1"/>
  <c r="E56" i="205"/>
  <c r="I19" i="237"/>
  <c r="I26" i="237" s="1"/>
  <c r="H56" i="205"/>
  <c r="L19" i="237"/>
  <c r="K56" i="205"/>
  <c r="N19" i="237"/>
  <c r="N26" i="237" s="1"/>
  <c r="M56" i="205"/>
  <c r="K37" i="236"/>
  <c r="O37" i="236"/>
  <c r="N37" i="236"/>
  <c r="K27" i="257"/>
  <c r="Q49" i="34"/>
  <c r="I28" i="248"/>
  <c r="P28" i="248"/>
  <c r="M28" i="248"/>
  <c r="L28" i="248"/>
  <c r="Q21" i="248"/>
  <c r="H28" i="248"/>
  <c r="F28" i="238"/>
  <c r="G28" i="238"/>
  <c r="H28" i="238"/>
  <c r="I28" i="238"/>
  <c r="J28" i="238"/>
  <c r="K28" i="238"/>
  <c r="L28" i="238"/>
  <c r="M28" i="238"/>
  <c r="N28" i="238"/>
  <c r="O28" i="238"/>
  <c r="P28" i="238"/>
  <c r="E28" i="238"/>
  <c r="F22" i="238"/>
  <c r="J22" i="238"/>
  <c r="C1" i="238"/>
  <c r="B1" i="238"/>
  <c r="I30" i="238"/>
  <c r="H30" i="238"/>
  <c r="G30" i="238"/>
  <c r="F30" i="238"/>
  <c r="E30" i="238"/>
  <c r="D29" i="238"/>
  <c r="N26" i="238"/>
  <c r="M26" i="238"/>
  <c r="J26" i="238"/>
  <c r="I26" i="238"/>
  <c r="F26" i="238"/>
  <c r="E26" i="238"/>
  <c r="D25" i="238"/>
  <c r="D23" i="238"/>
  <c r="E22" i="238"/>
  <c r="D22" i="238"/>
  <c r="D21" i="238"/>
  <c r="P22" i="238"/>
  <c r="D20" i="238"/>
  <c r="P26" i="238"/>
  <c r="O26" i="238"/>
  <c r="L26" i="238"/>
  <c r="K26" i="238"/>
  <c r="H26" i="238"/>
  <c r="G26" i="238"/>
  <c r="Q19" i="238"/>
  <c r="D19" i="238"/>
  <c r="P18" i="238"/>
  <c r="P24" i="238" s="1"/>
  <c r="O18" i="238"/>
  <c r="O24" i="238" s="1"/>
  <c r="N18" i="238"/>
  <c r="N24" i="238" s="1"/>
  <c r="M18" i="238"/>
  <c r="M24" i="238" s="1"/>
  <c r="L18" i="238"/>
  <c r="L24" i="238" s="1"/>
  <c r="K18" i="238"/>
  <c r="K24" i="238" s="1"/>
  <c r="J18" i="238"/>
  <c r="J24" i="238" s="1"/>
  <c r="I18" i="238"/>
  <c r="I24" i="238" s="1"/>
  <c r="H18" i="238"/>
  <c r="H24" i="238" s="1"/>
  <c r="G18" i="238"/>
  <c r="G24" i="238" s="1"/>
  <c r="F18" i="238"/>
  <c r="F24" i="238" s="1"/>
  <c r="E18" i="238"/>
  <c r="E24" i="238" s="1"/>
  <c r="I1" i="238"/>
  <c r="F28" i="237"/>
  <c r="G28" i="237"/>
  <c r="H28" i="237"/>
  <c r="I28" i="237"/>
  <c r="J28" i="237"/>
  <c r="K28" i="237"/>
  <c r="L28" i="237"/>
  <c r="M28" i="237"/>
  <c r="N28" i="237"/>
  <c r="O28" i="237"/>
  <c r="P28" i="237"/>
  <c r="E28" i="237"/>
  <c r="G27" i="237"/>
  <c r="H27" i="237"/>
  <c r="I27" i="237"/>
  <c r="J27" i="237"/>
  <c r="K27" i="237"/>
  <c r="M27" i="237"/>
  <c r="N27" i="237"/>
  <c r="O27" i="237"/>
  <c r="E27" i="237"/>
  <c r="E19" i="237"/>
  <c r="E26" i="237" s="1"/>
  <c r="C1" i="237"/>
  <c r="B1" i="237"/>
  <c r="J30" i="237"/>
  <c r="I30" i="237"/>
  <c r="H30" i="237"/>
  <c r="G30" i="237"/>
  <c r="F30" i="237"/>
  <c r="E30" i="237"/>
  <c r="J29" i="237"/>
  <c r="I29" i="237"/>
  <c r="H29" i="237"/>
  <c r="G29" i="237"/>
  <c r="F29" i="237"/>
  <c r="E29" i="237"/>
  <c r="D29" i="237"/>
  <c r="D25" i="237"/>
  <c r="D23" i="237"/>
  <c r="J22" i="237"/>
  <c r="I22" i="237"/>
  <c r="H22" i="237"/>
  <c r="G22" i="237"/>
  <c r="F22" i="237"/>
  <c r="E22" i="237"/>
  <c r="D22" i="237"/>
  <c r="D21" i="237"/>
  <c r="D20" i="237"/>
  <c r="P26" i="237"/>
  <c r="O26" i="237"/>
  <c r="M26" i="237"/>
  <c r="L26" i="237"/>
  <c r="K26" i="237"/>
  <c r="J26" i="237"/>
  <c r="H26" i="237"/>
  <c r="G26" i="237"/>
  <c r="D19" i="237"/>
  <c r="P18" i="237"/>
  <c r="P24" i="237" s="1"/>
  <c r="O18" i="237"/>
  <c r="O24" i="237" s="1"/>
  <c r="N18" i="237"/>
  <c r="N24" i="237" s="1"/>
  <c r="M18" i="237"/>
  <c r="M24" i="237" s="1"/>
  <c r="L18" i="237"/>
  <c r="L24" i="237" s="1"/>
  <c r="K18" i="237"/>
  <c r="K24" i="237" s="1"/>
  <c r="J18" i="237"/>
  <c r="J24" i="237" s="1"/>
  <c r="I18" i="237"/>
  <c r="I24" i="237" s="1"/>
  <c r="H18" i="237"/>
  <c r="H24" i="237" s="1"/>
  <c r="G18" i="237"/>
  <c r="G24" i="237" s="1"/>
  <c r="F18" i="237"/>
  <c r="F24" i="237" s="1"/>
  <c r="E18" i="237"/>
  <c r="E24" i="237" s="1"/>
  <c r="C53" i="236"/>
  <c r="C54" i="236"/>
  <c r="C56" i="236"/>
  <c r="C57" i="236"/>
  <c r="C119" i="207"/>
  <c r="C120" i="207"/>
  <c r="C121" i="207"/>
  <c r="C122" i="207"/>
  <c r="C123" i="207"/>
  <c r="C54" i="205"/>
  <c r="C55" i="205"/>
  <c r="C57" i="205"/>
  <c r="C58" i="205"/>
  <c r="B53" i="236"/>
  <c r="B54" i="236"/>
  <c r="B56" i="236"/>
  <c r="B57" i="236"/>
  <c r="B58" i="236"/>
  <c r="B119" i="207"/>
  <c r="B120" i="207"/>
  <c r="B121" i="207"/>
  <c r="B122" i="207"/>
  <c r="B123" i="207"/>
  <c r="B124" i="207"/>
  <c r="B54" i="205"/>
  <c r="B55" i="205"/>
  <c r="B57" i="205"/>
  <c r="B58" i="205"/>
  <c r="B59" i="205"/>
  <c r="A53" i="236"/>
  <c r="A54" i="236"/>
  <c r="A56" i="236"/>
  <c r="A57" i="236"/>
  <c r="A58" i="236"/>
  <c r="A119" i="207"/>
  <c r="A120" i="207"/>
  <c r="A121" i="207"/>
  <c r="A122" i="207"/>
  <c r="A123" i="207"/>
  <c r="A124" i="207"/>
  <c r="A54" i="205"/>
  <c r="A55" i="205"/>
  <c r="A57" i="205"/>
  <c r="A58" i="205"/>
  <c r="A59" i="205"/>
  <c r="C58" i="236"/>
  <c r="C59" i="205"/>
  <c r="A59" i="236"/>
  <c r="A60" i="205"/>
  <c r="A61" i="205"/>
  <c r="I1" i="237" l="1"/>
  <c r="M55" i="34"/>
  <c r="R55" i="34" s="1"/>
  <c r="N27" i="257"/>
  <c r="L27" i="257"/>
  <c r="J27" i="257"/>
  <c r="M27" i="257"/>
  <c r="H44" i="34"/>
  <c r="E27" i="257"/>
  <c r="G27" i="257"/>
  <c r="F27" i="257"/>
  <c r="S5" i="238"/>
  <c r="S6" i="238" s="1"/>
  <c r="I27" i="257"/>
  <c r="O27" i="257"/>
  <c r="H27" i="257"/>
  <c r="P27" i="257"/>
  <c r="K22" i="238"/>
  <c r="H55" i="34"/>
  <c r="I55" i="34" s="1"/>
  <c r="L22" i="237"/>
  <c r="G54" i="34"/>
  <c r="Q54" i="34" s="1"/>
  <c r="I27" i="238"/>
  <c r="I29" i="238" s="1"/>
  <c r="F27" i="238"/>
  <c r="F29" i="238" s="1"/>
  <c r="J27" i="238"/>
  <c r="J29" i="238" s="1"/>
  <c r="E27" i="238"/>
  <c r="E29" i="238" s="1"/>
  <c r="K27" i="238"/>
  <c r="K29" i="238" s="1"/>
  <c r="H27" i="238"/>
  <c r="H29" i="238" s="1"/>
  <c r="G27" i="238"/>
  <c r="G29" i="238" s="1"/>
  <c r="F27" i="237"/>
  <c r="H54" i="34"/>
  <c r="Q19" i="237"/>
  <c r="K22" i="237"/>
  <c r="K29" i="237" s="1"/>
  <c r="L22" i="238"/>
  <c r="H22" i="238"/>
  <c r="I22" i="238"/>
  <c r="F26" i="237"/>
  <c r="M54" i="34" s="1"/>
  <c r="G22" i="238"/>
  <c r="P27" i="237"/>
  <c r="P30" i="237" s="1"/>
  <c r="L27" i="237"/>
  <c r="L30" i="237" s="1"/>
  <c r="O29" i="238"/>
  <c r="Q20" i="238"/>
  <c r="M22" i="238"/>
  <c r="N22" i="238"/>
  <c r="Q21" i="238"/>
  <c r="O22" i="238"/>
  <c r="P29" i="238"/>
  <c r="P22" i="237"/>
  <c r="K30" i="237"/>
  <c r="O30" i="237"/>
  <c r="S4" i="237"/>
  <c r="Q20" i="237"/>
  <c r="M22" i="237"/>
  <c r="N22" i="237"/>
  <c r="M30" i="237"/>
  <c r="Q21" i="237"/>
  <c r="O22" i="237"/>
  <c r="N30" i="237"/>
  <c r="N44" i="34" l="1"/>
  <c r="N55" i="34"/>
  <c r="O55" i="34" s="1"/>
  <c r="N54" i="34"/>
  <c r="I54" i="34"/>
  <c r="S4" i="238"/>
  <c r="S5" i="237"/>
  <c r="S6" i="237" s="1"/>
  <c r="L29" i="237"/>
  <c r="M29" i="237"/>
  <c r="P29" i="237"/>
  <c r="Q22" i="238"/>
  <c r="M29" i="238"/>
  <c r="L29" i="238"/>
  <c r="N29" i="238"/>
  <c r="O29" i="237"/>
  <c r="N29" i="237"/>
  <c r="Q22" i="237"/>
  <c r="F21" i="149" l="1"/>
  <c r="G21" i="149"/>
  <c r="H21" i="149"/>
  <c r="I21" i="149"/>
  <c r="J21" i="149"/>
  <c r="K21" i="149"/>
  <c r="L21" i="149"/>
  <c r="M21" i="149"/>
  <c r="N21" i="149"/>
  <c r="O21" i="149"/>
  <c r="P21" i="149"/>
  <c r="E21" i="149"/>
  <c r="F20" i="149"/>
  <c r="G20" i="149"/>
  <c r="H20" i="149"/>
  <c r="I20" i="149"/>
  <c r="J20" i="149"/>
  <c r="K20" i="149"/>
  <c r="L20" i="149"/>
  <c r="M20" i="149"/>
  <c r="N20" i="149"/>
  <c r="O20" i="149"/>
  <c r="P20" i="149"/>
  <c r="E20" i="149"/>
  <c r="F19" i="149"/>
  <c r="G19" i="149"/>
  <c r="H19" i="149"/>
  <c r="I19" i="149"/>
  <c r="J19" i="149"/>
  <c r="K19" i="149"/>
  <c r="L19" i="149"/>
  <c r="M19" i="149"/>
  <c r="N19" i="149"/>
  <c r="O19" i="149"/>
  <c r="P19" i="149"/>
  <c r="E19" i="149"/>
  <c r="F21" i="147"/>
  <c r="G21" i="147"/>
  <c r="H21" i="147"/>
  <c r="I21" i="147"/>
  <c r="J21" i="147"/>
  <c r="K21" i="147"/>
  <c r="L21" i="147"/>
  <c r="M21" i="147"/>
  <c r="N21" i="147"/>
  <c r="O21" i="147"/>
  <c r="P21" i="147"/>
  <c r="E21" i="147"/>
  <c r="F20" i="147"/>
  <c r="G20" i="147"/>
  <c r="H20" i="147"/>
  <c r="I20" i="147"/>
  <c r="J20" i="147"/>
  <c r="K20" i="147"/>
  <c r="L20" i="147"/>
  <c r="M20" i="147"/>
  <c r="N20" i="147"/>
  <c r="O20" i="147"/>
  <c r="P20" i="147"/>
  <c r="E20" i="147"/>
  <c r="F19" i="147"/>
  <c r="G19" i="147"/>
  <c r="H19" i="147"/>
  <c r="I19" i="147"/>
  <c r="J19" i="147"/>
  <c r="K19" i="147"/>
  <c r="L19" i="147"/>
  <c r="M19" i="147"/>
  <c r="N19" i="147"/>
  <c r="O19" i="147"/>
  <c r="P19" i="147"/>
  <c r="E19" i="147"/>
  <c r="F21" i="203"/>
  <c r="G21" i="203"/>
  <c r="H21" i="203"/>
  <c r="I21" i="203"/>
  <c r="J21" i="203"/>
  <c r="K21" i="203"/>
  <c r="L21" i="203"/>
  <c r="M21" i="203"/>
  <c r="N21" i="203"/>
  <c r="O21" i="203"/>
  <c r="P21" i="203"/>
  <c r="E21" i="203"/>
  <c r="F20" i="203"/>
  <c r="G20" i="203"/>
  <c r="H20" i="203"/>
  <c r="I20" i="203"/>
  <c r="J20" i="203"/>
  <c r="K20" i="203"/>
  <c r="L20" i="203"/>
  <c r="M20" i="203"/>
  <c r="N20" i="203"/>
  <c r="O20" i="203"/>
  <c r="P20" i="203"/>
  <c r="E20" i="203"/>
  <c r="F19" i="203"/>
  <c r="G19" i="203"/>
  <c r="H19" i="203"/>
  <c r="I19" i="203"/>
  <c r="J19" i="203"/>
  <c r="K19" i="203"/>
  <c r="L19" i="203"/>
  <c r="M19" i="203"/>
  <c r="N19" i="203"/>
  <c r="O19" i="203"/>
  <c r="P19" i="203"/>
  <c r="E19" i="203"/>
  <c r="F19" i="201"/>
  <c r="G19" i="201"/>
  <c r="H19" i="201"/>
  <c r="I19" i="201"/>
  <c r="J19" i="201"/>
  <c r="K19" i="201"/>
  <c r="L19" i="201"/>
  <c r="M19" i="201"/>
  <c r="N19" i="201"/>
  <c r="O19" i="201"/>
  <c r="P19" i="201"/>
  <c r="E19" i="201"/>
  <c r="F19" i="202"/>
  <c r="G19" i="202"/>
  <c r="H19" i="202"/>
  <c r="I19" i="202"/>
  <c r="J19" i="202"/>
  <c r="K19" i="202"/>
  <c r="L19" i="202"/>
  <c r="M19" i="202"/>
  <c r="N19" i="202"/>
  <c r="O19" i="202"/>
  <c r="P19" i="202"/>
  <c r="E19" i="202"/>
  <c r="E23" i="202" s="1"/>
  <c r="F19" i="216"/>
  <c r="G19" i="216"/>
  <c r="H19" i="216"/>
  <c r="I19" i="216"/>
  <c r="J19" i="216"/>
  <c r="K19" i="216"/>
  <c r="L19" i="216"/>
  <c r="M19" i="216"/>
  <c r="N19" i="216"/>
  <c r="O19" i="216"/>
  <c r="P19" i="216"/>
  <c r="E19" i="216"/>
  <c r="F19" i="200"/>
  <c r="G19" i="200"/>
  <c r="H19" i="200"/>
  <c r="I19" i="200"/>
  <c r="J19" i="200"/>
  <c r="K19" i="200"/>
  <c r="L19" i="200"/>
  <c r="M19" i="200"/>
  <c r="N19" i="200"/>
  <c r="O19" i="200"/>
  <c r="P19" i="200"/>
  <c r="E19" i="200"/>
  <c r="F19" i="198"/>
  <c r="G19" i="198"/>
  <c r="H19" i="198"/>
  <c r="I19" i="198"/>
  <c r="J19" i="198"/>
  <c r="K19" i="198"/>
  <c r="L19" i="198"/>
  <c r="M19" i="198"/>
  <c r="N19" i="198"/>
  <c r="O19" i="198"/>
  <c r="P19" i="198"/>
  <c r="E19" i="198"/>
  <c r="F19" i="197"/>
  <c r="G19" i="197"/>
  <c r="H19" i="197"/>
  <c r="I19" i="197"/>
  <c r="J19" i="197"/>
  <c r="K19" i="197"/>
  <c r="L19" i="197"/>
  <c r="M19" i="197"/>
  <c r="N19" i="197"/>
  <c r="O19" i="197"/>
  <c r="P19" i="197"/>
  <c r="E19" i="197"/>
  <c r="E23" i="197" s="1"/>
  <c r="I49" i="34"/>
  <c r="F19" i="215"/>
  <c r="Q48" i="34" s="1"/>
  <c r="G19" i="215"/>
  <c r="H19" i="215"/>
  <c r="I19" i="215"/>
  <c r="J19" i="215"/>
  <c r="K19" i="215"/>
  <c r="L19" i="215"/>
  <c r="M19" i="215"/>
  <c r="N19" i="215"/>
  <c r="O19" i="215"/>
  <c r="P19" i="215"/>
  <c r="E19" i="215"/>
  <c r="Q47" i="34"/>
  <c r="O27" i="201" l="1"/>
  <c r="P27" i="201"/>
  <c r="Q51" i="34"/>
  <c r="Q44" i="34"/>
  <c r="I44" i="34"/>
  <c r="I47" i="34"/>
  <c r="I48" i="34"/>
  <c r="I51" i="34"/>
  <c r="I46" i="34"/>
  <c r="Q46" i="34"/>
  <c r="I50" i="34"/>
  <c r="Q50" i="34"/>
  <c r="F20" i="125"/>
  <c r="G20" i="125"/>
  <c r="H20" i="125"/>
  <c r="I20" i="125"/>
  <c r="J20" i="125"/>
  <c r="K20" i="125"/>
  <c r="L20" i="125"/>
  <c r="M20" i="125"/>
  <c r="N20" i="125"/>
  <c r="O20" i="125"/>
  <c r="P20" i="125"/>
  <c r="E20" i="125"/>
  <c r="F19" i="125"/>
  <c r="G19" i="125"/>
  <c r="H19" i="125"/>
  <c r="I19" i="125"/>
  <c r="J19" i="125"/>
  <c r="K19" i="125"/>
  <c r="L19" i="125"/>
  <c r="M19" i="125"/>
  <c r="N19" i="125"/>
  <c r="O19" i="125"/>
  <c r="P19" i="125"/>
  <c r="E19" i="125"/>
  <c r="D28" i="123"/>
  <c r="D28" i="261" s="1"/>
  <c r="D27" i="123"/>
  <c r="D27" i="261" s="1"/>
  <c r="D26" i="123"/>
  <c r="D26" i="261" s="1"/>
  <c r="C63" i="236"/>
  <c r="B63" i="236"/>
  <c r="A63" i="236"/>
  <c r="C62" i="236"/>
  <c r="B62" i="236"/>
  <c r="A62" i="236"/>
  <c r="C61" i="236"/>
  <c r="B61" i="236"/>
  <c r="A61" i="236"/>
  <c r="C60" i="236"/>
  <c r="B60" i="236"/>
  <c r="A60" i="236"/>
  <c r="C59" i="236"/>
  <c r="B59" i="236"/>
  <c r="C39" i="236"/>
  <c r="B39" i="236"/>
  <c r="A39" i="236"/>
  <c r="A38" i="236"/>
  <c r="C37" i="236"/>
  <c r="B37" i="236"/>
  <c r="A37" i="236"/>
  <c r="C36" i="236"/>
  <c r="B36" i="236"/>
  <c r="A36" i="236"/>
  <c r="C35" i="236"/>
  <c r="B35" i="236"/>
  <c r="A35" i="236"/>
  <c r="C34" i="236"/>
  <c r="B34" i="236"/>
  <c r="A34" i="236"/>
  <c r="C33" i="236"/>
  <c r="B33" i="236"/>
  <c r="A33" i="236"/>
  <c r="C32" i="236"/>
  <c r="B32" i="236"/>
  <c r="A32" i="236"/>
  <c r="A31" i="236"/>
  <c r="C15" i="236"/>
  <c r="C14" i="236"/>
  <c r="C13" i="236"/>
  <c r="C7" i="236"/>
  <c r="C6" i="236"/>
  <c r="A5" i="236"/>
  <c r="A1" i="236"/>
  <c r="D28" i="259" l="1"/>
  <c r="D28" i="258"/>
  <c r="D28" i="253"/>
  <c r="D28" i="251"/>
  <c r="D28" i="255"/>
  <c r="D28" i="257"/>
  <c r="D28" i="254"/>
  <c r="D28" i="252"/>
  <c r="D28" i="249"/>
  <c r="D28" i="250"/>
  <c r="D28" i="248"/>
  <c r="D28" i="245"/>
  <c r="D28" i="243"/>
  <c r="D28" i="241"/>
  <c r="D28" i="239"/>
  <c r="D28" i="244"/>
  <c r="D28" i="246"/>
  <c r="D28" i="240"/>
  <c r="D28" i="242"/>
  <c r="D28" i="247"/>
  <c r="D28" i="237"/>
  <c r="D28" i="238"/>
  <c r="D27" i="259"/>
  <c r="D27" i="258"/>
  <c r="D27" i="257"/>
  <c r="D27" i="252"/>
  <c r="D27" i="251"/>
  <c r="D27" i="254"/>
  <c r="D27" i="253"/>
  <c r="D27" i="255"/>
  <c r="D27" i="250"/>
  <c r="D27" i="249"/>
  <c r="D27" i="245"/>
  <c r="D27" i="241"/>
  <c r="D27" i="246"/>
  <c r="D27" i="244"/>
  <c r="D27" i="248"/>
  <c r="D27" i="247"/>
  <c r="D27" i="242"/>
  <c r="D27" i="243"/>
  <c r="D27" i="240"/>
  <c r="D27" i="239"/>
  <c r="D27" i="238"/>
  <c r="D27" i="237"/>
  <c r="D26" i="259"/>
  <c r="D26" i="258"/>
  <c r="D26" i="253"/>
  <c r="D26" i="251"/>
  <c r="D26" i="255"/>
  <c r="D26" i="252"/>
  <c r="D26" i="257"/>
  <c r="D26" i="254"/>
  <c r="D26" i="250"/>
  <c r="D26" i="249"/>
  <c r="D26" i="245"/>
  <c r="D26" i="244"/>
  <c r="D26" i="243"/>
  <c r="D26" i="242"/>
  <c r="D26" i="241"/>
  <c r="D26" i="239"/>
  <c r="D26" i="247"/>
  <c r="D26" i="240"/>
  <c r="D26" i="246"/>
  <c r="D26" i="248"/>
  <c r="D26" i="237"/>
  <c r="D26" i="238"/>
  <c r="E27" i="203"/>
  <c r="F27" i="198"/>
  <c r="G27" i="198"/>
  <c r="H27" i="198"/>
  <c r="I27" i="198"/>
  <c r="J27" i="198"/>
  <c r="K27" i="198"/>
  <c r="E27" i="198"/>
  <c r="A114" i="207" l="1"/>
  <c r="A115" i="207"/>
  <c r="A116" i="207"/>
  <c r="A117" i="207"/>
  <c r="A118" i="207"/>
  <c r="B114" i="207"/>
  <c r="B115" i="207"/>
  <c r="B116" i="207"/>
  <c r="B117" i="207"/>
  <c r="B118" i="207"/>
  <c r="B113" i="207"/>
  <c r="J30" i="232"/>
  <c r="I30" i="232"/>
  <c r="H30" i="232"/>
  <c r="G30" i="232"/>
  <c r="F30" i="232"/>
  <c r="E30" i="232"/>
  <c r="J29" i="232"/>
  <c r="I29" i="232"/>
  <c r="H29" i="232"/>
  <c r="G29" i="232"/>
  <c r="F29" i="232"/>
  <c r="E29" i="232"/>
  <c r="D29" i="232"/>
  <c r="P28" i="232"/>
  <c r="O28" i="232"/>
  <c r="N28" i="232"/>
  <c r="M28" i="232"/>
  <c r="L28" i="232"/>
  <c r="K28" i="232"/>
  <c r="J28" i="232"/>
  <c r="I28" i="232"/>
  <c r="H28" i="232"/>
  <c r="G28" i="232"/>
  <c r="F28" i="232"/>
  <c r="E28" i="232"/>
  <c r="D28" i="232"/>
  <c r="D27" i="232"/>
  <c r="D26" i="232"/>
  <c r="D25" i="232"/>
  <c r="J23" i="232"/>
  <c r="I23" i="232"/>
  <c r="H23" i="232"/>
  <c r="G23" i="232"/>
  <c r="F23" i="232"/>
  <c r="E23" i="232"/>
  <c r="D23" i="232"/>
  <c r="J22" i="232"/>
  <c r="I22" i="232"/>
  <c r="H22" i="232"/>
  <c r="G22" i="232"/>
  <c r="F22" i="232"/>
  <c r="E22" i="232"/>
  <c r="D22" i="232"/>
  <c r="Q21" i="232"/>
  <c r="D21" i="232"/>
  <c r="P20" i="232"/>
  <c r="O20" i="232"/>
  <c r="O22" i="232" s="1"/>
  <c r="N20" i="232"/>
  <c r="N27" i="232" s="1"/>
  <c r="M20" i="232"/>
  <c r="L20" i="232"/>
  <c r="K20" i="232"/>
  <c r="K22" i="232" s="1"/>
  <c r="J20" i="232"/>
  <c r="J27" i="232" s="1"/>
  <c r="I20" i="232"/>
  <c r="I27" i="232" s="1"/>
  <c r="H20" i="232"/>
  <c r="H27" i="232" s="1"/>
  <c r="G20" i="232"/>
  <c r="G27" i="232" s="1"/>
  <c r="F20" i="232"/>
  <c r="E20" i="232"/>
  <c r="D20" i="232"/>
  <c r="P19" i="232"/>
  <c r="P26" i="232" s="1"/>
  <c r="O19" i="232"/>
  <c r="O26" i="232" s="1"/>
  <c r="N19" i="232"/>
  <c r="N26" i="232" s="1"/>
  <c r="M19" i="232"/>
  <c r="M26" i="232" s="1"/>
  <c r="L19" i="232"/>
  <c r="L26" i="232" s="1"/>
  <c r="K19" i="232"/>
  <c r="K26" i="232" s="1"/>
  <c r="J19" i="232"/>
  <c r="J26" i="232" s="1"/>
  <c r="I19" i="232"/>
  <c r="I26" i="232" s="1"/>
  <c r="H19" i="232"/>
  <c r="H26" i="232" s="1"/>
  <c r="G19" i="232"/>
  <c r="G26" i="232" s="1"/>
  <c r="F19" i="232"/>
  <c r="F26" i="232" s="1"/>
  <c r="E19" i="232"/>
  <c r="E26" i="232" s="1"/>
  <c r="D19" i="232"/>
  <c r="P18" i="232"/>
  <c r="P24" i="232" s="1"/>
  <c r="O18" i="232"/>
  <c r="O24" i="232" s="1"/>
  <c r="N18" i="232"/>
  <c r="N24" i="232" s="1"/>
  <c r="M18" i="232"/>
  <c r="M24" i="232" s="1"/>
  <c r="L18" i="232"/>
  <c r="L24" i="232" s="1"/>
  <c r="K18" i="232"/>
  <c r="K24" i="232" s="1"/>
  <c r="J18" i="232"/>
  <c r="J24" i="232" s="1"/>
  <c r="I18" i="232"/>
  <c r="I24" i="232" s="1"/>
  <c r="H18" i="232"/>
  <c r="H24" i="232" s="1"/>
  <c r="G18" i="232"/>
  <c r="G24" i="232" s="1"/>
  <c r="F18" i="232"/>
  <c r="F24" i="232" s="1"/>
  <c r="E18" i="232"/>
  <c r="E24" i="232" s="1"/>
  <c r="I1" i="232"/>
  <c r="C1" i="232"/>
  <c r="B1" i="232"/>
  <c r="C114" i="207"/>
  <c r="C115" i="207"/>
  <c r="C116" i="207"/>
  <c r="C117" i="207"/>
  <c r="C118" i="207"/>
  <c r="S5" i="232" l="1"/>
  <c r="S6" i="232" s="1"/>
  <c r="K27" i="232"/>
  <c r="K30" i="232" s="1"/>
  <c r="Q19" i="232"/>
  <c r="L23" i="232"/>
  <c r="P23" i="232"/>
  <c r="O27" i="232"/>
  <c r="O30" i="232" s="1"/>
  <c r="F27" i="232"/>
  <c r="M23" i="232"/>
  <c r="N30" i="232"/>
  <c r="L22" i="232"/>
  <c r="P22" i="232"/>
  <c r="N23" i="232"/>
  <c r="Q20" i="232"/>
  <c r="M22" i="232"/>
  <c r="K23" i="232"/>
  <c r="O23" i="232"/>
  <c r="L27" i="232"/>
  <c r="L30" i="232" s="1"/>
  <c r="P27" i="232"/>
  <c r="P30" i="232" s="1"/>
  <c r="N22" i="232"/>
  <c r="E27" i="232"/>
  <c r="M27" i="232"/>
  <c r="M30" i="232" s="1"/>
  <c r="K29" i="232"/>
  <c r="Q22" i="232" l="1"/>
  <c r="S4" i="232"/>
  <c r="P29" i="232"/>
  <c r="L29" i="232"/>
  <c r="N29" i="232"/>
  <c r="M29" i="232"/>
  <c r="O29" i="232"/>
  <c r="R54" i="34"/>
  <c r="A113" i="207"/>
  <c r="O54" i="34" l="1"/>
  <c r="O110" i="207" l="1"/>
  <c r="E110" i="207" l="1"/>
  <c r="F110" i="207"/>
  <c r="G110" i="207"/>
  <c r="H110" i="207"/>
  <c r="I110" i="207"/>
  <c r="J110" i="207"/>
  <c r="K110" i="207"/>
  <c r="L110" i="207"/>
  <c r="M110" i="207"/>
  <c r="N110" i="207"/>
  <c r="D110" i="207"/>
  <c r="C109" i="207"/>
  <c r="B109" i="207"/>
  <c r="A109" i="207"/>
  <c r="E103" i="207"/>
  <c r="F103" i="207"/>
  <c r="G103" i="207"/>
  <c r="H103" i="207"/>
  <c r="I103" i="207"/>
  <c r="J103" i="207"/>
  <c r="K103" i="207"/>
  <c r="L103" i="207"/>
  <c r="M103" i="207"/>
  <c r="N103" i="207"/>
  <c r="O103" i="207"/>
  <c r="D103" i="207"/>
  <c r="C102" i="207"/>
  <c r="B102" i="207"/>
  <c r="A102" i="207"/>
  <c r="E96" i="207"/>
  <c r="F96" i="207"/>
  <c r="G96" i="207"/>
  <c r="H96" i="207"/>
  <c r="I96" i="207"/>
  <c r="J96" i="207"/>
  <c r="K96" i="207"/>
  <c r="L96" i="207"/>
  <c r="M96" i="207"/>
  <c r="N96" i="207"/>
  <c r="O96" i="207"/>
  <c r="D96" i="207"/>
  <c r="C95" i="207"/>
  <c r="B95" i="207"/>
  <c r="A95" i="207"/>
  <c r="E89" i="207"/>
  <c r="F89" i="207"/>
  <c r="G89" i="207"/>
  <c r="H89" i="207"/>
  <c r="I89" i="207"/>
  <c r="J89" i="207"/>
  <c r="K89" i="207"/>
  <c r="L89" i="207"/>
  <c r="M89" i="207"/>
  <c r="N89" i="207"/>
  <c r="O89" i="207"/>
  <c r="D89" i="207"/>
  <c r="C88" i="207"/>
  <c r="B88" i="207"/>
  <c r="A88" i="207"/>
  <c r="E82" i="207"/>
  <c r="F82" i="207"/>
  <c r="G82" i="207"/>
  <c r="H82" i="207"/>
  <c r="I82" i="207"/>
  <c r="J82" i="207"/>
  <c r="K82" i="207"/>
  <c r="L82" i="207"/>
  <c r="M82" i="207"/>
  <c r="N82" i="207"/>
  <c r="O82" i="207"/>
  <c r="D82" i="207"/>
  <c r="C81" i="207"/>
  <c r="B81" i="207"/>
  <c r="A81" i="207"/>
  <c r="E75" i="207"/>
  <c r="F75" i="207"/>
  <c r="G75" i="207"/>
  <c r="H75" i="207"/>
  <c r="I75" i="207"/>
  <c r="J75" i="207"/>
  <c r="K75" i="207"/>
  <c r="L75" i="207"/>
  <c r="M75" i="207"/>
  <c r="N75" i="207"/>
  <c r="O75" i="207"/>
  <c r="D75" i="207"/>
  <c r="C74" i="207"/>
  <c r="B74" i="207"/>
  <c r="A74" i="207"/>
  <c r="E68" i="207"/>
  <c r="F68" i="207"/>
  <c r="G68" i="207"/>
  <c r="H68" i="207"/>
  <c r="I68" i="207"/>
  <c r="J68" i="207"/>
  <c r="K68" i="207"/>
  <c r="L68" i="207"/>
  <c r="M68" i="207"/>
  <c r="N68" i="207"/>
  <c r="O68" i="207"/>
  <c r="D68" i="207"/>
  <c r="C67" i="207"/>
  <c r="B67" i="207"/>
  <c r="A67" i="207"/>
  <c r="E61" i="207"/>
  <c r="F61" i="207"/>
  <c r="G61" i="207"/>
  <c r="H61" i="207"/>
  <c r="I61" i="207"/>
  <c r="J61" i="207"/>
  <c r="K61" i="207"/>
  <c r="L61" i="207"/>
  <c r="M61" i="207"/>
  <c r="N61" i="207"/>
  <c r="O61" i="207"/>
  <c r="D61" i="207"/>
  <c r="C60" i="207"/>
  <c r="B60" i="207"/>
  <c r="A60" i="207"/>
  <c r="E54" i="207"/>
  <c r="F54" i="207"/>
  <c r="G54" i="207"/>
  <c r="H54" i="207"/>
  <c r="I54" i="207"/>
  <c r="J54" i="207"/>
  <c r="K54" i="207"/>
  <c r="L54" i="207"/>
  <c r="M54" i="207"/>
  <c r="N54" i="207"/>
  <c r="O54" i="207"/>
  <c r="D54" i="207"/>
  <c r="C53" i="207"/>
  <c r="B53" i="207"/>
  <c r="A53" i="207"/>
  <c r="E47" i="207"/>
  <c r="F47" i="207"/>
  <c r="G47" i="207"/>
  <c r="H47" i="207"/>
  <c r="I47" i="207"/>
  <c r="J47" i="207"/>
  <c r="K47" i="207"/>
  <c r="L47" i="207"/>
  <c r="M47" i="207"/>
  <c r="N47" i="207"/>
  <c r="O47" i="207"/>
  <c r="D47" i="207"/>
  <c r="C46" i="207"/>
  <c r="B46" i="207"/>
  <c r="A46" i="207"/>
  <c r="E39" i="207"/>
  <c r="F39" i="207"/>
  <c r="G39" i="207"/>
  <c r="H39" i="207"/>
  <c r="I39" i="207"/>
  <c r="J39" i="207"/>
  <c r="K39" i="207"/>
  <c r="L39" i="207"/>
  <c r="M39" i="207"/>
  <c r="N39" i="207"/>
  <c r="O39" i="207"/>
  <c r="D39" i="207"/>
  <c r="E26" i="216"/>
  <c r="C1" i="216"/>
  <c r="B1" i="216"/>
  <c r="D29" i="216"/>
  <c r="D28" i="216"/>
  <c r="D27" i="216"/>
  <c r="D26" i="216"/>
  <c r="D25" i="216"/>
  <c r="D23" i="216"/>
  <c r="D22" i="216"/>
  <c r="D21" i="216"/>
  <c r="D20" i="216"/>
  <c r="D19" i="216"/>
  <c r="P18" i="216"/>
  <c r="O18" i="216"/>
  <c r="N18" i="216"/>
  <c r="M18" i="216"/>
  <c r="L18" i="216"/>
  <c r="K18" i="216"/>
  <c r="J18" i="216"/>
  <c r="I18" i="216"/>
  <c r="H18" i="216"/>
  <c r="G18" i="216"/>
  <c r="F18" i="216"/>
  <c r="E18" i="216"/>
  <c r="C38" i="207"/>
  <c r="B38" i="207"/>
  <c r="A38" i="207"/>
  <c r="E32" i="207"/>
  <c r="F32" i="207"/>
  <c r="G32" i="207"/>
  <c r="H32" i="207"/>
  <c r="I32" i="207"/>
  <c r="J32" i="207"/>
  <c r="K32" i="207"/>
  <c r="L32" i="207"/>
  <c r="M32" i="207"/>
  <c r="N32" i="207"/>
  <c r="O32" i="207"/>
  <c r="D32" i="207"/>
  <c r="E26" i="215"/>
  <c r="C1" i="215"/>
  <c r="B1" i="215"/>
  <c r="D29" i="215"/>
  <c r="D28" i="215"/>
  <c r="D27" i="215"/>
  <c r="D26" i="215"/>
  <c r="D25" i="215"/>
  <c r="D23" i="215"/>
  <c r="D22" i="215"/>
  <c r="D21" i="215"/>
  <c r="D20" i="215"/>
  <c r="D19" i="215"/>
  <c r="P18" i="215"/>
  <c r="O18" i="215"/>
  <c r="N18" i="215"/>
  <c r="M18" i="215"/>
  <c r="L18" i="215"/>
  <c r="K18" i="215"/>
  <c r="J18" i="215"/>
  <c r="I18" i="215"/>
  <c r="H18" i="215"/>
  <c r="G18" i="215"/>
  <c r="F18" i="215"/>
  <c r="E18" i="215"/>
  <c r="I1" i="215" s="1"/>
  <c r="C31" i="207"/>
  <c r="B31" i="207"/>
  <c r="A31" i="207"/>
  <c r="C35" i="205"/>
  <c r="B35" i="205"/>
  <c r="A35" i="205"/>
  <c r="I1" i="216" l="1"/>
  <c r="O22" i="216"/>
  <c r="K22" i="216"/>
  <c r="K22" i="215"/>
  <c r="H22" i="216"/>
  <c r="H22" i="215"/>
  <c r="G22" i="216"/>
  <c r="G22" i="215"/>
  <c r="J22" i="216"/>
  <c r="F22" i="216"/>
  <c r="J22" i="215"/>
  <c r="F22" i="215"/>
  <c r="H41" i="34"/>
  <c r="G23" i="216"/>
  <c r="H34" i="34"/>
  <c r="O23" i="216"/>
  <c r="N23" i="215"/>
  <c r="J23" i="216"/>
  <c r="N23" i="216"/>
  <c r="N22" i="215"/>
  <c r="N22" i="216"/>
  <c r="J23" i="215"/>
  <c r="O23" i="215"/>
  <c r="K23" i="216"/>
  <c r="P23" i="216"/>
  <c r="L23" i="216"/>
  <c r="O26" i="216"/>
  <c r="G27" i="216"/>
  <c r="G41" i="34"/>
  <c r="I23" i="216"/>
  <c r="M23" i="216"/>
  <c r="P28" i="216"/>
  <c r="L28" i="216"/>
  <c r="H28" i="216"/>
  <c r="O28" i="216"/>
  <c r="K28" i="216"/>
  <c r="G28" i="216"/>
  <c r="N28" i="216"/>
  <c r="J28" i="216"/>
  <c r="F28" i="216"/>
  <c r="H23" i="216"/>
  <c r="O27" i="216"/>
  <c r="K27" i="216"/>
  <c r="L22" i="216"/>
  <c r="N26" i="216"/>
  <c r="J26" i="216"/>
  <c r="F26" i="216"/>
  <c r="M26" i="216"/>
  <c r="I26" i="216"/>
  <c r="P26" i="216"/>
  <c r="L26" i="216"/>
  <c r="H26" i="216"/>
  <c r="F23" i="216"/>
  <c r="N27" i="216"/>
  <c r="P22" i="216"/>
  <c r="M28" i="216"/>
  <c r="Q20" i="216"/>
  <c r="E22" i="216"/>
  <c r="I22" i="216"/>
  <c r="M22" i="216"/>
  <c r="H27" i="216"/>
  <c r="L27" i="216"/>
  <c r="P27" i="216"/>
  <c r="E27" i="216"/>
  <c r="I27" i="216"/>
  <c r="I30" i="216" s="1"/>
  <c r="M27" i="216"/>
  <c r="Q19" i="216"/>
  <c r="Q21" i="216"/>
  <c r="E23" i="216"/>
  <c r="G26" i="216"/>
  <c r="K26" i="216"/>
  <c r="F27" i="216"/>
  <c r="J27" i="216"/>
  <c r="E28" i="216"/>
  <c r="E30" i="216" s="1"/>
  <c r="I28" i="216"/>
  <c r="G23" i="215"/>
  <c r="P23" i="215"/>
  <c r="L23" i="215"/>
  <c r="K23" i="215"/>
  <c r="O22" i="215"/>
  <c r="O26" i="215"/>
  <c r="G27" i="215"/>
  <c r="G34" i="34"/>
  <c r="I23" i="215"/>
  <c r="M23" i="215"/>
  <c r="P28" i="215"/>
  <c r="L28" i="215"/>
  <c r="H28" i="215"/>
  <c r="O28" i="215"/>
  <c r="K28" i="215"/>
  <c r="G28" i="215"/>
  <c r="N28" i="215"/>
  <c r="J28" i="215"/>
  <c r="F28" i="215"/>
  <c r="H23" i="215"/>
  <c r="O27" i="215"/>
  <c r="K27" i="215"/>
  <c r="L22" i="215"/>
  <c r="N26" i="215"/>
  <c r="J26" i="215"/>
  <c r="F26" i="215"/>
  <c r="R48" i="34" s="1"/>
  <c r="M26" i="215"/>
  <c r="I26" i="215"/>
  <c r="P26" i="215"/>
  <c r="L26" i="215"/>
  <c r="H26" i="215"/>
  <c r="F23" i="215"/>
  <c r="N27" i="215"/>
  <c r="P22" i="215"/>
  <c r="M28" i="215"/>
  <c r="Q20" i="215"/>
  <c r="E22" i="215"/>
  <c r="I22" i="215"/>
  <c r="M22" i="215"/>
  <c r="H27" i="215"/>
  <c r="L27" i="215"/>
  <c r="P27" i="215"/>
  <c r="E27" i="215"/>
  <c r="I27" i="215"/>
  <c r="I30" i="215" s="1"/>
  <c r="M27" i="215"/>
  <c r="Q19" i="215"/>
  <c r="Q21" i="215"/>
  <c r="E23" i="215"/>
  <c r="G26" i="215"/>
  <c r="K26" i="215"/>
  <c r="F27" i="215"/>
  <c r="J27" i="215"/>
  <c r="E28" i="215"/>
  <c r="E30" i="215" s="1"/>
  <c r="I28" i="215"/>
  <c r="O27" i="207"/>
  <c r="M41" i="34" l="1"/>
  <c r="O48" i="34"/>
  <c r="S5" i="215"/>
  <c r="S6" i="215" s="1"/>
  <c r="S5" i="216"/>
  <c r="S6" i="216" s="1"/>
  <c r="M34" i="34"/>
  <c r="G30" i="216"/>
  <c r="M30" i="216"/>
  <c r="O30" i="216"/>
  <c r="N30" i="215"/>
  <c r="O30" i="215"/>
  <c r="S4" i="216"/>
  <c r="N41" i="34"/>
  <c r="F30" i="216"/>
  <c r="L30" i="216"/>
  <c r="N30" i="216"/>
  <c r="H30" i="216"/>
  <c r="P29" i="216"/>
  <c r="L29" i="216"/>
  <c r="H29" i="216"/>
  <c r="O29" i="216"/>
  <c r="K29" i="216"/>
  <c r="G29" i="216"/>
  <c r="N29" i="216"/>
  <c r="J29" i="216"/>
  <c r="F29" i="216"/>
  <c r="Q22" i="216"/>
  <c r="M29" i="216"/>
  <c r="I29" i="216"/>
  <c r="E29" i="216"/>
  <c r="J30" i="216"/>
  <c r="P30" i="216"/>
  <c r="K30" i="216"/>
  <c r="H30" i="215"/>
  <c r="S4" i="215"/>
  <c r="N34" i="34"/>
  <c r="G30" i="215"/>
  <c r="M30" i="215"/>
  <c r="L30" i="215"/>
  <c r="F30" i="215"/>
  <c r="P29" i="215"/>
  <c r="L29" i="215"/>
  <c r="H29" i="215"/>
  <c r="O29" i="215"/>
  <c r="K29" i="215"/>
  <c r="G29" i="215"/>
  <c r="N29" i="215"/>
  <c r="J29" i="215"/>
  <c r="F29" i="215"/>
  <c r="Q22" i="215"/>
  <c r="M29" i="215"/>
  <c r="I29" i="215"/>
  <c r="E29" i="215"/>
  <c r="J30" i="215"/>
  <c r="P30" i="215"/>
  <c r="K30" i="215"/>
  <c r="C1" i="142" l="1"/>
  <c r="B1" i="142"/>
  <c r="O21" i="207"/>
  <c r="H21" i="207" l="1"/>
  <c r="L21" i="207"/>
  <c r="P47" i="207"/>
  <c r="K21" i="207" l="1"/>
  <c r="N21" i="207"/>
  <c r="J21" i="207"/>
  <c r="M21" i="207"/>
  <c r="I21" i="207"/>
  <c r="G21" i="207" l="1"/>
  <c r="F21" i="207"/>
  <c r="E21" i="207" l="1"/>
  <c r="D21" i="207"/>
  <c r="A106" i="207" l="1"/>
  <c r="B106" i="207"/>
  <c r="C106" i="207"/>
  <c r="A107" i="207"/>
  <c r="B107" i="207"/>
  <c r="C107" i="207"/>
  <c r="A108" i="207"/>
  <c r="B108" i="207"/>
  <c r="C108" i="207"/>
  <c r="A110" i="207"/>
  <c r="B110" i="207"/>
  <c r="C110" i="207"/>
  <c r="A111" i="207"/>
  <c r="B111" i="207"/>
  <c r="C111" i="207"/>
  <c r="A112" i="207"/>
  <c r="B112" i="207"/>
  <c r="C112" i="207"/>
  <c r="C113" i="207"/>
  <c r="A14" i="207" l="1"/>
  <c r="B14" i="207"/>
  <c r="C14" i="207"/>
  <c r="A15" i="207"/>
  <c r="B15" i="207"/>
  <c r="C15" i="207"/>
  <c r="A20" i="207"/>
  <c r="B20" i="207"/>
  <c r="C20" i="207"/>
  <c r="C15" i="205"/>
  <c r="C16" i="205"/>
  <c r="Q21" i="209"/>
  <c r="P28" i="209"/>
  <c r="G22" i="209"/>
  <c r="I23" i="209"/>
  <c r="J22" i="209"/>
  <c r="K22" i="209"/>
  <c r="O22" i="209"/>
  <c r="E27" i="209"/>
  <c r="D29" i="209"/>
  <c r="D28" i="209"/>
  <c r="D27" i="209"/>
  <c r="D26" i="209"/>
  <c r="D25" i="209"/>
  <c r="D23" i="209"/>
  <c r="D22" i="209"/>
  <c r="D21" i="209"/>
  <c r="N22" i="209"/>
  <c r="M23" i="209"/>
  <c r="D20" i="209"/>
  <c r="D19" i="209"/>
  <c r="P18" i="209"/>
  <c r="O18" i="209"/>
  <c r="N18" i="209"/>
  <c r="M18" i="209"/>
  <c r="L18" i="209"/>
  <c r="K18" i="209"/>
  <c r="J18" i="209"/>
  <c r="I18" i="209"/>
  <c r="H18" i="209"/>
  <c r="G18" i="209"/>
  <c r="F18" i="209"/>
  <c r="E18" i="209"/>
  <c r="G22" i="208"/>
  <c r="J22" i="208"/>
  <c r="N22" i="208"/>
  <c r="D29" i="208"/>
  <c r="D28" i="208"/>
  <c r="D27" i="208"/>
  <c r="D26" i="208"/>
  <c r="D25" i="208"/>
  <c r="D23" i="208"/>
  <c r="D22" i="208"/>
  <c r="D21" i="208"/>
  <c r="O22" i="208"/>
  <c r="K22" i="208"/>
  <c r="I23" i="208"/>
  <c r="D20" i="208"/>
  <c r="D19" i="208"/>
  <c r="P18" i="208"/>
  <c r="O18" i="208"/>
  <c r="N18" i="208"/>
  <c r="M18" i="208"/>
  <c r="L18" i="208"/>
  <c r="K18" i="208"/>
  <c r="J18" i="208"/>
  <c r="I18" i="208"/>
  <c r="H18" i="208"/>
  <c r="G18" i="208"/>
  <c r="F18" i="208"/>
  <c r="E18" i="208"/>
  <c r="I1" i="208"/>
  <c r="I1" i="209" l="1"/>
  <c r="N26" i="208"/>
  <c r="N27" i="208"/>
  <c r="M23" i="208"/>
  <c r="N27" i="209"/>
  <c r="O26" i="209"/>
  <c r="N26" i="209"/>
  <c r="M28" i="209"/>
  <c r="M27" i="209"/>
  <c r="H23" i="209"/>
  <c r="L23" i="209"/>
  <c r="P23" i="209"/>
  <c r="H22" i="209"/>
  <c r="L22" i="209"/>
  <c r="P22" i="209"/>
  <c r="F23" i="209"/>
  <c r="J23" i="209"/>
  <c r="N23" i="209"/>
  <c r="H26" i="209"/>
  <c r="L26" i="209"/>
  <c r="P26" i="209"/>
  <c r="G27" i="209"/>
  <c r="K27" i="209"/>
  <c r="O27" i="209"/>
  <c r="F28" i="209"/>
  <c r="J28" i="209"/>
  <c r="N28" i="209"/>
  <c r="Q20" i="209"/>
  <c r="I22" i="209"/>
  <c r="M22" i="209"/>
  <c r="G23" i="209"/>
  <c r="K23" i="209"/>
  <c r="O23" i="209"/>
  <c r="E26" i="209"/>
  <c r="E30" i="209" s="1"/>
  <c r="I26" i="209"/>
  <c r="M26" i="209"/>
  <c r="H27" i="209"/>
  <c r="L27" i="209"/>
  <c r="P27" i="209"/>
  <c r="G28" i="209"/>
  <c r="K28" i="209"/>
  <c r="O28" i="209"/>
  <c r="F22" i="209"/>
  <c r="F26" i="209"/>
  <c r="J26" i="209"/>
  <c r="I27" i="209"/>
  <c r="H28" i="209"/>
  <c r="L28" i="209"/>
  <c r="Q19" i="209"/>
  <c r="G26" i="209"/>
  <c r="K26" i="209"/>
  <c r="F27" i="209"/>
  <c r="J27" i="209"/>
  <c r="E28" i="209"/>
  <c r="I28" i="209"/>
  <c r="M27" i="208"/>
  <c r="M28" i="208"/>
  <c r="P28" i="208"/>
  <c r="E27" i="208"/>
  <c r="O26" i="208"/>
  <c r="H23" i="208"/>
  <c r="L23" i="208"/>
  <c r="P23" i="208"/>
  <c r="I10" i="34"/>
  <c r="H22" i="208"/>
  <c r="L22" i="208"/>
  <c r="P22" i="208"/>
  <c r="F23" i="208"/>
  <c r="J23" i="208"/>
  <c r="N23" i="208"/>
  <c r="H26" i="208"/>
  <c r="L26" i="208"/>
  <c r="P26" i="208"/>
  <c r="G27" i="208"/>
  <c r="K27" i="208"/>
  <c r="O27" i="208"/>
  <c r="F28" i="208"/>
  <c r="J28" i="208"/>
  <c r="N28" i="208"/>
  <c r="Q10" i="34"/>
  <c r="Q20" i="208"/>
  <c r="E22" i="208"/>
  <c r="I22" i="208"/>
  <c r="M22" i="208"/>
  <c r="G23" i="208"/>
  <c r="K23" i="208"/>
  <c r="O23" i="208"/>
  <c r="E26" i="208"/>
  <c r="I26" i="208"/>
  <c r="M26" i="208"/>
  <c r="H27" i="208"/>
  <c r="L27" i="208"/>
  <c r="P27" i="208"/>
  <c r="G28" i="208"/>
  <c r="K28" i="208"/>
  <c r="O28" i="208"/>
  <c r="F22" i="208"/>
  <c r="F26" i="208"/>
  <c r="J26" i="208"/>
  <c r="I27" i="208"/>
  <c r="H28" i="208"/>
  <c r="L28" i="208"/>
  <c r="Q19" i="208"/>
  <c r="Q21" i="208"/>
  <c r="G26" i="208"/>
  <c r="K26" i="208"/>
  <c r="F27" i="208"/>
  <c r="J27" i="208"/>
  <c r="E28" i="208"/>
  <c r="I28" i="208"/>
  <c r="E30" i="208" l="1"/>
  <c r="L30" i="208"/>
  <c r="H30" i="208"/>
  <c r="M15" i="34"/>
  <c r="P30" i="208"/>
  <c r="N18" i="34"/>
  <c r="N15" i="34"/>
  <c r="M18" i="34"/>
  <c r="R10" i="34"/>
  <c r="S4" i="209"/>
  <c r="S5" i="209"/>
  <c r="S6" i="209" s="1"/>
  <c r="R11" i="34"/>
  <c r="F30" i="209"/>
  <c r="G30" i="209"/>
  <c r="N30" i="209"/>
  <c r="N30" i="208"/>
  <c r="M30" i="208"/>
  <c r="O30" i="209"/>
  <c r="M30" i="209"/>
  <c r="H30" i="209"/>
  <c r="J30" i="209"/>
  <c r="P30" i="209"/>
  <c r="P29" i="209"/>
  <c r="L29" i="209"/>
  <c r="H29" i="209"/>
  <c r="O29" i="209"/>
  <c r="K29" i="209"/>
  <c r="G29" i="209"/>
  <c r="N29" i="209"/>
  <c r="J29" i="209"/>
  <c r="F29" i="209"/>
  <c r="Q22" i="209"/>
  <c r="M29" i="209"/>
  <c r="I29" i="209"/>
  <c r="E29" i="209"/>
  <c r="I30" i="209"/>
  <c r="L30" i="209"/>
  <c r="K30" i="209"/>
  <c r="J30" i="208"/>
  <c r="O30" i="208"/>
  <c r="S4" i="208"/>
  <c r="F30" i="208"/>
  <c r="S5" i="208"/>
  <c r="S6" i="208" s="1"/>
  <c r="I30" i="208"/>
  <c r="K30" i="208"/>
  <c r="P29" i="208"/>
  <c r="L29" i="208"/>
  <c r="H29" i="208"/>
  <c r="O29" i="208"/>
  <c r="K29" i="208"/>
  <c r="G29" i="208"/>
  <c r="N29" i="208"/>
  <c r="J29" i="208"/>
  <c r="F29" i="208"/>
  <c r="Q22" i="208"/>
  <c r="M29" i="208"/>
  <c r="I29" i="208"/>
  <c r="E29" i="208"/>
  <c r="G30" i="208"/>
  <c r="R18" i="34" l="1"/>
  <c r="O18" i="34"/>
  <c r="R14" i="34"/>
  <c r="O14" i="34"/>
  <c r="R17" i="34"/>
  <c r="O17" i="34"/>
  <c r="R13" i="34"/>
  <c r="O13" i="34"/>
  <c r="O10" i="34"/>
  <c r="B1" i="149" l="1"/>
  <c r="C1" i="147"/>
  <c r="C1" i="203" l="1"/>
  <c r="B1" i="203"/>
  <c r="F26" i="203"/>
  <c r="G26" i="203"/>
  <c r="H26" i="203"/>
  <c r="I26" i="203"/>
  <c r="J26" i="203"/>
  <c r="K26" i="203"/>
  <c r="L26" i="203"/>
  <c r="M26" i="203"/>
  <c r="N26" i="203"/>
  <c r="O26" i="203"/>
  <c r="P26" i="203"/>
  <c r="B1" i="201"/>
  <c r="C1" i="202"/>
  <c r="B1" i="202"/>
  <c r="C1" i="200"/>
  <c r="B1" i="200"/>
  <c r="C1" i="199"/>
  <c r="B1" i="199"/>
  <c r="G52" i="34" l="1"/>
  <c r="E26" i="203"/>
  <c r="M52" i="34" s="1"/>
  <c r="G27" i="203"/>
  <c r="K27" i="203"/>
  <c r="H27" i="203"/>
  <c r="I27" i="203"/>
  <c r="F27" i="203"/>
  <c r="J27" i="203"/>
  <c r="N27" i="203"/>
  <c r="O27" i="203"/>
  <c r="L27" i="203"/>
  <c r="P27" i="203"/>
  <c r="M27" i="203"/>
  <c r="H52" i="34"/>
  <c r="B1" i="198"/>
  <c r="L27" i="198"/>
  <c r="C1" i="197"/>
  <c r="B1" i="197"/>
  <c r="C1" i="196"/>
  <c r="B1" i="196"/>
  <c r="C1" i="195"/>
  <c r="B1" i="195"/>
  <c r="C1" i="194"/>
  <c r="B1" i="194"/>
  <c r="F21" i="137"/>
  <c r="G21" i="137"/>
  <c r="H21" i="137"/>
  <c r="I21" i="137"/>
  <c r="J21" i="137"/>
  <c r="K21" i="137"/>
  <c r="L21" i="137"/>
  <c r="M21" i="137"/>
  <c r="N21" i="137"/>
  <c r="O21" i="137"/>
  <c r="P21" i="137"/>
  <c r="E21" i="137"/>
  <c r="F20" i="137"/>
  <c r="G20" i="137"/>
  <c r="H20" i="137"/>
  <c r="I20" i="137"/>
  <c r="J20" i="137"/>
  <c r="K20" i="137"/>
  <c r="L20" i="137"/>
  <c r="M20" i="137"/>
  <c r="N20" i="137"/>
  <c r="O20" i="137"/>
  <c r="P20" i="137"/>
  <c r="E20" i="137"/>
  <c r="F19" i="137"/>
  <c r="G19" i="137"/>
  <c r="H19" i="137"/>
  <c r="I19" i="137"/>
  <c r="J19" i="137"/>
  <c r="K19" i="137"/>
  <c r="L19" i="137"/>
  <c r="M19" i="137"/>
  <c r="N19" i="137"/>
  <c r="O19" i="137"/>
  <c r="P19" i="137"/>
  <c r="E19" i="137"/>
  <c r="F21" i="136"/>
  <c r="G21" i="136"/>
  <c r="H21" i="136"/>
  <c r="I21" i="136"/>
  <c r="J21" i="136"/>
  <c r="K21" i="136"/>
  <c r="L21" i="136"/>
  <c r="M21" i="136"/>
  <c r="N21" i="136"/>
  <c r="O21" i="136"/>
  <c r="P21" i="136"/>
  <c r="E21" i="136"/>
  <c r="F20" i="136"/>
  <c r="G20" i="136"/>
  <c r="H20" i="136"/>
  <c r="I20" i="136"/>
  <c r="J20" i="136"/>
  <c r="K20" i="136"/>
  <c r="L20" i="136"/>
  <c r="M20" i="136"/>
  <c r="N20" i="136"/>
  <c r="O20" i="136"/>
  <c r="P20" i="136"/>
  <c r="E20" i="136"/>
  <c r="F19" i="136"/>
  <c r="G19" i="136"/>
  <c r="H19" i="136"/>
  <c r="I19" i="136"/>
  <c r="J19" i="136"/>
  <c r="K19" i="136"/>
  <c r="L19" i="136"/>
  <c r="M19" i="136"/>
  <c r="N19" i="136"/>
  <c r="O19" i="136"/>
  <c r="P19" i="136"/>
  <c r="E19" i="136"/>
  <c r="F21" i="135"/>
  <c r="G21" i="135"/>
  <c r="H21" i="135"/>
  <c r="I21" i="135"/>
  <c r="J21" i="135"/>
  <c r="K21" i="135"/>
  <c r="L21" i="135"/>
  <c r="M21" i="135"/>
  <c r="N21" i="135"/>
  <c r="O21" i="135"/>
  <c r="P21" i="135"/>
  <c r="E21" i="135"/>
  <c r="F20" i="135"/>
  <c r="G20" i="135"/>
  <c r="H20" i="135"/>
  <c r="I20" i="135"/>
  <c r="J20" i="135"/>
  <c r="K20" i="135"/>
  <c r="L20" i="135"/>
  <c r="M20" i="135"/>
  <c r="N20" i="135"/>
  <c r="O20" i="135"/>
  <c r="P20" i="135"/>
  <c r="E20" i="135"/>
  <c r="F19" i="135"/>
  <c r="G19" i="135"/>
  <c r="H19" i="135"/>
  <c r="I19" i="135"/>
  <c r="J19" i="135"/>
  <c r="K19" i="135"/>
  <c r="L19" i="135"/>
  <c r="M19" i="135"/>
  <c r="N19" i="135"/>
  <c r="O19" i="135"/>
  <c r="P19" i="135"/>
  <c r="E19" i="135"/>
  <c r="F21" i="134"/>
  <c r="G21" i="134"/>
  <c r="H21" i="134"/>
  <c r="I21" i="134"/>
  <c r="J21" i="134"/>
  <c r="K21" i="134"/>
  <c r="L21" i="134"/>
  <c r="M21" i="134"/>
  <c r="N21" i="134"/>
  <c r="O21" i="134"/>
  <c r="P21" i="134"/>
  <c r="E21" i="134"/>
  <c r="F20" i="134"/>
  <c r="G20" i="134"/>
  <c r="H20" i="134"/>
  <c r="I20" i="134"/>
  <c r="J20" i="134"/>
  <c r="K20" i="134"/>
  <c r="L20" i="134"/>
  <c r="M20" i="134"/>
  <c r="N20" i="134"/>
  <c r="O20" i="134"/>
  <c r="P20" i="134"/>
  <c r="E20" i="134"/>
  <c r="F19" i="134"/>
  <c r="G19" i="134"/>
  <c r="H19" i="134"/>
  <c r="I19" i="134"/>
  <c r="J19" i="134"/>
  <c r="K19" i="134"/>
  <c r="L19" i="134"/>
  <c r="M19" i="134"/>
  <c r="N19" i="134"/>
  <c r="O19" i="134"/>
  <c r="P19" i="134"/>
  <c r="E19" i="134"/>
  <c r="F21" i="132"/>
  <c r="G21" i="132"/>
  <c r="H21" i="132"/>
  <c r="I21" i="132"/>
  <c r="J21" i="132"/>
  <c r="K21" i="132"/>
  <c r="L21" i="132"/>
  <c r="M21" i="132"/>
  <c r="N21" i="132"/>
  <c r="O21" i="132"/>
  <c r="P21" i="132"/>
  <c r="E21" i="132"/>
  <c r="F20" i="132"/>
  <c r="G20" i="132"/>
  <c r="H20" i="132"/>
  <c r="I20" i="132"/>
  <c r="J20" i="132"/>
  <c r="K20" i="132"/>
  <c r="L20" i="132"/>
  <c r="M20" i="132"/>
  <c r="N20" i="132"/>
  <c r="O20" i="132"/>
  <c r="P20" i="132"/>
  <c r="E20" i="132"/>
  <c r="F19" i="132"/>
  <c r="G19" i="132"/>
  <c r="H19" i="132"/>
  <c r="I19" i="132"/>
  <c r="J19" i="132"/>
  <c r="K19" i="132"/>
  <c r="L19" i="132"/>
  <c r="M19" i="132"/>
  <c r="N19" i="132"/>
  <c r="O19" i="132"/>
  <c r="P19" i="132"/>
  <c r="E19" i="132"/>
  <c r="F21" i="131"/>
  <c r="G21" i="131"/>
  <c r="H21" i="131"/>
  <c r="I21" i="131"/>
  <c r="J21" i="131"/>
  <c r="K21" i="131"/>
  <c r="L21" i="131"/>
  <c r="M21" i="131"/>
  <c r="N21" i="131"/>
  <c r="O21" i="131"/>
  <c r="P21" i="131"/>
  <c r="E21" i="131"/>
  <c r="F20" i="131"/>
  <c r="G20" i="131"/>
  <c r="H20" i="131"/>
  <c r="I20" i="131"/>
  <c r="J20" i="131"/>
  <c r="K20" i="131"/>
  <c r="L20" i="131"/>
  <c r="M20" i="131"/>
  <c r="N20" i="131"/>
  <c r="O20" i="131"/>
  <c r="P20" i="131"/>
  <c r="E20" i="131"/>
  <c r="F19" i="131"/>
  <c r="G19" i="131"/>
  <c r="H19" i="131"/>
  <c r="I19" i="131"/>
  <c r="J19" i="131"/>
  <c r="K19" i="131"/>
  <c r="L19" i="131"/>
  <c r="M19" i="131"/>
  <c r="N19" i="131"/>
  <c r="O19" i="131"/>
  <c r="P19" i="131"/>
  <c r="E19" i="131"/>
  <c r="F21" i="127"/>
  <c r="G21" i="127"/>
  <c r="H21" i="127"/>
  <c r="I21" i="127"/>
  <c r="J21" i="127"/>
  <c r="K21" i="127"/>
  <c r="L21" i="127"/>
  <c r="M21" i="127"/>
  <c r="N21" i="127"/>
  <c r="O21" i="127"/>
  <c r="P21" i="127"/>
  <c r="E21" i="127"/>
  <c r="F20" i="127"/>
  <c r="G20" i="127"/>
  <c r="H20" i="127"/>
  <c r="I20" i="127"/>
  <c r="J20" i="127"/>
  <c r="K20" i="127"/>
  <c r="L20" i="127"/>
  <c r="M20" i="127"/>
  <c r="N20" i="127"/>
  <c r="O20" i="127"/>
  <c r="P20" i="127"/>
  <c r="E20" i="127"/>
  <c r="F19" i="127"/>
  <c r="G19" i="127"/>
  <c r="H19" i="127"/>
  <c r="I19" i="127"/>
  <c r="J19" i="127"/>
  <c r="K19" i="127"/>
  <c r="L19" i="127"/>
  <c r="M19" i="127"/>
  <c r="N19" i="127"/>
  <c r="O19" i="127"/>
  <c r="P19" i="127"/>
  <c r="E19" i="127"/>
  <c r="F21" i="126"/>
  <c r="G21" i="126"/>
  <c r="H21" i="126"/>
  <c r="I21" i="126"/>
  <c r="J21" i="126"/>
  <c r="K21" i="126"/>
  <c r="L21" i="126"/>
  <c r="M21" i="126"/>
  <c r="N21" i="126"/>
  <c r="O21" i="126"/>
  <c r="P21" i="126"/>
  <c r="E21" i="126"/>
  <c r="F20" i="126"/>
  <c r="G20" i="126"/>
  <c r="H20" i="126"/>
  <c r="I20" i="126"/>
  <c r="J20" i="126"/>
  <c r="K20" i="126"/>
  <c r="L20" i="126"/>
  <c r="M20" i="126"/>
  <c r="N20" i="126"/>
  <c r="O20" i="126"/>
  <c r="P20" i="126"/>
  <c r="E20" i="126"/>
  <c r="F19" i="126"/>
  <c r="G19" i="126"/>
  <c r="H19" i="126"/>
  <c r="I19" i="126"/>
  <c r="J19" i="126"/>
  <c r="K19" i="126"/>
  <c r="L19" i="126"/>
  <c r="M19" i="126"/>
  <c r="N19" i="126"/>
  <c r="O19" i="126"/>
  <c r="P19" i="126"/>
  <c r="E19" i="126"/>
  <c r="B2" i="34"/>
  <c r="N52" i="34" l="1"/>
  <c r="O27" i="198"/>
  <c r="M27" i="198"/>
  <c r="P27" i="198"/>
  <c r="N27" i="198"/>
  <c r="H37" i="34"/>
  <c r="F26" i="142"/>
  <c r="N37" i="34" l="1"/>
  <c r="Q11" i="34"/>
  <c r="Q41" i="34"/>
  <c r="F26" i="198"/>
  <c r="G26" i="198"/>
  <c r="H26" i="198"/>
  <c r="I26" i="198"/>
  <c r="J26" i="198"/>
  <c r="K26" i="198"/>
  <c r="L26" i="198"/>
  <c r="M26" i="198"/>
  <c r="N26" i="198"/>
  <c r="O26" i="198"/>
  <c r="P26" i="198"/>
  <c r="Q34" i="34"/>
  <c r="H6" i="34"/>
  <c r="D25" i="194"/>
  <c r="D25" i="195"/>
  <c r="D25" i="196"/>
  <c r="D25" i="197"/>
  <c r="D25" i="198"/>
  <c r="D25" i="199"/>
  <c r="D25" i="200"/>
  <c r="D25" i="202"/>
  <c r="D25" i="201"/>
  <c r="D25" i="203"/>
  <c r="D25" i="125"/>
  <c r="D25" i="126"/>
  <c r="D25" i="127"/>
  <c r="D25" i="131"/>
  <c r="D25" i="132"/>
  <c r="D25" i="133"/>
  <c r="D25" i="134"/>
  <c r="D25" i="135"/>
  <c r="D25" i="136"/>
  <c r="D25" i="137"/>
  <c r="D25" i="138"/>
  <c r="D25" i="142"/>
  <c r="D25" i="204"/>
  <c r="D25" i="145"/>
  <c r="D25" i="147"/>
  <c r="D25" i="149"/>
  <c r="D25" i="124"/>
  <c r="D27" i="194"/>
  <c r="D28" i="194"/>
  <c r="D29" i="194"/>
  <c r="D27" i="195"/>
  <c r="D28" i="195"/>
  <c r="D29" i="195"/>
  <c r="D27" i="196"/>
  <c r="D28" i="196"/>
  <c r="D29" i="196"/>
  <c r="D27" i="197"/>
  <c r="D28" i="197"/>
  <c r="D29" i="197"/>
  <c r="D27" i="198"/>
  <c r="D28" i="198"/>
  <c r="D29" i="198"/>
  <c r="D27" i="199"/>
  <c r="D28" i="199"/>
  <c r="D29" i="199"/>
  <c r="D27" i="200"/>
  <c r="D28" i="200"/>
  <c r="D29" i="200"/>
  <c r="D27" i="202"/>
  <c r="D28" i="202"/>
  <c r="D29" i="202"/>
  <c r="D27" i="201"/>
  <c r="D28" i="201"/>
  <c r="D29" i="201"/>
  <c r="D27" i="203"/>
  <c r="D28" i="203"/>
  <c r="D29" i="203"/>
  <c r="D27" i="125"/>
  <c r="D28" i="125"/>
  <c r="D29" i="125"/>
  <c r="D27" i="126"/>
  <c r="D28" i="126"/>
  <c r="D29" i="126"/>
  <c r="D27" i="127"/>
  <c r="D28" i="127"/>
  <c r="D29" i="127"/>
  <c r="D27" i="131"/>
  <c r="D28" i="131"/>
  <c r="D29" i="131"/>
  <c r="D27" i="132"/>
  <c r="D28" i="132"/>
  <c r="D29" i="132"/>
  <c r="D27" i="133"/>
  <c r="D28" i="133"/>
  <c r="D29" i="133"/>
  <c r="D27" i="134"/>
  <c r="D28" i="134"/>
  <c r="D29" i="134"/>
  <c r="D27" i="135"/>
  <c r="D28" i="135"/>
  <c r="D29" i="135"/>
  <c r="D27" i="136"/>
  <c r="D28" i="136"/>
  <c r="D29" i="136"/>
  <c r="D27" i="137"/>
  <c r="D28" i="137"/>
  <c r="D29" i="137"/>
  <c r="D27" i="138"/>
  <c r="D28" i="138"/>
  <c r="D29" i="138"/>
  <c r="D27" i="142"/>
  <c r="D28" i="142"/>
  <c r="D29" i="142"/>
  <c r="D27" i="204"/>
  <c r="D28" i="204"/>
  <c r="D29" i="204"/>
  <c r="D27" i="145"/>
  <c r="D28" i="145"/>
  <c r="D29" i="145"/>
  <c r="D27" i="147"/>
  <c r="D28" i="147"/>
  <c r="D29" i="147"/>
  <c r="D27" i="149"/>
  <c r="D28" i="149"/>
  <c r="D29" i="149"/>
  <c r="D27" i="124"/>
  <c r="D28" i="124"/>
  <c r="D29" i="124"/>
  <c r="D26" i="194"/>
  <c r="D26" i="195"/>
  <c r="D26" i="196"/>
  <c r="D26" i="197"/>
  <c r="D26" i="198"/>
  <c r="D26" i="199"/>
  <c r="D26" i="200"/>
  <c r="D26" i="202"/>
  <c r="D26" i="201"/>
  <c r="D26" i="203"/>
  <c r="D26" i="125"/>
  <c r="D26" i="126"/>
  <c r="D26" i="127"/>
  <c r="D26" i="131"/>
  <c r="D26" i="132"/>
  <c r="D26" i="133"/>
  <c r="D26" i="134"/>
  <c r="D26" i="135"/>
  <c r="D26" i="136"/>
  <c r="D26" i="137"/>
  <c r="D26" i="138"/>
  <c r="D26" i="142"/>
  <c r="D26" i="204"/>
  <c r="D26" i="145"/>
  <c r="D26" i="147"/>
  <c r="D26" i="149"/>
  <c r="D26" i="124"/>
  <c r="D20" i="194"/>
  <c r="D21" i="194"/>
  <c r="D22" i="194"/>
  <c r="D23" i="194"/>
  <c r="D20" i="195"/>
  <c r="D21" i="195"/>
  <c r="D22" i="195"/>
  <c r="D23" i="195"/>
  <c r="D20" i="196"/>
  <c r="D21" i="196"/>
  <c r="D22" i="196"/>
  <c r="D23" i="196"/>
  <c r="D20" i="197"/>
  <c r="D21" i="197"/>
  <c r="D22" i="197"/>
  <c r="D23" i="197"/>
  <c r="D20" i="198"/>
  <c r="D21" i="198"/>
  <c r="D22" i="198"/>
  <c r="D23" i="198"/>
  <c r="D20" i="199"/>
  <c r="D21" i="199"/>
  <c r="D22" i="199"/>
  <c r="D23" i="199"/>
  <c r="D20" i="200"/>
  <c r="D21" i="200"/>
  <c r="D22" i="200"/>
  <c r="D23" i="200"/>
  <c r="D20" i="202"/>
  <c r="D21" i="202"/>
  <c r="D22" i="202"/>
  <c r="D23" i="202"/>
  <c r="D20" i="201"/>
  <c r="D21" i="201"/>
  <c r="D22" i="201"/>
  <c r="D23" i="201"/>
  <c r="D20" i="203"/>
  <c r="D21" i="203"/>
  <c r="D22" i="203"/>
  <c r="D23" i="203"/>
  <c r="D20" i="125"/>
  <c r="D21" i="125"/>
  <c r="D22" i="125"/>
  <c r="D23" i="125"/>
  <c r="D20" i="126"/>
  <c r="D21" i="126"/>
  <c r="D22" i="126"/>
  <c r="D23" i="126"/>
  <c r="D20" i="127"/>
  <c r="D21" i="127"/>
  <c r="D22" i="127"/>
  <c r="D23" i="127"/>
  <c r="D20" i="131"/>
  <c r="D21" i="131"/>
  <c r="D22" i="131"/>
  <c r="D23" i="131"/>
  <c r="D20" i="132"/>
  <c r="D21" i="132"/>
  <c r="D22" i="132"/>
  <c r="D23" i="132"/>
  <c r="D20" i="133"/>
  <c r="D21" i="133"/>
  <c r="D22" i="133"/>
  <c r="D23" i="133"/>
  <c r="D20" i="134"/>
  <c r="D21" i="134"/>
  <c r="D22" i="134"/>
  <c r="D23" i="134"/>
  <c r="D20" i="135"/>
  <c r="D21" i="135"/>
  <c r="D22" i="135"/>
  <c r="D23" i="135"/>
  <c r="D20" i="136"/>
  <c r="D21" i="136"/>
  <c r="D22" i="136"/>
  <c r="D23" i="136"/>
  <c r="D20" i="137"/>
  <c r="D21" i="137"/>
  <c r="D22" i="137"/>
  <c r="D23" i="137"/>
  <c r="D20" i="138"/>
  <c r="D21" i="138"/>
  <c r="D22" i="138"/>
  <c r="D23" i="138"/>
  <c r="D20" i="142"/>
  <c r="D21" i="142"/>
  <c r="D22" i="142"/>
  <c r="D23" i="142"/>
  <c r="D20" i="204"/>
  <c r="D21" i="204"/>
  <c r="D22" i="204"/>
  <c r="D23" i="204"/>
  <c r="D20" i="145"/>
  <c r="D21" i="145"/>
  <c r="D22" i="145"/>
  <c r="D23" i="145"/>
  <c r="D20" i="147"/>
  <c r="D21" i="147"/>
  <c r="D22" i="147"/>
  <c r="D23" i="147"/>
  <c r="D20" i="149"/>
  <c r="D21" i="149"/>
  <c r="D22" i="149"/>
  <c r="D23" i="149"/>
  <c r="D20" i="124"/>
  <c r="D21" i="124"/>
  <c r="D22" i="124"/>
  <c r="D23" i="124"/>
  <c r="D19" i="194"/>
  <c r="D19" i="195"/>
  <c r="D19" i="196"/>
  <c r="D19" i="197"/>
  <c r="D19" i="198"/>
  <c r="D19" i="199"/>
  <c r="D19" i="200"/>
  <c r="D19" i="202"/>
  <c r="D19" i="201"/>
  <c r="D19" i="203"/>
  <c r="D19" i="125"/>
  <c r="D19" i="126"/>
  <c r="D19" i="127"/>
  <c r="D19" i="131"/>
  <c r="D19" i="132"/>
  <c r="D19" i="133"/>
  <c r="D19" i="134"/>
  <c r="D19" i="135"/>
  <c r="D19" i="136"/>
  <c r="D19" i="137"/>
  <c r="D19" i="138"/>
  <c r="D19" i="142"/>
  <c r="D19" i="204"/>
  <c r="D19" i="145"/>
  <c r="D19" i="147"/>
  <c r="D19" i="149"/>
  <c r="D19" i="124"/>
  <c r="R44" i="34" l="1"/>
  <c r="O44" i="34"/>
  <c r="R51" i="34"/>
  <c r="O51" i="34"/>
  <c r="H19" i="34"/>
  <c r="J27" i="201"/>
  <c r="K27" i="201"/>
  <c r="H27" i="201"/>
  <c r="I27" i="201"/>
  <c r="E27" i="145"/>
  <c r="E22" i="145"/>
  <c r="H27" i="196"/>
  <c r="G37" i="34"/>
  <c r="E26" i="198"/>
  <c r="M37" i="34" s="1"/>
  <c r="G26" i="204"/>
  <c r="F26" i="204"/>
  <c r="G27" i="145"/>
  <c r="F22" i="145"/>
  <c r="J27" i="145"/>
  <c r="N27" i="145"/>
  <c r="K27" i="145"/>
  <c r="O27" i="145"/>
  <c r="H27" i="145"/>
  <c r="L27" i="145"/>
  <c r="P27" i="145"/>
  <c r="I27" i="145"/>
  <c r="M27" i="145"/>
  <c r="I41" i="34"/>
  <c r="I34" i="34"/>
  <c r="F27" i="138"/>
  <c r="G27" i="138"/>
  <c r="H28" i="138"/>
  <c r="I11" i="34"/>
  <c r="N29" i="34" l="1"/>
  <c r="F18" i="194"/>
  <c r="G18" i="194"/>
  <c r="H18" i="194"/>
  <c r="I18" i="194"/>
  <c r="J18" i="194"/>
  <c r="K18" i="194"/>
  <c r="L18" i="194"/>
  <c r="M18" i="194"/>
  <c r="N18" i="194"/>
  <c r="O18" i="194"/>
  <c r="P18" i="194"/>
  <c r="F18" i="195"/>
  <c r="G18" i="195"/>
  <c r="H18" i="195"/>
  <c r="I18" i="195"/>
  <c r="J18" i="195"/>
  <c r="K18" i="195"/>
  <c r="L18" i="195"/>
  <c r="M18" i="195"/>
  <c r="N18" i="195"/>
  <c r="O18" i="195"/>
  <c r="P18" i="195"/>
  <c r="F18" i="196"/>
  <c r="G18" i="196"/>
  <c r="H18" i="196"/>
  <c r="I18" i="196"/>
  <c r="J18" i="196"/>
  <c r="K18" i="196"/>
  <c r="L18" i="196"/>
  <c r="M18" i="196"/>
  <c r="N18" i="196"/>
  <c r="O18" i="196"/>
  <c r="P18" i="196"/>
  <c r="F18" i="197"/>
  <c r="G18" i="197"/>
  <c r="H18" i="197"/>
  <c r="I18" i="197"/>
  <c r="J18" i="197"/>
  <c r="K18" i="197"/>
  <c r="L18" i="197"/>
  <c r="M18" i="197"/>
  <c r="N18" i="197"/>
  <c r="O18" i="197"/>
  <c r="P18" i="197"/>
  <c r="F18" i="198"/>
  <c r="G18" i="198"/>
  <c r="H18" i="198"/>
  <c r="I18" i="198"/>
  <c r="J18" i="198"/>
  <c r="K18" i="198"/>
  <c r="L18" i="198"/>
  <c r="M18" i="198"/>
  <c r="N18" i="198"/>
  <c r="O18" i="198"/>
  <c r="P18" i="198"/>
  <c r="F18" i="199"/>
  <c r="G18" i="199"/>
  <c r="H18" i="199"/>
  <c r="I18" i="199"/>
  <c r="J18" i="199"/>
  <c r="K18" i="199"/>
  <c r="L18" i="199"/>
  <c r="M18" i="199"/>
  <c r="N18" i="199"/>
  <c r="O18" i="199"/>
  <c r="P18" i="199"/>
  <c r="F18" i="200"/>
  <c r="G18" i="200"/>
  <c r="H18" i="200"/>
  <c r="I18" i="200"/>
  <c r="J18" i="200"/>
  <c r="K18" i="200"/>
  <c r="L18" i="200"/>
  <c r="M18" i="200"/>
  <c r="N18" i="200"/>
  <c r="O18" i="200"/>
  <c r="P18" i="200"/>
  <c r="F18" i="202"/>
  <c r="G18" i="202"/>
  <c r="H18" i="202"/>
  <c r="I18" i="202"/>
  <c r="J18" i="202"/>
  <c r="K18" i="202"/>
  <c r="L18" i="202"/>
  <c r="M18" i="202"/>
  <c r="N18" i="202"/>
  <c r="O18" i="202"/>
  <c r="P18" i="202"/>
  <c r="F18" i="201"/>
  <c r="G18" i="201"/>
  <c r="H18" i="201"/>
  <c r="I18" i="201"/>
  <c r="J18" i="201"/>
  <c r="K18" i="201"/>
  <c r="L18" i="201"/>
  <c r="M18" i="201"/>
  <c r="N18" i="201"/>
  <c r="O18" i="201"/>
  <c r="P18" i="201"/>
  <c r="F18" i="203"/>
  <c r="G18" i="203"/>
  <c r="H18" i="203"/>
  <c r="I18" i="203"/>
  <c r="J18" i="203"/>
  <c r="K18" i="203"/>
  <c r="L18" i="203"/>
  <c r="M18" i="203"/>
  <c r="N18" i="203"/>
  <c r="O18" i="203"/>
  <c r="P18" i="203"/>
  <c r="F18" i="125"/>
  <c r="G18" i="125"/>
  <c r="H18" i="125"/>
  <c r="I18" i="125"/>
  <c r="J18" i="125"/>
  <c r="K18" i="125"/>
  <c r="L18" i="125"/>
  <c r="M18" i="125"/>
  <c r="N18" i="125"/>
  <c r="O18" i="125"/>
  <c r="P18" i="125"/>
  <c r="F18" i="126"/>
  <c r="G18" i="126"/>
  <c r="H18" i="126"/>
  <c r="I18" i="126"/>
  <c r="J18" i="126"/>
  <c r="K18" i="126"/>
  <c r="L18" i="126"/>
  <c r="M18" i="126"/>
  <c r="N18" i="126"/>
  <c r="O18" i="126"/>
  <c r="P18" i="126"/>
  <c r="F18" i="127"/>
  <c r="G18" i="127"/>
  <c r="H18" i="127"/>
  <c r="I18" i="127"/>
  <c r="J18" i="127"/>
  <c r="K18" i="127"/>
  <c r="L18" i="127"/>
  <c r="M18" i="127"/>
  <c r="N18" i="127"/>
  <c r="O18" i="127"/>
  <c r="P18" i="127"/>
  <c r="F18" i="131"/>
  <c r="G18" i="131"/>
  <c r="H18" i="131"/>
  <c r="I18" i="131"/>
  <c r="J18" i="131"/>
  <c r="K18" i="131"/>
  <c r="L18" i="131"/>
  <c r="M18" i="131"/>
  <c r="N18" i="131"/>
  <c r="O18" i="131"/>
  <c r="P18" i="131"/>
  <c r="F18" i="132"/>
  <c r="G18" i="132"/>
  <c r="H18" i="132"/>
  <c r="I18" i="132"/>
  <c r="J18" i="132"/>
  <c r="K18" i="132"/>
  <c r="L18" i="132"/>
  <c r="M18" i="132"/>
  <c r="N18" i="132"/>
  <c r="O18" i="132"/>
  <c r="P18" i="132"/>
  <c r="F18" i="133"/>
  <c r="G18" i="133"/>
  <c r="H18" i="133"/>
  <c r="I18" i="133"/>
  <c r="J18" i="133"/>
  <c r="K18" i="133"/>
  <c r="L18" i="133"/>
  <c r="M18" i="133"/>
  <c r="N18" i="133"/>
  <c r="O18" i="133"/>
  <c r="P18" i="133"/>
  <c r="F18" i="134"/>
  <c r="G18" i="134"/>
  <c r="H18" i="134"/>
  <c r="I18" i="134"/>
  <c r="J18" i="134"/>
  <c r="K18" i="134"/>
  <c r="L18" i="134"/>
  <c r="M18" i="134"/>
  <c r="N18" i="134"/>
  <c r="O18" i="134"/>
  <c r="P18" i="134"/>
  <c r="F18" i="135"/>
  <c r="G18" i="135"/>
  <c r="H18" i="135"/>
  <c r="I18" i="135"/>
  <c r="J18" i="135"/>
  <c r="K18" i="135"/>
  <c r="L18" i="135"/>
  <c r="M18" i="135"/>
  <c r="N18" i="135"/>
  <c r="O18" i="135"/>
  <c r="P18" i="135"/>
  <c r="F18" i="136"/>
  <c r="G18" i="136"/>
  <c r="H18" i="136"/>
  <c r="I18" i="136"/>
  <c r="J18" i="136"/>
  <c r="K18" i="136"/>
  <c r="L18" i="136"/>
  <c r="M18" i="136"/>
  <c r="N18" i="136"/>
  <c r="O18" i="136"/>
  <c r="P18" i="136"/>
  <c r="F18" i="137"/>
  <c r="G18" i="137"/>
  <c r="H18" i="137"/>
  <c r="I18" i="137"/>
  <c r="J18" i="137"/>
  <c r="K18" i="137"/>
  <c r="L18" i="137"/>
  <c r="M18" i="137"/>
  <c r="N18" i="137"/>
  <c r="O18" i="137"/>
  <c r="P18" i="137"/>
  <c r="F18" i="138"/>
  <c r="G18" i="138"/>
  <c r="H18" i="138"/>
  <c r="I18" i="138"/>
  <c r="J18" i="138"/>
  <c r="K18" i="138"/>
  <c r="L18" i="138"/>
  <c r="M18" i="138"/>
  <c r="N18" i="138"/>
  <c r="O18" i="138"/>
  <c r="P18" i="138"/>
  <c r="F18" i="142"/>
  <c r="G18" i="142"/>
  <c r="H18" i="142"/>
  <c r="I18" i="142"/>
  <c r="J18" i="142"/>
  <c r="K18" i="142"/>
  <c r="L18" i="142"/>
  <c r="M18" i="142"/>
  <c r="N18" i="142"/>
  <c r="O18" i="142"/>
  <c r="P18" i="142"/>
  <c r="F18" i="204"/>
  <c r="G18" i="204"/>
  <c r="H18" i="204"/>
  <c r="I18" i="204"/>
  <c r="J18" i="204"/>
  <c r="K18" i="204"/>
  <c r="L18" i="204"/>
  <c r="M18" i="204"/>
  <c r="N18" i="204"/>
  <c r="O18" i="204"/>
  <c r="P18" i="204"/>
  <c r="F18" i="145"/>
  <c r="G18" i="145"/>
  <c r="H18" i="145"/>
  <c r="I18" i="145"/>
  <c r="J18" i="145"/>
  <c r="K18" i="145"/>
  <c r="L18" i="145"/>
  <c r="M18" i="145"/>
  <c r="N18" i="145"/>
  <c r="O18" i="145"/>
  <c r="P18" i="145"/>
  <c r="F18" i="147"/>
  <c r="G18" i="147"/>
  <c r="H18" i="147"/>
  <c r="I18" i="147"/>
  <c r="J18" i="147"/>
  <c r="K18" i="147"/>
  <c r="L18" i="147"/>
  <c r="M18" i="147"/>
  <c r="N18" i="147"/>
  <c r="O18" i="147"/>
  <c r="P18" i="147"/>
  <c r="F18" i="149"/>
  <c r="G18" i="149"/>
  <c r="H18" i="149"/>
  <c r="I18" i="149"/>
  <c r="J18" i="149"/>
  <c r="K18" i="149"/>
  <c r="L18" i="149"/>
  <c r="M18" i="149"/>
  <c r="N18" i="149"/>
  <c r="O18" i="149"/>
  <c r="P18" i="149"/>
  <c r="F18" i="124"/>
  <c r="G18" i="124"/>
  <c r="H18" i="124"/>
  <c r="I18" i="124"/>
  <c r="J18" i="124"/>
  <c r="K18" i="124"/>
  <c r="L18" i="124"/>
  <c r="M18" i="124"/>
  <c r="N18" i="124"/>
  <c r="O18" i="124"/>
  <c r="P18" i="124"/>
  <c r="E18" i="194"/>
  <c r="E18" i="195"/>
  <c r="E18" i="196"/>
  <c r="E18" i="197"/>
  <c r="E18" i="198"/>
  <c r="E18" i="199"/>
  <c r="E18" i="200"/>
  <c r="E18" i="202"/>
  <c r="E18" i="201"/>
  <c r="E18" i="203"/>
  <c r="E18" i="125"/>
  <c r="E18" i="126"/>
  <c r="E18" i="127"/>
  <c r="E18" i="131"/>
  <c r="E18" i="132"/>
  <c r="E18" i="133"/>
  <c r="E18" i="134"/>
  <c r="E18" i="135"/>
  <c r="E18" i="136"/>
  <c r="E18" i="137"/>
  <c r="E18" i="138"/>
  <c r="E18" i="142"/>
  <c r="E18" i="204"/>
  <c r="E18" i="145"/>
  <c r="E18" i="147"/>
  <c r="E18" i="149"/>
  <c r="E18" i="124"/>
  <c r="C6" i="207"/>
  <c r="B7" i="207"/>
  <c r="C7" i="207"/>
  <c r="B13" i="207"/>
  <c r="C13" i="207"/>
  <c r="B21" i="207"/>
  <c r="C21" i="207"/>
  <c r="B23" i="207"/>
  <c r="C23" i="207"/>
  <c r="B24" i="207"/>
  <c r="C24" i="207"/>
  <c r="B25" i="207"/>
  <c r="C25" i="207"/>
  <c r="B26" i="207"/>
  <c r="C26" i="207"/>
  <c r="B29" i="207"/>
  <c r="C29" i="207"/>
  <c r="B30" i="207"/>
  <c r="C30" i="207"/>
  <c r="B32" i="207"/>
  <c r="C32" i="207"/>
  <c r="B33" i="207"/>
  <c r="C33" i="207"/>
  <c r="B34" i="207"/>
  <c r="C34" i="207"/>
  <c r="B36" i="207"/>
  <c r="C36" i="207"/>
  <c r="B37" i="207"/>
  <c r="C37" i="207"/>
  <c r="B39" i="207"/>
  <c r="C39" i="207"/>
  <c r="B40" i="207"/>
  <c r="C40" i="207"/>
  <c r="B41" i="207"/>
  <c r="C41" i="207"/>
  <c r="B44" i="207"/>
  <c r="C44" i="207"/>
  <c r="B45" i="207"/>
  <c r="C45" i="207"/>
  <c r="B47" i="207"/>
  <c r="C47" i="207"/>
  <c r="B48" i="207"/>
  <c r="C48" i="207"/>
  <c r="B49" i="207"/>
  <c r="C49" i="207"/>
  <c r="B51" i="207"/>
  <c r="C51" i="207"/>
  <c r="B52" i="207"/>
  <c r="C52" i="207"/>
  <c r="B54" i="207"/>
  <c r="C54" i="207"/>
  <c r="B55" i="207"/>
  <c r="C55" i="207"/>
  <c r="B56" i="207"/>
  <c r="C56" i="207"/>
  <c r="B58" i="207"/>
  <c r="C58" i="207"/>
  <c r="B59" i="207"/>
  <c r="C59" i="207"/>
  <c r="B61" i="207"/>
  <c r="C61" i="207"/>
  <c r="B62" i="207"/>
  <c r="C62" i="207"/>
  <c r="B63" i="207"/>
  <c r="C63" i="207"/>
  <c r="B65" i="207"/>
  <c r="C65" i="207"/>
  <c r="B66" i="207"/>
  <c r="C66" i="207"/>
  <c r="B68" i="207"/>
  <c r="C68" i="207"/>
  <c r="B69" i="207"/>
  <c r="C69" i="207"/>
  <c r="B70" i="207"/>
  <c r="C70" i="207"/>
  <c r="B72" i="207"/>
  <c r="C72" i="207"/>
  <c r="B73" i="207"/>
  <c r="C73" i="207"/>
  <c r="B75" i="207"/>
  <c r="C75" i="207"/>
  <c r="B76" i="207"/>
  <c r="C76" i="207"/>
  <c r="B77" i="207"/>
  <c r="C77" i="207"/>
  <c r="B79" i="207"/>
  <c r="C79" i="207"/>
  <c r="B80" i="207"/>
  <c r="C80" i="207"/>
  <c r="B82" i="207"/>
  <c r="C82" i="207"/>
  <c r="B83" i="207"/>
  <c r="C83" i="207"/>
  <c r="B84" i="207"/>
  <c r="C84" i="207"/>
  <c r="B86" i="207"/>
  <c r="C86" i="207"/>
  <c r="B87" i="207"/>
  <c r="C87" i="207"/>
  <c r="B89" i="207"/>
  <c r="C89" i="207"/>
  <c r="B90" i="207"/>
  <c r="C90" i="207"/>
  <c r="B91" i="207"/>
  <c r="C91" i="207"/>
  <c r="B93" i="207"/>
  <c r="C93" i="207"/>
  <c r="B94" i="207"/>
  <c r="C94" i="207"/>
  <c r="B96" i="207"/>
  <c r="C96" i="207"/>
  <c r="B97" i="207"/>
  <c r="C97" i="207"/>
  <c r="B98" i="207"/>
  <c r="C98" i="207"/>
  <c r="B100" i="207"/>
  <c r="C100" i="207"/>
  <c r="B101" i="207"/>
  <c r="C101" i="207"/>
  <c r="B103" i="207"/>
  <c r="C103" i="207"/>
  <c r="B104" i="207"/>
  <c r="C104" i="207"/>
  <c r="B105" i="207"/>
  <c r="C105" i="207"/>
  <c r="C124" i="207"/>
  <c r="B125" i="207"/>
  <c r="C125" i="207"/>
  <c r="B126" i="207"/>
  <c r="C126" i="207"/>
  <c r="B127" i="207"/>
  <c r="C127" i="207"/>
  <c r="B128" i="207"/>
  <c r="C128" i="207"/>
  <c r="B129" i="207"/>
  <c r="C129" i="207"/>
  <c r="C6" i="205"/>
  <c r="C7" i="205"/>
  <c r="C14" i="205"/>
  <c r="B33" i="205"/>
  <c r="C33" i="205"/>
  <c r="B34" i="205"/>
  <c r="C34" i="205"/>
  <c r="B36" i="205"/>
  <c r="C36" i="205"/>
  <c r="B37" i="205"/>
  <c r="C37" i="205"/>
  <c r="B38" i="205"/>
  <c r="C38" i="205"/>
  <c r="B40" i="205"/>
  <c r="C40" i="205"/>
  <c r="B60" i="205"/>
  <c r="C60" i="205"/>
  <c r="B61" i="205"/>
  <c r="C61" i="205"/>
  <c r="B62" i="205"/>
  <c r="C62" i="205"/>
  <c r="B63" i="205"/>
  <c r="C63" i="205"/>
  <c r="B64" i="205"/>
  <c r="C64" i="205"/>
  <c r="A5" i="207"/>
  <c r="A6" i="207"/>
  <c r="A7" i="207"/>
  <c r="A13" i="207"/>
  <c r="A21" i="207"/>
  <c r="A22" i="207"/>
  <c r="A23" i="207"/>
  <c r="A24" i="207"/>
  <c r="A25" i="207"/>
  <c r="A26" i="207"/>
  <c r="A27" i="207"/>
  <c r="A28" i="207"/>
  <c r="A29" i="207"/>
  <c r="A30" i="207"/>
  <c r="A32" i="207"/>
  <c r="A33" i="207"/>
  <c r="A34" i="207"/>
  <c r="A35" i="207"/>
  <c r="A36" i="207"/>
  <c r="A37" i="207"/>
  <c r="A39" i="207"/>
  <c r="A40" i="207"/>
  <c r="A41" i="207"/>
  <c r="A42" i="207"/>
  <c r="A43" i="207"/>
  <c r="A44" i="207"/>
  <c r="A45" i="207"/>
  <c r="A47" i="207"/>
  <c r="A48" i="207"/>
  <c r="A49" i="207"/>
  <c r="A50" i="207"/>
  <c r="A51" i="207"/>
  <c r="A52" i="207"/>
  <c r="A54" i="207"/>
  <c r="A55" i="207"/>
  <c r="A56" i="207"/>
  <c r="A57" i="207"/>
  <c r="A58" i="207"/>
  <c r="A59" i="207"/>
  <c r="A61" i="207"/>
  <c r="A62" i="207"/>
  <c r="A63" i="207"/>
  <c r="A64" i="207"/>
  <c r="A65" i="207"/>
  <c r="A66" i="207"/>
  <c r="A68" i="207"/>
  <c r="A69" i="207"/>
  <c r="A70" i="207"/>
  <c r="A71" i="207"/>
  <c r="A72" i="207"/>
  <c r="A73" i="207"/>
  <c r="A75" i="207"/>
  <c r="A76" i="207"/>
  <c r="A77" i="207"/>
  <c r="A78" i="207"/>
  <c r="A79" i="207"/>
  <c r="A80" i="207"/>
  <c r="A82" i="207"/>
  <c r="A83" i="207"/>
  <c r="A84" i="207"/>
  <c r="A85" i="207"/>
  <c r="A86" i="207"/>
  <c r="A87" i="207"/>
  <c r="A89" i="207"/>
  <c r="A90" i="207"/>
  <c r="A91" i="207"/>
  <c r="A92" i="207"/>
  <c r="A93" i="207"/>
  <c r="A94" i="207"/>
  <c r="A96" i="207"/>
  <c r="A97" i="207"/>
  <c r="A98" i="207"/>
  <c r="A99" i="207"/>
  <c r="A100" i="207"/>
  <c r="A101" i="207"/>
  <c r="A103" i="207"/>
  <c r="A104" i="207"/>
  <c r="A105" i="207"/>
  <c r="A125" i="207"/>
  <c r="A126" i="207"/>
  <c r="A127" i="207"/>
  <c r="A128" i="207"/>
  <c r="A129" i="207"/>
  <c r="A5" i="205"/>
  <c r="A32" i="205"/>
  <c r="A33" i="205"/>
  <c r="A34" i="205"/>
  <c r="A36" i="205"/>
  <c r="A37" i="205"/>
  <c r="A38" i="205"/>
  <c r="A39" i="205"/>
  <c r="A40" i="205"/>
  <c r="A62" i="205"/>
  <c r="A63" i="205"/>
  <c r="A64" i="205"/>
  <c r="A1" i="207"/>
  <c r="A1" i="205"/>
  <c r="I1" i="204" l="1"/>
  <c r="I1" i="202" l="1"/>
  <c r="I1" i="200"/>
  <c r="I1" i="199"/>
  <c r="I1" i="197"/>
  <c r="I1" i="196"/>
  <c r="I1" i="195"/>
  <c r="I1" i="203" l="1"/>
  <c r="I1" i="198"/>
  <c r="I1" i="201"/>
  <c r="I1" i="194"/>
  <c r="I1" i="149" l="1"/>
  <c r="B1" i="147"/>
  <c r="I1" i="147"/>
  <c r="G29" i="34"/>
  <c r="C1" i="145"/>
  <c r="B1" i="145"/>
  <c r="S4" i="145"/>
  <c r="I1" i="145"/>
  <c r="I1" i="142"/>
  <c r="C1" i="138"/>
  <c r="B1" i="138"/>
  <c r="I1" i="138"/>
  <c r="C1" i="133"/>
  <c r="B1" i="133"/>
  <c r="I1" i="137"/>
  <c r="I1" i="136"/>
  <c r="I1" i="135"/>
  <c r="I1" i="134"/>
  <c r="I1" i="133"/>
  <c r="I1" i="132"/>
  <c r="I1" i="131"/>
  <c r="C1" i="125"/>
  <c r="B1" i="125"/>
  <c r="I1" i="127"/>
  <c r="I1" i="126"/>
  <c r="I1" i="125"/>
  <c r="C1" i="124"/>
  <c r="B1" i="124"/>
  <c r="I1" i="124"/>
  <c r="I1" i="123"/>
  <c r="D30" i="123"/>
  <c r="D30" i="261" s="1"/>
  <c r="P25" i="123"/>
  <c r="P25" i="261" s="1"/>
  <c r="O25" i="123"/>
  <c r="O25" i="261" s="1"/>
  <c r="N25" i="123"/>
  <c r="N25" i="261" s="1"/>
  <c r="M25" i="123"/>
  <c r="M25" i="261" s="1"/>
  <c r="L25" i="123"/>
  <c r="L25" i="261" s="1"/>
  <c r="K25" i="123"/>
  <c r="K25" i="261" s="1"/>
  <c r="J25" i="123"/>
  <c r="J25" i="261" s="1"/>
  <c r="I25" i="123"/>
  <c r="I25" i="261" s="1"/>
  <c r="H25" i="123"/>
  <c r="H25" i="261" s="1"/>
  <c r="G25" i="123"/>
  <c r="G25" i="261" s="1"/>
  <c r="F25" i="123"/>
  <c r="F25" i="261" s="1"/>
  <c r="E25" i="123"/>
  <c r="E25" i="261" s="1"/>
  <c r="D30" i="259" l="1"/>
  <c r="D30" i="258"/>
  <c r="D30" i="253"/>
  <c r="D30" i="255"/>
  <c r="D30" i="257"/>
  <c r="D30" i="252"/>
  <c r="D30" i="251"/>
  <c r="D30" i="254"/>
  <c r="D30" i="249"/>
  <c r="D30" i="250"/>
  <c r="D30" i="247"/>
  <c r="D30" i="245"/>
  <c r="D30" i="242"/>
  <c r="D30" i="243"/>
  <c r="D30" i="239"/>
  <c r="D30" i="246"/>
  <c r="D30" i="248"/>
  <c r="D30" i="241"/>
  <c r="D30" i="244"/>
  <c r="D30" i="240"/>
  <c r="D30" i="237"/>
  <c r="D30" i="238"/>
  <c r="D30" i="232"/>
  <c r="D30" i="216"/>
  <c r="D30" i="215"/>
  <c r="H25" i="259"/>
  <c r="H28" i="259" s="1"/>
  <c r="H25" i="258"/>
  <c r="H25" i="257"/>
  <c r="H28" i="257" s="1"/>
  <c r="H25" i="252"/>
  <c r="H25" i="251"/>
  <c r="H25" i="254"/>
  <c r="H25" i="253"/>
  <c r="H25" i="255"/>
  <c r="H25" i="250"/>
  <c r="H25" i="249"/>
  <c r="H25" i="242"/>
  <c r="H25" i="243"/>
  <c r="H25" i="240"/>
  <c r="H25" i="239"/>
  <c r="H25" i="244"/>
  <c r="H25" i="248"/>
  <c r="H25" i="247"/>
  <c r="H25" i="245"/>
  <c r="H25" i="241"/>
  <c r="L25" i="259"/>
  <c r="L28" i="259" s="1"/>
  <c r="L25" i="258"/>
  <c r="L25" i="255"/>
  <c r="L25" i="252"/>
  <c r="L25" i="251"/>
  <c r="L25" i="254"/>
  <c r="L25" i="253"/>
  <c r="L25" i="257"/>
  <c r="L28" i="257" s="1"/>
  <c r="L25" i="250"/>
  <c r="L25" i="249"/>
  <c r="L25" i="242"/>
  <c r="L25" i="243"/>
  <c r="L25" i="240"/>
  <c r="L25" i="239"/>
  <c r="L25" i="244"/>
  <c r="L25" i="248"/>
  <c r="L25" i="247"/>
  <c r="L25" i="245"/>
  <c r="L25" i="241"/>
  <c r="P25" i="259"/>
  <c r="P25" i="258"/>
  <c r="P25" i="257"/>
  <c r="P25" i="252"/>
  <c r="P25" i="251"/>
  <c r="P25" i="254"/>
  <c r="P25" i="253"/>
  <c r="P25" i="255"/>
  <c r="P25" i="250"/>
  <c r="P25" i="249"/>
  <c r="P25" i="242"/>
  <c r="P25" i="243"/>
  <c r="P25" i="240"/>
  <c r="P25" i="239"/>
  <c r="P25" i="244"/>
  <c r="P25" i="248"/>
  <c r="P25" i="247"/>
  <c r="P25" i="245"/>
  <c r="P25" i="241"/>
  <c r="I25" i="259"/>
  <c r="I28" i="259" s="1"/>
  <c r="I25" i="258"/>
  <c r="I25" i="252"/>
  <c r="I25" i="254"/>
  <c r="I25" i="253"/>
  <c r="I25" i="257"/>
  <c r="I28" i="257" s="1"/>
  <c r="I25" i="255"/>
  <c r="I25" i="251"/>
  <c r="I25" i="249"/>
  <c r="I25" i="250"/>
  <c r="I25" i="243"/>
  <c r="I25" i="240"/>
  <c r="I25" i="244"/>
  <c r="I25" i="248"/>
  <c r="I25" i="247"/>
  <c r="I25" i="245"/>
  <c r="I25" i="241"/>
  <c r="I25" i="242"/>
  <c r="I25" i="239"/>
  <c r="M25" i="259"/>
  <c r="M28" i="259" s="1"/>
  <c r="M25" i="258"/>
  <c r="M25" i="252"/>
  <c r="M25" i="254"/>
  <c r="M25" i="253"/>
  <c r="M25" i="257"/>
  <c r="M28" i="257" s="1"/>
  <c r="M25" i="255"/>
  <c r="M25" i="251"/>
  <c r="M25" i="249"/>
  <c r="M25" i="250"/>
  <c r="M25" i="243"/>
  <c r="M25" i="240"/>
  <c r="M25" i="239"/>
  <c r="M25" i="244"/>
  <c r="M25" i="248"/>
  <c r="M25" i="247"/>
  <c r="M25" i="245"/>
  <c r="M25" i="241"/>
  <c r="M25" i="242"/>
  <c r="F25" i="259"/>
  <c r="F28" i="259" s="1"/>
  <c r="F25" i="258"/>
  <c r="F25" i="254"/>
  <c r="F25" i="253"/>
  <c r="F25" i="255"/>
  <c r="F25" i="257"/>
  <c r="F28" i="257" s="1"/>
  <c r="F25" i="252"/>
  <c r="F25" i="251"/>
  <c r="F25" i="249"/>
  <c r="F25" i="250"/>
  <c r="F25" i="244"/>
  <c r="F25" i="248"/>
  <c r="F25" i="247"/>
  <c r="F25" i="245"/>
  <c r="F25" i="241"/>
  <c r="F25" i="242"/>
  <c r="F25" i="243"/>
  <c r="F25" i="240"/>
  <c r="F25" i="239"/>
  <c r="J25" i="259"/>
  <c r="J28" i="259" s="1"/>
  <c r="J25" i="258"/>
  <c r="J25" i="254"/>
  <c r="J25" i="253"/>
  <c r="J25" i="257"/>
  <c r="J28" i="257" s="1"/>
  <c r="J25" i="255"/>
  <c r="J25" i="252"/>
  <c r="J25" i="251"/>
  <c r="J25" i="249"/>
  <c r="J25" i="250"/>
  <c r="J25" i="244"/>
  <c r="J25" i="248"/>
  <c r="J25" i="247"/>
  <c r="J25" i="245"/>
  <c r="J25" i="241"/>
  <c r="J25" i="242"/>
  <c r="J25" i="243"/>
  <c r="J25" i="240"/>
  <c r="J25" i="239"/>
  <c r="N25" i="259"/>
  <c r="N28" i="259" s="1"/>
  <c r="N25" i="258"/>
  <c r="N25" i="254"/>
  <c r="N25" i="253"/>
  <c r="N25" i="255"/>
  <c r="N25" i="257"/>
  <c r="N28" i="257" s="1"/>
  <c r="N25" i="252"/>
  <c r="N25" i="251"/>
  <c r="N25" i="249"/>
  <c r="N25" i="250"/>
  <c r="N25" i="244"/>
  <c r="N25" i="248"/>
  <c r="N25" i="247"/>
  <c r="N25" i="245"/>
  <c r="N25" i="241"/>
  <c r="N25" i="242"/>
  <c r="N25" i="243"/>
  <c r="N25" i="240"/>
  <c r="N25" i="239"/>
  <c r="G25" i="259"/>
  <c r="G28" i="259" s="1"/>
  <c r="G25" i="258"/>
  <c r="G25" i="253"/>
  <c r="G25" i="257"/>
  <c r="G28" i="257" s="1"/>
  <c r="G25" i="255"/>
  <c r="G25" i="252"/>
  <c r="G25" i="251"/>
  <c r="G25" i="254"/>
  <c r="G25" i="249"/>
  <c r="G25" i="250"/>
  <c r="G25" i="248"/>
  <c r="G25" i="247"/>
  <c r="G25" i="245"/>
  <c r="G25" i="241"/>
  <c r="G25" i="242"/>
  <c r="G25" i="243"/>
  <c r="G25" i="240"/>
  <c r="G25" i="239"/>
  <c r="G25" i="244"/>
  <c r="K25" i="259"/>
  <c r="K28" i="259" s="1"/>
  <c r="K25" i="258"/>
  <c r="K25" i="254"/>
  <c r="K25" i="253"/>
  <c r="K25" i="257"/>
  <c r="K28" i="257" s="1"/>
  <c r="K25" i="255"/>
  <c r="K25" i="252"/>
  <c r="K25" i="251"/>
  <c r="K25" i="249"/>
  <c r="K25" i="250"/>
  <c r="K25" i="248"/>
  <c r="K25" i="247"/>
  <c r="K25" i="245"/>
  <c r="K25" i="241"/>
  <c r="K25" i="242"/>
  <c r="K25" i="239"/>
  <c r="K25" i="243"/>
  <c r="K25" i="240"/>
  <c r="K25" i="244"/>
  <c r="O25" i="259"/>
  <c r="O28" i="259" s="1"/>
  <c r="O25" i="258"/>
  <c r="O25" i="253"/>
  <c r="O25" i="257"/>
  <c r="O28" i="257" s="1"/>
  <c r="O25" i="255"/>
  <c r="O25" i="252"/>
  <c r="O25" i="251"/>
  <c r="O25" i="254"/>
  <c r="O25" i="249"/>
  <c r="O25" i="250"/>
  <c r="O25" i="248"/>
  <c r="O25" i="247"/>
  <c r="O25" i="245"/>
  <c r="O25" i="241"/>
  <c r="O25" i="242"/>
  <c r="O25" i="243"/>
  <c r="O25" i="240"/>
  <c r="O25" i="239"/>
  <c r="O25" i="244"/>
  <c r="E25" i="259"/>
  <c r="E28" i="259" s="1"/>
  <c r="E25" i="258"/>
  <c r="E25" i="255"/>
  <c r="E25" i="254"/>
  <c r="E25" i="252"/>
  <c r="E25" i="253"/>
  <c r="E25" i="251"/>
  <c r="E25" i="257"/>
  <c r="E28" i="257" s="1"/>
  <c r="E25" i="250"/>
  <c r="E25" i="249"/>
  <c r="E25" i="240"/>
  <c r="E25" i="245"/>
  <c r="E25" i="244"/>
  <c r="E25" i="243"/>
  <c r="E25" i="242"/>
  <c r="E25" i="241"/>
  <c r="E25" i="239"/>
  <c r="E25" i="248"/>
  <c r="E25" i="247"/>
  <c r="F25" i="215"/>
  <c r="F25" i="216"/>
  <c r="N25" i="215"/>
  <c r="N25" i="216"/>
  <c r="J25" i="215"/>
  <c r="J25" i="216"/>
  <c r="G25" i="216"/>
  <c r="G25" i="215"/>
  <c r="K25" i="216"/>
  <c r="K25" i="215"/>
  <c r="O25" i="215"/>
  <c r="O25" i="216"/>
  <c r="H25" i="216"/>
  <c r="H25" i="215"/>
  <c r="L25" i="216"/>
  <c r="L25" i="215"/>
  <c r="P25" i="216"/>
  <c r="P25" i="215"/>
  <c r="I25" i="215"/>
  <c r="I25" i="216"/>
  <c r="M25" i="215"/>
  <c r="M25" i="216"/>
  <c r="E25" i="215"/>
  <c r="E25" i="216"/>
  <c r="N25" i="208"/>
  <c r="N25" i="209"/>
  <c r="K25" i="209"/>
  <c r="K25" i="208"/>
  <c r="J25" i="208"/>
  <c r="J25" i="209"/>
  <c r="G25" i="209"/>
  <c r="G25" i="208"/>
  <c r="O25" i="209"/>
  <c r="O25" i="208"/>
  <c r="H25" i="209"/>
  <c r="H25" i="208"/>
  <c r="L25" i="209"/>
  <c r="L25" i="208"/>
  <c r="P25" i="209"/>
  <c r="P25" i="208"/>
  <c r="F25" i="208"/>
  <c r="F25" i="209"/>
  <c r="E25" i="208"/>
  <c r="E25" i="209"/>
  <c r="I25" i="208"/>
  <c r="I25" i="209"/>
  <c r="M25" i="208"/>
  <c r="M25" i="209"/>
  <c r="D30" i="208"/>
  <c r="D30" i="209"/>
  <c r="D30" i="194"/>
  <c r="D30" i="195"/>
  <c r="D30" i="196"/>
  <c r="D30" i="197"/>
  <c r="D30" i="198"/>
  <c r="D30" i="199"/>
  <c r="D30" i="200"/>
  <c r="D30" i="202"/>
  <c r="D30" i="201"/>
  <c r="D30" i="203"/>
  <c r="D30" i="125"/>
  <c r="D30" i="126"/>
  <c r="D30" i="127"/>
  <c r="D30" i="131"/>
  <c r="D30" i="132"/>
  <c r="D30" i="133"/>
  <c r="D30" i="134"/>
  <c r="D30" i="135"/>
  <c r="D30" i="136"/>
  <c r="D30" i="137"/>
  <c r="D30" i="138"/>
  <c r="D30" i="142"/>
  <c r="D30" i="204"/>
  <c r="D30" i="145"/>
  <c r="D30" i="147"/>
  <c r="D30" i="149"/>
  <c r="D30" i="124"/>
  <c r="I25" i="196"/>
  <c r="I25" i="200"/>
  <c r="I25" i="125"/>
  <c r="I25" i="132"/>
  <c r="I25" i="136"/>
  <c r="I25" i="145"/>
  <c r="I25" i="126"/>
  <c r="I25" i="127"/>
  <c r="I25" i="131"/>
  <c r="I25" i="147"/>
  <c r="I25" i="194"/>
  <c r="I25" i="202"/>
  <c r="I25" i="203"/>
  <c r="I25" i="138"/>
  <c r="I25" i="198"/>
  <c r="I25" i="133"/>
  <c r="I25" i="135"/>
  <c r="I25" i="204"/>
  <c r="I25" i="149"/>
  <c r="I25" i="195"/>
  <c r="I25" i="201"/>
  <c r="I25" i="137"/>
  <c r="I25" i="197"/>
  <c r="I25" i="134"/>
  <c r="I25" i="124"/>
  <c r="I25" i="199"/>
  <c r="I25" i="142"/>
  <c r="M25" i="196"/>
  <c r="M25" i="200"/>
  <c r="M25" i="125"/>
  <c r="M25" i="132"/>
  <c r="M25" i="136"/>
  <c r="M25" i="145"/>
  <c r="M25" i="194"/>
  <c r="M25" i="195"/>
  <c r="M25" i="133"/>
  <c r="M25" i="134"/>
  <c r="M25" i="135"/>
  <c r="M25" i="201"/>
  <c r="M25" i="137"/>
  <c r="M25" i="149"/>
  <c r="M25" i="197"/>
  <c r="M25" i="199"/>
  <c r="M25" i="127"/>
  <c r="M25" i="142"/>
  <c r="M25" i="202"/>
  <c r="M25" i="203"/>
  <c r="M25" i="138"/>
  <c r="M25" i="147"/>
  <c r="M25" i="131"/>
  <c r="M25" i="124"/>
  <c r="M25" i="126"/>
  <c r="M25" i="204"/>
  <c r="M25" i="198"/>
  <c r="F25" i="197"/>
  <c r="F25" i="202"/>
  <c r="F25" i="126"/>
  <c r="F25" i="133"/>
  <c r="F25" i="137"/>
  <c r="F25" i="142"/>
  <c r="F25" i="147"/>
  <c r="F25" i="198"/>
  <c r="F25" i="199"/>
  <c r="F25" i="200"/>
  <c r="F25" i="138"/>
  <c r="F25" i="201"/>
  <c r="F25" i="125"/>
  <c r="F25" i="135"/>
  <c r="F25" i="124"/>
  <c r="F25" i="195"/>
  <c r="F25" i="127"/>
  <c r="F25" i="132"/>
  <c r="F25" i="203"/>
  <c r="F25" i="134"/>
  <c r="F25" i="136"/>
  <c r="F25" i="204"/>
  <c r="F25" i="149"/>
  <c r="F25" i="196"/>
  <c r="F25" i="194"/>
  <c r="F25" i="131"/>
  <c r="F25" i="145"/>
  <c r="J25" i="197"/>
  <c r="J25" i="202"/>
  <c r="J25" i="126"/>
  <c r="J25" i="133"/>
  <c r="J25" i="137"/>
  <c r="J25" i="142"/>
  <c r="J25" i="147"/>
  <c r="J25" i="201"/>
  <c r="J25" i="203"/>
  <c r="J25" i="125"/>
  <c r="J25" i="204"/>
  <c r="J25" i="145"/>
  <c r="J25" i="199"/>
  <c r="J25" i="134"/>
  <c r="J25" i="136"/>
  <c r="J25" i="124"/>
  <c r="J25" i="194"/>
  <c r="J25" i="196"/>
  <c r="J25" i="131"/>
  <c r="J25" i="138"/>
  <c r="J25" i="198"/>
  <c r="J25" i="200"/>
  <c r="J25" i="135"/>
  <c r="J25" i="149"/>
  <c r="J25" i="195"/>
  <c r="J25" i="132"/>
  <c r="J25" i="127"/>
  <c r="N25" i="197"/>
  <c r="N25" i="202"/>
  <c r="N25" i="126"/>
  <c r="N25" i="133"/>
  <c r="N25" i="137"/>
  <c r="N25" i="142"/>
  <c r="N25" i="147"/>
  <c r="N25" i="127"/>
  <c r="N25" i="131"/>
  <c r="N25" i="132"/>
  <c r="N25" i="198"/>
  <c r="N25" i="200"/>
  <c r="N25" i="135"/>
  <c r="N25" i="204"/>
  <c r="N25" i="145"/>
  <c r="N25" i="124"/>
  <c r="N25" i="195"/>
  <c r="N25" i="201"/>
  <c r="N25" i="125"/>
  <c r="N25" i="149"/>
  <c r="N25" i="199"/>
  <c r="N25" i="134"/>
  <c r="N25" i="136"/>
  <c r="N25" i="194"/>
  <c r="N25" i="203"/>
  <c r="N25" i="196"/>
  <c r="N25" i="138"/>
  <c r="G25" i="194"/>
  <c r="G25" i="198"/>
  <c r="G25" i="201"/>
  <c r="G25" i="127"/>
  <c r="G25" i="134"/>
  <c r="G25" i="138"/>
  <c r="G25" i="204"/>
  <c r="G25" i="195"/>
  <c r="G25" i="196"/>
  <c r="G25" i="197"/>
  <c r="G25" i="135"/>
  <c r="G25" i="136"/>
  <c r="G25" i="137"/>
  <c r="G25" i="200"/>
  <c r="G25" i="131"/>
  <c r="G25" i="133"/>
  <c r="G25" i="145"/>
  <c r="G25" i="149"/>
  <c r="G25" i="125"/>
  <c r="G25" i="142"/>
  <c r="G25" i="124"/>
  <c r="G25" i="199"/>
  <c r="G25" i="202"/>
  <c r="G25" i="132"/>
  <c r="G25" i="147"/>
  <c r="G25" i="126"/>
  <c r="G25" i="203"/>
  <c r="K25" i="194"/>
  <c r="K25" i="198"/>
  <c r="K25" i="201"/>
  <c r="K25" i="127"/>
  <c r="K25" i="134"/>
  <c r="K25" i="138"/>
  <c r="K25" i="204"/>
  <c r="K25" i="199"/>
  <c r="K25" i="200"/>
  <c r="K25" i="202"/>
  <c r="K25" i="142"/>
  <c r="K25" i="195"/>
  <c r="K25" i="197"/>
  <c r="K25" i="132"/>
  <c r="K25" i="147"/>
  <c r="K25" i="203"/>
  <c r="K25" i="126"/>
  <c r="K25" i="136"/>
  <c r="K25" i="124"/>
  <c r="K25" i="196"/>
  <c r="K25" i="131"/>
  <c r="K25" i="133"/>
  <c r="K25" i="145"/>
  <c r="K25" i="137"/>
  <c r="K25" i="135"/>
  <c r="K25" i="149"/>
  <c r="K25" i="125"/>
  <c r="O25" i="194"/>
  <c r="O25" i="198"/>
  <c r="O25" i="201"/>
  <c r="O25" i="127"/>
  <c r="O25" i="134"/>
  <c r="O25" i="138"/>
  <c r="O25" i="204"/>
  <c r="O25" i="203"/>
  <c r="O25" i="125"/>
  <c r="O25" i="126"/>
  <c r="O25" i="145"/>
  <c r="O25" i="147"/>
  <c r="O25" i="196"/>
  <c r="O25" i="131"/>
  <c r="O25" i="133"/>
  <c r="O25" i="200"/>
  <c r="O25" i="135"/>
  <c r="O25" i="137"/>
  <c r="O25" i="124"/>
  <c r="O25" i="195"/>
  <c r="O25" i="197"/>
  <c r="O25" i="132"/>
  <c r="O25" i="142"/>
  <c r="O25" i="149"/>
  <c r="O25" i="199"/>
  <c r="O25" i="136"/>
  <c r="O25" i="202"/>
  <c r="H25" i="195"/>
  <c r="H25" i="199"/>
  <c r="H25" i="203"/>
  <c r="H25" i="131"/>
  <c r="H25" i="135"/>
  <c r="H25" i="194"/>
  <c r="H25" i="132"/>
  <c r="H25" i="133"/>
  <c r="H25" i="134"/>
  <c r="H25" i="149"/>
  <c r="H25" i="196"/>
  <c r="H25" i="198"/>
  <c r="H25" i="126"/>
  <c r="H25" i="204"/>
  <c r="H25" i="200"/>
  <c r="H25" i="201"/>
  <c r="H25" i="137"/>
  <c r="H25" i="145"/>
  <c r="H25" i="197"/>
  <c r="H25" i="125"/>
  <c r="H25" i="127"/>
  <c r="H25" i="142"/>
  <c r="H25" i="147"/>
  <c r="H25" i="124"/>
  <c r="H25" i="202"/>
  <c r="H25" i="138"/>
  <c r="H25" i="136"/>
  <c r="L25" i="195"/>
  <c r="L25" i="199"/>
  <c r="L25" i="203"/>
  <c r="L25" i="131"/>
  <c r="L25" i="135"/>
  <c r="L25" i="196"/>
  <c r="L25" i="197"/>
  <c r="L25" i="198"/>
  <c r="L25" i="136"/>
  <c r="L25" i="137"/>
  <c r="L25" i="138"/>
  <c r="L25" i="149"/>
  <c r="L25" i="125"/>
  <c r="L25" i="127"/>
  <c r="L25" i="142"/>
  <c r="L25" i="202"/>
  <c r="L25" i="132"/>
  <c r="L25" i="134"/>
  <c r="L25" i="147"/>
  <c r="L25" i="194"/>
  <c r="L25" i="126"/>
  <c r="L25" i="204"/>
  <c r="L25" i="201"/>
  <c r="L25" i="145"/>
  <c r="L25" i="200"/>
  <c r="L25" i="133"/>
  <c r="L25" i="124"/>
  <c r="P25" i="195"/>
  <c r="P25" i="199"/>
  <c r="P25" i="203"/>
  <c r="P25" i="131"/>
  <c r="P25" i="135"/>
  <c r="P25" i="200"/>
  <c r="P25" i="202"/>
  <c r="P25" i="201"/>
  <c r="P25" i="142"/>
  <c r="P25" i="204"/>
  <c r="P25" i="149"/>
  <c r="P25" i="194"/>
  <c r="P25" i="126"/>
  <c r="P25" i="136"/>
  <c r="P25" i="138"/>
  <c r="P25" i="196"/>
  <c r="P25" i="198"/>
  <c r="P25" i="133"/>
  <c r="P25" i="145"/>
  <c r="P25" i="125"/>
  <c r="P25" i="127"/>
  <c r="P25" i="137"/>
  <c r="P25" i="197"/>
  <c r="P25" i="134"/>
  <c r="P25" i="124"/>
  <c r="P25" i="132"/>
  <c r="P25" i="147"/>
  <c r="E25" i="195"/>
  <c r="E25" i="199"/>
  <c r="E25" i="203"/>
  <c r="E25" i="131"/>
  <c r="E25" i="135"/>
  <c r="E25" i="196"/>
  <c r="E25" i="132"/>
  <c r="E25" i="197"/>
  <c r="E25" i="133"/>
  <c r="E25" i="137"/>
  <c r="E25" i="147"/>
  <c r="E25" i="194"/>
  <c r="E25" i="198"/>
  <c r="E25" i="201"/>
  <c r="E25" i="127"/>
  <c r="E25" i="134"/>
  <c r="E25" i="138"/>
  <c r="E25" i="204"/>
  <c r="E25" i="149"/>
  <c r="E25" i="124"/>
  <c r="E25" i="200"/>
  <c r="E25" i="125"/>
  <c r="E25" i="136"/>
  <c r="E25" i="145"/>
  <c r="E25" i="202"/>
  <c r="E25" i="126"/>
  <c r="E25" i="142"/>
  <c r="E27" i="147"/>
  <c r="S5" i="259" l="1"/>
  <c r="S6" i="259" s="1"/>
  <c r="P28" i="259"/>
  <c r="S5" i="257"/>
  <c r="S6" i="257" s="1"/>
  <c r="P28" i="257"/>
  <c r="P22" i="194"/>
  <c r="J22" i="199"/>
  <c r="M22" i="194"/>
  <c r="L22" i="194"/>
  <c r="P22" i="199"/>
  <c r="E22" i="149"/>
  <c r="O22" i="147"/>
  <c r="M26" i="149"/>
  <c r="I26" i="149"/>
  <c r="E26" i="149"/>
  <c r="N26" i="149"/>
  <c r="H26" i="149"/>
  <c r="L26" i="149"/>
  <c r="G26" i="149"/>
  <c r="P26" i="149"/>
  <c r="F26" i="149"/>
  <c r="Q19" i="149"/>
  <c r="O26" i="149"/>
  <c r="K26" i="149"/>
  <c r="J26" i="149"/>
  <c r="P23" i="149"/>
  <c r="P22" i="149"/>
  <c r="F23" i="149"/>
  <c r="F22" i="149"/>
  <c r="H22" i="149"/>
  <c r="H23" i="149"/>
  <c r="L22" i="149"/>
  <c r="L23" i="149"/>
  <c r="K22" i="149"/>
  <c r="K23" i="149"/>
  <c r="O22" i="149"/>
  <c r="O23" i="149"/>
  <c r="I23" i="149"/>
  <c r="I22" i="149"/>
  <c r="M22" i="149"/>
  <c r="M23" i="149"/>
  <c r="P27" i="149"/>
  <c r="L27" i="149"/>
  <c r="H27" i="149"/>
  <c r="Q20" i="149"/>
  <c r="O27" i="149"/>
  <c r="J27" i="149"/>
  <c r="E27" i="149"/>
  <c r="N27" i="149"/>
  <c r="I27" i="149"/>
  <c r="K27" i="149"/>
  <c r="G27" i="149"/>
  <c r="F27" i="149"/>
  <c r="M27" i="149"/>
  <c r="G22" i="149"/>
  <c r="G23" i="149"/>
  <c r="J23" i="149"/>
  <c r="J22" i="149"/>
  <c r="N23" i="149"/>
  <c r="N22" i="149"/>
  <c r="N22" i="147"/>
  <c r="L22" i="147"/>
  <c r="O27" i="147"/>
  <c r="J27" i="147"/>
  <c r="Q20" i="147"/>
  <c r="J22" i="147"/>
  <c r="L27" i="147"/>
  <c r="I27" i="147"/>
  <c r="K27" i="147"/>
  <c r="F27" i="147"/>
  <c r="K22" i="147"/>
  <c r="M22" i="147"/>
  <c r="G27" i="147"/>
  <c r="P22" i="147"/>
  <c r="P27" i="147"/>
  <c r="I22" i="147"/>
  <c r="H27" i="147"/>
  <c r="N27" i="147"/>
  <c r="M27" i="147"/>
  <c r="H32" i="34" l="1"/>
  <c r="G26" i="199"/>
  <c r="G23" i="199"/>
  <c r="J23" i="199"/>
  <c r="P23" i="199"/>
  <c r="G22" i="199"/>
  <c r="F26" i="199"/>
  <c r="I26" i="199"/>
  <c r="H26" i="199"/>
  <c r="E26" i="199"/>
  <c r="K27" i="194"/>
  <c r="E27" i="194"/>
  <c r="H27" i="194"/>
  <c r="M27" i="194"/>
  <c r="N27" i="194"/>
  <c r="I27" i="194"/>
  <c r="F27" i="194"/>
  <c r="G27" i="194"/>
  <c r="Q20" i="194"/>
  <c r="J27" i="194"/>
  <c r="P27" i="194"/>
  <c r="O27" i="194"/>
  <c r="L27" i="194"/>
  <c r="O22" i="194"/>
  <c r="M26" i="199"/>
  <c r="O23" i="199"/>
  <c r="O22" i="199"/>
  <c r="G39" i="34"/>
  <c r="Q39" i="34" s="1"/>
  <c r="M22" i="199"/>
  <c r="M23" i="199"/>
  <c r="Q19" i="199"/>
  <c r="J26" i="199"/>
  <c r="O26" i="199"/>
  <c r="I22" i="194"/>
  <c r="N22" i="194"/>
  <c r="J22" i="194"/>
  <c r="N22" i="199"/>
  <c r="N23" i="199"/>
  <c r="L22" i="199"/>
  <c r="L23" i="199"/>
  <c r="K22" i="199"/>
  <c r="K23" i="199"/>
  <c r="H22" i="199"/>
  <c r="H23" i="199"/>
  <c r="H39" i="34"/>
  <c r="F22" i="199"/>
  <c r="F23" i="199"/>
  <c r="N26" i="199"/>
  <c r="K26" i="199"/>
  <c r="L26" i="199"/>
  <c r="P26" i="199"/>
  <c r="P27" i="199"/>
  <c r="H27" i="199"/>
  <c r="L27" i="199"/>
  <c r="K27" i="199"/>
  <c r="E27" i="199"/>
  <c r="F27" i="199"/>
  <c r="M27" i="199"/>
  <c r="Q20" i="199"/>
  <c r="J27" i="199"/>
  <c r="N27" i="199"/>
  <c r="O27" i="199"/>
  <c r="G27" i="199"/>
  <c r="I27" i="199"/>
  <c r="E22" i="199"/>
  <c r="K22" i="194"/>
  <c r="I22" i="199"/>
  <c r="I23" i="199"/>
  <c r="M30" i="149"/>
  <c r="L30" i="149"/>
  <c r="G30" i="149"/>
  <c r="S5" i="149"/>
  <c r="S6" i="149" s="1"/>
  <c r="S4" i="147"/>
  <c r="F30" i="149"/>
  <c r="H30" i="149"/>
  <c r="J30" i="149"/>
  <c r="I30" i="149"/>
  <c r="O30" i="149"/>
  <c r="S4" i="149"/>
  <c r="N30" i="149"/>
  <c r="K30" i="149"/>
  <c r="N29" i="149"/>
  <c r="J29" i="149"/>
  <c r="F29" i="149"/>
  <c r="P29" i="149"/>
  <c r="K29" i="149"/>
  <c r="E29" i="149"/>
  <c r="O29" i="149"/>
  <c r="I29" i="149"/>
  <c r="Q22" i="149"/>
  <c r="M29" i="149"/>
  <c r="L29" i="149"/>
  <c r="H29" i="149"/>
  <c r="G29" i="149"/>
  <c r="P30" i="149"/>
  <c r="E30" i="199" l="1"/>
  <c r="N32" i="34"/>
  <c r="S5" i="199"/>
  <c r="S6" i="199" s="1"/>
  <c r="L22" i="201"/>
  <c r="K22" i="197"/>
  <c r="L22" i="197"/>
  <c r="P22" i="201"/>
  <c r="H43" i="34"/>
  <c r="J22" i="197"/>
  <c r="J22" i="201"/>
  <c r="N22" i="201"/>
  <c r="E27" i="201"/>
  <c r="M22" i="201"/>
  <c r="I22" i="197"/>
  <c r="N22" i="197"/>
  <c r="O22" i="197"/>
  <c r="I22" i="201"/>
  <c r="E27" i="197"/>
  <c r="P22" i="197"/>
  <c r="K22" i="201"/>
  <c r="M22" i="197"/>
  <c r="H36" i="34"/>
  <c r="O22" i="201"/>
  <c r="G30" i="199"/>
  <c r="M39" i="34"/>
  <c r="R39" i="34" s="1"/>
  <c r="H30" i="199"/>
  <c r="L30" i="199"/>
  <c r="I30" i="199"/>
  <c r="O30" i="199"/>
  <c r="P30" i="199"/>
  <c r="N29" i="199"/>
  <c r="G29" i="199"/>
  <c r="J29" i="199"/>
  <c r="Q22" i="199"/>
  <c r="M29" i="199"/>
  <c r="H29" i="199"/>
  <c r="P29" i="199"/>
  <c r="O29" i="199"/>
  <c r="I29" i="199"/>
  <c r="K29" i="199"/>
  <c r="E29" i="199"/>
  <c r="L29" i="199"/>
  <c r="F29" i="199"/>
  <c r="N39" i="34"/>
  <c r="F30" i="199"/>
  <c r="N30" i="199"/>
  <c r="S4" i="199"/>
  <c r="J30" i="199"/>
  <c r="I39" i="34"/>
  <c r="M30" i="199"/>
  <c r="K30" i="199"/>
  <c r="S4" i="194"/>
  <c r="F27" i="123"/>
  <c r="E27" i="123"/>
  <c r="O27" i="123"/>
  <c r="H27" i="123"/>
  <c r="J27" i="123"/>
  <c r="Q20" i="123"/>
  <c r="P27" i="123"/>
  <c r="K27" i="123"/>
  <c r="L27" i="123"/>
  <c r="G27" i="123"/>
  <c r="N27" i="123"/>
  <c r="M27" i="123"/>
  <c r="I27" i="123"/>
  <c r="L28" i="197" l="1"/>
  <c r="F27" i="201"/>
  <c r="J28" i="197"/>
  <c r="E28" i="197"/>
  <c r="H28" i="197"/>
  <c r="N28" i="197"/>
  <c r="G27" i="201"/>
  <c r="N43" i="34" s="1"/>
  <c r="K28" i="201"/>
  <c r="Q20" i="201"/>
  <c r="M28" i="197"/>
  <c r="G28" i="197"/>
  <c r="L28" i="201"/>
  <c r="K28" i="197"/>
  <c r="N28" i="201"/>
  <c r="H28" i="201"/>
  <c r="E28" i="201"/>
  <c r="P28" i="197"/>
  <c r="I28" i="197"/>
  <c r="F28" i="197"/>
  <c r="J28" i="201"/>
  <c r="P28" i="201"/>
  <c r="O28" i="201"/>
  <c r="G28" i="201"/>
  <c r="Q21" i="197"/>
  <c r="M28" i="201"/>
  <c r="Q21" i="201"/>
  <c r="O28" i="197"/>
  <c r="I28" i="201"/>
  <c r="F28" i="201"/>
  <c r="O39" i="34"/>
  <c r="N6" i="34"/>
  <c r="S4" i="123"/>
  <c r="S4" i="201" l="1"/>
  <c r="I27" i="197"/>
  <c r="Q20" i="197"/>
  <c r="K27" i="197"/>
  <c r="N27" i="197"/>
  <c r="O27" i="197"/>
  <c r="P27" i="197"/>
  <c r="L27" i="197"/>
  <c r="J27" i="197"/>
  <c r="F27" i="197"/>
  <c r="G27" i="197"/>
  <c r="M27" i="197"/>
  <c r="H27" i="197"/>
  <c r="Q29" i="34"/>
  <c r="M22" i="137" l="1"/>
  <c r="P23" i="194"/>
  <c r="M22" i="134"/>
  <c r="O22" i="127"/>
  <c r="P22" i="134"/>
  <c r="K22" i="137"/>
  <c r="E26" i="134"/>
  <c r="L22" i="127"/>
  <c r="K22" i="127"/>
  <c r="M22" i="135"/>
  <c r="N22" i="134"/>
  <c r="F27" i="136"/>
  <c r="G26" i="147"/>
  <c r="G30" i="147" s="1"/>
  <c r="N22" i="135"/>
  <c r="I22" i="127"/>
  <c r="P22" i="132"/>
  <c r="H26" i="134"/>
  <c r="O22" i="137"/>
  <c r="F23" i="134"/>
  <c r="L22" i="124"/>
  <c r="L22" i="136"/>
  <c r="E27" i="132"/>
  <c r="N23" i="194"/>
  <c r="E27" i="127"/>
  <c r="O22" i="132"/>
  <c r="K22" i="131"/>
  <c r="O22" i="135"/>
  <c r="L28" i="147"/>
  <c r="E28" i="127"/>
  <c r="O23" i="147"/>
  <c r="E27" i="135"/>
  <c r="K22" i="134"/>
  <c r="H22" i="137"/>
  <c r="J22" i="137"/>
  <c r="O22" i="136"/>
  <c r="P22" i="127"/>
  <c r="L22" i="131"/>
  <c r="L22" i="137"/>
  <c r="I22" i="136"/>
  <c r="P22" i="136"/>
  <c r="P22" i="137"/>
  <c r="P22" i="131"/>
  <c r="J22" i="136"/>
  <c r="E26" i="127"/>
  <c r="N22" i="131"/>
  <c r="J22" i="135"/>
  <c r="J22" i="124"/>
  <c r="J22" i="127"/>
  <c r="J22" i="134"/>
  <c r="P22" i="124"/>
  <c r="K22" i="136"/>
  <c r="N22" i="127"/>
  <c r="P22" i="126"/>
  <c r="P23" i="123"/>
  <c r="N22" i="132"/>
  <c r="P23" i="124"/>
  <c r="M23" i="147"/>
  <c r="O23" i="123"/>
  <c r="J26" i="131"/>
  <c r="E28" i="131"/>
  <c r="L22" i="135"/>
  <c r="G26" i="127"/>
  <c r="N22" i="137"/>
  <c r="I23" i="147"/>
  <c r="E26" i="135"/>
  <c r="M22" i="132"/>
  <c r="N23" i="123"/>
  <c r="L22" i="132"/>
  <c r="N22" i="136"/>
  <c r="F28" i="136"/>
  <c r="J22" i="131"/>
  <c r="I22" i="134"/>
  <c r="G22" i="137"/>
  <c r="G23" i="194"/>
  <c r="K23" i="147"/>
  <c r="K22" i="132"/>
  <c r="J23" i="194"/>
  <c r="I22" i="131"/>
  <c r="F23" i="147"/>
  <c r="J22" i="132"/>
  <c r="M22" i="131"/>
  <c r="O22" i="131"/>
  <c r="K22" i="135"/>
  <c r="G22" i="147"/>
  <c r="E28" i="137"/>
  <c r="O22" i="134"/>
  <c r="F28" i="135"/>
  <c r="N36" i="34"/>
  <c r="S4" i="197"/>
  <c r="I22" i="132"/>
  <c r="E22" i="132"/>
  <c r="E22" i="147"/>
  <c r="E29" i="147" s="1"/>
  <c r="F22" i="147"/>
  <c r="G22" i="194"/>
  <c r="E26" i="147" l="1"/>
  <c r="P23" i="147"/>
  <c r="O23" i="135"/>
  <c r="K23" i="127"/>
  <c r="E26" i="194"/>
  <c r="E30" i="194" s="1"/>
  <c r="K23" i="137"/>
  <c r="P23" i="134"/>
  <c r="K23" i="134"/>
  <c r="N23" i="134"/>
  <c r="P23" i="135"/>
  <c r="O23" i="137"/>
  <c r="E28" i="136"/>
  <c r="O23" i="127"/>
  <c r="K23" i="132"/>
  <c r="G23" i="147"/>
  <c r="I23" i="134"/>
  <c r="G23" i="132"/>
  <c r="H28" i="131"/>
  <c r="O23" i="194"/>
  <c r="N23" i="127"/>
  <c r="G23" i="135"/>
  <c r="O28" i="149"/>
  <c r="L23" i="204"/>
  <c r="P22" i="204"/>
  <c r="L22" i="126"/>
  <c r="L22" i="204"/>
  <c r="K22" i="126"/>
  <c r="L27" i="135"/>
  <c r="F26" i="135"/>
  <c r="J28" i="135"/>
  <c r="M22" i="133"/>
  <c r="H27" i="131"/>
  <c r="J23" i="136"/>
  <c r="K23" i="123"/>
  <c r="G23" i="136"/>
  <c r="M23" i="124"/>
  <c r="H22" i="134"/>
  <c r="H22" i="136"/>
  <c r="J28" i="149"/>
  <c r="N28" i="137"/>
  <c r="L27" i="127"/>
  <c r="G27" i="137"/>
  <c r="K27" i="134"/>
  <c r="J28" i="134"/>
  <c r="K26" i="135"/>
  <c r="F26" i="134"/>
  <c r="J23" i="124"/>
  <c r="J28" i="131"/>
  <c r="Q21" i="147"/>
  <c r="G26" i="131"/>
  <c r="N26" i="132"/>
  <c r="F22" i="136"/>
  <c r="J22" i="204"/>
  <c r="M28" i="136"/>
  <c r="N28" i="135"/>
  <c r="L23" i="132"/>
  <c r="H22" i="194"/>
  <c r="E22" i="137"/>
  <c r="E29" i="137" s="1"/>
  <c r="P23" i="136"/>
  <c r="F22" i="134"/>
  <c r="I26" i="134"/>
  <c r="N27" i="134"/>
  <c r="K22" i="133"/>
  <c r="K27" i="136"/>
  <c r="H23" i="137"/>
  <c r="Q20" i="134"/>
  <c r="L26" i="147"/>
  <c r="L30" i="147" s="1"/>
  <c r="H27" i="136"/>
  <c r="O28" i="135"/>
  <c r="E27" i="134"/>
  <c r="F26" i="194"/>
  <c r="P27" i="131"/>
  <c r="J26" i="134"/>
  <c r="I26" i="131"/>
  <c r="K27" i="135"/>
  <c r="I28" i="135"/>
  <c r="J23" i="147"/>
  <c r="F23" i="136"/>
  <c r="M23" i="135"/>
  <c r="F26" i="147"/>
  <c r="F30" i="147" s="1"/>
  <c r="I23" i="127"/>
  <c r="E27" i="137"/>
  <c r="K22" i="142"/>
  <c r="L22" i="202"/>
  <c r="M23" i="194"/>
  <c r="G22" i="132"/>
  <c r="M28" i="131"/>
  <c r="K23" i="135"/>
  <c r="I22" i="124"/>
  <c r="L23" i="131"/>
  <c r="J23" i="132"/>
  <c r="K23" i="136"/>
  <c r="F28" i="123"/>
  <c r="J22" i="200"/>
  <c r="G7" i="34"/>
  <c r="F23" i="123"/>
  <c r="N23" i="135"/>
  <c r="J27" i="132"/>
  <c r="J23" i="123"/>
  <c r="E23" i="135"/>
  <c r="P27" i="127"/>
  <c r="L23" i="124"/>
  <c r="F23" i="127"/>
  <c r="N23" i="131"/>
  <c r="P23" i="137"/>
  <c r="L23" i="123"/>
  <c r="I26" i="135"/>
  <c r="L23" i="126"/>
  <c r="P23" i="127"/>
  <c r="H22" i="132"/>
  <c r="E26" i="126"/>
  <c r="L28" i="131"/>
  <c r="G23" i="123"/>
  <c r="O23" i="131"/>
  <c r="F26" i="132"/>
  <c r="N28" i="127"/>
  <c r="O28" i="127"/>
  <c r="G28" i="127"/>
  <c r="N28" i="136"/>
  <c r="G23" i="127"/>
  <c r="G33" i="34"/>
  <c r="Q33" i="34" s="1"/>
  <c r="H27" i="127"/>
  <c r="N26" i="131"/>
  <c r="M26" i="131"/>
  <c r="Q19" i="131"/>
  <c r="G28" i="134"/>
  <c r="L22" i="134"/>
  <c r="L23" i="134"/>
  <c r="E27" i="131"/>
  <c r="Q20" i="131"/>
  <c r="O28" i="132"/>
  <c r="E23" i="132"/>
  <c r="J28" i="132"/>
  <c r="Q19" i="132"/>
  <c r="O23" i="132"/>
  <c r="F28" i="147"/>
  <c r="P28" i="147"/>
  <c r="E28" i="147"/>
  <c r="M28" i="147"/>
  <c r="E23" i="147"/>
  <c r="I23" i="123"/>
  <c r="N26" i="136"/>
  <c r="H26" i="136"/>
  <c r="I26" i="136"/>
  <c r="N27" i="137"/>
  <c r="M22" i="127"/>
  <c r="M23" i="127"/>
  <c r="F27" i="135"/>
  <c r="F23" i="135"/>
  <c r="N28" i="149"/>
  <c r="K26" i="137"/>
  <c r="E23" i="137"/>
  <c r="H23" i="135"/>
  <c r="H12" i="34"/>
  <c r="I22" i="135"/>
  <c r="I23" i="135"/>
  <c r="F23" i="137"/>
  <c r="Q21" i="137"/>
  <c r="L22" i="125"/>
  <c r="J28" i="147"/>
  <c r="I23" i="136"/>
  <c r="E23" i="136"/>
  <c r="L23" i="136"/>
  <c r="O27" i="134"/>
  <c r="L26" i="135"/>
  <c r="M26" i="127"/>
  <c r="I28" i="137"/>
  <c r="O26" i="132"/>
  <c r="L28" i="132"/>
  <c r="L22" i="133"/>
  <c r="J26" i="135"/>
  <c r="Q21" i="131"/>
  <c r="E26" i="137"/>
  <c r="E30" i="137" s="1"/>
  <c r="J26" i="127"/>
  <c r="L23" i="147"/>
  <c r="L23" i="194"/>
  <c r="E28" i="135"/>
  <c r="E30" i="135" s="1"/>
  <c r="H28" i="135"/>
  <c r="K28" i="135"/>
  <c r="G28" i="135"/>
  <c r="H23" i="131"/>
  <c r="H22" i="131"/>
  <c r="H7" i="34"/>
  <c r="E28" i="149"/>
  <c r="E30" i="149" s="1"/>
  <c r="H28" i="149"/>
  <c r="M28" i="149"/>
  <c r="G22" i="136"/>
  <c r="K26" i="134"/>
  <c r="P28" i="136"/>
  <c r="F28" i="131"/>
  <c r="G28" i="131"/>
  <c r="J27" i="136"/>
  <c r="P22" i="135"/>
  <c r="H26" i="132"/>
  <c r="E26" i="132"/>
  <c r="J26" i="132"/>
  <c r="F22" i="137"/>
  <c r="F27" i="137"/>
  <c r="J27" i="137"/>
  <c r="G27" i="134"/>
  <c r="I28" i="131"/>
  <c r="L27" i="131"/>
  <c r="J28" i="137"/>
  <c r="H27" i="134"/>
  <c r="K23" i="200"/>
  <c r="O23" i="136"/>
  <c r="O27" i="137"/>
  <c r="L26" i="131"/>
  <c r="M27" i="137"/>
  <c r="I28" i="147"/>
  <c r="K27" i="132"/>
  <c r="G28" i="136"/>
  <c r="G22" i="134"/>
  <c r="I26" i="147"/>
  <c r="I30" i="147" s="1"/>
  <c r="N23" i="136"/>
  <c r="L28" i="135"/>
  <c r="I28" i="136"/>
  <c r="F26" i="136"/>
  <c r="F30" i="136" s="1"/>
  <c r="E23" i="149"/>
  <c r="Q20" i="137"/>
  <c r="H26" i="135"/>
  <c r="H28" i="136"/>
  <c r="E23" i="127"/>
  <c r="I23" i="131"/>
  <c r="G26" i="123"/>
  <c r="G30" i="123" s="1"/>
  <c r="H23" i="132"/>
  <c r="P22" i="125"/>
  <c r="K28" i="149"/>
  <c r="P28" i="131"/>
  <c r="P28" i="127"/>
  <c r="G23" i="131"/>
  <c r="J26" i="147"/>
  <c r="J30" i="147" s="1"/>
  <c r="G26" i="132"/>
  <c r="G23" i="134"/>
  <c r="F27" i="127"/>
  <c r="H23" i="136"/>
  <c r="L27" i="137"/>
  <c r="G6" i="34"/>
  <c r="Q21" i="135"/>
  <c r="J28" i="136"/>
  <c r="E28" i="124"/>
  <c r="F22" i="131"/>
  <c r="F23" i="131"/>
  <c r="G27" i="135"/>
  <c r="N27" i="132"/>
  <c r="P28" i="132"/>
  <c r="G26" i="137"/>
  <c r="O28" i="136"/>
  <c r="N26" i="137"/>
  <c r="K26" i="132"/>
  <c r="P23" i="132"/>
  <c r="P27" i="132"/>
  <c r="I27" i="135"/>
  <c r="H28" i="134"/>
  <c r="N26" i="134"/>
  <c r="L28" i="136"/>
  <c r="N26" i="127"/>
  <c r="M27" i="134"/>
  <c r="I28" i="132"/>
  <c r="L27" i="134"/>
  <c r="O27" i="132"/>
  <c r="H26" i="137"/>
  <c r="J26" i="136"/>
  <c r="J27" i="135"/>
  <c r="E22" i="131"/>
  <c r="M28" i="132"/>
  <c r="Q19" i="137"/>
  <c r="K28" i="131"/>
  <c r="I27" i="131"/>
  <c r="E26" i="136"/>
  <c r="N27" i="127"/>
  <c r="H28" i="137"/>
  <c r="K26" i="131"/>
  <c r="F23" i="132"/>
  <c r="K27" i="137"/>
  <c r="E28" i="134"/>
  <c r="E30" i="134" s="1"/>
  <c r="J23" i="201"/>
  <c r="M23" i="136"/>
  <c r="M22" i="136"/>
  <c r="F27" i="131"/>
  <c r="H22" i="127"/>
  <c r="M23" i="134"/>
  <c r="E23" i="134"/>
  <c r="K26" i="147"/>
  <c r="K30" i="147" s="1"/>
  <c r="L27" i="136"/>
  <c r="P28" i="137"/>
  <c r="H23" i="147"/>
  <c r="K28" i="147"/>
  <c r="G28" i="132"/>
  <c r="Q20" i="136"/>
  <c r="P26" i="131"/>
  <c r="G27" i="136"/>
  <c r="K27" i="127"/>
  <c r="K28" i="136"/>
  <c r="P27" i="134"/>
  <c r="G22" i="133"/>
  <c r="L28" i="127"/>
  <c r="N22" i="195"/>
  <c r="Q21" i="134"/>
  <c r="Q21" i="136"/>
  <c r="Q21" i="127"/>
  <c r="Q20" i="135"/>
  <c r="M26" i="132"/>
  <c r="P27" i="137"/>
  <c r="O26" i="134"/>
  <c r="K28" i="132"/>
  <c r="J28" i="127"/>
  <c r="P26" i="127"/>
  <c r="O26" i="131"/>
  <c r="H23" i="127"/>
  <c r="H22" i="135"/>
  <c r="O28" i="147"/>
  <c r="N28" i="131"/>
  <c r="M27" i="127"/>
  <c r="K26" i="136"/>
  <c r="E27" i="136"/>
  <c r="H26" i="147"/>
  <c r="H30" i="147" s="1"/>
  <c r="P26" i="136"/>
  <c r="L28" i="137"/>
  <c r="G27" i="127"/>
  <c r="G30" i="127" s="1"/>
  <c r="K28" i="137"/>
  <c r="G23" i="137"/>
  <c r="P26" i="135"/>
  <c r="Q21" i="132"/>
  <c r="F28" i="134"/>
  <c r="K28" i="127"/>
  <c r="J23" i="134"/>
  <c r="Q19" i="136"/>
  <c r="P26" i="134"/>
  <c r="H26" i="127"/>
  <c r="M26" i="137"/>
  <c r="N27" i="136"/>
  <c r="O28" i="131"/>
  <c r="I28" i="127"/>
  <c r="N27" i="131"/>
  <c r="Q20" i="132"/>
  <c r="Q19" i="134"/>
  <c r="O26" i="136"/>
  <c r="L26" i="127"/>
  <c r="J27" i="127"/>
  <c r="F28" i="149"/>
  <c r="O26" i="137"/>
  <c r="E22" i="135"/>
  <c r="Q19" i="147"/>
  <c r="M26" i="147"/>
  <c r="M30" i="147" s="1"/>
  <c r="P23" i="131"/>
  <c r="H27" i="135"/>
  <c r="G22" i="135"/>
  <c r="E26" i="131"/>
  <c r="E30" i="131" s="1"/>
  <c r="F27" i="132"/>
  <c r="L22" i="195"/>
  <c r="H23" i="134"/>
  <c r="F22" i="132"/>
  <c r="I27" i="137"/>
  <c r="N23" i="132"/>
  <c r="L26" i="136"/>
  <c r="G28" i="149"/>
  <c r="J26" i="137"/>
  <c r="L23" i="127"/>
  <c r="E23" i="131"/>
  <c r="G22" i="131"/>
  <c r="M23" i="137"/>
  <c r="E27" i="124"/>
  <c r="O23" i="134"/>
  <c r="G23" i="142"/>
  <c r="F26" i="127"/>
  <c r="M23" i="123"/>
  <c r="I22" i="137"/>
  <c r="I23" i="137"/>
  <c r="P27" i="135"/>
  <c r="F26" i="131"/>
  <c r="K26" i="127"/>
  <c r="G27" i="132"/>
  <c r="L26" i="132"/>
  <c r="P26" i="132"/>
  <c r="L27" i="132"/>
  <c r="G28" i="147"/>
  <c r="I27" i="132"/>
  <c r="I28" i="134"/>
  <c r="M27" i="131"/>
  <c r="N28" i="147"/>
  <c r="M28" i="134"/>
  <c r="N28" i="134"/>
  <c r="O28" i="137"/>
  <c r="G22" i="127"/>
  <c r="N22" i="133"/>
  <c r="P26" i="137"/>
  <c r="H26" i="131"/>
  <c r="I28" i="149"/>
  <c r="O27" i="135"/>
  <c r="O26" i="147"/>
  <c r="O30" i="147" s="1"/>
  <c r="P28" i="149"/>
  <c r="P23" i="201"/>
  <c r="E28" i="132"/>
  <c r="G26" i="136"/>
  <c r="F26" i="137"/>
  <c r="E27" i="200"/>
  <c r="N26" i="147"/>
  <c r="N30" i="147" s="1"/>
  <c r="N26" i="135"/>
  <c r="L26" i="137"/>
  <c r="I23" i="194"/>
  <c r="J23" i="127"/>
  <c r="F27" i="134"/>
  <c r="M28" i="135"/>
  <c r="K23" i="131"/>
  <c r="F28" i="132"/>
  <c r="N27" i="135"/>
  <c r="K28" i="134"/>
  <c r="L26" i="134"/>
  <c r="M26" i="136"/>
  <c r="O27" i="136"/>
  <c r="J27" i="131"/>
  <c r="J30" i="131" s="1"/>
  <c r="Q20" i="127"/>
  <c r="J22" i="133"/>
  <c r="O28" i="134"/>
  <c r="M28" i="137"/>
  <c r="H22" i="147"/>
  <c r="H29" i="147" s="1"/>
  <c r="M27" i="136"/>
  <c r="F28" i="127"/>
  <c r="Q19" i="135"/>
  <c r="O27" i="131"/>
  <c r="H27" i="137"/>
  <c r="Q19" i="127"/>
  <c r="I27" i="134"/>
  <c r="P28" i="134"/>
  <c r="J27" i="134"/>
  <c r="K27" i="131"/>
  <c r="H28" i="127"/>
  <c r="O26" i="135"/>
  <c r="J23" i="131"/>
  <c r="M27" i="135"/>
  <c r="P28" i="135"/>
  <c r="Q21" i="149"/>
  <c r="G26" i="134"/>
  <c r="M26" i="134"/>
  <c r="H28" i="132"/>
  <c r="O27" i="127"/>
  <c r="M27" i="132"/>
  <c r="M22" i="202"/>
  <c r="I26" i="132"/>
  <c r="H28" i="147"/>
  <c r="M28" i="127"/>
  <c r="F28" i="137"/>
  <c r="M23" i="132"/>
  <c r="F22" i="127"/>
  <c r="I26" i="137"/>
  <c r="N28" i="132"/>
  <c r="I27" i="136"/>
  <c r="I26" i="127"/>
  <c r="M26" i="135"/>
  <c r="L23" i="135"/>
  <c r="P26" i="147"/>
  <c r="P30" i="147" s="1"/>
  <c r="L28" i="134"/>
  <c r="G27" i="131"/>
  <c r="H27" i="132"/>
  <c r="E22" i="136"/>
  <c r="O26" i="127"/>
  <c r="J23" i="137"/>
  <c r="I27" i="127"/>
  <c r="J22" i="195"/>
  <c r="L28" i="149"/>
  <c r="E28" i="194"/>
  <c r="G26" i="135"/>
  <c r="G28" i="137"/>
  <c r="P27" i="136"/>
  <c r="M23" i="131"/>
  <c r="N23" i="147"/>
  <c r="F22" i="135"/>
  <c r="L23" i="137"/>
  <c r="N23" i="137"/>
  <c r="E22" i="134"/>
  <c r="J23" i="135"/>
  <c r="I23" i="132"/>
  <c r="E22" i="127"/>
  <c r="G28" i="126"/>
  <c r="E26" i="124"/>
  <c r="F26" i="124"/>
  <c r="F22" i="124"/>
  <c r="E27" i="126"/>
  <c r="N23" i="201"/>
  <c r="F23" i="124"/>
  <c r="E30" i="127"/>
  <c r="E28" i="126"/>
  <c r="F28" i="126"/>
  <c r="G29" i="147"/>
  <c r="E22" i="194"/>
  <c r="M22" i="124"/>
  <c r="N22" i="124"/>
  <c r="N23" i="124"/>
  <c r="E29" i="132"/>
  <c r="F29" i="147"/>
  <c r="E30" i="124" l="1"/>
  <c r="F30" i="194"/>
  <c r="S5" i="134"/>
  <c r="S6" i="134" s="1"/>
  <c r="S5" i="135"/>
  <c r="S6" i="135" s="1"/>
  <c r="S5" i="127"/>
  <c r="S6" i="127" s="1"/>
  <c r="S5" i="137"/>
  <c r="S6" i="137" s="1"/>
  <c r="S4" i="127"/>
  <c r="S4" i="137"/>
  <c r="E30" i="136"/>
  <c r="S4" i="136"/>
  <c r="S5" i="136"/>
  <c r="S6" i="136" s="1"/>
  <c r="S4" i="134"/>
  <c r="S5" i="132"/>
  <c r="S6" i="132" s="1"/>
  <c r="S4" i="131"/>
  <c r="E30" i="147"/>
  <c r="E28" i="199"/>
  <c r="F30" i="134"/>
  <c r="F30" i="132"/>
  <c r="K30" i="137"/>
  <c r="O30" i="134"/>
  <c r="G28" i="199"/>
  <c r="O30" i="132"/>
  <c r="L22" i="138"/>
  <c r="L23" i="133"/>
  <c r="L22" i="200"/>
  <c r="O22" i="200"/>
  <c r="N30" i="136"/>
  <c r="J30" i="137"/>
  <c r="H28" i="199"/>
  <c r="G23" i="126"/>
  <c r="H28" i="200"/>
  <c r="L30" i="135"/>
  <c r="H23" i="195"/>
  <c r="H27" i="124"/>
  <c r="J28" i="123"/>
  <c r="P24" i="127"/>
  <c r="P24" i="134"/>
  <c r="P24" i="126"/>
  <c r="P24" i="132"/>
  <c r="P24" i="136"/>
  <c r="P24" i="131"/>
  <c r="P24" i="137"/>
  <c r="P24" i="135"/>
  <c r="P24" i="149"/>
  <c r="L24" i="127"/>
  <c r="L24" i="134"/>
  <c r="L24" i="131"/>
  <c r="L24" i="135"/>
  <c r="L24" i="137"/>
  <c r="L24" i="132"/>
  <c r="L24" i="149"/>
  <c r="L24" i="136"/>
  <c r="L24" i="126"/>
  <c r="H24" i="127"/>
  <c r="H24" i="134"/>
  <c r="H24" i="135"/>
  <c r="H24" i="136"/>
  <c r="H24" i="137"/>
  <c r="H24" i="132"/>
  <c r="H24" i="149"/>
  <c r="H24" i="126"/>
  <c r="H24" i="131"/>
  <c r="O24" i="126"/>
  <c r="O24" i="137"/>
  <c r="O24" i="127"/>
  <c r="O24" i="131"/>
  <c r="O24" i="132"/>
  <c r="O24" i="134"/>
  <c r="O24" i="136"/>
  <c r="O24" i="149"/>
  <c r="O24" i="135"/>
  <c r="K24" i="126"/>
  <c r="K24" i="137"/>
  <c r="K24" i="135"/>
  <c r="K24" i="127"/>
  <c r="K24" i="132"/>
  <c r="K24" i="134"/>
  <c r="K24" i="136"/>
  <c r="K24" i="131"/>
  <c r="K24" i="149"/>
  <c r="G24" i="126"/>
  <c r="G24" i="137"/>
  <c r="G24" i="134"/>
  <c r="G24" i="136"/>
  <c r="G24" i="131"/>
  <c r="G24" i="135"/>
  <c r="G24" i="127"/>
  <c r="G24" i="149"/>
  <c r="G24" i="132"/>
  <c r="N24" i="132"/>
  <c r="N24" i="136"/>
  <c r="N24" i="134"/>
  <c r="N24" i="135"/>
  <c r="N24" i="149"/>
  <c r="N24" i="126"/>
  <c r="N24" i="131"/>
  <c r="N24" i="137"/>
  <c r="N24" i="127"/>
  <c r="J24" i="132"/>
  <c r="J24" i="136"/>
  <c r="J24" i="126"/>
  <c r="J24" i="127"/>
  <c r="J24" i="131"/>
  <c r="J24" i="137"/>
  <c r="J24" i="134"/>
  <c r="J24" i="149"/>
  <c r="J24" i="135"/>
  <c r="F24" i="132"/>
  <c r="F24" i="136"/>
  <c r="F24" i="126"/>
  <c r="F24" i="131"/>
  <c r="F24" i="135"/>
  <c r="F24" i="127"/>
  <c r="F24" i="137"/>
  <c r="F24" i="149"/>
  <c r="F24" i="134"/>
  <c r="M24" i="131"/>
  <c r="M24" i="135"/>
  <c r="M24" i="136"/>
  <c r="M24" i="137"/>
  <c r="M24" i="149"/>
  <c r="M24" i="126"/>
  <c r="M24" i="127"/>
  <c r="M24" i="132"/>
  <c r="M24" i="134"/>
  <c r="I24" i="131"/>
  <c r="I24" i="135"/>
  <c r="I24" i="132"/>
  <c r="I24" i="134"/>
  <c r="I24" i="149"/>
  <c r="I24" i="127"/>
  <c r="I24" i="136"/>
  <c r="I24" i="126"/>
  <c r="I24" i="137"/>
  <c r="E24" i="126"/>
  <c r="E24" i="137"/>
  <c r="E24" i="127"/>
  <c r="E24" i="134"/>
  <c r="E24" i="149"/>
  <c r="E24" i="131"/>
  <c r="E24" i="135"/>
  <c r="E24" i="132"/>
  <c r="E24" i="136"/>
  <c r="J23" i="204"/>
  <c r="N23" i="204"/>
  <c r="H22" i="125"/>
  <c r="M22" i="204"/>
  <c r="F30" i="135"/>
  <c r="E23" i="126"/>
  <c r="I22" i="125"/>
  <c r="K22" i="202"/>
  <c r="G27" i="126"/>
  <c r="L28" i="204"/>
  <c r="E27" i="125"/>
  <c r="E28" i="204"/>
  <c r="H28" i="204"/>
  <c r="F28" i="204"/>
  <c r="K28" i="204"/>
  <c r="G28" i="204"/>
  <c r="N22" i="204"/>
  <c r="M30" i="132"/>
  <c r="O22" i="204"/>
  <c r="O23" i="204"/>
  <c r="L30" i="136"/>
  <c r="P23" i="125"/>
  <c r="P23" i="204"/>
  <c r="G27" i="124"/>
  <c r="K22" i="200"/>
  <c r="H26" i="124"/>
  <c r="M23" i="204"/>
  <c r="K22" i="204"/>
  <c r="K23" i="204"/>
  <c r="F23" i="204"/>
  <c r="F22" i="204"/>
  <c r="H30" i="134"/>
  <c r="H23" i="194"/>
  <c r="E29" i="123"/>
  <c r="G26" i="126"/>
  <c r="G32" i="34"/>
  <c r="Q32" i="34" s="1"/>
  <c r="F28" i="199"/>
  <c r="F27" i="126"/>
  <c r="E26" i="123"/>
  <c r="E30" i="123" s="1"/>
  <c r="F23" i="195"/>
  <c r="M30" i="136"/>
  <c r="M30" i="131"/>
  <c r="F30" i="127"/>
  <c r="I29" i="132"/>
  <c r="K30" i="136"/>
  <c r="I30" i="131"/>
  <c r="K30" i="132"/>
  <c r="O23" i="195"/>
  <c r="N28" i="199"/>
  <c r="O28" i="126"/>
  <c r="M22" i="142"/>
  <c r="H26" i="126"/>
  <c r="N30" i="134"/>
  <c r="G22" i="126"/>
  <c r="I23" i="126"/>
  <c r="P23" i="126"/>
  <c r="E22" i="126"/>
  <c r="I22" i="126"/>
  <c r="G30" i="131"/>
  <c r="P23" i="200"/>
  <c r="O28" i="124"/>
  <c r="P30" i="137"/>
  <c r="H23" i="133"/>
  <c r="O30" i="137"/>
  <c r="K30" i="134"/>
  <c r="L28" i="133"/>
  <c r="G35" i="34"/>
  <c r="Q35" i="34" s="1"/>
  <c r="P22" i="138"/>
  <c r="O27" i="124"/>
  <c r="J26" i="194"/>
  <c r="J30" i="194" s="1"/>
  <c r="F22" i="194"/>
  <c r="L29" i="194" s="1"/>
  <c r="G28" i="125"/>
  <c r="N23" i="200"/>
  <c r="O22" i="195"/>
  <c r="M23" i="126"/>
  <c r="F22" i="126"/>
  <c r="F29" i="137"/>
  <c r="P30" i="136"/>
  <c r="H28" i="195"/>
  <c r="O30" i="136"/>
  <c r="M30" i="137"/>
  <c r="O30" i="131"/>
  <c r="J30" i="136"/>
  <c r="F26" i="126"/>
  <c r="Q21" i="123"/>
  <c r="M28" i="126"/>
  <c r="F27" i="124"/>
  <c r="F30" i="124" s="1"/>
  <c r="M23" i="133"/>
  <c r="L26" i="194"/>
  <c r="L30" i="194" s="1"/>
  <c r="F28" i="200"/>
  <c r="N26" i="123"/>
  <c r="N30" i="123" s="1"/>
  <c r="E22" i="124"/>
  <c r="E29" i="124" s="1"/>
  <c r="H26" i="142"/>
  <c r="O26" i="194"/>
  <c r="O30" i="194" s="1"/>
  <c r="I30" i="136"/>
  <c r="L30" i="134"/>
  <c r="F30" i="137"/>
  <c r="G23" i="133"/>
  <c r="F29" i="134"/>
  <c r="I29" i="134"/>
  <c r="G29" i="134"/>
  <c r="Q22" i="147"/>
  <c r="O29" i="147"/>
  <c r="G22" i="200"/>
  <c r="I30" i="135"/>
  <c r="O22" i="124"/>
  <c r="O23" i="124"/>
  <c r="J23" i="200"/>
  <c r="J22" i="202"/>
  <c r="Q21" i="126"/>
  <c r="M23" i="195"/>
  <c r="L26" i="126"/>
  <c r="E23" i="200"/>
  <c r="E26" i="202"/>
  <c r="E26" i="142"/>
  <c r="N22" i="142"/>
  <c r="J22" i="126"/>
  <c r="J22" i="125"/>
  <c r="P29" i="134"/>
  <c r="J23" i="126"/>
  <c r="J29" i="147"/>
  <c r="I29" i="147"/>
  <c r="N29" i="134"/>
  <c r="M28" i="123"/>
  <c r="F26" i="123"/>
  <c r="I28" i="133"/>
  <c r="P22" i="195"/>
  <c r="G28" i="124"/>
  <c r="I28" i="124"/>
  <c r="H22" i="124"/>
  <c r="M29" i="127"/>
  <c r="I26" i="133"/>
  <c r="H30" i="131"/>
  <c r="Q22" i="135"/>
  <c r="M26" i="200"/>
  <c r="G26" i="142"/>
  <c r="P30" i="127"/>
  <c r="K23" i="133"/>
  <c r="G30" i="137"/>
  <c r="J28" i="126"/>
  <c r="J30" i="132"/>
  <c r="I26" i="126"/>
  <c r="O28" i="123"/>
  <c r="N29" i="132"/>
  <c r="L30" i="127"/>
  <c r="L30" i="137"/>
  <c r="P23" i="195"/>
  <c r="J30" i="135"/>
  <c r="N30" i="137"/>
  <c r="L30" i="131"/>
  <c r="S5" i="147"/>
  <c r="S6" i="147" s="1"/>
  <c r="G27" i="195"/>
  <c r="G26" i="194"/>
  <c r="G30" i="194" s="1"/>
  <c r="F23" i="194"/>
  <c r="O23" i="202"/>
  <c r="O23" i="200"/>
  <c r="P26" i="126"/>
  <c r="F26" i="200"/>
  <c r="I26" i="194"/>
  <c r="I30" i="194" s="1"/>
  <c r="K28" i="126"/>
  <c r="F27" i="202"/>
  <c r="M22" i="200"/>
  <c r="N27" i="124"/>
  <c r="I23" i="124"/>
  <c r="K28" i="123"/>
  <c r="J26" i="142"/>
  <c r="I29" i="137"/>
  <c r="O30" i="135"/>
  <c r="M29" i="147"/>
  <c r="N29" i="147"/>
  <c r="K29" i="147"/>
  <c r="Q22" i="132"/>
  <c r="J27" i="124"/>
  <c r="I27" i="124"/>
  <c r="L27" i="124"/>
  <c r="H23" i="124"/>
  <c r="H30" i="132"/>
  <c r="S4" i="132"/>
  <c r="K28" i="199"/>
  <c r="F27" i="195"/>
  <c r="P28" i="124"/>
  <c r="P28" i="126"/>
  <c r="L28" i="126"/>
  <c r="H28" i="126"/>
  <c r="M26" i="126"/>
  <c r="J26" i="126"/>
  <c r="F23" i="126"/>
  <c r="I28" i="123"/>
  <c r="H28" i="123"/>
  <c r="G28" i="123"/>
  <c r="L28" i="123"/>
  <c r="L22" i="142"/>
  <c r="E22" i="195"/>
  <c r="E29" i="195" s="1"/>
  <c r="Q19" i="126"/>
  <c r="M28" i="124"/>
  <c r="P26" i="194"/>
  <c r="P30" i="194" s="1"/>
  <c r="H26" i="200"/>
  <c r="K26" i="194"/>
  <c r="K30" i="194" s="1"/>
  <c r="P28" i="199"/>
  <c r="N28" i="126"/>
  <c r="P27" i="124"/>
  <c r="K26" i="142"/>
  <c r="H26" i="194"/>
  <c r="H30" i="194" s="1"/>
  <c r="E28" i="123"/>
  <c r="Q19" i="194"/>
  <c r="G26" i="196"/>
  <c r="Q22" i="137"/>
  <c r="O29" i="137"/>
  <c r="I28" i="126"/>
  <c r="P30" i="135"/>
  <c r="K30" i="127"/>
  <c r="N30" i="132"/>
  <c r="E26" i="200"/>
  <c r="R41" i="34" s="1"/>
  <c r="Q20" i="126"/>
  <c r="F27" i="133"/>
  <c r="P30" i="131"/>
  <c r="I27" i="195"/>
  <c r="K30" i="135"/>
  <c r="N28" i="123"/>
  <c r="P28" i="123"/>
  <c r="G22" i="195"/>
  <c r="L27" i="133"/>
  <c r="P29" i="147"/>
  <c r="L29" i="147"/>
  <c r="G27" i="133"/>
  <c r="J27" i="133"/>
  <c r="E27" i="133"/>
  <c r="G12" i="34"/>
  <c r="H22" i="133"/>
  <c r="M22" i="195"/>
  <c r="P23" i="133"/>
  <c r="P22" i="133"/>
  <c r="I28" i="195"/>
  <c r="M28" i="195"/>
  <c r="P27" i="133"/>
  <c r="H27" i="133"/>
  <c r="J28" i="195"/>
  <c r="G26" i="195"/>
  <c r="K26" i="126"/>
  <c r="E29" i="136"/>
  <c r="L29" i="136"/>
  <c r="H22" i="195"/>
  <c r="H33" i="34"/>
  <c r="I33" i="34" s="1"/>
  <c r="P23" i="197"/>
  <c r="H40" i="34"/>
  <c r="H23" i="200"/>
  <c r="N29" i="127"/>
  <c r="P26" i="133"/>
  <c r="H22" i="200"/>
  <c r="P30" i="132"/>
  <c r="G30" i="135"/>
  <c r="M29" i="134"/>
  <c r="G30" i="134"/>
  <c r="J30" i="127"/>
  <c r="M30" i="127"/>
  <c r="F29" i="135"/>
  <c r="G30" i="132"/>
  <c r="E30" i="132"/>
  <c r="K28" i="194"/>
  <c r="J23" i="133"/>
  <c r="O29" i="127"/>
  <c r="K29" i="132"/>
  <c r="I30" i="127"/>
  <c r="J30" i="134"/>
  <c r="I30" i="134"/>
  <c r="I23" i="196"/>
  <c r="K23" i="195"/>
  <c r="P30" i="134"/>
  <c r="K30" i="131"/>
  <c r="G29" i="127"/>
  <c r="J29" i="127"/>
  <c r="J26" i="133"/>
  <c r="M26" i="133"/>
  <c r="Q19" i="133"/>
  <c r="P28" i="195"/>
  <c r="F28" i="195"/>
  <c r="L28" i="195"/>
  <c r="E28" i="195"/>
  <c r="Q21" i="195"/>
  <c r="K28" i="195"/>
  <c r="O28" i="195"/>
  <c r="S4" i="135"/>
  <c r="H30" i="135"/>
  <c r="N30" i="127"/>
  <c r="H29" i="131"/>
  <c r="F29" i="131"/>
  <c r="G23" i="124"/>
  <c r="P26" i="124"/>
  <c r="G29" i="137"/>
  <c r="M29" i="137"/>
  <c r="H29" i="137"/>
  <c r="L29" i="137"/>
  <c r="N29" i="137"/>
  <c r="P29" i="137"/>
  <c r="I22" i="200"/>
  <c r="I23" i="202"/>
  <c r="E28" i="133"/>
  <c r="K28" i="133"/>
  <c r="G28" i="133"/>
  <c r="H28" i="133"/>
  <c r="Q21" i="133"/>
  <c r="L29" i="135"/>
  <c r="Q22" i="134"/>
  <c r="G26" i="200"/>
  <c r="E22" i="133"/>
  <c r="E29" i="133" s="1"/>
  <c r="K27" i="195"/>
  <c r="K29" i="135"/>
  <c r="P28" i="133"/>
  <c r="K29" i="134"/>
  <c r="I26" i="200"/>
  <c r="H27" i="200"/>
  <c r="K26" i="133"/>
  <c r="S5" i="131"/>
  <c r="S6" i="131" s="1"/>
  <c r="N28" i="195"/>
  <c r="O29" i="131"/>
  <c r="I23" i="200"/>
  <c r="I29" i="127"/>
  <c r="J29" i="134"/>
  <c r="N28" i="133"/>
  <c r="J26" i="123"/>
  <c r="J30" i="123" s="1"/>
  <c r="O26" i="123"/>
  <c r="O30" i="123" s="1"/>
  <c r="F28" i="194"/>
  <c r="F22" i="200"/>
  <c r="O26" i="133"/>
  <c r="H30" i="136"/>
  <c r="I29" i="131"/>
  <c r="F28" i="133"/>
  <c r="G25" i="34"/>
  <c r="L26" i="142"/>
  <c r="I26" i="142"/>
  <c r="Q19" i="142"/>
  <c r="F22" i="195"/>
  <c r="K23" i="194"/>
  <c r="N26" i="194"/>
  <c r="N30" i="194" s="1"/>
  <c r="M26" i="194"/>
  <c r="M30" i="194" s="1"/>
  <c r="O30" i="127"/>
  <c r="M30" i="135"/>
  <c r="M27" i="126"/>
  <c r="K27" i="126"/>
  <c r="L27" i="126"/>
  <c r="P26" i="200"/>
  <c r="J26" i="200"/>
  <c r="Q19" i="200"/>
  <c r="K22" i="124"/>
  <c r="K22" i="138"/>
  <c r="K23" i="124"/>
  <c r="H23" i="123"/>
  <c r="M26" i="123"/>
  <c r="M30" i="123" s="1"/>
  <c r="K26" i="123"/>
  <c r="K30" i="123" s="1"/>
  <c r="L26" i="123"/>
  <c r="L30" i="123" s="1"/>
  <c r="Q19" i="123"/>
  <c r="P26" i="123"/>
  <c r="P30" i="123" s="1"/>
  <c r="H26" i="123"/>
  <c r="H30" i="123" s="1"/>
  <c r="O26" i="126"/>
  <c r="K23" i="126"/>
  <c r="N26" i="126"/>
  <c r="H29" i="136"/>
  <c r="I29" i="136"/>
  <c r="M29" i="136"/>
  <c r="Q20" i="124"/>
  <c r="K27" i="124"/>
  <c r="M27" i="124"/>
  <c r="L29" i="132"/>
  <c r="F29" i="132"/>
  <c r="E29" i="135"/>
  <c r="N29" i="135"/>
  <c r="H29" i="135"/>
  <c r="I29" i="135"/>
  <c r="J29" i="135"/>
  <c r="K28" i="200"/>
  <c r="J28" i="200"/>
  <c r="I28" i="200"/>
  <c r="J28" i="133"/>
  <c r="N27" i="200"/>
  <c r="O28" i="133"/>
  <c r="N27" i="195"/>
  <c r="O29" i="134"/>
  <c r="E26" i="133"/>
  <c r="F22" i="202"/>
  <c r="O28" i="200"/>
  <c r="G28" i="195"/>
  <c r="P26" i="195"/>
  <c r="I26" i="123"/>
  <c r="I30" i="123" s="1"/>
  <c r="G23" i="200"/>
  <c r="M28" i="133"/>
  <c r="K29" i="137"/>
  <c r="E27" i="195"/>
  <c r="E29" i="134"/>
  <c r="H29" i="134"/>
  <c r="L29" i="134"/>
  <c r="H30" i="137"/>
  <c r="E26" i="195"/>
  <c r="R34" i="34" s="1"/>
  <c r="K26" i="195"/>
  <c r="J26" i="195"/>
  <c r="F26" i="195"/>
  <c r="R47" i="34" s="1"/>
  <c r="H26" i="195"/>
  <c r="I26" i="195"/>
  <c r="J23" i="195"/>
  <c r="N27" i="133"/>
  <c r="O22" i="133"/>
  <c r="O23" i="133"/>
  <c r="F23" i="133"/>
  <c r="F28" i="124"/>
  <c r="K28" i="124"/>
  <c r="N28" i="124"/>
  <c r="L28" i="124"/>
  <c r="J28" i="124"/>
  <c r="Q21" i="124"/>
  <c r="J28" i="199"/>
  <c r="Q21" i="199"/>
  <c r="I28" i="199"/>
  <c r="F22" i="133"/>
  <c r="N30" i="135"/>
  <c r="L28" i="194"/>
  <c r="I30" i="132"/>
  <c r="F30" i="131"/>
  <c r="M22" i="126"/>
  <c r="N22" i="200"/>
  <c r="H28" i="124"/>
  <c r="M30" i="134"/>
  <c r="J29" i="137"/>
  <c r="I30" i="137"/>
  <c r="Q19" i="195"/>
  <c r="N30" i="131"/>
  <c r="L29" i="127"/>
  <c r="J27" i="195"/>
  <c r="L23" i="200"/>
  <c r="H28" i="194"/>
  <c r="I27" i="200"/>
  <c r="I27" i="133"/>
  <c r="K27" i="133"/>
  <c r="Q19" i="124"/>
  <c r="E29" i="131"/>
  <c r="N26" i="195"/>
  <c r="L26" i="195"/>
  <c r="M27" i="200"/>
  <c r="I23" i="133"/>
  <c r="J27" i="126"/>
  <c r="P22" i="200"/>
  <c r="I22" i="138"/>
  <c r="I22" i="196"/>
  <c r="K27" i="200"/>
  <c r="M29" i="132"/>
  <c r="N26" i="200"/>
  <c r="L27" i="195"/>
  <c r="M28" i="200"/>
  <c r="O27" i="133"/>
  <c r="L28" i="199"/>
  <c r="N22" i="196"/>
  <c r="P27" i="200"/>
  <c r="P27" i="195"/>
  <c r="L26" i="133"/>
  <c r="G26" i="133"/>
  <c r="Q21" i="194"/>
  <c r="F23" i="200"/>
  <c r="M23" i="200"/>
  <c r="G29" i="132"/>
  <c r="P29" i="131"/>
  <c r="M29" i="131"/>
  <c r="M26" i="142"/>
  <c r="O26" i="142"/>
  <c r="K29" i="131"/>
  <c r="N26" i="142"/>
  <c r="P29" i="135"/>
  <c r="H30" i="127"/>
  <c r="P29" i="127"/>
  <c r="L26" i="124"/>
  <c r="O29" i="135"/>
  <c r="J28" i="194"/>
  <c r="N29" i="136"/>
  <c r="Q20" i="195"/>
  <c r="K29" i="136"/>
  <c r="I22" i="133"/>
  <c r="N26" i="133"/>
  <c r="O27" i="195"/>
  <c r="G22" i="124"/>
  <c r="N26" i="124"/>
  <c r="K26" i="200"/>
  <c r="E28" i="200"/>
  <c r="J29" i="136"/>
  <c r="N23" i="133"/>
  <c r="F27" i="200"/>
  <c r="G29" i="136"/>
  <c r="F29" i="136"/>
  <c r="I26" i="124"/>
  <c r="P29" i="132"/>
  <c r="K29" i="127"/>
  <c r="E29" i="127"/>
  <c r="F29" i="127"/>
  <c r="Q22" i="127"/>
  <c r="L30" i="132"/>
  <c r="M26" i="195"/>
  <c r="L26" i="200"/>
  <c r="K22" i="195"/>
  <c r="K26" i="124"/>
  <c r="O22" i="126"/>
  <c r="O28" i="194"/>
  <c r="Q20" i="133"/>
  <c r="M27" i="133"/>
  <c r="N29" i="131"/>
  <c r="N28" i="194"/>
  <c r="I27" i="126"/>
  <c r="O27" i="126"/>
  <c r="J26" i="124"/>
  <c r="O23" i="126"/>
  <c r="G27" i="200"/>
  <c r="E26" i="196"/>
  <c r="G23" i="196"/>
  <c r="G28" i="200"/>
  <c r="M29" i="135"/>
  <c r="O26" i="124"/>
  <c r="H29" i="132"/>
  <c r="E22" i="200"/>
  <c r="J27" i="200"/>
  <c r="M27" i="195"/>
  <c r="O29" i="132"/>
  <c r="P28" i="194"/>
  <c r="N28" i="200"/>
  <c r="Q20" i="200"/>
  <c r="L28" i="200"/>
  <c r="M28" i="194"/>
  <c r="L27" i="200"/>
  <c r="F26" i="133"/>
  <c r="H26" i="133"/>
  <c r="I28" i="194"/>
  <c r="O26" i="200"/>
  <c r="J29" i="132"/>
  <c r="P28" i="200"/>
  <c r="Q22" i="131"/>
  <c r="J29" i="131"/>
  <c r="Q21" i="200"/>
  <c r="M28" i="199"/>
  <c r="O28" i="199"/>
  <c r="G29" i="131"/>
  <c r="L29" i="131"/>
  <c r="P26" i="142"/>
  <c r="H23" i="126"/>
  <c r="H29" i="127"/>
  <c r="G29" i="135"/>
  <c r="G28" i="194"/>
  <c r="O26" i="195"/>
  <c r="P29" i="136"/>
  <c r="Q22" i="136"/>
  <c r="O27" i="200"/>
  <c r="N27" i="126"/>
  <c r="O29" i="136"/>
  <c r="P27" i="126"/>
  <c r="G23" i="195"/>
  <c r="H27" i="195"/>
  <c r="M26" i="124"/>
  <c r="N23" i="195"/>
  <c r="H27" i="126"/>
  <c r="S4" i="126" s="1"/>
  <c r="L23" i="195"/>
  <c r="G26" i="124"/>
  <c r="G42" i="34"/>
  <c r="Q42" i="34" s="1"/>
  <c r="G40" i="34"/>
  <c r="Q40" i="34" s="1"/>
  <c r="I22" i="195"/>
  <c r="I23" i="195"/>
  <c r="G30" i="136"/>
  <c r="N22" i="126"/>
  <c r="N22" i="138"/>
  <c r="N23" i="126"/>
  <c r="H22" i="126"/>
  <c r="L23" i="125"/>
  <c r="K22" i="125"/>
  <c r="K23" i="142"/>
  <c r="G22" i="196"/>
  <c r="O22" i="202"/>
  <c r="L23" i="202"/>
  <c r="G22" i="142"/>
  <c r="H42" i="34"/>
  <c r="M23" i="202"/>
  <c r="E29" i="194"/>
  <c r="E30" i="126"/>
  <c r="E28" i="125"/>
  <c r="F28" i="125"/>
  <c r="L23" i="197"/>
  <c r="N7" i="34" l="1"/>
  <c r="E30" i="133"/>
  <c r="E30" i="195"/>
  <c r="R46" i="34"/>
  <c r="O47" i="34"/>
  <c r="R27" i="34"/>
  <c r="R21" i="34"/>
  <c r="M7" i="34"/>
  <c r="M33" i="34"/>
  <c r="R33" i="34" s="1"/>
  <c r="N40" i="34"/>
  <c r="S5" i="126"/>
  <c r="S6" i="126" s="1"/>
  <c r="O41" i="34"/>
  <c r="O34" i="34"/>
  <c r="F30" i="123"/>
  <c r="S5" i="133"/>
  <c r="S6" i="133" s="1"/>
  <c r="M25" i="34"/>
  <c r="M40" i="34"/>
  <c r="R40" i="34" s="1"/>
  <c r="S4" i="133"/>
  <c r="O29" i="194"/>
  <c r="S4" i="124"/>
  <c r="M6" i="34"/>
  <c r="P23" i="138"/>
  <c r="I22" i="145"/>
  <c r="I23" i="142"/>
  <c r="L23" i="138"/>
  <c r="E26" i="125"/>
  <c r="G19" i="34"/>
  <c r="J30" i="195"/>
  <c r="F30" i="126"/>
  <c r="E27" i="138"/>
  <c r="G23" i="201"/>
  <c r="G30" i="124"/>
  <c r="I30" i="133"/>
  <c r="F29" i="123"/>
  <c r="K23" i="202"/>
  <c r="H23" i="125"/>
  <c r="I30" i="126"/>
  <c r="G26" i="125"/>
  <c r="E23" i="125"/>
  <c r="J23" i="202"/>
  <c r="S5" i="123"/>
  <c r="S6" i="123" s="1"/>
  <c r="I22" i="142"/>
  <c r="L26" i="196"/>
  <c r="M30" i="133"/>
  <c r="F27" i="125"/>
  <c r="M28" i="204"/>
  <c r="O30" i="195"/>
  <c r="N29" i="194"/>
  <c r="S5" i="124"/>
  <c r="S6" i="124" s="1"/>
  <c r="O30" i="126"/>
  <c r="G29" i="126"/>
  <c r="F28" i="202"/>
  <c r="I23" i="125"/>
  <c r="Q21" i="204"/>
  <c r="G30" i="126"/>
  <c r="E22" i="196"/>
  <c r="E29" i="196" s="1"/>
  <c r="N28" i="204"/>
  <c r="I23" i="204"/>
  <c r="I22" i="204"/>
  <c r="H30" i="124"/>
  <c r="F30" i="200"/>
  <c r="F23" i="142"/>
  <c r="E27" i="196"/>
  <c r="E22" i="125"/>
  <c r="E29" i="125" s="1"/>
  <c r="J28" i="204"/>
  <c r="O28" i="204"/>
  <c r="P28" i="204"/>
  <c r="O27" i="204"/>
  <c r="Q20" i="204"/>
  <c r="E27" i="204"/>
  <c r="F27" i="204"/>
  <c r="G27" i="204"/>
  <c r="E22" i="204"/>
  <c r="I27" i="204"/>
  <c r="J27" i="204"/>
  <c r="K27" i="204"/>
  <c r="H27" i="204"/>
  <c r="L27" i="204"/>
  <c r="M27" i="204"/>
  <c r="N27" i="204"/>
  <c r="P27" i="204"/>
  <c r="H22" i="204"/>
  <c r="S5" i="195"/>
  <c r="S6" i="195" s="1"/>
  <c r="O30" i="124"/>
  <c r="J23" i="125"/>
  <c r="H23" i="204"/>
  <c r="I28" i="204"/>
  <c r="G29" i="123"/>
  <c r="I30" i="200"/>
  <c r="N12" i="34"/>
  <c r="F29" i="126"/>
  <c r="H28" i="202"/>
  <c r="G22" i="204"/>
  <c r="G23" i="204"/>
  <c r="P26" i="204"/>
  <c r="M26" i="204"/>
  <c r="E26" i="204"/>
  <c r="R23" i="34" s="1"/>
  <c r="N26" i="204"/>
  <c r="I26" i="204"/>
  <c r="O26" i="204"/>
  <c r="J26" i="204"/>
  <c r="H26" i="204"/>
  <c r="K26" i="204"/>
  <c r="Q19" i="204"/>
  <c r="L26" i="204"/>
  <c r="I32" i="34"/>
  <c r="E29" i="126"/>
  <c r="O22" i="196"/>
  <c r="J30" i="124"/>
  <c r="L30" i="126"/>
  <c r="M22" i="145"/>
  <c r="G29" i="195"/>
  <c r="G23" i="125"/>
  <c r="E27" i="202"/>
  <c r="E30" i="202" s="1"/>
  <c r="G29" i="194"/>
  <c r="G28" i="202"/>
  <c r="O23" i="196"/>
  <c r="G27" i="196"/>
  <c r="H27" i="125"/>
  <c r="G29" i="133"/>
  <c r="K30" i="126"/>
  <c r="P30" i="124"/>
  <c r="F26" i="202"/>
  <c r="F30" i="202" s="1"/>
  <c r="M23" i="142"/>
  <c r="O28" i="142"/>
  <c r="K29" i="126"/>
  <c r="S5" i="142"/>
  <c r="S6" i="142" s="1"/>
  <c r="N30" i="124"/>
  <c r="J26" i="125"/>
  <c r="J27" i="202"/>
  <c r="K23" i="196"/>
  <c r="F29" i="195"/>
  <c r="P30" i="200"/>
  <c r="M30" i="126"/>
  <c r="N28" i="142"/>
  <c r="E28" i="202"/>
  <c r="L28" i="202"/>
  <c r="S4" i="200"/>
  <c r="H27" i="202"/>
  <c r="I29" i="194"/>
  <c r="G23" i="202"/>
  <c r="F26" i="125"/>
  <c r="P27" i="142"/>
  <c r="G26" i="202"/>
  <c r="M27" i="202"/>
  <c r="M29" i="194"/>
  <c r="I27" i="202"/>
  <c r="Q22" i="194"/>
  <c r="Q21" i="125"/>
  <c r="H23" i="196"/>
  <c r="H29" i="194"/>
  <c r="E23" i="196"/>
  <c r="H29" i="123"/>
  <c r="E30" i="200"/>
  <c r="K29" i="194"/>
  <c r="H35" i="34"/>
  <c r="I35" i="34" s="1"/>
  <c r="N29" i="200"/>
  <c r="J22" i="142"/>
  <c r="J23" i="142"/>
  <c r="F29" i="194"/>
  <c r="O28" i="125"/>
  <c r="I26" i="125"/>
  <c r="J29" i="194"/>
  <c r="E22" i="202"/>
  <c r="E29" i="202" s="1"/>
  <c r="F23" i="125"/>
  <c r="P29" i="194"/>
  <c r="E26" i="197"/>
  <c r="E30" i="197" s="1"/>
  <c r="G27" i="202"/>
  <c r="H30" i="200"/>
  <c r="K28" i="202"/>
  <c r="H22" i="196"/>
  <c r="O28" i="202"/>
  <c r="F27" i="196"/>
  <c r="S5" i="200"/>
  <c r="S6" i="200" s="1"/>
  <c r="F26" i="196"/>
  <c r="M30" i="200"/>
  <c r="F29" i="124"/>
  <c r="M26" i="138"/>
  <c r="I26" i="202"/>
  <c r="O27" i="125"/>
  <c r="G30" i="200"/>
  <c r="O29" i="200"/>
  <c r="M28" i="142"/>
  <c r="H26" i="125"/>
  <c r="G22" i="125"/>
  <c r="P28" i="142"/>
  <c r="L27" i="202"/>
  <c r="I22" i="202"/>
  <c r="I26" i="196"/>
  <c r="H26" i="196"/>
  <c r="J27" i="125"/>
  <c r="F22" i="125"/>
  <c r="J29" i="123"/>
  <c r="Q19" i="202"/>
  <c r="N27" i="125"/>
  <c r="E27" i="142"/>
  <c r="E30" i="142" s="1"/>
  <c r="I27" i="196"/>
  <c r="L22" i="196"/>
  <c r="P23" i="142"/>
  <c r="I27" i="125"/>
  <c r="K23" i="138"/>
  <c r="M30" i="124"/>
  <c r="O26" i="125"/>
  <c r="O29" i="124"/>
  <c r="K30" i="133"/>
  <c r="P28" i="125"/>
  <c r="K28" i="142"/>
  <c r="N23" i="142"/>
  <c r="K28" i="125"/>
  <c r="J28" i="125"/>
  <c r="I29" i="123"/>
  <c r="L27" i="125"/>
  <c r="K27" i="125"/>
  <c r="N28" i="125"/>
  <c r="K27" i="202"/>
  <c r="H28" i="125"/>
  <c r="M28" i="125"/>
  <c r="F23" i="196"/>
  <c r="I28" i="125"/>
  <c r="G27" i="125"/>
  <c r="L28" i="125"/>
  <c r="J26" i="196"/>
  <c r="I28" i="202"/>
  <c r="Q21" i="202"/>
  <c r="F22" i="196"/>
  <c r="P30" i="126"/>
  <c r="G30" i="133"/>
  <c r="J30" i="126"/>
  <c r="P28" i="202"/>
  <c r="G22" i="202"/>
  <c r="F30" i="195"/>
  <c r="N30" i="195"/>
  <c r="I29" i="195"/>
  <c r="G30" i="195"/>
  <c r="L30" i="133"/>
  <c r="H22" i="145"/>
  <c r="P22" i="196"/>
  <c r="P23" i="196"/>
  <c r="O22" i="142"/>
  <c r="O23" i="142"/>
  <c r="F22" i="197"/>
  <c r="Q20" i="142"/>
  <c r="H28" i="196"/>
  <c r="N27" i="142"/>
  <c r="F29" i="133"/>
  <c r="Q22" i="126"/>
  <c r="P27" i="202"/>
  <c r="J22" i="145"/>
  <c r="P26" i="202"/>
  <c r="P29" i="126"/>
  <c r="F23" i="202"/>
  <c r="H29" i="200"/>
  <c r="H29" i="133"/>
  <c r="M28" i="202"/>
  <c r="S5" i="194"/>
  <c r="S6" i="194" s="1"/>
  <c r="H23" i="142"/>
  <c r="J28" i="202"/>
  <c r="F30" i="133"/>
  <c r="I30" i="124"/>
  <c r="M29" i="124"/>
  <c r="N30" i="133"/>
  <c r="N29" i="133"/>
  <c r="L30" i="124"/>
  <c r="L30" i="195"/>
  <c r="I30" i="195"/>
  <c r="F22" i="142"/>
  <c r="J30" i="133"/>
  <c r="M29" i="195"/>
  <c r="P30" i="133"/>
  <c r="P28" i="138"/>
  <c r="O29" i="133"/>
  <c r="H22" i="142"/>
  <c r="N30" i="200"/>
  <c r="I23" i="138"/>
  <c r="M26" i="125"/>
  <c r="O23" i="201"/>
  <c r="O29" i="126"/>
  <c r="P27" i="196"/>
  <c r="M32" i="34"/>
  <c r="R32" i="34" s="1"/>
  <c r="M12" i="34"/>
  <c r="N28" i="202"/>
  <c r="P22" i="142"/>
  <c r="H25" i="34"/>
  <c r="L23" i="142"/>
  <c r="Q22" i="195"/>
  <c r="H22" i="138"/>
  <c r="I29" i="126"/>
  <c r="L26" i="125"/>
  <c r="I29" i="133"/>
  <c r="Q22" i="133"/>
  <c r="L29" i="133"/>
  <c r="M27" i="125"/>
  <c r="H30" i="133"/>
  <c r="P29" i="133"/>
  <c r="M23" i="197"/>
  <c r="P26" i="196"/>
  <c r="P29" i="195"/>
  <c r="O30" i="133"/>
  <c r="M22" i="196"/>
  <c r="M23" i="196"/>
  <c r="N27" i="202"/>
  <c r="N26" i="125"/>
  <c r="K23" i="125"/>
  <c r="M29" i="133"/>
  <c r="N30" i="126"/>
  <c r="J30" i="200"/>
  <c r="M29" i="126"/>
  <c r="N29" i="124"/>
  <c r="K26" i="125"/>
  <c r="P29" i="124"/>
  <c r="L29" i="126"/>
  <c r="G43" i="34"/>
  <c r="I43" i="34" s="1"/>
  <c r="Q21" i="196"/>
  <c r="O26" i="202"/>
  <c r="P26" i="125"/>
  <c r="N28" i="196"/>
  <c r="I42" i="34"/>
  <c r="H22" i="202"/>
  <c r="H26" i="202"/>
  <c r="K28" i="196"/>
  <c r="K29" i="133"/>
  <c r="Q19" i="125"/>
  <c r="J29" i="124"/>
  <c r="H29" i="126"/>
  <c r="O30" i="200"/>
  <c r="J29" i="200"/>
  <c r="I40" i="34"/>
  <c r="K30" i="195"/>
  <c r="N23" i="202"/>
  <c r="N22" i="202"/>
  <c r="M22" i="125"/>
  <c r="M23" i="138"/>
  <c r="E28" i="142"/>
  <c r="N29" i="126"/>
  <c r="H28" i="142"/>
  <c r="J28" i="142"/>
  <c r="Q22" i="200"/>
  <c r="K29" i="124"/>
  <c r="H29" i="124"/>
  <c r="I29" i="124"/>
  <c r="L29" i="195"/>
  <c r="P29" i="200"/>
  <c r="E29" i="200"/>
  <c r="Q20" i="202"/>
  <c r="L26" i="202"/>
  <c r="M28" i="196"/>
  <c r="J26" i="202"/>
  <c r="N26" i="202"/>
  <c r="P27" i="125"/>
  <c r="O27" i="142"/>
  <c r="Q21" i="142"/>
  <c r="K29" i="123"/>
  <c r="M29" i="123"/>
  <c r="L29" i="124"/>
  <c r="O29" i="123"/>
  <c r="L29" i="123"/>
  <c r="M23" i="125"/>
  <c r="K27" i="142"/>
  <c r="I29" i="200"/>
  <c r="M26" i="202"/>
  <c r="G27" i="142"/>
  <c r="J27" i="142"/>
  <c r="L27" i="142"/>
  <c r="J29" i="133"/>
  <c r="G29" i="124"/>
  <c r="E28" i="196"/>
  <c r="F27" i="142"/>
  <c r="K26" i="196"/>
  <c r="J29" i="195"/>
  <c r="F29" i="200"/>
  <c r="O29" i="195"/>
  <c r="N26" i="196"/>
  <c r="F28" i="196"/>
  <c r="K30" i="200"/>
  <c r="I23" i="197"/>
  <c r="Q22" i="124"/>
  <c r="I28" i="142"/>
  <c r="L28" i="142"/>
  <c r="L29" i="200"/>
  <c r="J29" i="126"/>
  <c r="M29" i="200"/>
  <c r="G29" i="200"/>
  <c r="J28" i="196"/>
  <c r="K26" i="202"/>
  <c r="H29" i="195"/>
  <c r="P28" i="196"/>
  <c r="O27" i="202"/>
  <c r="F28" i="142"/>
  <c r="I27" i="142"/>
  <c r="O28" i="196"/>
  <c r="K29" i="200"/>
  <c r="L28" i="196"/>
  <c r="N29" i="123"/>
  <c r="I28" i="196"/>
  <c r="M27" i="142"/>
  <c r="Q22" i="123"/>
  <c r="P29" i="123"/>
  <c r="H23" i="202"/>
  <c r="L22" i="145"/>
  <c r="E22" i="142"/>
  <c r="E29" i="142" s="1"/>
  <c r="H27" i="142"/>
  <c r="G28" i="142"/>
  <c r="G28" i="196"/>
  <c r="K30" i="124"/>
  <c r="P30" i="195"/>
  <c r="H30" i="126"/>
  <c r="Q20" i="196"/>
  <c r="J27" i="196"/>
  <c r="L30" i="200"/>
  <c r="F22" i="201"/>
  <c r="O23" i="197"/>
  <c r="K29" i="195"/>
  <c r="Q19" i="196"/>
  <c r="L27" i="196"/>
  <c r="N29" i="195"/>
  <c r="M27" i="196"/>
  <c r="O26" i="196"/>
  <c r="K27" i="196"/>
  <c r="N27" i="196"/>
  <c r="O23" i="125"/>
  <c r="O22" i="125"/>
  <c r="K22" i="196"/>
  <c r="N33" i="34"/>
  <c r="S4" i="195"/>
  <c r="O22" i="145"/>
  <c r="N23" i="196"/>
  <c r="O27" i="196"/>
  <c r="N22" i="125"/>
  <c r="N23" i="125"/>
  <c r="E23" i="201"/>
  <c r="M26" i="196"/>
  <c r="Q20" i="125"/>
  <c r="J23" i="196"/>
  <c r="J22" i="196"/>
  <c r="H30" i="195"/>
  <c r="N23" i="138"/>
  <c r="L23" i="196"/>
  <c r="M30" i="195"/>
  <c r="P22" i="202"/>
  <c r="P23" i="202"/>
  <c r="F23" i="201"/>
  <c r="L28" i="138"/>
  <c r="K28" i="138"/>
  <c r="O28" i="138"/>
  <c r="N23" i="197"/>
  <c r="G22" i="145"/>
  <c r="F22" i="138"/>
  <c r="J28" i="138"/>
  <c r="G28" i="138"/>
  <c r="E22" i="201"/>
  <c r="F28" i="138"/>
  <c r="K23" i="197"/>
  <c r="G22" i="197"/>
  <c r="G23" i="197"/>
  <c r="K23" i="201"/>
  <c r="G22" i="201"/>
  <c r="E26" i="138"/>
  <c r="N28" i="138"/>
  <c r="I28" i="138"/>
  <c r="M28" i="138"/>
  <c r="G22" i="138"/>
  <c r="G23" i="138"/>
  <c r="E28" i="138"/>
  <c r="Q21" i="138"/>
  <c r="E30" i="204" l="1"/>
  <c r="E30" i="138"/>
  <c r="M16" i="34"/>
  <c r="R16" i="34" s="1"/>
  <c r="N16" i="34"/>
  <c r="O46" i="34"/>
  <c r="O49" i="34"/>
  <c r="R49" i="34"/>
  <c r="O27" i="34"/>
  <c r="O21" i="34"/>
  <c r="O23" i="34"/>
  <c r="M28" i="34"/>
  <c r="N28" i="34"/>
  <c r="E30" i="125"/>
  <c r="R15" i="34"/>
  <c r="O15" i="34"/>
  <c r="O33" i="34"/>
  <c r="S5" i="202"/>
  <c r="S6" i="202" s="1"/>
  <c r="S5" i="196"/>
  <c r="S6" i="196" s="1"/>
  <c r="S4" i="202"/>
  <c r="O52" i="34"/>
  <c r="J30" i="202"/>
  <c r="G30" i="142"/>
  <c r="N25" i="34"/>
  <c r="I30" i="142"/>
  <c r="E28" i="145"/>
  <c r="M29" i="34"/>
  <c r="R29" i="34" s="1"/>
  <c r="O40" i="34"/>
  <c r="N35" i="34"/>
  <c r="F30" i="196"/>
  <c r="K30" i="125"/>
  <c r="M30" i="142"/>
  <c r="F30" i="125"/>
  <c r="L27" i="138"/>
  <c r="I27" i="138"/>
  <c r="E22" i="138"/>
  <c r="E29" i="138" s="1"/>
  <c r="O12" i="34"/>
  <c r="H23" i="138"/>
  <c r="H27" i="138"/>
  <c r="G30" i="125"/>
  <c r="F28" i="145"/>
  <c r="E28" i="198"/>
  <c r="S4" i="125"/>
  <c r="M35" i="34"/>
  <c r="R35" i="34" s="1"/>
  <c r="J30" i="125"/>
  <c r="P30" i="142"/>
  <c r="G30" i="196"/>
  <c r="P30" i="204"/>
  <c r="G26" i="197"/>
  <c r="G30" i="197" s="1"/>
  <c r="I30" i="125"/>
  <c r="N30" i="204"/>
  <c r="K30" i="204"/>
  <c r="G30" i="204"/>
  <c r="J26" i="138"/>
  <c r="F26" i="197"/>
  <c r="L29" i="202"/>
  <c r="H30" i="204"/>
  <c r="S4" i="204"/>
  <c r="I29" i="204"/>
  <c r="H29" i="204"/>
  <c r="Q22" i="204"/>
  <c r="E29" i="204"/>
  <c r="O29" i="204"/>
  <c r="N29" i="204"/>
  <c r="P29" i="204"/>
  <c r="K29" i="204"/>
  <c r="J29" i="204"/>
  <c r="M29" i="204"/>
  <c r="L29" i="204"/>
  <c r="G29" i="204"/>
  <c r="F29" i="204"/>
  <c r="M30" i="125"/>
  <c r="O30" i="204"/>
  <c r="N30" i="142"/>
  <c r="F29" i="196"/>
  <c r="L30" i="125"/>
  <c r="M30" i="204"/>
  <c r="J30" i="204"/>
  <c r="F30" i="204"/>
  <c r="H30" i="125"/>
  <c r="K30" i="202"/>
  <c r="M30" i="202"/>
  <c r="L29" i="142"/>
  <c r="S5" i="204"/>
  <c r="S6" i="204" s="1"/>
  <c r="I26" i="34"/>
  <c r="L30" i="204"/>
  <c r="I30" i="204"/>
  <c r="P30" i="196"/>
  <c r="P26" i="138"/>
  <c r="L26" i="138"/>
  <c r="I26" i="197"/>
  <c r="I30" i="197" s="1"/>
  <c r="L30" i="202"/>
  <c r="Q19" i="138"/>
  <c r="I29" i="196"/>
  <c r="G29" i="196"/>
  <c r="L29" i="196"/>
  <c r="O30" i="142"/>
  <c r="K29" i="125"/>
  <c r="H29" i="196"/>
  <c r="L26" i="197"/>
  <c r="L30" i="197" s="1"/>
  <c r="F23" i="138"/>
  <c r="N26" i="138"/>
  <c r="I26" i="138"/>
  <c r="F26" i="138"/>
  <c r="H26" i="138"/>
  <c r="H23" i="201"/>
  <c r="H29" i="202"/>
  <c r="G30" i="202"/>
  <c r="E22" i="197"/>
  <c r="E29" i="197" s="1"/>
  <c r="O26" i="138"/>
  <c r="J26" i="197"/>
  <c r="J30" i="197" s="1"/>
  <c r="H26" i="197"/>
  <c r="H30" i="197" s="1"/>
  <c r="I30" i="202"/>
  <c r="N42" i="34"/>
  <c r="F23" i="197"/>
  <c r="G29" i="202"/>
  <c r="O30" i="125"/>
  <c r="S4" i="196"/>
  <c r="K26" i="138"/>
  <c r="G26" i="138"/>
  <c r="Q43" i="34"/>
  <c r="Q37" i="34"/>
  <c r="N26" i="197"/>
  <c r="I29" i="125"/>
  <c r="H29" i="125"/>
  <c r="J29" i="125"/>
  <c r="M29" i="125"/>
  <c r="L29" i="125"/>
  <c r="H23" i="197"/>
  <c r="G36" i="34"/>
  <c r="H22" i="197"/>
  <c r="F29" i="202"/>
  <c r="M26" i="201"/>
  <c r="M28" i="203" s="1"/>
  <c r="K22" i="145"/>
  <c r="J22" i="138"/>
  <c r="S5" i="125"/>
  <c r="S6" i="125" s="1"/>
  <c r="K29" i="202"/>
  <c r="G29" i="125"/>
  <c r="O29" i="142"/>
  <c r="M29" i="142"/>
  <c r="N26" i="201"/>
  <c r="N30" i="201" s="1"/>
  <c r="F29" i="142"/>
  <c r="K30" i="142"/>
  <c r="J23" i="197"/>
  <c r="M27" i="138"/>
  <c r="M30" i="138" s="1"/>
  <c r="N30" i="125"/>
  <c r="J23" i="138"/>
  <c r="H29" i="34"/>
  <c r="K26" i="197"/>
  <c r="K30" i="197" s="1"/>
  <c r="M29" i="202"/>
  <c r="J29" i="202"/>
  <c r="F29" i="125"/>
  <c r="J27" i="138"/>
  <c r="I29" i="202"/>
  <c r="O32" i="34"/>
  <c r="H30" i="196"/>
  <c r="K27" i="138"/>
  <c r="I30" i="196"/>
  <c r="Q22" i="202"/>
  <c r="Q19" i="197"/>
  <c r="M26" i="197"/>
  <c r="M30" i="197" s="1"/>
  <c r="O26" i="197"/>
  <c r="O30" i="197" s="1"/>
  <c r="Q22" i="142"/>
  <c r="F29" i="201"/>
  <c r="N29" i="142"/>
  <c r="F30" i="142"/>
  <c r="P30" i="202"/>
  <c r="P30" i="125"/>
  <c r="P26" i="197"/>
  <c r="P30" i="197" s="1"/>
  <c r="P29" i="202"/>
  <c r="G29" i="142"/>
  <c r="O30" i="202"/>
  <c r="M42" i="34"/>
  <c r="R42" i="34" s="1"/>
  <c r="H26" i="201"/>
  <c r="O30" i="196"/>
  <c r="S4" i="142"/>
  <c r="I23" i="201"/>
  <c r="H30" i="142"/>
  <c r="O27" i="138"/>
  <c r="H30" i="202"/>
  <c r="L26" i="201"/>
  <c r="N30" i="202"/>
  <c r="H22" i="201"/>
  <c r="N29" i="201" s="1"/>
  <c r="K26" i="201"/>
  <c r="K30" i="201" s="1"/>
  <c r="Q19" i="201"/>
  <c r="L28" i="203"/>
  <c r="L30" i="196"/>
  <c r="P26" i="201"/>
  <c r="F26" i="201"/>
  <c r="F28" i="203" s="1"/>
  <c r="O29" i="202"/>
  <c r="L30" i="142"/>
  <c r="M22" i="138"/>
  <c r="N22" i="145"/>
  <c r="J29" i="142"/>
  <c r="G26" i="201"/>
  <c r="G28" i="203" s="1"/>
  <c r="I26" i="201"/>
  <c r="I30" i="201" s="1"/>
  <c r="Q22" i="196"/>
  <c r="N27" i="138"/>
  <c r="N29" i="202"/>
  <c r="E30" i="196"/>
  <c r="Q22" i="125"/>
  <c r="J30" i="142"/>
  <c r="M23" i="201"/>
  <c r="H29" i="142"/>
  <c r="P29" i="142"/>
  <c r="I29" i="142"/>
  <c r="K29" i="142"/>
  <c r="L23" i="201"/>
  <c r="J30" i="196"/>
  <c r="P27" i="138"/>
  <c r="N29" i="125"/>
  <c r="P29" i="196"/>
  <c r="N29" i="196"/>
  <c r="J29" i="196"/>
  <c r="O29" i="196"/>
  <c r="K29" i="196"/>
  <c r="M29" i="196"/>
  <c r="K30" i="196"/>
  <c r="P29" i="125"/>
  <c r="O22" i="138"/>
  <c r="O23" i="138"/>
  <c r="P22" i="145"/>
  <c r="O29" i="125"/>
  <c r="M30" i="196"/>
  <c r="Q20" i="138"/>
  <c r="E26" i="201"/>
  <c r="J26" i="201"/>
  <c r="O26" i="201"/>
  <c r="N30" i="196"/>
  <c r="M28" i="145"/>
  <c r="G29" i="201"/>
  <c r="O28" i="145"/>
  <c r="P28" i="145"/>
  <c r="E29" i="201"/>
  <c r="L28" i="145"/>
  <c r="G28" i="198"/>
  <c r="J28" i="145"/>
  <c r="N28" i="145"/>
  <c r="H28" i="145"/>
  <c r="G28" i="145"/>
  <c r="K28" i="145"/>
  <c r="I28" i="145"/>
  <c r="O16" i="34" l="1"/>
  <c r="F28" i="198"/>
  <c r="O28" i="34"/>
  <c r="S5" i="197"/>
  <c r="S6" i="197" s="1"/>
  <c r="O8" i="34"/>
  <c r="M36" i="34"/>
  <c r="R36" i="34" s="1"/>
  <c r="N19" i="34"/>
  <c r="H29" i="201"/>
  <c r="Q36" i="34"/>
  <c r="I36" i="34"/>
  <c r="O35" i="34"/>
  <c r="S5" i="201"/>
  <c r="S6" i="201" s="1"/>
  <c r="H30" i="138"/>
  <c r="L30" i="138"/>
  <c r="J29" i="138"/>
  <c r="N30" i="138"/>
  <c r="F30" i="138"/>
  <c r="G29" i="138"/>
  <c r="I29" i="138"/>
  <c r="F29" i="138"/>
  <c r="H29" i="138"/>
  <c r="I30" i="138"/>
  <c r="S4" i="138"/>
  <c r="S5" i="138"/>
  <c r="S6" i="138" s="1"/>
  <c r="G30" i="138"/>
  <c r="O30" i="138"/>
  <c r="P28" i="198"/>
  <c r="H28" i="198"/>
  <c r="F30" i="197"/>
  <c r="I28" i="198"/>
  <c r="K30" i="138"/>
  <c r="J30" i="138"/>
  <c r="O26" i="34"/>
  <c r="H29" i="197"/>
  <c r="N29" i="197"/>
  <c r="L29" i="197"/>
  <c r="N28" i="198"/>
  <c r="P30" i="138"/>
  <c r="L28" i="198"/>
  <c r="I37" i="34"/>
  <c r="O42" i="34"/>
  <c r="J29" i="197"/>
  <c r="P29" i="197"/>
  <c r="M29" i="197"/>
  <c r="I52" i="34"/>
  <c r="G30" i="201"/>
  <c r="I29" i="197"/>
  <c r="Q22" i="197"/>
  <c r="F29" i="197"/>
  <c r="J28" i="198"/>
  <c r="M30" i="201"/>
  <c r="K29" i="197"/>
  <c r="O29" i="197"/>
  <c r="N30" i="197"/>
  <c r="G29" i="197"/>
  <c r="S4" i="203"/>
  <c r="K28" i="198"/>
  <c r="N28" i="203"/>
  <c r="S4" i="198"/>
  <c r="M19" i="34"/>
  <c r="M29" i="138"/>
  <c r="O28" i="198"/>
  <c r="P29" i="138"/>
  <c r="K29" i="138"/>
  <c r="L29" i="138"/>
  <c r="N29" i="138"/>
  <c r="K28" i="203"/>
  <c r="M28" i="198"/>
  <c r="I28" i="203"/>
  <c r="O29" i="138"/>
  <c r="F30" i="201"/>
  <c r="M29" i="201"/>
  <c r="J29" i="201"/>
  <c r="O29" i="201"/>
  <c r="P29" i="201"/>
  <c r="M43" i="34"/>
  <c r="I29" i="201"/>
  <c r="L29" i="201"/>
  <c r="K29" i="201"/>
  <c r="L30" i="201"/>
  <c r="Q22" i="138"/>
  <c r="H30" i="201"/>
  <c r="Q22" i="201"/>
  <c r="P30" i="201"/>
  <c r="P28" i="203"/>
  <c r="O28" i="203"/>
  <c r="O30" i="201"/>
  <c r="J30" i="201"/>
  <c r="J28" i="203"/>
  <c r="E28" i="203"/>
  <c r="E30" i="201"/>
  <c r="S5" i="145"/>
  <c r="S6" i="145" s="1"/>
  <c r="R50" i="34" l="1"/>
  <c r="O50" i="34"/>
  <c r="O19" i="34"/>
  <c r="O36" i="34"/>
  <c r="Q52" i="34"/>
  <c r="S5" i="198"/>
  <c r="S6" i="198" s="1"/>
  <c r="R37" i="34"/>
  <c r="O43" i="34"/>
  <c r="R43" i="34"/>
  <c r="S5" i="203"/>
  <c r="S6" i="203" s="1"/>
  <c r="H28" i="203"/>
  <c r="O37" i="34" l="1"/>
  <c r="R52" i="34"/>
  <c r="Q6" i="34"/>
  <c r="Q7" i="34"/>
  <c r="Q12" i="34"/>
  <c r="Q8" i="34"/>
  <c r="I12" i="34" l="1"/>
  <c r="I8" i="34"/>
  <c r="I6" i="34"/>
  <c r="I7" i="34"/>
  <c r="R12" i="34"/>
  <c r="R6" i="34" l="1"/>
  <c r="Q25" i="34"/>
  <c r="Q19" i="34"/>
  <c r="R8" i="34"/>
  <c r="R25" i="34"/>
  <c r="R7" i="34"/>
  <c r="I19" i="34" l="1"/>
  <c r="O25" i="34"/>
  <c r="O7" i="34"/>
  <c r="I25" i="34"/>
  <c r="O6" i="34"/>
  <c r="I29" i="34" l="1"/>
  <c r="R19" i="34"/>
  <c r="O29" i="34"/>
  <c r="B6" i="207" l="1"/>
</calcChain>
</file>

<file path=xl/sharedStrings.xml><?xml version="1.0" encoding="utf-8"?>
<sst xmlns="http://schemas.openxmlformats.org/spreadsheetml/2006/main" count="1555" uniqueCount="182">
  <si>
    <t>Total</t>
  </si>
  <si>
    <t>%</t>
  </si>
  <si>
    <t>Actual</t>
  </si>
  <si>
    <t>Ksh</t>
  </si>
  <si>
    <t>CUMULATIVE</t>
  </si>
  <si>
    <t>KPI</t>
  </si>
  <si>
    <t>l</t>
  </si>
  <si>
    <t>Comments</t>
  </si>
  <si>
    <t>MONTHLY</t>
  </si>
  <si>
    <t>Actual month:</t>
  </si>
  <si>
    <t>General</t>
  </si>
  <si>
    <t>Actual month</t>
  </si>
  <si>
    <t>Actions</t>
  </si>
  <si>
    <t>Unit</t>
  </si>
  <si>
    <t>Percentage volume sewerage of water</t>
  </si>
  <si>
    <t>Monthly</t>
  </si>
  <si>
    <t>Cumulative</t>
  </si>
  <si>
    <t>Target</t>
  </si>
  <si>
    <t>details</t>
  </si>
  <si>
    <t>Dashboard</t>
  </si>
  <si>
    <t>% real.</t>
  </si>
  <si>
    <t>Total Water Sales (Ksh)</t>
  </si>
  <si>
    <t>H</t>
  </si>
  <si>
    <t>actual</t>
  </si>
  <si>
    <t>target</t>
  </si>
  <si>
    <t>v</t>
  </si>
  <si>
    <t>cumluative</t>
  </si>
  <si>
    <t>monthly</t>
  </si>
  <si>
    <t>Re-connection fee water (RCF)</t>
  </si>
  <si>
    <t>New connection fee sewer (SNC)</t>
  </si>
  <si>
    <t>Re-connection fee sewer (RCFS)</t>
  </si>
  <si>
    <t>Unblockage fee sewer (SWF)</t>
  </si>
  <si>
    <t>Penalties sewer (ICS)</t>
  </si>
  <si>
    <t>Penalties water (ICW, IRW, MB)</t>
  </si>
  <si>
    <t xml:space="preserve">Collection Efficiency - in % of billing </t>
  </si>
  <si>
    <t xml:space="preserve">COLLECTION EFFICIENCY </t>
  </si>
  <si>
    <t>Ksh.</t>
  </si>
  <si>
    <t>5a</t>
  </si>
  <si>
    <t>Meter Rent</t>
  </si>
  <si>
    <t>5b</t>
  </si>
  <si>
    <t>5c</t>
  </si>
  <si>
    <t>5d</t>
  </si>
  <si>
    <t>New Connection Fee Water</t>
  </si>
  <si>
    <t>6b</t>
  </si>
  <si>
    <t>6d</t>
  </si>
  <si>
    <t>6c</t>
  </si>
  <si>
    <t>Water Sales-CCCR</t>
  </si>
  <si>
    <t>REGIONAL PERFORMANCE</t>
  </si>
  <si>
    <t>Collection-KARATI REGION</t>
  </si>
  <si>
    <t>Total Collection- Related Sales</t>
  </si>
  <si>
    <t>MONTH</t>
  </si>
  <si>
    <t>UNIT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</si>
  <si>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</si>
  <si>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</si>
  <si>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</si>
  <si>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</si>
  <si>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</si>
  <si>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</si>
  <si>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</si>
  <si>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</si>
  <si>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</si>
  <si>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</si>
  <si>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</si>
  <si>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</si>
  <si>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DIFFERENCE</t>
  </si>
  <si>
    <t>%REALISATION</t>
  </si>
  <si>
    <t>meter rent</t>
  </si>
  <si>
    <t>new connection fee-water</t>
  </si>
  <si>
    <t>reconnection fee-water</t>
  </si>
  <si>
    <t>penalties-water</t>
  </si>
  <si>
    <t>unblockage fee</t>
  </si>
  <si>
    <t>new connection-sewer</t>
  </si>
  <si>
    <t>reconnection fee-sewer</t>
  </si>
  <si>
    <t>penalties-sewer</t>
  </si>
  <si>
    <t>Total Sewerage Sales (Ksh)</t>
  </si>
  <si>
    <t>Company exhauster</t>
  </si>
  <si>
    <t>Customer exhauster</t>
  </si>
  <si>
    <t>OTHER SALES CA,METER TESTING,PRINTING</t>
  </si>
  <si>
    <t>othersales</t>
  </si>
  <si>
    <t>FINANCE DASHBOARD</t>
  </si>
  <si>
    <t>AMOUNT RECEIVABLES</t>
  </si>
  <si>
    <t>Adjustment done for the month</t>
  </si>
  <si>
    <t>Amount receivables as at close of the month</t>
  </si>
  <si>
    <t>Total billed (Ksh)</t>
  </si>
  <si>
    <t>new connection fee water</t>
  </si>
  <si>
    <t>penalties (water+sewer)</t>
  </si>
  <si>
    <t>new connection fee sewer</t>
  </si>
  <si>
    <t>sewer unblocking fee</t>
  </si>
  <si>
    <t>misc income-printing fee,CA,meter replacement fee,meter testing</t>
  </si>
  <si>
    <t xml:space="preserve">Bulk water </t>
  </si>
  <si>
    <t>bulk</t>
  </si>
  <si>
    <t>BILLING DASHBOARD - SUMMARY</t>
  </si>
  <si>
    <t>Total accounts disconnected-water</t>
  </si>
  <si>
    <t>Total accounts disconnected-sewer</t>
  </si>
  <si>
    <t>Total Collection for the month</t>
  </si>
  <si>
    <t>NO</t>
  </si>
  <si>
    <t>reconnection fee (water+sewer)</t>
  </si>
  <si>
    <t>30th</t>
  </si>
  <si>
    <t>14th</t>
  </si>
  <si>
    <t>Prepaid kiosk</t>
  </si>
  <si>
    <t>17th</t>
  </si>
  <si>
    <t>29th</t>
  </si>
  <si>
    <t>18th</t>
  </si>
  <si>
    <t>31st</t>
  </si>
  <si>
    <t>Collection Efficiency-</t>
  </si>
  <si>
    <t>Eastern Region</t>
  </si>
  <si>
    <t>Southern Region</t>
  </si>
  <si>
    <t>Amount Billed Water-Central</t>
  </si>
  <si>
    <t>Amount Billed Sewer-Central</t>
  </si>
  <si>
    <t>Amount Billed Water &amp; Sewer-othersales-Central</t>
  </si>
  <si>
    <t>Amount Collected-Central</t>
  </si>
  <si>
    <t>Collection Efficiency-Central</t>
  </si>
  <si>
    <t>Amount Billed Water-Southern</t>
  </si>
  <si>
    <t>Amount Billed Sewer-Southern</t>
  </si>
  <si>
    <t>Amount Billed Water &amp; Sewer-OTHER SALES-Southern</t>
  </si>
  <si>
    <t>Amount Collected-Southern</t>
  </si>
  <si>
    <t>Amount Billed Water-Eastern</t>
  </si>
  <si>
    <t>Amount Billed Sewer-Eastern</t>
  </si>
  <si>
    <t>Amount Billed Water &amp; Sewer-othersales-Eastern</t>
  </si>
  <si>
    <t>Amount Collected-Eastern</t>
  </si>
  <si>
    <t>Collection Efficiency-Eastern</t>
  </si>
  <si>
    <t>Collection Efficiency-Southern</t>
  </si>
  <si>
    <t>16th</t>
  </si>
  <si>
    <t>15th</t>
  </si>
  <si>
    <t>21st</t>
  </si>
  <si>
    <t>28th</t>
  </si>
  <si>
    <t>20th</t>
  </si>
  <si>
    <t>Central Region</t>
  </si>
  <si>
    <t>12th &amp;15th</t>
  </si>
  <si>
    <t>12th</t>
  </si>
  <si>
    <t>CENTRAL REGION: CBD,CCCR,KABATI,SITE,KIHOTO,LAKEVIEW,HOPEWELL</t>
  </si>
  <si>
    <t>SOUTHERN REGION: HELLSGATE,KAMERE, MAI MAHIU,LONGONOT</t>
  </si>
  <si>
    <t>7th</t>
  </si>
  <si>
    <t>EASTERN REGION: KAYOLE,GONDI,KINUNGI,NJONJORO,IHINDU</t>
  </si>
  <si>
    <t>11th</t>
  </si>
  <si>
    <t>6th</t>
  </si>
  <si>
    <t>Sanitation</t>
  </si>
  <si>
    <t>19th</t>
  </si>
  <si>
    <t>13th</t>
  </si>
  <si>
    <t>23rd</t>
  </si>
  <si>
    <t>budget2025/26</t>
  </si>
  <si>
    <t>ACTUAL2024/25</t>
  </si>
  <si>
    <t>ACTUAL2025/26</t>
  </si>
  <si>
    <t>14a</t>
  </si>
  <si>
    <t>15a</t>
  </si>
  <si>
    <t>16b</t>
  </si>
  <si>
    <t>16a</t>
  </si>
  <si>
    <t>17a</t>
  </si>
  <si>
    <t>18a</t>
  </si>
  <si>
    <t>19a</t>
  </si>
  <si>
    <t>17b</t>
  </si>
  <si>
    <t>18b</t>
  </si>
  <si>
    <t>19b</t>
  </si>
  <si>
    <t>14b</t>
  </si>
  <si>
    <t>15b</t>
  </si>
  <si>
    <t>16c</t>
  </si>
  <si>
    <t>17c</t>
  </si>
  <si>
    <t>18c</t>
  </si>
  <si>
    <t>14c</t>
  </si>
  <si>
    <t>15c</t>
  </si>
  <si>
    <t>A</t>
  </si>
  <si>
    <t>B</t>
  </si>
  <si>
    <t>C</t>
  </si>
  <si>
    <t>D</t>
  </si>
  <si>
    <t>E</t>
  </si>
  <si>
    <t>9TH</t>
  </si>
  <si>
    <t>DATE</t>
  </si>
  <si>
    <t>17TH</t>
  </si>
  <si>
    <t>31ST</t>
  </si>
  <si>
    <t>8th</t>
  </si>
  <si>
    <t xml:space="preserve">22nd </t>
  </si>
  <si>
    <t>13TH</t>
  </si>
  <si>
    <t>18TH</t>
  </si>
  <si>
    <t>28TH</t>
  </si>
  <si>
    <t>12TH</t>
  </si>
  <si>
    <t>23RD</t>
  </si>
  <si>
    <t>15TH</t>
  </si>
  <si>
    <t>30TH</t>
  </si>
  <si>
    <t>10TH</t>
  </si>
  <si>
    <t>25TH</t>
  </si>
  <si>
    <t>27TH</t>
  </si>
  <si>
    <t>24TH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</si>
</sst>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name val="Wingdings"/>
      <charset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Verdan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3CC3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/>
    <xf numFmtId="0" fontId="9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3" borderId="0" xfId="0" applyFont="1" applyFill="1" applyAlignment="1">
      <alignment horizontal="center" vertical="center"/>
    </xf>
    <xf numFmtId="9" fontId="0" fillId="0" borderId="0" xfId="0" applyNumberFormat="1"/>
    <xf numFmtId="0" fontId="0" fillId="4" borderId="0" xfId="0" applyFill="1"/>
    <xf numFmtId="0" fontId="4" fillId="4" borderId="0" xfId="0" applyFont="1" applyFill="1"/>
    <xf numFmtId="3" fontId="0" fillId="4" borderId="0" xfId="0" applyNumberFormat="1" applyFill="1"/>
    <xf numFmtId="9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horizontal="right"/>
    </xf>
    <xf numFmtId="9" fontId="0" fillId="4" borderId="0" xfId="1" applyFont="1" applyFill="1"/>
    <xf numFmtId="0" fontId="0" fillId="4" borderId="0" xfId="0" applyFill="1" applyAlignment="1">
      <alignment vertical="top" wrapText="1"/>
    </xf>
    <xf numFmtId="17" fontId="0" fillId="4" borderId="0" xfId="0" applyNumberFormat="1" applyFill="1" applyAlignment="1">
      <alignment horizontal="right"/>
    </xf>
    <xf numFmtId="17" fontId="5" fillId="4" borderId="0" xfId="0" applyNumberFormat="1" applyFont="1" applyFill="1" applyAlignment="1">
      <alignment horizontal="right"/>
    </xf>
    <xf numFmtId="17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2" applyFill="1" applyAlignment="1">
      <alignment horizontal="center"/>
    </xf>
    <xf numFmtId="0" fontId="7" fillId="4" borderId="0" xfId="2" applyFill="1"/>
    <xf numFmtId="17" fontId="0" fillId="4" borderId="0" xfId="0" applyNumberFormat="1" applyFill="1" applyAlignment="1">
      <alignment horizontal="left"/>
    </xf>
    <xf numFmtId="0" fontId="5" fillId="5" borderId="15" xfId="0" applyFont="1" applyFill="1" applyBorder="1" applyAlignment="1">
      <alignment horizontal="centerContinuous"/>
    </xf>
    <xf numFmtId="0" fontId="5" fillId="5" borderId="16" xfId="0" applyFont="1" applyFill="1" applyBorder="1" applyAlignment="1">
      <alignment horizontal="centerContinuous"/>
    </xf>
    <xf numFmtId="0" fontId="5" fillId="5" borderId="17" xfId="0" applyFont="1" applyFill="1" applyBorder="1" applyAlignment="1">
      <alignment horizontal="centerContinuous"/>
    </xf>
    <xf numFmtId="0" fontId="6" fillId="3" borderId="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9" xfId="1" applyFont="1" applyFill="1" applyBorder="1"/>
    <xf numFmtId="0" fontId="0" fillId="0" borderId="4" xfId="0" applyBorder="1"/>
    <xf numFmtId="0" fontId="7" fillId="4" borderId="0" xfId="2" quotePrefix="1" applyFill="1" applyAlignment="1">
      <alignment horizontal="center"/>
    </xf>
    <xf numFmtId="3" fontId="0" fillId="4" borderId="0" xfId="0" applyNumberFormat="1" applyFill="1" applyAlignment="1">
      <alignment horizontal="center"/>
    </xf>
    <xf numFmtId="9" fontId="0" fillId="0" borderId="19" xfId="1" applyFont="1" applyFill="1" applyBorder="1"/>
    <xf numFmtId="0" fontId="0" fillId="4" borderId="5" xfId="0" applyFill="1" applyBorder="1" applyAlignment="1">
      <alignment horizontal="center"/>
    </xf>
    <xf numFmtId="0" fontId="0" fillId="4" borderId="20" xfId="0" applyFill="1" applyBorder="1" applyAlignment="1">
      <alignment horizontal="right"/>
    </xf>
    <xf numFmtId="0" fontId="0" fillId="4" borderId="21" xfId="0" applyFill="1" applyBorder="1" applyAlignment="1">
      <alignment horizontal="right"/>
    </xf>
    <xf numFmtId="0" fontId="0" fillId="4" borderId="22" xfId="0" applyFill="1" applyBorder="1" applyAlignment="1">
      <alignment horizontal="right"/>
    </xf>
    <xf numFmtId="0" fontId="6" fillId="3" borderId="14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6" xfId="0" applyFill="1" applyBorder="1" applyAlignment="1">
      <alignment horizontal="right"/>
    </xf>
    <xf numFmtId="0" fontId="0" fillId="2" borderId="17" xfId="0" applyFill="1" applyBorder="1" applyAlignment="1">
      <alignment horizontal="right"/>
    </xf>
    <xf numFmtId="0" fontId="0" fillId="4" borderId="18" xfId="0" applyFill="1" applyBorder="1"/>
    <xf numFmtId="0" fontId="6" fillId="3" borderId="23" xfId="0" applyFont="1" applyFill="1" applyBorder="1" applyAlignment="1">
      <alignment horizontal="center" vertical="center"/>
    </xf>
    <xf numFmtId="0" fontId="0" fillId="4" borderId="23" xfId="0" applyFill="1" applyBorder="1"/>
    <xf numFmtId="0" fontId="0" fillId="4" borderId="2" xfId="0" applyFill="1" applyBorder="1" applyAlignment="1">
      <alignment horizontal="center"/>
    </xf>
    <xf numFmtId="9" fontId="0" fillId="4" borderId="24" xfId="1" applyFont="1" applyFill="1" applyBorder="1"/>
    <xf numFmtId="0" fontId="8" fillId="4" borderId="4" xfId="0" applyFont="1" applyFill="1" applyBorder="1"/>
    <xf numFmtId="3" fontId="0" fillId="4" borderId="18" xfId="0" applyNumberFormat="1" applyFill="1" applyBorder="1" applyAlignment="1">
      <alignment horizontal="right"/>
    </xf>
    <xf numFmtId="3" fontId="0" fillId="4" borderId="4" xfId="0" applyNumberFormat="1" applyFill="1" applyBorder="1" applyAlignment="1">
      <alignment horizontal="right"/>
    </xf>
    <xf numFmtId="9" fontId="0" fillId="4" borderId="18" xfId="1" applyFont="1" applyFill="1" applyBorder="1" applyAlignment="1">
      <alignment horizontal="right"/>
    </xf>
    <xf numFmtId="9" fontId="0" fillId="4" borderId="4" xfId="1" applyFont="1" applyFill="1" applyBorder="1" applyAlignment="1">
      <alignment horizontal="right"/>
    </xf>
    <xf numFmtId="0" fontId="0" fillId="0" borderId="18" xfId="0" applyBorder="1"/>
    <xf numFmtId="17" fontId="0" fillId="4" borderId="0" xfId="1" applyNumberFormat="1" applyFont="1" applyFill="1"/>
    <xf numFmtId="17" fontId="0" fillId="4" borderId="0" xfId="0" applyNumberFormat="1" applyFill="1"/>
    <xf numFmtId="0" fontId="0" fillId="7" borderId="0" xfId="0" applyFill="1"/>
    <xf numFmtId="17" fontId="0" fillId="6" borderId="0" xfId="0" applyNumberFormat="1" applyFill="1"/>
    <xf numFmtId="43" fontId="0" fillId="0" borderId="0" xfId="7" applyFont="1" applyFill="1"/>
    <xf numFmtId="43" fontId="11" fillId="0" borderId="0" xfId="7" applyFont="1" applyFill="1"/>
    <xf numFmtId="2" fontId="7" fillId="4" borderId="0" xfId="2" quotePrefix="1" applyNumberFormat="1" applyFill="1" applyAlignment="1">
      <alignment horizontal="center"/>
    </xf>
    <xf numFmtId="43" fontId="0" fillId="7" borderId="0" xfId="7" applyFont="1" applyFill="1"/>
    <xf numFmtId="9" fontId="0" fillId="0" borderId="0" xfId="1" applyFont="1" applyFill="1"/>
    <xf numFmtId="43" fontId="0" fillId="0" borderId="0" xfId="0" applyNumberFormat="1"/>
    <xf numFmtId="165" fontId="0" fillId="0" borderId="0" xfId="1" applyNumberFormat="1" applyFont="1" applyFill="1"/>
    <xf numFmtId="9" fontId="0" fillId="0" borderId="0" xfId="7" applyNumberFormat="1" applyFont="1" applyFill="1"/>
    <xf numFmtId="43" fontId="0" fillId="0" borderId="0" xfId="7" applyFont="1"/>
    <xf numFmtId="43" fontId="0" fillId="0" borderId="25" xfId="7" applyFont="1" applyFill="1" applyBorder="1"/>
    <xf numFmtId="0" fontId="0" fillId="0" borderId="14" xfId="0" applyBorder="1"/>
    <xf numFmtId="0" fontId="0" fillId="7" borderId="2" xfId="0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4" fontId="0" fillId="0" borderId="0" xfId="0" applyNumberFormat="1"/>
    <xf numFmtId="43" fontId="0" fillId="7" borderId="0" xfId="0" applyNumberFormat="1" applyFill="1"/>
    <xf numFmtId="18" fontId="4" fillId="4" borderId="0" xfId="0" applyNumberFormat="1" applyFont="1" applyFill="1"/>
    <xf numFmtId="43" fontId="0" fillId="4" borderId="0" xfId="7" applyFont="1" applyFill="1"/>
    <xf numFmtId="9" fontId="0" fillId="7" borderId="0" xfId="1" applyFont="1" applyFill="1"/>
    <xf numFmtId="43" fontId="0" fillId="4" borderId="4" xfId="7" applyFont="1" applyFill="1" applyBorder="1" applyAlignment="1">
      <alignment horizontal="right"/>
    </xf>
    <xf numFmtId="43" fontId="2" fillId="8" borderId="25" xfId="0" applyNumberFormat="1" applyFont="1" applyFill="1" applyBorder="1"/>
    <xf numFmtId="166" fontId="0" fillId="0" borderId="0" xfId="7" applyNumberFormat="1" applyFont="1" applyFill="1"/>
    <xf numFmtId="43" fontId="0" fillId="4" borderId="0" xfId="0" applyNumberFormat="1" applyFill="1"/>
    <xf numFmtId="43" fontId="0" fillId="0" borderId="0" xfId="7" applyFont="1" applyBorder="1"/>
    <xf numFmtId="43" fontId="0" fillId="0" borderId="0" xfId="7" applyFont="1" applyFill="1" applyBorder="1"/>
    <xf numFmtId="43" fontId="0" fillId="4" borderId="0" xfId="7" applyFont="1" applyFill="1" applyBorder="1"/>
    <xf numFmtId="43" fontId="0" fillId="9" borderId="0" xfId="7" applyFont="1" applyFill="1"/>
    <xf numFmtId="0" fontId="2" fillId="7" borderId="0" xfId="0" applyFont="1" applyFill="1"/>
    <xf numFmtId="43" fontId="0" fillId="0" borderId="26" xfId="0" applyNumberFormat="1" applyBorder="1"/>
    <xf numFmtId="43" fontId="0" fillId="4" borderId="26" xfId="0" applyNumberFormat="1" applyFill="1" applyBorder="1"/>
    <xf numFmtId="43" fontId="0" fillId="0" borderId="26" xfId="7" applyFont="1" applyBorder="1"/>
    <xf numFmtId="43" fontId="0" fillId="0" borderId="26" xfId="7" applyFont="1" applyFill="1" applyBorder="1"/>
    <xf numFmtId="43" fontId="0" fillId="4" borderId="26" xfId="7" applyFont="1" applyFill="1" applyBorder="1"/>
    <xf numFmtId="0" fontId="0" fillId="0" borderId="26" xfId="0" applyBorder="1"/>
    <xf numFmtId="43" fontId="0" fillId="7" borderId="26" xfId="0" applyNumberFormat="1" applyFill="1" applyBorder="1"/>
    <xf numFmtId="43" fontId="2" fillId="0" borderId="26" xfId="7" applyFont="1" applyFill="1" applyBorder="1"/>
    <xf numFmtId="9" fontId="0" fillId="0" borderId="26" xfId="1" applyFont="1" applyFill="1" applyBorder="1"/>
    <xf numFmtId="9" fontId="0" fillId="7" borderId="26" xfId="1" applyFont="1" applyFill="1" applyBorder="1"/>
    <xf numFmtId="43" fontId="0" fillId="7" borderId="26" xfId="7" applyFont="1" applyFill="1" applyBorder="1"/>
    <xf numFmtId="43" fontId="2" fillId="8" borderId="26" xfId="0" applyNumberFormat="1" applyFont="1" applyFill="1" applyBorder="1"/>
    <xf numFmtId="3" fontId="0" fillId="0" borderId="4" xfId="0" applyNumberFormat="1" applyBorder="1" applyAlignment="1">
      <alignment horizontal="right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7" xfId="0" applyFill="1" applyBorder="1" applyAlignment="1" applyProtection="1">
      <alignment horizontal="left" vertical="top" wrapText="1"/>
      <protection locked="0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12" xfId="0" applyFill="1" applyBorder="1" applyAlignment="1" applyProtection="1">
      <alignment horizontal="left"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13" xfId="0" applyFill="1" applyBorder="1" applyAlignment="1" applyProtection="1">
      <alignment horizontal="left" vertical="top" wrapText="1"/>
      <protection locked="0"/>
    </xf>
  </cellXfs>
  <cellStyles count="8">
    <cellStyle name="Comma" xfId="7" builtinId="3"/>
    <cellStyle name="Comma 2" xfId="6" xr:uid="{00000000-0005-0000-0000-000001000000}"/>
    <cellStyle name="Comma 3" xfId="5" xr:uid="{00000000-0005-0000-0000-000002000000}"/>
    <cellStyle name="Hyperlink" xfId="2" builtinId="8"/>
    <cellStyle name="Normal" xfId="0" builtinId="0"/>
    <cellStyle name="Normal 2" xfId="4" xr:uid="{00000000-0005-0000-0000-000005000000}"/>
    <cellStyle name="Percent" xfId="1" builtinId="5"/>
    <cellStyle name="Standaard 2" xfId="3" xr:uid="{00000000-0005-0000-0000-000007000000}"/>
  </cellStyles>
  <dxfs count="210"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1'!$E$20:$P$20</c:f>
              <c:numCache>
                <c:formatCode>#,##0</c:formatCode>
                <c:ptCount val="12"/>
                <c:pt idx="0">
                  <c:v>18389070</c:v>
                </c:pt>
                <c:pt idx="1">
                  <c:v>22070060</c:v>
                </c:pt>
                <c:pt idx="2">
                  <c:v>18397530</c:v>
                </c:pt>
                <c:pt idx="3">
                  <c:v>21684080</c:v>
                </c:pt>
                <c:pt idx="4">
                  <c:v>17036780</c:v>
                </c:pt>
                <c:pt idx="5">
                  <c:v>16441310</c:v>
                </c:pt>
                <c:pt idx="6">
                  <c:v>25608070</c:v>
                </c:pt>
                <c:pt idx="7">
                  <c:v>21831150</c:v>
                </c:pt>
                <c:pt idx="8">
                  <c:v>18351480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4-438F-B0C7-60D16C949D94}"/>
            </c:ext>
          </c:extLst>
        </c:ser>
        <c:ser>
          <c:idx val="4"/>
          <c:order val="2"/>
          <c:tx>
            <c:strRef>
              <c:f>'KPI 1'!$D$21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1'!$E$21:$P$21</c:f>
              <c:numCache>
                <c:formatCode>#,##0</c:formatCode>
                <c:ptCount val="12"/>
                <c:pt idx="0">
                  <c:v>11183420</c:v>
                </c:pt>
                <c:pt idx="1">
                  <c:v>13918957</c:v>
                </c:pt>
                <c:pt idx="2">
                  <c:v>13018249</c:v>
                </c:pt>
                <c:pt idx="3">
                  <c:v>12608519</c:v>
                </c:pt>
                <c:pt idx="4">
                  <c:v>14174994</c:v>
                </c:pt>
                <c:pt idx="5">
                  <c:v>8977679</c:v>
                </c:pt>
                <c:pt idx="6">
                  <c:v>14767948</c:v>
                </c:pt>
                <c:pt idx="7">
                  <c:v>13060906</c:v>
                </c:pt>
                <c:pt idx="8">
                  <c:v>13951180</c:v>
                </c:pt>
                <c:pt idx="9">
                  <c:v>13956857</c:v>
                </c:pt>
                <c:pt idx="10">
                  <c:v>19515330</c:v>
                </c:pt>
                <c:pt idx="11">
                  <c:v>20899160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A4-438F-B0C7-60D16C94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79712"/>
        <c:axId val="97781248"/>
      </c:barChart>
      <c:lineChart>
        <c:grouping val="standard"/>
        <c:varyColors val="0"/>
        <c:ser>
          <c:idx val="0"/>
          <c:order val="0"/>
          <c:tx>
            <c:strRef>
              <c:f>'KPI 1'!$D$19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1'!$E$19:$P$19</c:f>
              <c:numCache>
                <c:formatCode>#,##0</c:formatCode>
                <c:ptCount val="12"/>
                <c:pt idx="0">
                  <c:v>16944467.777777776</c:v>
                </c:pt>
                <c:pt idx="1">
                  <c:v>17161527.777777776</c:v>
                </c:pt>
                <c:pt idx="2">
                  <c:v>17381827.777777776</c:v>
                </c:pt>
                <c:pt idx="3">
                  <c:v>17650727.777777776</c:v>
                </c:pt>
                <c:pt idx="4">
                  <c:v>17903427.777777776</c:v>
                </c:pt>
                <c:pt idx="5">
                  <c:v>18139927.777777776</c:v>
                </c:pt>
                <c:pt idx="6">
                  <c:v>18392627.777777776</c:v>
                </c:pt>
                <c:pt idx="7">
                  <c:v>18621027.777777776</c:v>
                </c:pt>
                <c:pt idx="8">
                  <c:v>18825127.777777776</c:v>
                </c:pt>
                <c:pt idx="9">
                  <c:v>19013027.777777776</c:v>
                </c:pt>
                <c:pt idx="10">
                  <c:v>19200927.77777778</c:v>
                </c:pt>
                <c:pt idx="11">
                  <c:v>19385587.77777778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4-438F-B0C7-60D16C94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79712"/>
        <c:axId val="97781248"/>
      </c:lineChart>
      <c:dateAx>
        <c:axId val="97779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7781248"/>
        <c:crosses val="autoZero"/>
        <c:auto val="1"/>
        <c:lblOffset val="100"/>
        <c:baseTimeUnit val="months"/>
      </c:dateAx>
      <c:valAx>
        <c:axId val="977812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7779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 (2)'!$E$20:$P$20</c:f>
              <c:numCache>
                <c:formatCode>#,##0</c:formatCode>
                <c:ptCount val="12"/>
                <c:pt idx="0">
                  <c:v>86850</c:v>
                </c:pt>
                <c:pt idx="1">
                  <c:v>84450</c:v>
                </c:pt>
                <c:pt idx="2">
                  <c:v>56450</c:v>
                </c:pt>
                <c:pt idx="3">
                  <c:v>97020</c:v>
                </c:pt>
                <c:pt idx="4">
                  <c:v>61350</c:v>
                </c:pt>
                <c:pt idx="5">
                  <c:v>68250</c:v>
                </c:pt>
                <c:pt idx="6">
                  <c:v>83100</c:v>
                </c:pt>
                <c:pt idx="7">
                  <c:v>90450</c:v>
                </c:pt>
                <c:pt idx="8">
                  <c:v>76200</c:v>
                </c:pt>
                <c:pt idx="9">
                  <c:v>61950</c:v>
                </c:pt>
                <c:pt idx="10">
                  <c:v>26000</c:v>
                </c:pt>
                <c:pt idx="11">
                  <c:v>28100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C-416A-9C4C-022C879BE16E}"/>
            </c:ext>
          </c:extLst>
        </c:ser>
        <c:ser>
          <c:idx val="4"/>
          <c:order val="2"/>
          <c:tx>
            <c:strRef>
              <c:f>'KPI 3 (2)'!$D$21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 (2)'!$E$21:$P$21</c:f>
              <c:numCache>
                <c:formatCode>#,##0</c:formatCode>
                <c:ptCount val="12"/>
                <c:pt idx="0">
                  <c:v>727660</c:v>
                </c:pt>
                <c:pt idx="1">
                  <c:v>675185</c:v>
                </c:pt>
                <c:pt idx="2">
                  <c:v>754220</c:v>
                </c:pt>
                <c:pt idx="3">
                  <c:v>824710</c:v>
                </c:pt>
                <c:pt idx="4">
                  <c:v>618150</c:v>
                </c:pt>
                <c:pt idx="5">
                  <c:v>676645</c:v>
                </c:pt>
                <c:pt idx="6">
                  <c:v>558750</c:v>
                </c:pt>
                <c:pt idx="7">
                  <c:v>717984</c:v>
                </c:pt>
                <c:pt idx="8">
                  <c:v>1209417</c:v>
                </c:pt>
                <c:pt idx="9">
                  <c:v>816150</c:v>
                </c:pt>
                <c:pt idx="10">
                  <c:v>1065400</c:v>
                </c:pt>
                <c:pt idx="11">
                  <c:v>1163650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C-416A-9C4C-022C879B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41920"/>
        <c:axId val="97843456"/>
      </c:barChart>
      <c:lineChart>
        <c:grouping val="standard"/>
        <c:varyColors val="0"/>
        <c:ser>
          <c:idx val="0"/>
          <c:order val="0"/>
          <c:tx>
            <c:strRef>
              <c:f>'KPI 3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 (2)'!$E$19:$P$19</c:f>
              <c:numCache>
                <c:formatCode>#,##0</c:formatCode>
                <c:ptCount val="12"/>
                <c:pt idx="0">
                  <c:v>90000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  <c:pt idx="5">
                  <c:v>90000</c:v>
                </c:pt>
                <c:pt idx="6">
                  <c:v>90000</c:v>
                </c:pt>
                <c:pt idx="7">
                  <c:v>90000</c:v>
                </c:pt>
                <c:pt idx="8">
                  <c:v>90000</c:v>
                </c:pt>
                <c:pt idx="9">
                  <c:v>90000</c:v>
                </c:pt>
                <c:pt idx="10">
                  <c:v>90000</c:v>
                </c:pt>
                <c:pt idx="11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C-416A-9C4C-022C879B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41920"/>
        <c:axId val="97843456"/>
      </c:lineChart>
      <c:dateAx>
        <c:axId val="97841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7843456"/>
        <c:crosses val="autoZero"/>
        <c:auto val="1"/>
        <c:lblOffset val="100"/>
        <c:baseTimeUnit val="months"/>
      </c:dateAx>
      <c:valAx>
        <c:axId val="97843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7841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2'!$E$20:$P$20</c:f>
              <c:numCache>
                <c:formatCode>#,##0</c:formatCode>
                <c:ptCount val="12"/>
                <c:pt idx="0">
                  <c:v>5703320.9999999991</c:v>
                </c:pt>
                <c:pt idx="1">
                  <c:v>6046365.9999999991</c:v>
                </c:pt>
                <c:pt idx="2">
                  <c:v>5720536</c:v>
                </c:pt>
                <c:pt idx="3">
                  <c:v>5831420.9999999991</c:v>
                </c:pt>
                <c:pt idx="4">
                  <c:v>5343133.5</c:v>
                </c:pt>
                <c:pt idx="5">
                  <c:v>4905403.7999999989</c:v>
                </c:pt>
                <c:pt idx="6">
                  <c:v>6958143.4999999991</c:v>
                </c:pt>
                <c:pt idx="7">
                  <c:v>5826590.9999999991</c:v>
                </c:pt>
                <c:pt idx="8">
                  <c:v>5950166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F-492D-ACD0-70C49F2C2E76}"/>
            </c:ext>
          </c:extLst>
        </c:ser>
        <c:ser>
          <c:idx val="4"/>
          <c:order val="2"/>
          <c:tx>
            <c:strRef>
              <c:f>'KPI 2'!$D$21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2'!$E$21:$P$21</c:f>
              <c:numCache>
                <c:formatCode>#,##0</c:formatCode>
                <c:ptCount val="12"/>
                <c:pt idx="0">
                  <c:v>4109000.4</c:v>
                </c:pt>
                <c:pt idx="1">
                  <c:v>5060354.6500000004</c:v>
                </c:pt>
                <c:pt idx="2">
                  <c:v>4299927.7</c:v>
                </c:pt>
                <c:pt idx="3">
                  <c:v>4437132.6999999993</c:v>
                </c:pt>
                <c:pt idx="4">
                  <c:v>4483043.4999999991</c:v>
                </c:pt>
                <c:pt idx="5">
                  <c:v>3764102.6999999997</c:v>
                </c:pt>
                <c:pt idx="6">
                  <c:v>5424976.2000000002</c:v>
                </c:pt>
                <c:pt idx="7">
                  <c:v>4666903.2</c:v>
                </c:pt>
                <c:pt idx="8">
                  <c:v>4963782.45</c:v>
                </c:pt>
                <c:pt idx="9">
                  <c:v>5710578.7499999991</c:v>
                </c:pt>
                <c:pt idx="10">
                  <c:v>6133010.9999999991</c:v>
                </c:pt>
                <c:pt idx="11">
                  <c:v>6224363.4999999991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F-492D-ACD0-70C49F2C2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334208"/>
        <c:axId val="98335744"/>
      </c:barChart>
      <c:lineChart>
        <c:grouping val="standard"/>
        <c:varyColors val="0"/>
        <c:ser>
          <c:idx val="0"/>
          <c:order val="0"/>
          <c:tx>
            <c:strRef>
              <c:f>'KPI 2'!$D$19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2'!$E$19:$P$19</c:f>
              <c:numCache>
                <c:formatCode>#,##0</c:formatCode>
                <c:ptCount val="12"/>
                <c:pt idx="0">
                  <c:v>5070284.0919431113</c:v>
                </c:pt>
                <c:pt idx="1">
                  <c:v>5094619.4241970647</c:v>
                </c:pt>
                <c:pt idx="2">
                  <c:v>5118954.7564510172</c:v>
                </c:pt>
                <c:pt idx="3">
                  <c:v>5143290.0887049716</c:v>
                </c:pt>
                <c:pt idx="4">
                  <c:v>5167625.420958925</c:v>
                </c:pt>
                <c:pt idx="5">
                  <c:v>5191960.7532128775</c:v>
                </c:pt>
                <c:pt idx="6">
                  <c:v>5216296.085466831</c:v>
                </c:pt>
                <c:pt idx="7">
                  <c:v>5240631.4177207835</c:v>
                </c:pt>
                <c:pt idx="8">
                  <c:v>5264966.7499747369</c:v>
                </c:pt>
                <c:pt idx="9">
                  <c:v>5289302.0822286904</c:v>
                </c:pt>
                <c:pt idx="10">
                  <c:v>5313637.4144826438</c:v>
                </c:pt>
                <c:pt idx="11">
                  <c:v>5337972.7467365973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F-492D-ACD0-70C49F2C2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34208"/>
        <c:axId val="98335744"/>
      </c:lineChart>
      <c:dateAx>
        <c:axId val="98334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8335744"/>
        <c:crosses val="autoZero"/>
        <c:auto val="1"/>
        <c:lblOffset val="100"/>
        <c:baseTimeUnit val="months"/>
      </c:dateAx>
      <c:valAx>
        <c:axId val="983357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833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a'!$D$20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a'!$E$20:$P$20</c:f>
              <c:numCache>
                <c:formatCode>#,##0</c:formatCode>
                <c:ptCount val="12"/>
                <c:pt idx="0">
                  <c:v>185510</c:v>
                </c:pt>
                <c:pt idx="1">
                  <c:v>166400</c:v>
                </c:pt>
                <c:pt idx="2">
                  <c:v>165100</c:v>
                </c:pt>
                <c:pt idx="3">
                  <c:v>164840</c:v>
                </c:pt>
                <c:pt idx="4">
                  <c:v>126750</c:v>
                </c:pt>
                <c:pt idx="5">
                  <c:v>122200</c:v>
                </c:pt>
                <c:pt idx="6">
                  <c:v>46020</c:v>
                </c:pt>
                <c:pt idx="7">
                  <c:v>88920</c:v>
                </c:pt>
                <c:pt idx="8">
                  <c:v>30290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2-40D3-95DD-0596F3C0A743}"/>
            </c:ext>
          </c:extLst>
        </c:ser>
        <c:ser>
          <c:idx val="4"/>
          <c:order val="2"/>
          <c:tx>
            <c:strRef>
              <c:f>'KPI a'!$D$21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a'!$E$21:$P$21</c:f>
              <c:numCache>
                <c:formatCode>#,##0</c:formatCode>
                <c:ptCount val="12"/>
                <c:pt idx="0">
                  <c:v>22320</c:v>
                </c:pt>
                <c:pt idx="1">
                  <c:v>28370</c:v>
                </c:pt>
                <c:pt idx="2">
                  <c:v>64720</c:v>
                </c:pt>
                <c:pt idx="3">
                  <c:v>22800</c:v>
                </c:pt>
                <c:pt idx="4">
                  <c:v>40480</c:v>
                </c:pt>
                <c:pt idx="5">
                  <c:v>25520</c:v>
                </c:pt>
                <c:pt idx="6">
                  <c:v>51520</c:v>
                </c:pt>
                <c:pt idx="7">
                  <c:v>59520</c:v>
                </c:pt>
                <c:pt idx="8">
                  <c:v>104400</c:v>
                </c:pt>
                <c:pt idx="9">
                  <c:v>73540</c:v>
                </c:pt>
                <c:pt idx="10">
                  <c:v>63440</c:v>
                </c:pt>
                <c:pt idx="11">
                  <c:v>165230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2-40D3-95DD-0596F3C0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86816"/>
        <c:axId val="97988608"/>
      </c:barChart>
      <c:lineChart>
        <c:grouping val="standard"/>
        <c:varyColors val="0"/>
        <c:ser>
          <c:idx val="0"/>
          <c:order val="0"/>
          <c:tx>
            <c:strRef>
              <c:f>'KPI a'!$D$19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a'!$E$19:$P$19</c:f>
              <c:numCache>
                <c:formatCode>#,##0</c:formatCode>
                <c:ptCount val="12"/>
                <c:pt idx="0">
                  <c:v>64130</c:v>
                </c:pt>
                <c:pt idx="1">
                  <c:v>64130</c:v>
                </c:pt>
                <c:pt idx="2">
                  <c:v>64130</c:v>
                </c:pt>
                <c:pt idx="3">
                  <c:v>64130</c:v>
                </c:pt>
                <c:pt idx="4">
                  <c:v>64130</c:v>
                </c:pt>
                <c:pt idx="5">
                  <c:v>64130</c:v>
                </c:pt>
                <c:pt idx="6">
                  <c:v>64130</c:v>
                </c:pt>
                <c:pt idx="7">
                  <c:v>64130</c:v>
                </c:pt>
                <c:pt idx="8">
                  <c:v>64130</c:v>
                </c:pt>
                <c:pt idx="9">
                  <c:v>64130</c:v>
                </c:pt>
                <c:pt idx="10">
                  <c:v>64130</c:v>
                </c:pt>
                <c:pt idx="11">
                  <c:v>64130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82-40D3-95DD-0596F3C0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86816"/>
        <c:axId val="97988608"/>
      </c:lineChart>
      <c:dateAx>
        <c:axId val="97986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7988608"/>
        <c:crosses val="autoZero"/>
        <c:auto val="1"/>
        <c:lblOffset val="100"/>
        <c:baseTimeUnit val="months"/>
      </c:dateAx>
      <c:valAx>
        <c:axId val="979886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7986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b'!$D$20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B-4DA4-BE6E-954AFB39ADF9}"/>
            </c:ext>
          </c:extLst>
        </c:ser>
        <c:ser>
          <c:idx val="4"/>
          <c:order val="2"/>
          <c:tx>
            <c:strRef>
              <c:f>'KPI b'!$D$21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b'!$E$21:$P$21</c:f>
              <c:numCache>
                <c:formatCode>#,##0</c:formatCode>
                <c:ptCount val="12"/>
                <c:pt idx="0">
                  <c:v>491000</c:v>
                </c:pt>
                <c:pt idx="1">
                  <c:v>494150</c:v>
                </c:pt>
                <c:pt idx="2">
                  <c:v>496750</c:v>
                </c:pt>
                <c:pt idx="3">
                  <c:v>498550</c:v>
                </c:pt>
                <c:pt idx="4">
                  <c:v>498350</c:v>
                </c:pt>
                <c:pt idx="5">
                  <c:v>501650</c:v>
                </c:pt>
                <c:pt idx="6">
                  <c:v>503400</c:v>
                </c:pt>
                <c:pt idx="7">
                  <c:v>507750</c:v>
                </c:pt>
                <c:pt idx="8">
                  <c:v>510500</c:v>
                </c:pt>
                <c:pt idx="9">
                  <c:v>281750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B-4DA4-BE6E-954AFB39A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21664"/>
        <c:axId val="97935744"/>
      </c:barChart>
      <c:lineChart>
        <c:grouping val="standard"/>
        <c:varyColors val="0"/>
        <c:ser>
          <c:idx val="0"/>
          <c:order val="0"/>
          <c:tx>
            <c:strRef>
              <c:f>'KPI b'!$D$19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DB-4DA4-BE6E-954AFB39A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21664"/>
        <c:axId val="97935744"/>
      </c:lineChart>
      <c:dateAx>
        <c:axId val="97921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7935744"/>
        <c:crosses val="autoZero"/>
        <c:auto val="1"/>
        <c:lblOffset val="100"/>
        <c:baseTimeUnit val="months"/>
      </c:dateAx>
      <c:valAx>
        <c:axId val="979357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7921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b'!$D$20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0-4B89-A873-62642EB08CC4}"/>
            </c:ext>
          </c:extLst>
        </c:ser>
        <c:ser>
          <c:idx val="4"/>
          <c:order val="2"/>
          <c:tx>
            <c:strRef>
              <c:f>'KPI b'!$D$21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b'!$E$21:$P$21</c:f>
              <c:numCache>
                <c:formatCode>#,##0</c:formatCode>
                <c:ptCount val="12"/>
                <c:pt idx="0">
                  <c:v>491000</c:v>
                </c:pt>
                <c:pt idx="1">
                  <c:v>494150</c:v>
                </c:pt>
                <c:pt idx="2">
                  <c:v>496750</c:v>
                </c:pt>
                <c:pt idx="3">
                  <c:v>498550</c:v>
                </c:pt>
                <c:pt idx="4">
                  <c:v>498350</c:v>
                </c:pt>
                <c:pt idx="5">
                  <c:v>501650</c:v>
                </c:pt>
                <c:pt idx="6">
                  <c:v>503400</c:v>
                </c:pt>
                <c:pt idx="7">
                  <c:v>507750</c:v>
                </c:pt>
                <c:pt idx="8">
                  <c:v>510500</c:v>
                </c:pt>
                <c:pt idx="9">
                  <c:v>281750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0-4B89-A873-62642EB08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21664"/>
        <c:axId val="97935744"/>
      </c:barChart>
      <c:lineChart>
        <c:grouping val="standard"/>
        <c:varyColors val="0"/>
        <c:ser>
          <c:idx val="0"/>
          <c:order val="0"/>
          <c:tx>
            <c:strRef>
              <c:f>'KPI b'!$D$19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0-4B89-A873-62642EB08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21664"/>
        <c:axId val="97935744"/>
      </c:lineChart>
      <c:dateAx>
        <c:axId val="97921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7935744"/>
        <c:crosses val="autoZero"/>
        <c:auto val="1"/>
        <c:lblOffset val="100"/>
        <c:baseTimeUnit val="months"/>
      </c:dateAx>
      <c:valAx>
        <c:axId val="979357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7921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c'!$D$20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c'!$E$20:$P$20</c:f>
              <c:numCache>
                <c:formatCode>#,##0</c:formatCode>
                <c:ptCount val="12"/>
                <c:pt idx="0">
                  <c:v>385000</c:v>
                </c:pt>
                <c:pt idx="1">
                  <c:v>455000</c:v>
                </c:pt>
                <c:pt idx="2">
                  <c:v>345000</c:v>
                </c:pt>
                <c:pt idx="3">
                  <c:v>422500</c:v>
                </c:pt>
                <c:pt idx="4">
                  <c:v>255000</c:v>
                </c:pt>
                <c:pt idx="5">
                  <c:v>360000</c:v>
                </c:pt>
                <c:pt idx="6">
                  <c:v>440000</c:v>
                </c:pt>
                <c:pt idx="7">
                  <c:v>192500</c:v>
                </c:pt>
                <c:pt idx="8">
                  <c:v>147500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B-4973-BD0F-9E956D864D79}"/>
            </c:ext>
          </c:extLst>
        </c:ser>
        <c:ser>
          <c:idx val="4"/>
          <c:order val="2"/>
          <c:tx>
            <c:strRef>
              <c:f>'KPI c'!$D$21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c'!$E$21:$P$21</c:f>
              <c:numCache>
                <c:formatCode>#,##0</c:formatCode>
                <c:ptCount val="12"/>
                <c:pt idx="0">
                  <c:v>327500</c:v>
                </c:pt>
                <c:pt idx="1">
                  <c:v>172500</c:v>
                </c:pt>
                <c:pt idx="2">
                  <c:v>90000</c:v>
                </c:pt>
                <c:pt idx="3">
                  <c:v>35000</c:v>
                </c:pt>
                <c:pt idx="4">
                  <c:v>102500</c:v>
                </c:pt>
                <c:pt idx="5">
                  <c:v>145000</c:v>
                </c:pt>
                <c:pt idx="6">
                  <c:v>377500</c:v>
                </c:pt>
                <c:pt idx="7">
                  <c:v>225000</c:v>
                </c:pt>
                <c:pt idx="8">
                  <c:v>245000</c:v>
                </c:pt>
                <c:pt idx="9">
                  <c:v>417500</c:v>
                </c:pt>
                <c:pt idx="10">
                  <c:v>187500</c:v>
                </c:pt>
                <c:pt idx="11">
                  <c:v>265000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B-4973-BD0F-9E956D864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63392"/>
        <c:axId val="97997952"/>
      </c:barChart>
      <c:lineChart>
        <c:grouping val="standard"/>
        <c:varyColors val="0"/>
        <c:ser>
          <c:idx val="0"/>
          <c:order val="0"/>
          <c:tx>
            <c:strRef>
              <c:f>'KPI c'!$D$19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c'!$E$19:$P$19</c:f>
              <c:numCache>
                <c:formatCode>#,##0</c:formatCode>
                <c:ptCount val="12"/>
                <c:pt idx="0">
                  <c:v>455000</c:v>
                </c:pt>
                <c:pt idx="1">
                  <c:v>407500</c:v>
                </c:pt>
                <c:pt idx="2">
                  <c:v>412500</c:v>
                </c:pt>
                <c:pt idx="3">
                  <c:v>587500</c:v>
                </c:pt>
                <c:pt idx="4">
                  <c:v>562500</c:v>
                </c:pt>
                <c:pt idx="5">
                  <c:v>537500</c:v>
                </c:pt>
                <c:pt idx="6">
                  <c:v>550000</c:v>
                </c:pt>
                <c:pt idx="7">
                  <c:v>512500</c:v>
                </c:pt>
                <c:pt idx="8">
                  <c:v>475000</c:v>
                </c:pt>
                <c:pt idx="9">
                  <c:v>425000</c:v>
                </c:pt>
                <c:pt idx="10">
                  <c:v>425000</c:v>
                </c:pt>
                <c:pt idx="11">
                  <c:v>420000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AB-4973-BD0F-9E956D864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63392"/>
        <c:axId val="97997952"/>
      </c:lineChart>
      <c:dateAx>
        <c:axId val="97963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7997952"/>
        <c:crosses val="autoZero"/>
        <c:auto val="1"/>
        <c:lblOffset val="100"/>
        <c:baseTimeUnit val="months"/>
      </c:dateAx>
      <c:valAx>
        <c:axId val="97997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7963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e'!$D$20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e'!$E$20:$P$20</c:f>
              <c:numCache>
                <c:formatCode>#,##0</c:formatCode>
                <c:ptCount val="12"/>
                <c:pt idx="0">
                  <c:v>0</c:v>
                </c:pt>
                <c:pt idx="1">
                  <c:v>22500</c:v>
                </c:pt>
                <c:pt idx="2">
                  <c:v>22500</c:v>
                </c:pt>
                <c:pt idx="3">
                  <c:v>20000</c:v>
                </c:pt>
                <c:pt idx="4">
                  <c:v>27500</c:v>
                </c:pt>
                <c:pt idx="5">
                  <c:v>0</c:v>
                </c:pt>
                <c:pt idx="6">
                  <c:v>22500</c:v>
                </c:pt>
                <c:pt idx="7">
                  <c:v>27500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6-428B-A69D-AFE8E120E28C}"/>
            </c:ext>
          </c:extLst>
        </c:ser>
        <c:ser>
          <c:idx val="4"/>
          <c:order val="2"/>
          <c:tx>
            <c:strRef>
              <c:f>'KPI e'!$D$21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e'!$E$21:$P$21</c:f>
              <c:numCache>
                <c:formatCode>#,##0</c:formatCode>
                <c:ptCount val="12"/>
                <c:pt idx="0">
                  <c:v>50000</c:v>
                </c:pt>
                <c:pt idx="1">
                  <c:v>30000</c:v>
                </c:pt>
                <c:pt idx="2">
                  <c:v>37500</c:v>
                </c:pt>
                <c:pt idx="3">
                  <c:v>12500</c:v>
                </c:pt>
                <c:pt idx="4">
                  <c:v>0</c:v>
                </c:pt>
                <c:pt idx="5">
                  <c:v>25000</c:v>
                </c:pt>
                <c:pt idx="6">
                  <c:v>10500</c:v>
                </c:pt>
                <c:pt idx="7">
                  <c:v>60000</c:v>
                </c:pt>
                <c:pt idx="8">
                  <c:v>22500</c:v>
                </c:pt>
                <c:pt idx="9">
                  <c:v>17500</c:v>
                </c:pt>
                <c:pt idx="10">
                  <c:v>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6-428B-A69D-AFE8E120E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81920"/>
        <c:axId val="98883456"/>
      </c:barChart>
      <c:lineChart>
        <c:grouping val="standard"/>
        <c:varyColors val="0"/>
        <c:ser>
          <c:idx val="0"/>
          <c:order val="0"/>
          <c:tx>
            <c:strRef>
              <c:f>'KPI e'!$D$19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e'!$E$19:$P$19</c:f>
              <c:numCache>
                <c:formatCode>#,##0</c:formatCode>
                <c:ptCount val="12"/>
                <c:pt idx="0">
                  <c:v>80000</c:v>
                </c:pt>
                <c:pt idx="1">
                  <c:v>75000</c:v>
                </c:pt>
                <c:pt idx="2">
                  <c:v>75000</c:v>
                </c:pt>
                <c:pt idx="3">
                  <c:v>75000</c:v>
                </c:pt>
                <c:pt idx="4">
                  <c:v>75000</c:v>
                </c:pt>
                <c:pt idx="5">
                  <c:v>75000</c:v>
                </c:pt>
                <c:pt idx="6">
                  <c:v>75000</c:v>
                </c:pt>
                <c:pt idx="7">
                  <c:v>75000</c:v>
                </c:pt>
                <c:pt idx="8">
                  <c:v>75000</c:v>
                </c:pt>
                <c:pt idx="9">
                  <c:v>75000</c:v>
                </c:pt>
                <c:pt idx="10">
                  <c:v>75000</c:v>
                </c:pt>
                <c:pt idx="11">
                  <c:v>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A6-428B-A69D-AFE8E120E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81920"/>
        <c:axId val="98883456"/>
      </c:lineChart>
      <c:dateAx>
        <c:axId val="98881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8883456"/>
        <c:crosses val="autoZero"/>
        <c:auto val="1"/>
        <c:lblOffset val="100"/>
        <c:baseTimeUnit val="months"/>
      </c:dateAx>
      <c:valAx>
        <c:axId val="98883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8881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3'!$E$20:$P$20</c:f>
              <c:numCache>
                <c:formatCode>#,##0</c:formatCode>
                <c:ptCount val="12"/>
                <c:pt idx="0">
                  <c:v>86850</c:v>
                </c:pt>
                <c:pt idx="1">
                  <c:v>84450</c:v>
                </c:pt>
                <c:pt idx="2">
                  <c:v>56450</c:v>
                </c:pt>
                <c:pt idx="3">
                  <c:v>97020</c:v>
                </c:pt>
                <c:pt idx="4">
                  <c:v>61350</c:v>
                </c:pt>
                <c:pt idx="5">
                  <c:v>68250</c:v>
                </c:pt>
                <c:pt idx="6">
                  <c:v>83100</c:v>
                </c:pt>
                <c:pt idx="7">
                  <c:v>90450</c:v>
                </c:pt>
                <c:pt idx="8">
                  <c:v>76200</c:v>
                </c:pt>
                <c:pt idx="9">
                  <c:v>61950</c:v>
                </c:pt>
                <c:pt idx="10">
                  <c:v>26000</c:v>
                </c:pt>
                <c:pt idx="11">
                  <c:v>28100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6-435D-A736-36DB402E3866}"/>
            </c:ext>
          </c:extLst>
        </c:ser>
        <c:ser>
          <c:idx val="4"/>
          <c:order val="2"/>
          <c:tx>
            <c:strRef>
              <c:f>'KPI 3'!$D$21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6-435D-A736-36DB402E3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500608"/>
        <c:axId val="100502144"/>
      </c:barChart>
      <c:lineChart>
        <c:grouping val="standard"/>
        <c:varyColors val="0"/>
        <c:ser>
          <c:idx val="0"/>
          <c:order val="0"/>
          <c:tx>
            <c:strRef>
              <c:f>'KPI 3'!$D$19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3'!$E$19:$P$19</c:f>
              <c:numCache>
                <c:formatCode>#,##0</c:formatCode>
                <c:ptCount val="12"/>
                <c:pt idx="0">
                  <c:v>90000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  <c:pt idx="5">
                  <c:v>90000</c:v>
                </c:pt>
                <c:pt idx="6">
                  <c:v>90000</c:v>
                </c:pt>
                <c:pt idx="7">
                  <c:v>90000</c:v>
                </c:pt>
                <c:pt idx="8">
                  <c:v>90000</c:v>
                </c:pt>
                <c:pt idx="9">
                  <c:v>90000</c:v>
                </c:pt>
                <c:pt idx="10">
                  <c:v>90000</c:v>
                </c:pt>
                <c:pt idx="11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6-435D-A736-36DB402E3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00608"/>
        <c:axId val="100502144"/>
      </c:lineChart>
      <c:dateAx>
        <c:axId val="100500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0502144"/>
        <c:crosses val="autoZero"/>
        <c:auto val="1"/>
        <c:lblOffset val="100"/>
        <c:baseTimeUnit val="months"/>
      </c:dateAx>
      <c:valAx>
        <c:axId val="100502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50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3a'!$D$20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3a'!$E$20:$P$20</c:f>
              <c:numCache>
                <c:formatCode>#,##0</c:formatCode>
                <c:ptCount val="12"/>
                <c:pt idx="0">
                  <c:v>331100</c:v>
                </c:pt>
                <c:pt idx="1">
                  <c:v>336400</c:v>
                </c:pt>
                <c:pt idx="2">
                  <c:v>340300</c:v>
                </c:pt>
                <c:pt idx="3">
                  <c:v>343400</c:v>
                </c:pt>
                <c:pt idx="4">
                  <c:v>349350</c:v>
                </c:pt>
                <c:pt idx="5">
                  <c:v>355250</c:v>
                </c:pt>
                <c:pt idx="6">
                  <c:v>361150</c:v>
                </c:pt>
                <c:pt idx="7">
                  <c:v>365900</c:v>
                </c:pt>
                <c:pt idx="8">
                  <c:v>369600</c:v>
                </c:pt>
                <c:pt idx="9">
                  <c:v>380850</c:v>
                </c:pt>
                <c:pt idx="10">
                  <c:v>383800</c:v>
                </c:pt>
                <c:pt idx="11">
                  <c:v>387050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0-47F4-9DA4-864C32BF827E}"/>
            </c:ext>
          </c:extLst>
        </c:ser>
        <c:ser>
          <c:idx val="4"/>
          <c:order val="2"/>
          <c:tx>
            <c:strRef>
              <c:f>'KPI 3a'!$D$21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0-47F4-9DA4-864C32BF8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24960"/>
        <c:axId val="100826496"/>
      </c:barChart>
      <c:lineChart>
        <c:grouping val="standard"/>
        <c:varyColors val="0"/>
        <c:ser>
          <c:idx val="0"/>
          <c:order val="0"/>
          <c:tx>
            <c:strRef>
              <c:f>'KPI 3a'!$D$19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3a'!$E$19:$P$19</c:f>
              <c:numCache>
                <c:formatCode>#,##0</c:formatCode>
                <c:ptCount val="12"/>
                <c:pt idx="0">
                  <c:v>64130</c:v>
                </c:pt>
                <c:pt idx="1">
                  <c:v>64130</c:v>
                </c:pt>
                <c:pt idx="2">
                  <c:v>64130</c:v>
                </c:pt>
                <c:pt idx="3">
                  <c:v>64130</c:v>
                </c:pt>
                <c:pt idx="4">
                  <c:v>64130</c:v>
                </c:pt>
                <c:pt idx="5">
                  <c:v>64130</c:v>
                </c:pt>
                <c:pt idx="6">
                  <c:v>64130</c:v>
                </c:pt>
                <c:pt idx="7">
                  <c:v>64130</c:v>
                </c:pt>
                <c:pt idx="8">
                  <c:v>64130</c:v>
                </c:pt>
                <c:pt idx="9">
                  <c:v>64130</c:v>
                </c:pt>
                <c:pt idx="10">
                  <c:v>64130</c:v>
                </c:pt>
                <c:pt idx="11">
                  <c:v>64130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10-47F4-9DA4-864C32BF8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24960"/>
        <c:axId val="100826496"/>
      </c:lineChart>
      <c:dateAx>
        <c:axId val="100824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0826496"/>
        <c:crosses val="autoZero"/>
        <c:auto val="1"/>
        <c:lblOffset val="100"/>
        <c:baseTimeUnit val="months"/>
      </c:dateAx>
      <c:valAx>
        <c:axId val="1008264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824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3b'!$D$20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3b'!$E$20:$P$20</c:f>
              <c:numCache>
                <c:formatCode>#,##0</c:formatCode>
                <c:ptCount val="12"/>
                <c:pt idx="0">
                  <c:v>120000</c:v>
                </c:pt>
                <c:pt idx="1">
                  <c:v>108000</c:v>
                </c:pt>
                <c:pt idx="2">
                  <c:v>164000</c:v>
                </c:pt>
                <c:pt idx="3">
                  <c:v>334500</c:v>
                </c:pt>
                <c:pt idx="4">
                  <c:v>192000</c:v>
                </c:pt>
                <c:pt idx="5">
                  <c:v>234000</c:v>
                </c:pt>
                <c:pt idx="6">
                  <c:v>128500</c:v>
                </c:pt>
                <c:pt idx="7">
                  <c:v>264500</c:v>
                </c:pt>
                <c:pt idx="8">
                  <c:v>319000</c:v>
                </c:pt>
                <c:pt idx="9">
                  <c:v>202000</c:v>
                </c:pt>
                <c:pt idx="10">
                  <c:v>143500</c:v>
                </c:pt>
                <c:pt idx="11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5-4A7E-B116-6EC9623525EB}"/>
            </c:ext>
          </c:extLst>
        </c:ser>
        <c:ser>
          <c:idx val="4"/>
          <c:order val="2"/>
          <c:tx>
            <c:strRef>
              <c:f>'KPI 3b'!$D$21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5-4A7E-B116-6EC96235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02848"/>
        <c:axId val="100712832"/>
      </c:barChart>
      <c:lineChart>
        <c:grouping val="standard"/>
        <c:varyColors val="0"/>
        <c:ser>
          <c:idx val="0"/>
          <c:order val="0"/>
          <c:tx>
            <c:strRef>
              <c:f>'KPI 3b'!$D$19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5-4A7E-B116-6EC96235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02848"/>
        <c:axId val="100712832"/>
      </c:lineChart>
      <c:dateAx>
        <c:axId val="100702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0712832"/>
        <c:crosses val="autoZero"/>
        <c:auto val="1"/>
        <c:lblOffset val="100"/>
        <c:baseTimeUnit val="months"/>
      </c:dateAx>
      <c:valAx>
        <c:axId val="100712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702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3c'!$D$20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3c'!$E$20:$P$20</c:f>
              <c:numCache>
                <c:formatCode>#,##0</c:formatCode>
                <c:ptCount val="12"/>
                <c:pt idx="0">
                  <c:v>91500</c:v>
                </c:pt>
                <c:pt idx="1">
                  <c:v>77000</c:v>
                </c:pt>
                <c:pt idx="2">
                  <c:v>68000</c:v>
                </c:pt>
                <c:pt idx="3">
                  <c:v>65500</c:v>
                </c:pt>
                <c:pt idx="4">
                  <c:v>64000</c:v>
                </c:pt>
                <c:pt idx="5">
                  <c:v>66000</c:v>
                </c:pt>
                <c:pt idx="6">
                  <c:v>45500</c:v>
                </c:pt>
                <c:pt idx="7">
                  <c:v>40500</c:v>
                </c:pt>
                <c:pt idx="8">
                  <c:v>279000</c:v>
                </c:pt>
                <c:pt idx="9">
                  <c:v>199000</c:v>
                </c:pt>
                <c:pt idx="10">
                  <c:v>509500</c:v>
                </c:pt>
                <c:pt idx="11">
                  <c:v>457000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6-4F37-9B3E-81A19370F9B5}"/>
            </c:ext>
          </c:extLst>
        </c:ser>
        <c:ser>
          <c:idx val="4"/>
          <c:order val="2"/>
          <c:tx>
            <c:strRef>
              <c:f>'KPI 3c'!$D$21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3c'!$E$21:$P$21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6-4F37-9B3E-81A19370F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85696"/>
        <c:axId val="101000320"/>
      </c:barChart>
      <c:lineChart>
        <c:grouping val="standard"/>
        <c:varyColors val="0"/>
        <c:ser>
          <c:idx val="0"/>
          <c:order val="0"/>
          <c:tx>
            <c:strRef>
              <c:f>'KPI 3c'!$D$19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3c'!$E$19:$P$19</c:f>
              <c:numCache>
                <c:formatCode>#,##0</c:formatCode>
                <c:ptCount val="12"/>
                <c:pt idx="0">
                  <c:v>455000</c:v>
                </c:pt>
                <c:pt idx="1">
                  <c:v>407500</c:v>
                </c:pt>
                <c:pt idx="2">
                  <c:v>412500</c:v>
                </c:pt>
                <c:pt idx="3">
                  <c:v>587500</c:v>
                </c:pt>
                <c:pt idx="4">
                  <c:v>562500</c:v>
                </c:pt>
                <c:pt idx="5">
                  <c:v>537500</c:v>
                </c:pt>
                <c:pt idx="6">
                  <c:v>550000</c:v>
                </c:pt>
                <c:pt idx="7">
                  <c:v>512500</c:v>
                </c:pt>
                <c:pt idx="8">
                  <c:v>475000</c:v>
                </c:pt>
                <c:pt idx="9">
                  <c:v>425000</c:v>
                </c:pt>
                <c:pt idx="10">
                  <c:v>425000</c:v>
                </c:pt>
                <c:pt idx="11">
                  <c:v>420000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26-4F37-9B3E-81A19370F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85696"/>
        <c:axId val="101000320"/>
      </c:lineChart>
      <c:dateAx>
        <c:axId val="99085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000320"/>
        <c:crosses val="autoZero"/>
        <c:auto val="1"/>
        <c:lblOffset val="100"/>
        <c:baseTimeUnit val="months"/>
      </c:dateAx>
      <c:valAx>
        <c:axId val="1010003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9085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3d'!$D$20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3d'!$E$20:$P$20</c:f>
              <c:numCache>
                <c:formatCode>#,##0</c:formatCode>
                <c:ptCount val="12"/>
                <c:pt idx="0">
                  <c:v>178060</c:v>
                </c:pt>
                <c:pt idx="1">
                  <c:v>147985</c:v>
                </c:pt>
                <c:pt idx="2">
                  <c:v>169420</c:v>
                </c:pt>
                <c:pt idx="3">
                  <c:v>76210</c:v>
                </c:pt>
                <c:pt idx="4">
                  <c:v>8000</c:v>
                </c:pt>
                <c:pt idx="5">
                  <c:v>17495</c:v>
                </c:pt>
                <c:pt idx="6">
                  <c:v>16000</c:v>
                </c:pt>
                <c:pt idx="7">
                  <c:v>39884</c:v>
                </c:pt>
                <c:pt idx="8">
                  <c:v>233517</c:v>
                </c:pt>
                <c:pt idx="9">
                  <c:v>12000</c:v>
                </c:pt>
                <c:pt idx="10">
                  <c:v>8400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6-4A88-8EF6-8F41D7C6C965}"/>
            </c:ext>
          </c:extLst>
        </c:ser>
        <c:ser>
          <c:idx val="4"/>
          <c:order val="2"/>
          <c:tx>
            <c:strRef>
              <c:f>'KPI 3d'!$D$21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3d'!$E$21:$P$21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6-4A88-8EF6-8F41D7C6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52096"/>
        <c:axId val="100853632"/>
      </c:barChart>
      <c:lineChart>
        <c:grouping val="standard"/>
        <c:varyColors val="0"/>
        <c:ser>
          <c:idx val="0"/>
          <c:order val="0"/>
          <c:tx>
            <c:strRef>
              <c:f>'KPI 3d'!$D$19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3d'!$E$19:$P$19</c:f>
              <c:numCache>
                <c:formatCode>#,##0</c:formatCode>
                <c:ptCount val="12"/>
                <c:pt idx="0">
                  <c:v>582500</c:v>
                </c:pt>
                <c:pt idx="1">
                  <c:v>582500</c:v>
                </c:pt>
                <c:pt idx="2">
                  <c:v>582500</c:v>
                </c:pt>
                <c:pt idx="3">
                  <c:v>582500</c:v>
                </c:pt>
                <c:pt idx="4">
                  <c:v>582500</c:v>
                </c:pt>
                <c:pt idx="5">
                  <c:v>582500</c:v>
                </c:pt>
                <c:pt idx="6">
                  <c:v>582500</c:v>
                </c:pt>
                <c:pt idx="7">
                  <c:v>582500</c:v>
                </c:pt>
                <c:pt idx="8">
                  <c:v>582500</c:v>
                </c:pt>
                <c:pt idx="9">
                  <c:v>582500</c:v>
                </c:pt>
                <c:pt idx="10">
                  <c:v>582500</c:v>
                </c:pt>
                <c:pt idx="11">
                  <c:v>582500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C6-4A88-8EF6-8F41D7C6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52096"/>
        <c:axId val="100853632"/>
      </c:lineChart>
      <c:dateAx>
        <c:axId val="100852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0853632"/>
        <c:crosses val="autoZero"/>
        <c:auto val="1"/>
        <c:lblOffset val="100"/>
        <c:baseTimeUnit val="months"/>
      </c:dateAx>
      <c:valAx>
        <c:axId val="1008536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852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k'!$D$20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k'!$E$20:$P$20</c:f>
              <c:numCache>
                <c:formatCode>#,##0</c:formatCode>
                <c:ptCount val="12"/>
                <c:pt idx="0">
                  <c:v>165000</c:v>
                </c:pt>
                <c:pt idx="1">
                  <c:v>261500</c:v>
                </c:pt>
                <c:pt idx="2">
                  <c:v>120500</c:v>
                </c:pt>
                <c:pt idx="3">
                  <c:v>67500</c:v>
                </c:pt>
                <c:pt idx="4">
                  <c:v>114000</c:v>
                </c:pt>
                <c:pt idx="5">
                  <c:v>101000</c:v>
                </c:pt>
                <c:pt idx="6">
                  <c:v>162000</c:v>
                </c:pt>
                <c:pt idx="7">
                  <c:v>186000</c:v>
                </c:pt>
                <c:pt idx="8">
                  <c:v>157500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B-4F12-8E54-2270F7C20425}"/>
            </c:ext>
          </c:extLst>
        </c:ser>
        <c:ser>
          <c:idx val="4"/>
          <c:order val="2"/>
          <c:tx>
            <c:strRef>
              <c:f>'KPI k'!$D$21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k'!$E$21:$P$21</c:f>
              <c:numCache>
                <c:formatCode>#,##0</c:formatCode>
                <c:ptCount val="12"/>
                <c:pt idx="0">
                  <c:v>714000</c:v>
                </c:pt>
                <c:pt idx="1">
                  <c:v>279000</c:v>
                </c:pt>
                <c:pt idx="2">
                  <c:v>192500</c:v>
                </c:pt>
                <c:pt idx="3">
                  <c:v>270000</c:v>
                </c:pt>
                <c:pt idx="4">
                  <c:v>176500</c:v>
                </c:pt>
                <c:pt idx="5">
                  <c:v>155000</c:v>
                </c:pt>
                <c:pt idx="6">
                  <c:v>268500</c:v>
                </c:pt>
                <c:pt idx="7">
                  <c:v>165000</c:v>
                </c:pt>
                <c:pt idx="8">
                  <c:v>243500</c:v>
                </c:pt>
                <c:pt idx="9">
                  <c:v>122500</c:v>
                </c:pt>
                <c:pt idx="10">
                  <c:v>151000</c:v>
                </c:pt>
                <c:pt idx="11">
                  <c:v>127000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B-4F12-8E54-2270F7C2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963456"/>
        <c:axId val="100964992"/>
      </c:barChart>
      <c:lineChart>
        <c:grouping val="standard"/>
        <c:varyColors val="0"/>
        <c:ser>
          <c:idx val="0"/>
          <c:order val="0"/>
          <c:tx>
            <c:strRef>
              <c:f>'KPI k'!$D$19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k'!$E$19:$P$19</c:f>
              <c:numCache>
                <c:formatCode>#,##0</c:formatCode>
                <c:ptCount val="12"/>
                <c:pt idx="0">
                  <c:v>582500</c:v>
                </c:pt>
                <c:pt idx="1">
                  <c:v>582500</c:v>
                </c:pt>
                <c:pt idx="2">
                  <c:v>582500</c:v>
                </c:pt>
                <c:pt idx="3">
                  <c:v>582500</c:v>
                </c:pt>
                <c:pt idx="4">
                  <c:v>582500</c:v>
                </c:pt>
                <c:pt idx="5">
                  <c:v>582500</c:v>
                </c:pt>
                <c:pt idx="6">
                  <c:v>582500</c:v>
                </c:pt>
                <c:pt idx="7">
                  <c:v>582500</c:v>
                </c:pt>
                <c:pt idx="8">
                  <c:v>582500</c:v>
                </c:pt>
                <c:pt idx="9">
                  <c:v>582500</c:v>
                </c:pt>
                <c:pt idx="10">
                  <c:v>582500</c:v>
                </c:pt>
                <c:pt idx="11">
                  <c:v>582500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B-4F12-8E54-2270F7C2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63456"/>
        <c:axId val="100964992"/>
      </c:lineChart>
      <c:dateAx>
        <c:axId val="100963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0964992"/>
        <c:crosses val="autoZero"/>
        <c:auto val="1"/>
        <c:lblOffset val="100"/>
        <c:baseTimeUnit val="months"/>
      </c:dateAx>
      <c:valAx>
        <c:axId val="100964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96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4a'!$D$20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7500</c:v>
                </c:pt>
                <c:pt idx="9">
                  <c:v>2500</c:v>
                </c:pt>
                <c:pt idx="10">
                  <c:v>0</c:v>
                </c:pt>
                <c:pt idx="1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F-4773-A7E8-946E57DC30D3}"/>
            </c:ext>
          </c:extLst>
        </c:ser>
        <c:ser>
          <c:idx val="4"/>
          <c:order val="2"/>
          <c:tx>
            <c:strRef>
              <c:f>'KPI 4a'!$D$21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F-4773-A7E8-946E57DC3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509568"/>
        <c:axId val="100511104"/>
      </c:barChart>
      <c:lineChart>
        <c:grouping val="standard"/>
        <c:varyColors val="0"/>
        <c:ser>
          <c:idx val="0"/>
          <c:order val="0"/>
          <c:tx>
            <c:strRef>
              <c:f>'KPI 4a'!$D$19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4a'!$E$19:$P$19</c:f>
              <c:numCache>
                <c:formatCode>#,##0</c:formatCode>
                <c:ptCount val="12"/>
                <c:pt idx="0">
                  <c:v>110001</c:v>
                </c:pt>
                <c:pt idx="1">
                  <c:v>260001</c:v>
                </c:pt>
                <c:pt idx="2">
                  <c:v>220001</c:v>
                </c:pt>
                <c:pt idx="3">
                  <c:v>150001</c:v>
                </c:pt>
                <c:pt idx="4">
                  <c:v>160001</c:v>
                </c:pt>
                <c:pt idx="5">
                  <c:v>240001</c:v>
                </c:pt>
                <c:pt idx="6">
                  <c:v>190001</c:v>
                </c:pt>
                <c:pt idx="7">
                  <c:v>190001</c:v>
                </c:pt>
                <c:pt idx="8">
                  <c:v>190001</c:v>
                </c:pt>
                <c:pt idx="9">
                  <c:v>160001</c:v>
                </c:pt>
                <c:pt idx="10">
                  <c:v>110001</c:v>
                </c:pt>
                <c:pt idx="11">
                  <c:v>120001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6F-4773-A7E8-946E57DC3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09568"/>
        <c:axId val="100511104"/>
      </c:lineChart>
      <c:dateAx>
        <c:axId val="1005095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0511104"/>
        <c:crosses val="autoZero"/>
        <c:auto val="1"/>
        <c:lblOffset val="100"/>
        <c:baseTimeUnit val="months"/>
      </c:dateAx>
      <c:valAx>
        <c:axId val="1005111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509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4b'!$D$20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4b'!$E$20:$P$20</c:f>
              <c:numCache>
                <c:formatCode>#,##0</c:formatCode>
                <c:ptCount val="12"/>
                <c:pt idx="0">
                  <c:v>27500</c:v>
                </c:pt>
                <c:pt idx="1">
                  <c:v>38000</c:v>
                </c:pt>
                <c:pt idx="2">
                  <c:v>10500</c:v>
                </c:pt>
                <c:pt idx="3">
                  <c:v>19000</c:v>
                </c:pt>
                <c:pt idx="4">
                  <c:v>87500</c:v>
                </c:pt>
                <c:pt idx="5">
                  <c:v>27500</c:v>
                </c:pt>
                <c:pt idx="6">
                  <c:v>28000</c:v>
                </c:pt>
                <c:pt idx="7">
                  <c:v>60000</c:v>
                </c:pt>
                <c:pt idx="8">
                  <c:v>25000</c:v>
                </c:pt>
                <c:pt idx="9">
                  <c:v>15000</c:v>
                </c:pt>
                <c:pt idx="10">
                  <c:v>44500</c:v>
                </c:pt>
                <c:pt idx="11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1-4C4F-916C-9DC306A4E436}"/>
            </c:ext>
          </c:extLst>
        </c:ser>
        <c:ser>
          <c:idx val="4"/>
          <c:order val="2"/>
          <c:tx>
            <c:strRef>
              <c:f>'KPI 4b'!$D$21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1-4C4F-916C-9DC306A4E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71488"/>
        <c:axId val="101073280"/>
      </c:barChart>
      <c:lineChart>
        <c:grouping val="standard"/>
        <c:varyColors val="0"/>
        <c:ser>
          <c:idx val="0"/>
          <c:order val="0"/>
          <c:tx>
            <c:strRef>
              <c:f>'KPI 4b'!$D$19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1-4C4F-916C-9DC306A4E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71488"/>
        <c:axId val="101073280"/>
      </c:lineChart>
      <c:dateAx>
        <c:axId val="101071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073280"/>
        <c:crosses val="autoZero"/>
        <c:auto val="1"/>
        <c:lblOffset val="100"/>
        <c:baseTimeUnit val="months"/>
      </c:dateAx>
      <c:valAx>
        <c:axId val="1010732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071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4c'!$D$20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4c'!$E$20:$P$20</c:f>
              <c:numCache>
                <c:formatCode>#,##0</c:formatCode>
                <c:ptCount val="12"/>
                <c:pt idx="0">
                  <c:v>178060</c:v>
                </c:pt>
                <c:pt idx="1">
                  <c:v>150985</c:v>
                </c:pt>
                <c:pt idx="2">
                  <c:v>172420</c:v>
                </c:pt>
                <c:pt idx="3">
                  <c:v>9000</c:v>
                </c:pt>
                <c:pt idx="4">
                  <c:v>3000</c:v>
                </c:pt>
                <c:pt idx="5">
                  <c:v>1500</c:v>
                </c:pt>
                <c:pt idx="6">
                  <c:v>13500</c:v>
                </c:pt>
                <c:pt idx="7">
                  <c:v>96000</c:v>
                </c:pt>
                <c:pt idx="8">
                  <c:v>34500</c:v>
                </c:pt>
                <c:pt idx="9">
                  <c:v>9000</c:v>
                </c:pt>
                <c:pt idx="10">
                  <c:v>19500</c:v>
                </c:pt>
                <c:pt idx="11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B-42F9-8861-C45679EF00E0}"/>
            </c:ext>
          </c:extLst>
        </c:ser>
        <c:ser>
          <c:idx val="4"/>
          <c:order val="2"/>
          <c:tx>
            <c:strRef>
              <c:f>'KPI 4c'!$D$21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4c'!$E$21:$P$21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B-42F9-8861-C45679EF0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109120"/>
        <c:axId val="101119104"/>
      </c:barChart>
      <c:lineChart>
        <c:grouping val="standard"/>
        <c:varyColors val="0"/>
        <c:ser>
          <c:idx val="0"/>
          <c:order val="0"/>
          <c:tx>
            <c:strRef>
              <c:f>'KPI 4c'!$D$19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BB-42F9-8861-C45679EF0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9120"/>
        <c:axId val="101119104"/>
      </c:lineChart>
      <c:dateAx>
        <c:axId val="101109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119104"/>
        <c:crosses val="autoZero"/>
        <c:auto val="1"/>
        <c:lblOffset val="100"/>
        <c:baseTimeUnit val="months"/>
      </c:dateAx>
      <c:valAx>
        <c:axId val="1011191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10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4d'!$D$20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4d'!$E$20:$P$20</c:f>
              <c:numCache>
                <c:formatCode>#,##0</c:formatCode>
                <c:ptCount val="12"/>
                <c:pt idx="0">
                  <c:v>48000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6-4077-8D6E-19CFCD2EBEE3}"/>
            </c:ext>
          </c:extLst>
        </c:ser>
        <c:ser>
          <c:idx val="4"/>
          <c:order val="2"/>
          <c:tx>
            <c:strRef>
              <c:f>'KPI 4d'!$D$21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6-4077-8D6E-19CFCD2EB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696256"/>
        <c:axId val="101697792"/>
      </c:barChart>
      <c:lineChart>
        <c:grouping val="standard"/>
        <c:varyColors val="0"/>
        <c:ser>
          <c:idx val="0"/>
          <c:order val="0"/>
          <c:tx>
            <c:strRef>
              <c:f>'KPI 4d'!$D$19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4d'!$E$19:$P$19</c:f>
              <c:numCache>
                <c:formatCode>#,##0</c:formatCode>
                <c:ptCount val="12"/>
                <c:pt idx="0">
                  <c:v>210000</c:v>
                </c:pt>
                <c:pt idx="1">
                  <c:v>210000</c:v>
                </c:pt>
                <c:pt idx="2">
                  <c:v>210000</c:v>
                </c:pt>
                <c:pt idx="3">
                  <c:v>210000</c:v>
                </c:pt>
                <c:pt idx="4">
                  <c:v>210000</c:v>
                </c:pt>
                <c:pt idx="5">
                  <c:v>210000</c:v>
                </c:pt>
                <c:pt idx="6">
                  <c:v>210000</c:v>
                </c:pt>
                <c:pt idx="7">
                  <c:v>210000</c:v>
                </c:pt>
                <c:pt idx="8">
                  <c:v>210000</c:v>
                </c:pt>
                <c:pt idx="9">
                  <c:v>210000</c:v>
                </c:pt>
                <c:pt idx="10">
                  <c:v>210000</c:v>
                </c:pt>
                <c:pt idx="11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86-4077-8D6E-19CFCD2EB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96256"/>
        <c:axId val="101697792"/>
      </c:lineChart>
      <c:dateAx>
        <c:axId val="101696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697792"/>
        <c:crosses val="autoZero"/>
        <c:auto val="1"/>
        <c:lblOffset val="100"/>
        <c:baseTimeUnit val="months"/>
      </c:dateAx>
      <c:valAx>
        <c:axId val="1016977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696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y'!$D$20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y'!$E$20:$P$20</c:f>
              <c:numCache>
                <c:formatCode>#,##0</c:formatCode>
                <c:ptCount val="12"/>
                <c:pt idx="0">
                  <c:v>78800</c:v>
                </c:pt>
                <c:pt idx="1">
                  <c:v>82100</c:v>
                </c:pt>
                <c:pt idx="2">
                  <c:v>74600</c:v>
                </c:pt>
                <c:pt idx="3">
                  <c:v>84300</c:v>
                </c:pt>
                <c:pt idx="4">
                  <c:v>67100</c:v>
                </c:pt>
                <c:pt idx="5">
                  <c:v>62600</c:v>
                </c:pt>
                <c:pt idx="6">
                  <c:v>116200</c:v>
                </c:pt>
                <c:pt idx="7">
                  <c:v>81000</c:v>
                </c:pt>
                <c:pt idx="8">
                  <c:v>61500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2-4880-8F07-DA462F3458BC}"/>
            </c:ext>
          </c:extLst>
        </c:ser>
        <c:ser>
          <c:idx val="4"/>
          <c:order val="2"/>
          <c:tx>
            <c:strRef>
              <c:f>'KPI y'!$D$21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y'!$E$21:$P$21</c:f>
              <c:numCache>
                <c:formatCode>#,##0</c:formatCode>
                <c:ptCount val="12"/>
                <c:pt idx="0">
                  <c:v>77900</c:v>
                </c:pt>
                <c:pt idx="1">
                  <c:v>100000</c:v>
                </c:pt>
                <c:pt idx="2">
                  <c:v>107100</c:v>
                </c:pt>
                <c:pt idx="3">
                  <c:v>99700</c:v>
                </c:pt>
                <c:pt idx="4">
                  <c:v>100900</c:v>
                </c:pt>
                <c:pt idx="5">
                  <c:v>57800</c:v>
                </c:pt>
                <c:pt idx="6">
                  <c:v>124500</c:v>
                </c:pt>
                <c:pt idx="7">
                  <c:v>96800</c:v>
                </c:pt>
                <c:pt idx="8">
                  <c:v>100800</c:v>
                </c:pt>
                <c:pt idx="9">
                  <c:v>67500</c:v>
                </c:pt>
                <c:pt idx="10">
                  <c:v>86800</c:v>
                </c:pt>
                <c:pt idx="11">
                  <c:v>124600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32-4880-8F07-DA462F345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595200"/>
        <c:axId val="100596736"/>
      </c:barChart>
      <c:lineChart>
        <c:grouping val="standard"/>
        <c:varyColors val="0"/>
        <c:ser>
          <c:idx val="0"/>
          <c:order val="0"/>
          <c:tx>
            <c:strRef>
              <c:f>'KPI y'!$D$19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y'!$E$18:$P$18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y'!$E$19:$P$19</c:f>
              <c:numCache>
                <c:formatCode>#,##0</c:formatCode>
                <c:ptCount val="12"/>
                <c:pt idx="0">
                  <c:v>90000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  <c:pt idx="5">
                  <c:v>90000</c:v>
                </c:pt>
                <c:pt idx="6">
                  <c:v>90000</c:v>
                </c:pt>
                <c:pt idx="7">
                  <c:v>90000</c:v>
                </c:pt>
                <c:pt idx="8">
                  <c:v>90000</c:v>
                </c:pt>
                <c:pt idx="9">
                  <c:v>90000</c:v>
                </c:pt>
                <c:pt idx="10">
                  <c:v>90000</c:v>
                </c:pt>
                <c:pt idx="11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32-4880-8F07-DA462F345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95200"/>
        <c:axId val="100596736"/>
      </c:lineChart>
      <c:dateAx>
        <c:axId val="100595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0596736"/>
        <c:crosses val="autoZero"/>
        <c:auto val="1"/>
        <c:lblOffset val="100"/>
        <c:baseTimeUnit val="months"/>
      </c:dateAx>
      <c:valAx>
        <c:axId val="100596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59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w'!$D$20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w'!$E$18:$P$18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w'!$E$20:$P$20</c:f>
              <c:numCache>
                <c:formatCode>#,##0</c:formatCode>
                <c:ptCount val="12"/>
                <c:pt idx="0">
                  <c:v>115100</c:v>
                </c:pt>
                <c:pt idx="1">
                  <c:v>30900</c:v>
                </c:pt>
                <c:pt idx="2">
                  <c:v>49000</c:v>
                </c:pt>
                <c:pt idx="3">
                  <c:v>44200</c:v>
                </c:pt>
                <c:pt idx="4">
                  <c:v>68950</c:v>
                </c:pt>
                <c:pt idx="5">
                  <c:v>21500</c:v>
                </c:pt>
                <c:pt idx="6">
                  <c:v>57700</c:v>
                </c:pt>
                <c:pt idx="7">
                  <c:v>76800</c:v>
                </c:pt>
                <c:pt idx="8">
                  <c:v>2454300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3-4AF1-93DF-87DE08FE8555}"/>
            </c:ext>
          </c:extLst>
        </c:ser>
        <c:ser>
          <c:idx val="4"/>
          <c:order val="2"/>
          <c:tx>
            <c:strRef>
              <c:f>'KPI w'!$D$21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w'!$E$18:$P$18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w'!$E$21:$P$21</c:f>
              <c:numCache>
                <c:formatCode>#,##0</c:formatCode>
                <c:ptCount val="12"/>
                <c:pt idx="0">
                  <c:v>75850</c:v>
                </c:pt>
                <c:pt idx="1">
                  <c:v>51400</c:v>
                </c:pt>
                <c:pt idx="2">
                  <c:v>133100</c:v>
                </c:pt>
                <c:pt idx="3">
                  <c:v>165000</c:v>
                </c:pt>
                <c:pt idx="4">
                  <c:v>46900</c:v>
                </c:pt>
                <c:pt idx="5">
                  <c:v>80800</c:v>
                </c:pt>
                <c:pt idx="6">
                  <c:v>147500</c:v>
                </c:pt>
                <c:pt idx="7">
                  <c:v>100950</c:v>
                </c:pt>
                <c:pt idx="8">
                  <c:v>163400</c:v>
                </c:pt>
                <c:pt idx="9">
                  <c:v>295950</c:v>
                </c:pt>
                <c:pt idx="10">
                  <c:v>143650</c:v>
                </c:pt>
                <c:pt idx="11">
                  <c:v>90350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3-4AF1-93DF-87DE08FE8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935744"/>
        <c:axId val="101937536"/>
      </c:barChart>
      <c:lineChart>
        <c:grouping val="standard"/>
        <c:varyColors val="0"/>
        <c:ser>
          <c:idx val="0"/>
          <c:order val="0"/>
          <c:tx>
            <c:strRef>
              <c:f>'KPI w'!$D$19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w'!$E$18:$P$18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w'!$E$19:$P$19</c:f>
              <c:numCache>
                <c:formatCode>#,##0</c:formatCode>
                <c:ptCount val="12"/>
                <c:pt idx="0">
                  <c:v>112050</c:v>
                </c:pt>
                <c:pt idx="1">
                  <c:v>112050</c:v>
                </c:pt>
                <c:pt idx="2">
                  <c:v>112050</c:v>
                </c:pt>
                <c:pt idx="3">
                  <c:v>112050</c:v>
                </c:pt>
                <c:pt idx="4">
                  <c:v>112050</c:v>
                </c:pt>
                <c:pt idx="5">
                  <c:v>112050</c:v>
                </c:pt>
                <c:pt idx="6">
                  <c:v>112050</c:v>
                </c:pt>
                <c:pt idx="7">
                  <c:v>112050</c:v>
                </c:pt>
                <c:pt idx="8">
                  <c:v>112050</c:v>
                </c:pt>
                <c:pt idx="9">
                  <c:v>112050</c:v>
                </c:pt>
                <c:pt idx="10">
                  <c:v>112050</c:v>
                </c:pt>
                <c:pt idx="11">
                  <c:v>112050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53-4AF1-93DF-87DE08FE8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35744"/>
        <c:axId val="101937536"/>
      </c:lineChart>
      <c:dateAx>
        <c:axId val="101935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937536"/>
        <c:crosses val="autoZero"/>
        <c:auto val="1"/>
        <c:lblOffset val="100"/>
        <c:baseTimeUnit val="months"/>
      </c:dateAx>
      <c:valAx>
        <c:axId val="1019375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935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z'!$D$20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z'!$E$20:$P$20</c:f>
              <c:numCache>
                <c:formatCode>#,##0</c:formatCode>
                <c:ptCount val="12"/>
                <c:pt idx="0">
                  <c:v>2500</c:v>
                </c:pt>
                <c:pt idx="1">
                  <c:v>5000</c:v>
                </c:pt>
                <c:pt idx="2">
                  <c:v>5000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1-44E4-92CE-14F9A399729E}"/>
            </c:ext>
          </c:extLst>
        </c:ser>
        <c:ser>
          <c:idx val="4"/>
          <c:order val="2"/>
          <c:tx>
            <c:strRef>
              <c:f>'KPI z'!$D$21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1-44E4-92CE-14F9A3997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59680"/>
        <c:axId val="106824832"/>
      </c:barChart>
      <c:lineChart>
        <c:grouping val="standard"/>
        <c:varyColors val="0"/>
        <c:ser>
          <c:idx val="0"/>
          <c:order val="0"/>
          <c:tx>
            <c:strRef>
              <c:f>'KPI z'!$D$19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z'!$E$18:$P$18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z'!$E$19:$P$19</c:f>
              <c:numCache>
                <c:formatCode>#,##0</c:formatCode>
                <c:ptCount val="12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51-44E4-92CE-14F9A3997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59680"/>
        <c:axId val="106824832"/>
      </c:lineChart>
      <c:dateAx>
        <c:axId val="1015596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6824832"/>
        <c:crosses val="autoZero"/>
        <c:auto val="1"/>
        <c:lblOffset val="100"/>
        <c:baseTimeUnit val="months"/>
      </c:dateAx>
      <c:valAx>
        <c:axId val="106824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559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j'!$D$20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j'!$E$20:$P$20</c:f>
              <c:numCache>
                <c:formatCode>#,##0</c:formatCode>
                <c:ptCount val="12"/>
                <c:pt idx="0">
                  <c:v>40000</c:v>
                </c:pt>
                <c:pt idx="1">
                  <c:v>0</c:v>
                </c:pt>
                <c:pt idx="2">
                  <c:v>280000</c:v>
                </c:pt>
                <c:pt idx="3">
                  <c:v>90000</c:v>
                </c:pt>
                <c:pt idx="4">
                  <c:v>0</c:v>
                </c:pt>
                <c:pt idx="5">
                  <c:v>0</c:v>
                </c:pt>
                <c:pt idx="6">
                  <c:v>285000</c:v>
                </c:pt>
                <c:pt idx="7">
                  <c:v>15000</c:v>
                </c:pt>
                <c:pt idx="8">
                  <c:v>155000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4-4136-8112-AFE768D1CFC2}"/>
            </c:ext>
          </c:extLst>
        </c:ser>
        <c:ser>
          <c:idx val="4"/>
          <c:order val="2"/>
          <c:tx>
            <c:strRef>
              <c:f>'KPI j'!$D$21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j'!$E$21:$P$21</c:f>
              <c:numCache>
                <c:formatCode>#,##0</c:formatCode>
                <c:ptCount val="12"/>
                <c:pt idx="0">
                  <c:v>87556</c:v>
                </c:pt>
                <c:pt idx="1">
                  <c:v>16152</c:v>
                </c:pt>
                <c:pt idx="2">
                  <c:v>55750</c:v>
                </c:pt>
                <c:pt idx="3">
                  <c:v>51350</c:v>
                </c:pt>
                <c:pt idx="4">
                  <c:v>0</c:v>
                </c:pt>
                <c:pt idx="5">
                  <c:v>0</c:v>
                </c:pt>
                <c:pt idx="6">
                  <c:v>39580</c:v>
                </c:pt>
                <c:pt idx="7">
                  <c:v>7592</c:v>
                </c:pt>
                <c:pt idx="8">
                  <c:v>30000</c:v>
                </c:pt>
                <c:pt idx="9">
                  <c:v>285362</c:v>
                </c:pt>
                <c:pt idx="10">
                  <c:v>40000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4-4136-8112-AFE768D1C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53120"/>
        <c:axId val="101254656"/>
      </c:barChart>
      <c:lineChart>
        <c:grouping val="standard"/>
        <c:varyColors val="0"/>
        <c:ser>
          <c:idx val="0"/>
          <c:order val="0"/>
          <c:tx>
            <c:strRef>
              <c:f>'KPI j'!$D$19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j'!$E$19:$P$19</c:f>
              <c:numCache>
                <c:formatCode>#,##0</c:formatCode>
                <c:ptCount val="12"/>
                <c:pt idx="0">
                  <c:v>110001</c:v>
                </c:pt>
                <c:pt idx="1">
                  <c:v>260001</c:v>
                </c:pt>
                <c:pt idx="2">
                  <c:v>220001</c:v>
                </c:pt>
                <c:pt idx="3">
                  <c:v>150001</c:v>
                </c:pt>
                <c:pt idx="4">
                  <c:v>160001</c:v>
                </c:pt>
                <c:pt idx="5">
                  <c:v>240001</c:v>
                </c:pt>
                <c:pt idx="6">
                  <c:v>190001</c:v>
                </c:pt>
                <c:pt idx="7">
                  <c:v>190001</c:v>
                </c:pt>
                <c:pt idx="8">
                  <c:v>190001</c:v>
                </c:pt>
                <c:pt idx="9">
                  <c:v>160001</c:v>
                </c:pt>
                <c:pt idx="10">
                  <c:v>110001</c:v>
                </c:pt>
                <c:pt idx="11">
                  <c:v>120001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4-4136-8112-AFE768D1C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53120"/>
        <c:axId val="101254656"/>
      </c:lineChart>
      <c:dateAx>
        <c:axId val="101253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254656"/>
        <c:crosses val="autoZero"/>
        <c:auto val="1"/>
        <c:lblOffset val="100"/>
        <c:baseTimeUnit val="months"/>
      </c:dateAx>
      <c:valAx>
        <c:axId val="101254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253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4(i)'!$D$20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4(i)'!$E$18:$P$18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4(i)'!$E$20:$P$20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E-46A7-BD15-4BB102783261}"/>
            </c:ext>
          </c:extLst>
        </c:ser>
        <c:ser>
          <c:idx val="4"/>
          <c:order val="2"/>
          <c:tx>
            <c:strRef>
              <c:f>'KPI 4(i)'!$D$21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4(i)'!$E$18:$P$18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4(i)'!$E$21:$P$21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CE-46A7-BD15-4BB102783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54592"/>
        <c:axId val="101456128"/>
      </c:barChart>
      <c:lineChart>
        <c:grouping val="standard"/>
        <c:varyColors val="0"/>
        <c:ser>
          <c:idx val="0"/>
          <c:order val="0"/>
          <c:tx>
            <c:strRef>
              <c:f>'KPI 4(i)'!$D$19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4(i)'!$E$18:$P$18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4(i)'!$E$19:$P$19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CE-46A7-BD15-4BB102783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54592"/>
        <c:axId val="101456128"/>
      </c:lineChart>
      <c:dateAx>
        <c:axId val="1014545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456128"/>
        <c:crosses val="autoZero"/>
        <c:auto val="1"/>
        <c:lblOffset val="100"/>
        <c:baseTimeUnit val="months"/>
      </c:dateAx>
      <c:valAx>
        <c:axId val="1014561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454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 (ii)'!$D$20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 (ii)'!$E$18:$P$18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 (ii)'!$E$20:$P$20</c:f>
              <c:numCache>
                <c:formatCode>#,##0</c:formatCode>
                <c:ptCount val="12"/>
                <c:pt idx="0">
                  <c:v>180000</c:v>
                </c:pt>
                <c:pt idx="1">
                  <c:v>180000</c:v>
                </c:pt>
                <c:pt idx="2">
                  <c:v>210000</c:v>
                </c:pt>
                <c:pt idx="3">
                  <c:v>210000</c:v>
                </c:pt>
                <c:pt idx="4">
                  <c:v>195000</c:v>
                </c:pt>
                <c:pt idx="5">
                  <c:v>195000</c:v>
                </c:pt>
                <c:pt idx="6">
                  <c:v>210000</c:v>
                </c:pt>
                <c:pt idx="7">
                  <c:v>210000</c:v>
                </c:pt>
                <c:pt idx="8">
                  <c:v>180000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C-4EB8-BF33-435A9D572F7C}"/>
            </c:ext>
          </c:extLst>
        </c:ser>
        <c:ser>
          <c:idx val="4"/>
          <c:order val="2"/>
          <c:tx>
            <c:strRef>
              <c:f>'KPI 4 (ii)'!$D$21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 (ii)'!$E$18:$P$18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 (ii)'!$E$21:$P$21</c:f>
              <c:numCache>
                <c:formatCode>#,##0</c:formatCode>
                <c:ptCount val="12"/>
                <c:pt idx="0">
                  <c:v>135000</c:v>
                </c:pt>
                <c:pt idx="1">
                  <c:v>135000</c:v>
                </c:pt>
                <c:pt idx="2">
                  <c:v>135000</c:v>
                </c:pt>
                <c:pt idx="3">
                  <c:v>135000</c:v>
                </c:pt>
                <c:pt idx="4">
                  <c:v>135000</c:v>
                </c:pt>
                <c:pt idx="5">
                  <c:v>135000</c:v>
                </c:pt>
                <c:pt idx="6">
                  <c:v>135000</c:v>
                </c:pt>
                <c:pt idx="7">
                  <c:v>165000</c:v>
                </c:pt>
                <c:pt idx="8">
                  <c:v>217500</c:v>
                </c:pt>
                <c:pt idx="9">
                  <c:v>195000</c:v>
                </c:pt>
                <c:pt idx="10">
                  <c:v>195000</c:v>
                </c:pt>
                <c:pt idx="11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C-4EB8-BF33-435A9D572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10848"/>
        <c:axId val="106912384"/>
      </c:barChart>
      <c:lineChart>
        <c:grouping val="standard"/>
        <c:varyColors val="0"/>
        <c:ser>
          <c:idx val="0"/>
          <c:order val="0"/>
          <c:tx>
            <c:strRef>
              <c:f>'KPI 4 (ii)'!$D$19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 (ii)'!$E$18:$P$18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 (ii)'!$E$19:$P$19</c:f>
              <c:numCache>
                <c:formatCode>#,##0</c:formatCode>
                <c:ptCount val="12"/>
                <c:pt idx="0">
                  <c:v>210000</c:v>
                </c:pt>
                <c:pt idx="1">
                  <c:v>210000</c:v>
                </c:pt>
                <c:pt idx="2">
                  <c:v>210000</c:v>
                </c:pt>
                <c:pt idx="3">
                  <c:v>210000</c:v>
                </c:pt>
                <c:pt idx="4">
                  <c:v>210000</c:v>
                </c:pt>
                <c:pt idx="5">
                  <c:v>210000</c:v>
                </c:pt>
                <c:pt idx="6">
                  <c:v>210000</c:v>
                </c:pt>
                <c:pt idx="7">
                  <c:v>210000</c:v>
                </c:pt>
                <c:pt idx="8">
                  <c:v>210000</c:v>
                </c:pt>
                <c:pt idx="9">
                  <c:v>210000</c:v>
                </c:pt>
                <c:pt idx="10">
                  <c:v>210000</c:v>
                </c:pt>
                <c:pt idx="11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8C-4EB8-BF33-435A9D572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10848"/>
        <c:axId val="106912384"/>
      </c:lineChart>
      <c:dateAx>
        <c:axId val="106910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6912384"/>
        <c:crosses val="autoZero"/>
        <c:auto val="1"/>
        <c:lblOffset val="100"/>
        <c:baseTimeUnit val="months"/>
      </c:dateAx>
      <c:valAx>
        <c:axId val="1069123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691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5'!$E$20:$P$20</c:f>
              <c:numCache>
                <c:formatCode>#,##0</c:formatCode>
                <c:ptCount val="12"/>
                <c:pt idx="0">
                  <c:v>25899444.5</c:v>
                </c:pt>
                <c:pt idx="1">
                  <c:v>30174829</c:v>
                </c:pt>
                <c:pt idx="2">
                  <c:v>26069942.5</c:v>
                </c:pt>
                <c:pt idx="3">
                  <c:v>29453905</c:v>
                </c:pt>
                <c:pt idx="4">
                  <c:v>23892202.5</c:v>
                </c:pt>
                <c:pt idx="5">
                  <c:v>22846279.299999997</c:v>
                </c:pt>
                <c:pt idx="6">
                  <c:v>35056317</c:v>
                </c:pt>
                <c:pt idx="7">
                  <c:v>29457098.5</c:v>
                </c:pt>
                <c:pt idx="8">
                  <c:v>28313514.5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9-42B2-BAA5-8A585AFBDCB3}"/>
            </c:ext>
          </c:extLst>
        </c:ser>
        <c:ser>
          <c:idx val="4"/>
          <c:order val="2"/>
          <c:tx>
            <c:strRef>
              <c:f>'KPI 5'!$D$21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5'!$E$21:$P$21</c:f>
              <c:numCache>
                <c:formatCode>#,##0</c:formatCode>
                <c:ptCount val="12"/>
                <c:pt idx="0">
                  <c:v>17173326.399999999</c:v>
                </c:pt>
                <c:pt idx="1">
                  <c:v>20157513.649999999</c:v>
                </c:pt>
                <c:pt idx="2">
                  <c:v>18458776.699999999</c:v>
                </c:pt>
                <c:pt idx="3">
                  <c:v>18213051.699999999</c:v>
                </c:pt>
                <c:pt idx="4">
                  <c:v>19617287.5</c:v>
                </c:pt>
                <c:pt idx="5">
                  <c:v>13786731.699999999</c:v>
                </c:pt>
                <c:pt idx="6">
                  <c:v>21674904.199999999</c:v>
                </c:pt>
                <c:pt idx="7">
                  <c:v>18959101.199999999</c:v>
                </c:pt>
                <c:pt idx="8">
                  <c:v>20347362.449999999</c:v>
                </c:pt>
                <c:pt idx="9">
                  <c:v>21739892.25</c:v>
                </c:pt>
                <c:pt idx="10">
                  <c:v>27343757.5</c:v>
                </c:pt>
                <c:pt idx="11">
                  <c:v>28905831.5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9-42B2-BAA5-8A585AFBD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85056"/>
        <c:axId val="107486592"/>
      </c:barChart>
      <c:lineChart>
        <c:grouping val="standard"/>
        <c:varyColors val="0"/>
        <c:ser>
          <c:idx val="0"/>
          <c:order val="0"/>
          <c:tx>
            <c:strRef>
              <c:f>'KPI 5'!$D$19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5'!$E$19:$P$19</c:f>
              <c:numCache>
                <c:formatCode>#,##0</c:formatCode>
                <c:ptCount val="12"/>
                <c:pt idx="0">
                  <c:v>24409526.258609775</c:v>
                </c:pt>
                <c:pt idx="1">
                  <c:v>24759274.590863727</c:v>
                </c:pt>
                <c:pt idx="2">
                  <c:v>24979924.923117682</c:v>
                </c:pt>
                <c:pt idx="3">
                  <c:v>25391605.255371638</c:v>
                </c:pt>
                <c:pt idx="4">
                  <c:v>25666275.587625589</c:v>
                </c:pt>
                <c:pt idx="5">
                  <c:v>25993935.919879541</c:v>
                </c:pt>
                <c:pt idx="6">
                  <c:v>26246106.252133496</c:v>
                </c:pt>
                <c:pt idx="7">
                  <c:v>26472761.584387448</c:v>
                </c:pt>
                <c:pt idx="8">
                  <c:v>26673901.916641399</c:v>
                </c:pt>
                <c:pt idx="9">
                  <c:v>26815532.248895355</c:v>
                </c:pt>
                <c:pt idx="10">
                  <c:v>26987162.58114931</c:v>
                </c:pt>
                <c:pt idx="11">
                  <c:v>27210390.913403265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9-42B2-BAA5-8A585AFBD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85056"/>
        <c:axId val="107486592"/>
      </c:lineChart>
      <c:dateAx>
        <c:axId val="1074850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486592"/>
        <c:crosses val="autoZero"/>
        <c:auto val="1"/>
        <c:lblOffset val="100"/>
        <c:baseTimeUnit val="months"/>
      </c:dateAx>
      <c:valAx>
        <c:axId val="1074865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485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g'!$D$20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g'!$E$20:$P$20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9-4781-9E8E-5BCE5DAFE18A}"/>
            </c:ext>
          </c:extLst>
        </c:ser>
        <c:ser>
          <c:idx val="4"/>
          <c:order val="2"/>
          <c:tx>
            <c:strRef>
              <c:f>'KPI g'!$D$21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g'!$E$21:$P$21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9-4781-9E8E-5BCE5DAFE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90976"/>
        <c:axId val="101405056"/>
      </c:barChart>
      <c:lineChart>
        <c:grouping val="standard"/>
        <c:varyColors val="0"/>
        <c:ser>
          <c:idx val="0"/>
          <c:order val="0"/>
          <c:tx>
            <c:strRef>
              <c:f>'KPI g'!$D$19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g'!$E$19:$P$19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59-4781-9E8E-5BCE5DAFE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90976"/>
        <c:axId val="101405056"/>
      </c:lineChart>
      <c:dateAx>
        <c:axId val="101390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1405056"/>
        <c:crosses val="autoZero"/>
        <c:auto val="1"/>
        <c:lblOffset val="100"/>
        <c:baseTimeUnit val="months"/>
      </c:dateAx>
      <c:valAx>
        <c:axId val="1014050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139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x'!$D$20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x'!$E$18:$P$18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x'!$E$20:$P$20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3-43D3-A6FB-F8FB4CD77C94}"/>
            </c:ext>
          </c:extLst>
        </c:ser>
        <c:ser>
          <c:idx val="4"/>
          <c:order val="2"/>
          <c:tx>
            <c:strRef>
              <c:f>'KPI x'!$D$21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x'!$E$18:$P$18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x'!$E$21:$P$21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3-43D3-A6FB-F8FB4CD7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37440"/>
        <c:axId val="107447424"/>
      </c:barChart>
      <c:lineChart>
        <c:grouping val="standard"/>
        <c:varyColors val="0"/>
        <c:ser>
          <c:idx val="0"/>
          <c:order val="0"/>
          <c:tx>
            <c:strRef>
              <c:f>'KPI x'!$D$19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x'!$E$18:$P$18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x'!$E$19:$P$19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F3-43D3-A6FB-F8FB4CD7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37440"/>
        <c:axId val="107447424"/>
      </c:lineChart>
      <c:dateAx>
        <c:axId val="107437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447424"/>
        <c:crosses val="autoZero"/>
        <c:auto val="1"/>
        <c:lblOffset val="100"/>
        <c:baseTimeUnit val="months"/>
      </c:dateAx>
      <c:valAx>
        <c:axId val="107447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437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x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x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x (2)'!$E$20:$P$20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B-443E-BDE4-4697FFAFD618}"/>
            </c:ext>
          </c:extLst>
        </c:ser>
        <c:ser>
          <c:idx val="4"/>
          <c:order val="2"/>
          <c:tx>
            <c:strRef>
              <c:f>'KPI x (2)'!$D$21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x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x (2)'!$E$21:$P$21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B-443E-BDE4-4697FFAF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389312"/>
        <c:axId val="107390848"/>
      </c:barChart>
      <c:lineChart>
        <c:grouping val="standard"/>
        <c:varyColors val="0"/>
        <c:ser>
          <c:idx val="0"/>
          <c:order val="0"/>
          <c:tx>
            <c:strRef>
              <c:f>'KPI x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x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x (2)'!$E$19:$P$19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AB-443E-BDE4-4697FFAF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89312"/>
        <c:axId val="107390848"/>
      </c:lineChart>
      <c:dateAx>
        <c:axId val="107389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390848"/>
        <c:crosses val="autoZero"/>
        <c:auto val="1"/>
        <c:lblOffset val="100"/>
        <c:baseTimeUnit val="months"/>
      </c:dateAx>
      <c:valAx>
        <c:axId val="107390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389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qi'!$D$20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qi'!$E$18:$P$18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qi'!$E$20:$P$20</c:f>
              <c:numCache>
                <c:formatCode>#,##0</c:formatCode>
                <c:ptCount val="12"/>
                <c:pt idx="0">
                  <c:v>152</c:v>
                </c:pt>
                <c:pt idx="1">
                  <c:v>229</c:v>
                </c:pt>
                <c:pt idx="2">
                  <c:v>112</c:v>
                </c:pt>
                <c:pt idx="3">
                  <c:v>42</c:v>
                </c:pt>
                <c:pt idx="4">
                  <c:v>99</c:v>
                </c:pt>
                <c:pt idx="5">
                  <c:v>101</c:v>
                </c:pt>
                <c:pt idx="6">
                  <c:v>142</c:v>
                </c:pt>
                <c:pt idx="7">
                  <c:v>133</c:v>
                </c:pt>
                <c:pt idx="8">
                  <c:v>148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F-4513-927E-EB70D39BEC87}"/>
            </c:ext>
          </c:extLst>
        </c:ser>
        <c:ser>
          <c:idx val="4"/>
          <c:order val="2"/>
          <c:tx>
            <c:strRef>
              <c:f>'KPI qi'!$D$21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qi'!$E$18:$P$18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qi'!$E$21:$P$21</c:f>
              <c:numCache>
                <c:formatCode>#,##0</c:formatCode>
                <c:ptCount val="12"/>
                <c:pt idx="0">
                  <c:v>606</c:v>
                </c:pt>
                <c:pt idx="1">
                  <c:v>270</c:v>
                </c:pt>
                <c:pt idx="2">
                  <c:v>119</c:v>
                </c:pt>
                <c:pt idx="3">
                  <c:v>172</c:v>
                </c:pt>
                <c:pt idx="4">
                  <c:v>166</c:v>
                </c:pt>
                <c:pt idx="5">
                  <c:v>149</c:v>
                </c:pt>
                <c:pt idx="6">
                  <c:v>197</c:v>
                </c:pt>
                <c:pt idx="7">
                  <c:v>144</c:v>
                </c:pt>
                <c:pt idx="8">
                  <c:v>227</c:v>
                </c:pt>
                <c:pt idx="9">
                  <c:v>111</c:v>
                </c:pt>
                <c:pt idx="10">
                  <c:v>123</c:v>
                </c:pt>
                <c:pt idx="11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F-4513-927E-EB70D39BE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525248"/>
        <c:axId val="107526784"/>
      </c:barChart>
      <c:lineChart>
        <c:grouping val="standard"/>
        <c:varyColors val="0"/>
        <c:ser>
          <c:idx val="0"/>
          <c:order val="0"/>
          <c:tx>
            <c:strRef>
              <c:f>'KPI qi'!$D$19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qi'!$E$18:$P$18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qi'!$E$19:$P$19</c:f>
              <c:numCache>
                <c:formatCode>#,##0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F-4513-927E-EB70D39BE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25248"/>
        <c:axId val="107526784"/>
      </c:lineChart>
      <c:dateAx>
        <c:axId val="107525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526784"/>
        <c:crosses val="autoZero"/>
        <c:auto val="1"/>
        <c:lblOffset val="100"/>
        <c:baseTimeUnit val="months"/>
      </c:dateAx>
      <c:valAx>
        <c:axId val="1075267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52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h'!$D$20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h'!$E$20:$P$20</c:f>
              <c:numCache>
                <c:formatCode>#,##0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1-4A0D-8D79-45E82478C889}"/>
            </c:ext>
          </c:extLst>
        </c:ser>
        <c:ser>
          <c:idx val="4"/>
          <c:order val="2"/>
          <c:tx>
            <c:strRef>
              <c:f>'KPI h'!$D$21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h'!$E$21:$P$21</c:f>
              <c:numCache>
                <c:formatCode>#,##0</c:formatCode>
                <c:ptCount val="12"/>
                <c:pt idx="0">
                  <c:v>72</c:v>
                </c:pt>
                <c:pt idx="1">
                  <c:v>2</c:v>
                </c:pt>
                <c:pt idx="2">
                  <c:v>20</c:v>
                </c:pt>
                <c:pt idx="3">
                  <c:v>44</c:v>
                </c:pt>
                <c:pt idx="4">
                  <c:v>7</c:v>
                </c:pt>
                <c:pt idx="5">
                  <c:v>4</c:v>
                </c:pt>
                <c:pt idx="6">
                  <c:v>13</c:v>
                </c:pt>
                <c:pt idx="7">
                  <c:v>14</c:v>
                </c:pt>
                <c:pt idx="8">
                  <c:v>3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1-4A0D-8D79-45E82478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52000"/>
        <c:axId val="107953536"/>
      </c:barChart>
      <c:lineChart>
        <c:grouping val="standard"/>
        <c:varyColors val="0"/>
        <c:ser>
          <c:idx val="0"/>
          <c:order val="0"/>
          <c:tx>
            <c:strRef>
              <c:f>'KPI h'!$D$19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h'!$E$19:$P$19</c:f>
              <c:numCache>
                <c:formatCode>#,##0</c:formatCode>
                <c:ptCount val="12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1-4A0D-8D79-45E82478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52000"/>
        <c:axId val="107953536"/>
      </c:lineChart>
      <c:dateAx>
        <c:axId val="107952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953536"/>
        <c:crosses val="autoZero"/>
        <c:auto val="1"/>
        <c:lblOffset val="100"/>
        <c:baseTimeUnit val="months"/>
      </c:dateAx>
      <c:valAx>
        <c:axId val="1079535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952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6'!$E$20:$P$20</c:f>
              <c:numCache>
                <c:formatCode>#,##0</c:formatCode>
                <c:ptCount val="12"/>
                <c:pt idx="0">
                  <c:v>25396691</c:v>
                </c:pt>
                <c:pt idx="1">
                  <c:v>22000368</c:v>
                </c:pt>
                <c:pt idx="2">
                  <c:v>23442339.5</c:v>
                </c:pt>
                <c:pt idx="3">
                  <c:v>29982818.599999998</c:v>
                </c:pt>
                <c:pt idx="4">
                  <c:v>22433751</c:v>
                </c:pt>
                <c:pt idx="5">
                  <c:v>27037162.5</c:v>
                </c:pt>
                <c:pt idx="6">
                  <c:v>24586578.5</c:v>
                </c:pt>
                <c:pt idx="7">
                  <c:v>27713797</c:v>
                </c:pt>
                <c:pt idx="8">
                  <c:v>31993097.75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F-4918-AD94-36A4F650F830}"/>
            </c:ext>
          </c:extLst>
        </c:ser>
        <c:ser>
          <c:idx val="4"/>
          <c:order val="2"/>
          <c:tx>
            <c:strRef>
              <c:f>'KPI 6'!$D$21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6'!$E$21:$P$21</c:f>
              <c:numCache>
                <c:formatCode>#,##0</c:formatCode>
                <c:ptCount val="12"/>
                <c:pt idx="0">
                  <c:v>22802981.900000006</c:v>
                </c:pt>
                <c:pt idx="1">
                  <c:v>15064900.050000001</c:v>
                </c:pt>
                <c:pt idx="2">
                  <c:v>17788417.170000002</c:v>
                </c:pt>
                <c:pt idx="3">
                  <c:v>18047890.949999999</c:v>
                </c:pt>
                <c:pt idx="4">
                  <c:v>20883741</c:v>
                </c:pt>
                <c:pt idx="5">
                  <c:v>15030214.25</c:v>
                </c:pt>
                <c:pt idx="6">
                  <c:v>21271031.75</c:v>
                </c:pt>
                <c:pt idx="7">
                  <c:v>18078019.350000001</c:v>
                </c:pt>
                <c:pt idx="8">
                  <c:v>16601929.5</c:v>
                </c:pt>
                <c:pt idx="9">
                  <c:v>23335360.739999998</c:v>
                </c:pt>
                <c:pt idx="10">
                  <c:v>22039395.399999999</c:v>
                </c:pt>
                <c:pt idx="11">
                  <c:v>28927934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F-4918-AD94-36A4F650F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05888"/>
        <c:axId val="106819968"/>
      </c:barChart>
      <c:lineChart>
        <c:grouping val="standard"/>
        <c:varyColors val="0"/>
        <c:ser>
          <c:idx val="0"/>
          <c:order val="0"/>
          <c:tx>
            <c:strRef>
              <c:f>'KPI 6'!$D$19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6'!$E$19:$P$19</c:f>
              <c:numCache>
                <c:formatCode>#,##0</c:formatCode>
                <c:ptCount val="12"/>
                <c:pt idx="0">
                  <c:v>25630002.571540266</c:v>
                </c:pt>
                <c:pt idx="1">
                  <c:v>25997238.320406914</c:v>
                </c:pt>
                <c:pt idx="2">
                  <c:v>26228921.169273566</c:v>
                </c:pt>
                <c:pt idx="3">
                  <c:v>26723338.526970502</c:v>
                </c:pt>
                <c:pt idx="4">
                  <c:v>26984968.457927983</c:v>
                </c:pt>
                <c:pt idx="5">
                  <c:v>27296721.383644138</c:v>
                </c:pt>
                <c:pt idx="6">
                  <c:v>27536999.782383684</c:v>
                </c:pt>
                <c:pt idx="7">
                  <c:v>27752961.487347931</c:v>
                </c:pt>
                <c:pt idx="8">
                  <c:v>27944610.204552922</c:v>
                </c:pt>
                <c:pt idx="9">
                  <c:v>28079771.861253671</c:v>
                </c:pt>
                <c:pt idx="10">
                  <c:v>28243358.368009515</c:v>
                </c:pt>
                <c:pt idx="11">
                  <c:v>28455821.902245048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F-4918-AD94-36A4F650F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5888"/>
        <c:axId val="106819968"/>
      </c:lineChart>
      <c:dateAx>
        <c:axId val="106805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6819968"/>
        <c:crosses val="autoZero"/>
        <c:auto val="1"/>
        <c:lblOffset val="100"/>
        <c:baseTimeUnit val="months"/>
      </c:dateAx>
      <c:valAx>
        <c:axId val="1068199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6805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9'!$E$20:$P$20</c:f>
              <c:numCache>
                <c:formatCode>0%</c:formatCode>
                <c:ptCount val="12"/>
                <c:pt idx="0">
                  <c:v>0.87860094943125921</c:v>
                </c:pt>
                <c:pt idx="1">
                  <c:v>0.84945327688398875</c:v>
                </c:pt>
                <c:pt idx="2">
                  <c:v>0.77688392202653411</c:v>
                </c:pt>
                <c:pt idx="3">
                  <c:v>1.1500914741181343</c:v>
                </c:pt>
                <c:pt idx="4">
                  <c:v>0.76165625576642559</c:v>
                </c:pt>
                <c:pt idx="5">
                  <c:v>1.1316312298960298</c:v>
                </c:pt>
                <c:pt idx="6">
                  <c:v>1.0761742941661403</c:v>
                </c:pt>
                <c:pt idx="7">
                  <c:v>0.79055073012946564</c:v>
                </c:pt>
                <c:pt idx="8">
                  <c:v>1.0860912777950618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B-4473-8D78-F4E4DF8B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744064"/>
        <c:axId val="107528192"/>
      </c:barChart>
      <c:lineChart>
        <c:grouping val="standard"/>
        <c:varyColors val="0"/>
        <c:ser>
          <c:idx val="0"/>
          <c:order val="0"/>
          <c:tx>
            <c:strRef>
              <c:f>'KPI 9'!$D$19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9'!$E$19:$P$19</c:f>
              <c:numCache>
                <c:formatCode>0%</c:formatCode>
                <c:ptCount val="12"/>
                <c:pt idx="0">
                  <c:v>1.05</c:v>
                </c:pt>
                <c:pt idx="1">
                  <c:v>1.05</c:v>
                </c:pt>
                <c:pt idx="2">
                  <c:v>1.05</c:v>
                </c:pt>
                <c:pt idx="3">
                  <c:v>1.0524477778464649</c:v>
                </c:pt>
                <c:pt idx="4">
                  <c:v>1.0513784271426654</c:v>
                </c:pt>
                <c:pt idx="5">
                  <c:v>1.0501188226277136</c:v>
                </c:pt>
                <c:pt idx="6">
                  <c:v>1.0491841920416387</c:v>
                </c:pt>
                <c:pt idx="7">
                  <c:v>1.0483591369521301</c:v>
                </c:pt>
                <c:pt idx="8">
                  <c:v>1.04763863539285</c:v>
                </c:pt>
                <c:pt idx="9">
                  <c:v>1.0471457959746593</c:v>
                </c:pt>
                <c:pt idx="10">
                  <c:v>1.0465479015469994</c:v>
                </c:pt>
                <c:pt idx="11">
                  <c:v>1.045770418837618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B-4473-8D78-F4E4DF8B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44064"/>
        <c:axId val="107528192"/>
      </c:lineChart>
      <c:dateAx>
        <c:axId val="106744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528192"/>
        <c:crosses val="autoZero"/>
        <c:auto val="1"/>
        <c:lblOffset val="100"/>
        <c:baseTimeUnit val="months"/>
      </c:dateAx>
      <c:valAx>
        <c:axId val="1075281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0674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10'!$E$20:$P$20</c:f>
              <c:numCache>
                <c:formatCode>#,##0</c:formatCode>
                <c:ptCount val="12"/>
                <c:pt idx="0">
                  <c:v>9210800</c:v>
                </c:pt>
                <c:pt idx="1">
                  <c:v>10871060</c:v>
                </c:pt>
                <c:pt idx="2">
                  <c:v>10150080</c:v>
                </c:pt>
                <c:pt idx="3">
                  <c:v>11059010</c:v>
                </c:pt>
                <c:pt idx="4">
                  <c:v>9188690</c:v>
                </c:pt>
                <c:pt idx="5">
                  <c:v>8043560</c:v>
                </c:pt>
                <c:pt idx="6">
                  <c:v>13738330</c:v>
                </c:pt>
                <c:pt idx="7">
                  <c:v>10720550</c:v>
                </c:pt>
                <c:pt idx="8">
                  <c:v>10195970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1-4FE1-9BF7-CE4C687B21E4}"/>
            </c:ext>
          </c:extLst>
        </c:ser>
        <c:ser>
          <c:idx val="4"/>
          <c:order val="2"/>
          <c:tx>
            <c:strRef>
              <c:f>'KPI 10'!$D$21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10'!$E$21:$P$21</c:f>
              <c:numCache>
                <c:formatCode>#,##0</c:formatCode>
                <c:ptCount val="12"/>
                <c:pt idx="0">
                  <c:v>5843053</c:v>
                </c:pt>
                <c:pt idx="1">
                  <c:v>7922759</c:v>
                </c:pt>
                <c:pt idx="2">
                  <c:v>6574586</c:v>
                </c:pt>
                <c:pt idx="3">
                  <c:v>6654857</c:v>
                </c:pt>
                <c:pt idx="4">
                  <c:v>7074189</c:v>
                </c:pt>
                <c:pt idx="5">
                  <c:v>4685457</c:v>
                </c:pt>
                <c:pt idx="6">
                  <c:v>8536944</c:v>
                </c:pt>
                <c:pt idx="7">
                  <c:v>7146065</c:v>
                </c:pt>
                <c:pt idx="8">
                  <c:v>7724897</c:v>
                </c:pt>
                <c:pt idx="9">
                  <c:v>9123070</c:v>
                </c:pt>
                <c:pt idx="10">
                  <c:v>10708050</c:v>
                </c:pt>
                <c:pt idx="11">
                  <c:v>11093770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1-4FE1-9BF7-CE4C687B2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75168"/>
        <c:axId val="109449984"/>
      </c:barChart>
      <c:lineChart>
        <c:grouping val="standard"/>
        <c:varyColors val="0"/>
        <c:ser>
          <c:idx val="0"/>
          <c:order val="0"/>
          <c:tx>
            <c:strRef>
              <c:f>'KPI 10'!$D$19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10'!$E$19:$P$19</c:f>
              <c:numCache>
                <c:formatCode>#,##0</c:formatCode>
                <c:ptCount val="12"/>
                <c:pt idx="0">
                  <c:v>8942465.9244022779</c:v>
                </c:pt>
                <c:pt idx="1">
                  <c:v>8996210.65412887</c:v>
                </c:pt>
                <c:pt idx="2">
                  <c:v>9045864.1185453143</c:v>
                </c:pt>
                <c:pt idx="3">
                  <c:v>9035851.1855140068</c:v>
                </c:pt>
                <c:pt idx="4">
                  <c:v>9029894.0892549474</c:v>
                </c:pt>
                <c:pt idx="5">
                  <c:v>9020852.3411238343</c:v>
                </c:pt>
                <c:pt idx="6">
                  <c:v>9032887.4236083888</c:v>
                </c:pt>
                <c:pt idx="7">
                  <c:v>9039569.3955904376</c:v>
                </c:pt>
                <c:pt idx="8">
                  <c:v>9044300.0185286924</c:v>
                </c:pt>
                <c:pt idx="9">
                  <c:v>9063999.2772918735</c:v>
                </c:pt>
                <c:pt idx="10">
                  <c:v>9084168.0830310751</c:v>
                </c:pt>
                <c:pt idx="11">
                  <c:v>9104601.9402058907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E1-4FE1-9BF7-CE4C687B2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75168"/>
        <c:axId val="109449984"/>
      </c:lineChart>
      <c:dateAx>
        <c:axId val="1095751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449984"/>
        <c:crosses val="autoZero"/>
        <c:auto val="1"/>
        <c:lblOffset val="100"/>
        <c:baseTimeUnit val="months"/>
      </c:dateAx>
      <c:valAx>
        <c:axId val="109449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575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11'!$E$20:$P$20</c:f>
              <c:numCache>
                <c:formatCode>#,##0</c:formatCode>
                <c:ptCount val="12"/>
                <c:pt idx="0">
                  <c:v>5560946</c:v>
                </c:pt>
                <c:pt idx="1">
                  <c:v>5918138.5</c:v>
                </c:pt>
                <c:pt idx="2">
                  <c:v>5609031</c:v>
                </c:pt>
                <c:pt idx="3">
                  <c:v>5721311</c:v>
                </c:pt>
                <c:pt idx="4">
                  <c:v>5243878.5</c:v>
                </c:pt>
                <c:pt idx="5">
                  <c:v>4788131.3</c:v>
                </c:pt>
                <c:pt idx="6">
                  <c:v>6824426</c:v>
                </c:pt>
                <c:pt idx="7">
                  <c:v>5693803.4999999991</c:v>
                </c:pt>
                <c:pt idx="8">
                  <c:v>5821018.5000000009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1-4053-BAC8-A4EEAC9320D8}"/>
            </c:ext>
          </c:extLst>
        </c:ser>
        <c:ser>
          <c:idx val="4"/>
          <c:order val="2"/>
          <c:tx>
            <c:strRef>
              <c:f>'KPI 11'!$D$21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11'!$E$21:$P$21</c:f>
              <c:numCache>
                <c:formatCode>#,##0</c:formatCode>
                <c:ptCount val="12"/>
                <c:pt idx="0">
                  <c:v>4056872.9</c:v>
                </c:pt>
                <c:pt idx="1">
                  <c:v>4995912.1500000004</c:v>
                </c:pt>
                <c:pt idx="2">
                  <c:v>4239319.45</c:v>
                </c:pt>
                <c:pt idx="3">
                  <c:v>4378066.2</c:v>
                </c:pt>
                <c:pt idx="4">
                  <c:v>4413150</c:v>
                </c:pt>
                <c:pt idx="5">
                  <c:v>3714209.2</c:v>
                </c:pt>
                <c:pt idx="6">
                  <c:v>5356212.7</c:v>
                </c:pt>
                <c:pt idx="7">
                  <c:v>4592748.95</c:v>
                </c:pt>
                <c:pt idx="8">
                  <c:v>4885076.95</c:v>
                </c:pt>
                <c:pt idx="9">
                  <c:v>5635043.5</c:v>
                </c:pt>
                <c:pt idx="10">
                  <c:v>6022758.5</c:v>
                </c:pt>
                <c:pt idx="11">
                  <c:v>6114211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31-4053-BAC8-A4EEAC93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346816"/>
        <c:axId val="109348352"/>
      </c:barChart>
      <c:lineChart>
        <c:grouping val="standard"/>
        <c:varyColors val="0"/>
        <c:ser>
          <c:idx val="0"/>
          <c:order val="0"/>
          <c:tx>
            <c:strRef>
              <c:f>'KPI 11'!$D$19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11'!$E$19:$P$19</c:f>
              <c:numCache>
                <c:formatCode>#,##0</c:formatCode>
                <c:ptCount val="12"/>
                <c:pt idx="0">
                  <c:v>4973474.5859431289</c:v>
                </c:pt>
                <c:pt idx="1">
                  <c:v>4996935.182052915</c:v>
                </c:pt>
                <c:pt idx="2">
                  <c:v>5020396.0145296101</c:v>
                </c:pt>
                <c:pt idx="3">
                  <c:v>5043857.079816726</c:v>
                </c:pt>
                <c:pt idx="4">
                  <c:v>5067318.3744287556</c:v>
                </c:pt>
                <c:pt idx="5">
                  <c:v>5090779.8949494297</c:v>
                </c:pt>
                <c:pt idx="6">
                  <c:v>5114241.6380299972</c:v>
                </c:pt>
                <c:pt idx="7">
                  <c:v>5137703.6003875732</c:v>
                </c:pt>
                <c:pt idx="8">
                  <c:v>5161165.778803519</c:v>
                </c:pt>
                <c:pt idx="9">
                  <c:v>5184628.1701218812</c:v>
                </c:pt>
                <c:pt idx="10">
                  <c:v>5208090.7712478768</c:v>
                </c:pt>
                <c:pt idx="11">
                  <c:v>5231553.5791464159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1-4053-BAC8-A4EEAC93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46816"/>
        <c:axId val="109348352"/>
      </c:lineChart>
      <c:dateAx>
        <c:axId val="109346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348352"/>
        <c:crosses val="autoZero"/>
        <c:auto val="1"/>
        <c:lblOffset val="100"/>
        <c:baseTimeUnit val="months"/>
      </c:dateAx>
      <c:valAx>
        <c:axId val="1093483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346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11a'!$D$20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11a'!$E$20:$P$20</c:f>
              <c:numCache>
                <c:formatCode>#,##0</c:formatCode>
                <c:ptCount val="12"/>
                <c:pt idx="0">
                  <c:v>871940</c:v>
                </c:pt>
                <c:pt idx="1">
                  <c:v>904453</c:v>
                </c:pt>
                <c:pt idx="2">
                  <c:v>904154</c:v>
                </c:pt>
                <c:pt idx="3">
                  <c:v>1010650.5</c:v>
                </c:pt>
                <c:pt idx="4">
                  <c:v>811584.5</c:v>
                </c:pt>
                <c:pt idx="5">
                  <c:v>696178</c:v>
                </c:pt>
                <c:pt idx="6">
                  <c:v>1284916.5</c:v>
                </c:pt>
                <c:pt idx="7">
                  <c:v>922827.50000000093</c:v>
                </c:pt>
                <c:pt idx="8">
                  <c:v>509798.49999999907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E-450B-BC5F-6921BF7ED7B8}"/>
            </c:ext>
          </c:extLst>
        </c:ser>
        <c:ser>
          <c:idx val="4"/>
          <c:order val="2"/>
          <c:tx>
            <c:strRef>
              <c:f>'KPI 11a'!$D$21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11a'!$E$21:$P$21</c:f>
              <c:numCache>
                <c:formatCode>#,##0</c:formatCode>
                <c:ptCount val="12"/>
                <c:pt idx="0">
                  <c:v>794951</c:v>
                </c:pt>
                <c:pt idx="1">
                  <c:v>626850</c:v>
                </c:pt>
                <c:pt idx="2">
                  <c:v>607950</c:v>
                </c:pt>
                <c:pt idx="3">
                  <c:v>713100</c:v>
                </c:pt>
                <c:pt idx="4">
                  <c:v>489600</c:v>
                </c:pt>
                <c:pt idx="5">
                  <c:v>523900</c:v>
                </c:pt>
                <c:pt idx="6">
                  <c:v>704780</c:v>
                </c:pt>
                <c:pt idx="7">
                  <c:v>670850</c:v>
                </c:pt>
                <c:pt idx="8">
                  <c:v>755350</c:v>
                </c:pt>
                <c:pt idx="9">
                  <c:v>1189107.5</c:v>
                </c:pt>
                <c:pt idx="10">
                  <c:v>1026152.5</c:v>
                </c:pt>
                <c:pt idx="11">
                  <c:v>1000538.5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CE-450B-BC5F-6921BF7E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99296"/>
        <c:axId val="107800832"/>
      </c:barChart>
      <c:lineChart>
        <c:grouping val="standard"/>
        <c:varyColors val="0"/>
        <c:ser>
          <c:idx val="0"/>
          <c:order val="0"/>
          <c:tx>
            <c:strRef>
              <c:f>'KPI 11a'!$D$19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E-450B-BC5F-6921BF7E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9296"/>
        <c:axId val="107800832"/>
      </c:lineChart>
      <c:dateAx>
        <c:axId val="107799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800832"/>
        <c:crosses val="autoZero"/>
        <c:auto val="1"/>
        <c:lblOffset val="100"/>
        <c:baseTimeUnit val="months"/>
      </c:dateAx>
      <c:valAx>
        <c:axId val="107800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799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12'!$E$20:$P$20</c:f>
              <c:numCache>
                <c:formatCode>#,##0</c:formatCode>
                <c:ptCount val="12"/>
                <c:pt idx="0">
                  <c:v>15643686</c:v>
                </c:pt>
                <c:pt idx="1">
                  <c:v>17693651.5</c:v>
                </c:pt>
                <c:pt idx="2">
                  <c:v>16663265</c:v>
                </c:pt>
                <c:pt idx="3">
                  <c:v>17790971.5</c:v>
                </c:pt>
                <c:pt idx="4">
                  <c:v>15244153</c:v>
                </c:pt>
                <c:pt idx="5">
                  <c:v>13527869.300000001</c:v>
                </c:pt>
                <c:pt idx="6">
                  <c:v>21847672.5</c:v>
                </c:pt>
                <c:pt idx="7">
                  <c:v>17337181</c:v>
                </c:pt>
                <c:pt idx="8">
                  <c:v>16526787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5-425F-8FFF-531FDCC4C9E1}"/>
            </c:ext>
          </c:extLst>
        </c:ser>
        <c:ser>
          <c:idx val="4"/>
          <c:order val="2"/>
          <c:tx>
            <c:strRef>
              <c:f>'KPI 12'!$D$21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12'!$E$21:$P$21</c:f>
              <c:numCache>
                <c:formatCode>#,##0</c:formatCode>
                <c:ptCount val="12"/>
                <c:pt idx="0">
                  <c:v>10694876.9</c:v>
                </c:pt>
                <c:pt idx="1">
                  <c:v>13545521.15</c:v>
                </c:pt>
                <c:pt idx="2">
                  <c:v>11421855.449999999</c:v>
                </c:pt>
                <c:pt idx="3">
                  <c:v>11746023.199999999</c:v>
                </c:pt>
                <c:pt idx="4">
                  <c:v>11976939</c:v>
                </c:pt>
                <c:pt idx="5">
                  <c:v>8923566.1999999993</c:v>
                </c:pt>
                <c:pt idx="6">
                  <c:v>14597936.699999999</c:v>
                </c:pt>
                <c:pt idx="7">
                  <c:v>12409663.949999999</c:v>
                </c:pt>
                <c:pt idx="8">
                  <c:v>13365323.949999999</c:v>
                </c:pt>
                <c:pt idx="9">
                  <c:v>15947221</c:v>
                </c:pt>
                <c:pt idx="10">
                  <c:v>17756961</c:v>
                </c:pt>
                <c:pt idx="11">
                  <c:v>18208519.5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5-425F-8FFF-531FDCC4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30432"/>
        <c:axId val="107731968"/>
      </c:barChart>
      <c:lineChart>
        <c:grouping val="standard"/>
        <c:varyColors val="0"/>
        <c:ser>
          <c:idx val="0"/>
          <c:order val="0"/>
          <c:tx>
            <c:strRef>
              <c:f>'KPI 12'!$D$19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12'!$E$19:$P$19</c:f>
              <c:numCache>
                <c:formatCode>#,##0</c:formatCode>
                <c:ptCount val="12"/>
                <c:pt idx="0">
                  <c:v>13915940.510345407</c:v>
                </c:pt>
                <c:pt idx="1">
                  <c:v>13993145.836181786</c:v>
                </c:pt>
                <c:pt idx="2">
                  <c:v>14066260.133074924</c:v>
                </c:pt>
                <c:pt idx="3">
                  <c:v>14079708.265330732</c:v>
                </c:pt>
                <c:pt idx="4">
                  <c:v>14097212.463683702</c:v>
                </c:pt>
                <c:pt idx="5">
                  <c:v>14111632.236073263</c:v>
                </c:pt>
                <c:pt idx="6">
                  <c:v>14147129.061638385</c:v>
                </c:pt>
                <c:pt idx="7">
                  <c:v>14177272.995978011</c:v>
                </c:pt>
                <c:pt idx="8">
                  <c:v>14205465.797332212</c:v>
                </c:pt>
                <c:pt idx="9">
                  <c:v>14248627.447413754</c:v>
                </c:pt>
                <c:pt idx="10">
                  <c:v>14292258.854278952</c:v>
                </c:pt>
                <c:pt idx="11">
                  <c:v>14336155.519352306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5-425F-8FFF-531FDCC4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30432"/>
        <c:axId val="107731968"/>
      </c:lineChart>
      <c:dateAx>
        <c:axId val="1077304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731968"/>
        <c:crosses val="autoZero"/>
        <c:auto val="1"/>
        <c:lblOffset val="100"/>
        <c:baseTimeUnit val="months"/>
      </c:dateAx>
      <c:valAx>
        <c:axId val="1077319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73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13'!$E$20:$P$20</c:f>
              <c:numCache>
                <c:formatCode>#,##0</c:formatCode>
                <c:ptCount val="12"/>
                <c:pt idx="0">
                  <c:v>15973822</c:v>
                </c:pt>
                <c:pt idx="1">
                  <c:v>13044625</c:v>
                </c:pt>
                <c:pt idx="2">
                  <c:v>14430304</c:v>
                </c:pt>
                <c:pt idx="3">
                  <c:v>19741476.600000001</c:v>
                </c:pt>
                <c:pt idx="4">
                  <c:v>14374630.5</c:v>
                </c:pt>
                <c:pt idx="5">
                  <c:v>18112068.5</c:v>
                </c:pt>
                <c:pt idx="6">
                  <c:v>13052147.5</c:v>
                </c:pt>
                <c:pt idx="7">
                  <c:v>16563177.5</c:v>
                </c:pt>
                <c:pt idx="8">
                  <c:v>22532132.25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8-4FB0-A9D2-00FC1CCFC159}"/>
            </c:ext>
          </c:extLst>
        </c:ser>
        <c:ser>
          <c:idx val="4"/>
          <c:order val="2"/>
          <c:tx>
            <c:strRef>
              <c:f>'KPI 13'!$D$21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13'!$E$21:$P$21</c:f>
              <c:numCache>
                <c:formatCode>#,##0</c:formatCode>
                <c:ptCount val="12"/>
                <c:pt idx="0">
                  <c:v>15577990.9</c:v>
                </c:pt>
                <c:pt idx="1">
                  <c:v>8917003.0500000007</c:v>
                </c:pt>
                <c:pt idx="2">
                  <c:v>11509367.17</c:v>
                </c:pt>
                <c:pt idx="3">
                  <c:v>11550708.949999999</c:v>
                </c:pt>
                <c:pt idx="4">
                  <c:v>15277870</c:v>
                </c:pt>
                <c:pt idx="5">
                  <c:v>9681321.25</c:v>
                </c:pt>
                <c:pt idx="6">
                  <c:v>14304089.75</c:v>
                </c:pt>
                <c:pt idx="7">
                  <c:v>12007999.1</c:v>
                </c:pt>
                <c:pt idx="8">
                  <c:v>10866767.5</c:v>
                </c:pt>
                <c:pt idx="9">
                  <c:v>16977534.75</c:v>
                </c:pt>
                <c:pt idx="10">
                  <c:v>15080179.9</c:v>
                </c:pt>
                <c:pt idx="11">
                  <c:v>19747968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C8-4FB0-A9D2-00FC1CCFC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14368"/>
        <c:axId val="109920256"/>
      </c:barChart>
      <c:lineChart>
        <c:grouping val="standard"/>
        <c:varyColors val="0"/>
        <c:ser>
          <c:idx val="0"/>
          <c:order val="0"/>
          <c:tx>
            <c:strRef>
              <c:f>'KPI 13'!$D$19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13'!$E$19:$P$19</c:f>
              <c:numCache>
                <c:formatCode>#,##0</c:formatCode>
                <c:ptCount val="12"/>
                <c:pt idx="0">
                  <c:v>14611737.535862679</c:v>
                </c:pt>
                <c:pt idx="1">
                  <c:v>14692803.127990875</c:v>
                </c:pt>
                <c:pt idx="2">
                  <c:v>14769573.139728671</c:v>
                </c:pt>
                <c:pt idx="3">
                  <c:v>14783693.67859727</c:v>
                </c:pt>
                <c:pt idx="4">
                  <c:v>14802073.086867888</c:v>
                </c:pt>
                <c:pt idx="5">
                  <c:v>14817213.847876927</c:v>
                </c:pt>
                <c:pt idx="6">
                  <c:v>14854485.514720306</c:v>
                </c:pt>
                <c:pt idx="7">
                  <c:v>14886136.645776913</c:v>
                </c:pt>
                <c:pt idx="8">
                  <c:v>14915739.087198824</c:v>
                </c:pt>
                <c:pt idx="9">
                  <c:v>14961058.819784442</c:v>
                </c:pt>
                <c:pt idx="10">
                  <c:v>15006871.7969929</c:v>
                </c:pt>
                <c:pt idx="11">
                  <c:v>15052963.295319922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C8-4FB0-A9D2-00FC1CCFC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14368"/>
        <c:axId val="109920256"/>
      </c:lineChart>
      <c:dateAx>
        <c:axId val="109914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920256"/>
        <c:crosses val="autoZero"/>
        <c:auto val="1"/>
        <c:lblOffset val="100"/>
        <c:baseTimeUnit val="months"/>
      </c:dateAx>
      <c:valAx>
        <c:axId val="1099202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914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 (3)'!$D$19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 (3)'!$E$17:$P$17</c:f>
              <c:numCache>
                <c:formatCode>mmm\-yy</c:formatCode>
                <c:ptCount val="12"/>
              </c:numCache>
            </c:numRef>
          </c:cat>
          <c:val>
            <c:numRef>
              <c:f>'KPI 14 (3)'!$E$19:$P$19</c:f>
              <c:numCache>
                <c:formatCode>0%</c:formatCode>
                <c:ptCount val="12"/>
                <c:pt idx="0">
                  <c:v>1.05</c:v>
                </c:pt>
                <c:pt idx="1">
                  <c:v>1.05</c:v>
                </c:pt>
                <c:pt idx="2">
                  <c:v>1.05</c:v>
                </c:pt>
                <c:pt idx="3">
                  <c:v>1.05</c:v>
                </c:pt>
                <c:pt idx="4">
                  <c:v>1.05</c:v>
                </c:pt>
                <c:pt idx="5">
                  <c:v>1.05</c:v>
                </c:pt>
                <c:pt idx="6">
                  <c:v>1.05</c:v>
                </c:pt>
                <c:pt idx="7">
                  <c:v>1.05</c:v>
                </c:pt>
                <c:pt idx="8">
                  <c:v>1.05</c:v>
                </c:pt>
                <c:pt idx="9">
                  <c:v>1.05</c:v>
                </c:pt>
                <c:pt idx="10">
                  <c:v>1.05</c:v>
                </c:pt>
                <c:pt idx="11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6-426F-A2CD-E4B83465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069632"/>
        <c:axId val="110071168"/>
      </c:barChart>
      <c:lineChart>
        <c:grouping val="standard"/>
        <c:varyColors val="0"/>
        <c:ser>
          <c:idx val="0"/>
          <c:order val="0"/>
          <c:tx>
            <c:strRef>
              <c:f>'KPI 14 (3)'!$D$20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 (3)'!$E$17:$P$17</c:f>
              <c:numCache>
                <c:formatCode>mmm\-yy</c:formatCode>
                <c:ptCount val="12"/>
              </c:numCache>
            </c:numRef>
          </c:cat>
          <c:val>
            <c:numRef>
              <c:f>'KPI 14 (3)'!$E$18:$P$18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6-426F-A2CD-E4B83465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69632"/>
        <c:axId val="110071168"/>
      </c:lineChart>
      <c:catAx>
        <c:axId val="110069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0071168"/>
        <c:crosses val="autoZero"/>
        <c:auto val="1"/>
        <c:lblAlgn val="ctr"/>
        <c:lblOffset val="100"/>
        <c:noMultiLvlLbl val="1"/>
      </c:catAx>
      <c:valAx>
        <c:axId val="1100711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10069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 (2)'!$E$17:$P$17</c:f>
              <c:numCache>
                <c:formatCode>mmm\-yy</c:formatCode>
                <c:ptCount val="12"/>
              </c:numCache>
            </c:numRef>
          </c:cat>
          <c:val>
            <c:numRef>
              <c:f>'KPI 14 (2)'!$E$19:$P$19</c:f>
              <c:numCache>
                <c:formatCode>0%</c:formatCode>
                <c:ptCount val="12"/>
                <c:pt idx="0">
                  <c:v>1.05</c:v>
                </c:pt>
                <c:pt idx="1">
                  <c:v>1.05</c:v>
                </c:pt>
                <c:pt idx="2">
                  <c:v>1.05</c:v>
                </c:pt>
                <c:pt idx="3">
                  <c:v>1.05</c:v>
                </c:pt>
                <c:pt idx="4">
                  <c:v>1.05</c:v>
                </c:pt>
                <c:pt idx="5">
                  <c:v>1.05</c:v>
                </c:pt>
                <c:pt idx="6">
                  <c:v>1.05</c:v>
                </c:pt>
                <c:pt idx="7">
                  <c:v>1.05</c:v>
                </c:pt>
                <c:pt idx="8">
                  <c:v>1.05</c:v>
                </c:pt>
                <c:pt idx="9">
                  <c:v>1.05</c:v>
                </c:pt>
                <c:pt idx="10">
                  <c:v>1.05</c:v>
                </c:pt>
                <c:pt idx="11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9-4892-95EE-7CF79C919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74048"/>
        <c:axId val="110275584"/>
      </c:barChart>
      <c:lineChart>
        <c:grouping val="standard"/>
        <c:varyColors val="0"/>
        <c:ser>
          <c:idx val="0"/>
          <c:order val="0"/>
          <c:tx>
            <c:strRef>
              <c:f>'KPI 14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 (2)'!$E$17:$P$17</c:f>
              <c:numCache>
                <c:formatCode>mmm\-yy</c:formatCode>
                <c:ptCount val="12"/>
              </c:numCache>
            </c:numRef>
          </c:cat>
          <c:val>
            <c:numRef>
              <c:f>'KPI 14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9-4892-95EE-7CF79C919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74048"/>
        <c:axId val="110275584"/>
      </c:lineChart>
      <c:catAx>
        <c:axId val="110274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0275584"/>
        <c:crosses val="autoZero"/>
        <c:auto val="1"/>
        <c:lblAlgn val="ctr"/>
        <c:lblOffset val="100"/>
        <c:noMultiLvlLbl val="1"/>
      </c:catAx>
      <c:valAx>
        <c:axId val="1102755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10274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14'!$E$17:$P$17</c:f>
              <c:numCache>
                <c:formatCode>mmm\-yy</c:formatCode>
                <c:ptCount val="12"/>
              </c:numCache>
            </c:numRef>
          </c:cat>
          <c:val>
            <c:numRef>
              <c:f>'KPI 14'!$E$19:$P$19</c:f>
              <c:numCache>
                <c:formatCode>0%</c:formatCode>
                <c:ptCount val="12"/>
                <c:pt idx="0">
                  <c:v>1.05</c:v>
                </c:pt>
                <c:pt idx="1">
                  <c:v>1.05</c:v>
                </c:pt>
                <c:pt idx="2">
                  <c:v>1.05</c:v>
                </c:pt>
                <c:pt idx="3">
                  <c:v>1.05</c:v>
                </c:pt>
                <c:pt idx="4">
                  <c:v>1.05</c:v>
                </c:pt>
                <c:pt idx="5">
                  <c:v>1.05</c:v>
                </c:pt>
                <c:pt idx="6">
                  <c:v>1.05</c:v>
                </c:pt>
                <c:pt idx="7">
                  <c:v>1.05</c:v>
                </c:pt>
                <c:pt idx="8">
                  <c:v>1.05</c:v>
                </c:pt>
                <c:pt idx="9">
                  <c:v>1.05</c:v>
                </c:pt>
                <c:pt idx="10">
                  <c:v>1.05</c:v>
                </c:pt>
                <c:pt idx="11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D-4057-95F9-BF4FB0ABC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31296"/>
        <c:axId val="109832832"/>
      </c:barChart>
      <c:lineChart>
        <c:grouping val="standard"/>
        <c:varyColors val="0"/>
        <c:ser>
          <c:idx val="0"/>
          <c:order val="0"/>
          <c:tx>
            <c:strRef>
              <c:f>'KPI 14'!$D$20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14'!$E$17:$P$17</c:f>
              <c:numCache>
                <c:formatCode>mmm\-yy</c:formatCode>
                <c:ptCount val="12"/>
              </c:numCache>
            </c:numRef>
          </c:cat>
          <c:val>
            <c:numRef>
              <c:f>'KPI 14'!$E$18:$P$18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D-4057-95F9-BF4FB0ABC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31296"/>
        <c:axId val="109832832"/>
      </c:lineChart>
      <c:catAx>
        <c:axId val="109831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832832"/>
        <c:crosses val="autoZero"/>
        <c:auto val="1"/>
        <c:lblAlgn val="ctr"/>
        <c:lblOffset val="100"/>
        <c:noMultiLvlLbl val="1"/>
      </c:catAx>
      <c:valAx>
        <c:axId val="1098328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09831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15'!$D$20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15'!$E$20:$P$20</c:f>
              <c:numCache>
                <c:formatCode>#,##0</c:formatCode>
                <c:ptCount val="12"/>
                <c:pt idx="0">
                  <c:v>5272370</c:v>
                </c:pt>
                <c:pt idx="1">
                  <c:v>7465830</c:v>
                </c:pt>
                <c:pt idx="2">
                  <c:v>5039430</c:v>
                </c:pt>
                <c:pt idx="3">
                  <c:v>7076450</c:v>
                </c:pt>
                <c:pt idx="4">
                  <c:v>4791020</c:v>
                </c:pt>
                <c:pt idx="5">
                  <c:v>5179850</c:v>
                </c:pt>
                <c:pt idx="6">
                  <c:v>8044460</c:v>
                </c:pt>
                <c:pt idx="7">
                  <c:v>6986830</c:v>
                </c:pt>
                <c:pt idx="8">
                  <c:v>4890400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4-426C-A34C-12E56B2DB5D0}"/>
            </c:ext>
          </c:extLst>
        </c:ser>
        <c:ser>
          <c:idx val="4"/>
          <c:order val="2"/>
          <c:tx>
            <c:strRef>
              <c:f>'KPI 15'!$D$21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15'!$E$21:$P$21</c:f>
              <c:numCache>
                <c:formatCode>#,##0</c:formatCode>
                <c:ptCount val="12"/>
                <c:pt idx="0">
                  <c:v>3209469</c:v>
                </c:pt>
                <c:pt idx="1">
                  <c:v>3501347</c:v>
                </c:pt>
                <c:pt idx="2">
                  <c:v>3856856</c:v>
                </c:pt>
                <c:pt idx="3">
                  <c:v>3641147</c:v>
                </c:pt>
                <c:pt idx="4">
                  <c:v>4692660</c:v>
                </c:pt>
                <c:pt idx="5">
                  <c:v>2552870</c:v>
                </c:pt>
                <c:pt idx="6">
                  <c:v>4084599</c:v>
                </c:pt>
                <c:pt idx="7">
                  <c:v>3854228</c:v>
                </c:pt>
                <c:pt idx="8">
                  <c:v>4053585</c:v>
                </c:pt>
                <c:pt idx="9">
                  <c:v>2884277</c:v>
                </c:pt>
                <c:pt idx="10">
                  <c:v>5352660</c:v>
                </c:pt>
                <c:pt idx="11">
                  <c:v>5996360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4-426C-A34C-12E56B2DB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17664"/>
        <c:axId val="109219200"/>
      </c:barChart>
      <c:lineChart>
        <c:grouping val="standard"/>
        <c:varyColors val="0"/>
        <c:ser>
          <c:idx val="0"/>
          <c:order val="0"/>
          <c:tx>
            <c:strRef>
              <c:f>'KPI 15'!$D$19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15'!$E$19:$P$19</c:f>
              <c:numCache>
                <c:formatCode>#,##0</c:formatCode>
                <c:ptCount val="12"/>
                <c:pt idx="0">
                  <c:v>5065118.2414229233</c:v>
                </c:pt>
                <c:pt idx="1">
                  <c:v>5186854.0401342409</c:v>
                </c:pt>
                <c:pt idx="2">
                  <c:v>5320132.9536295589</c:v>
                </c:pt>
                <c:pt idx="3">
                  <c:v>5584553.7091985717</c:v>
                </c:pt>
                <c:pt idx="4">
                  <c:v>5827594.1459915433</c:v>
                </c:pt>
                <c:pt idx="5">
                  <c:v>6061586.3943221532</c:v>
                </c:pt>
                <c:pt idx="6">
                  <c:v>6268878.0953539293</c:v>
                </c:pt>
                <c:pt idx="7">
                  <c:v>6470621.56846534</c:v>
                </c:pt>
                <c:pt idx="8">
                  <c:v>6650863.8502878789</c:v>
                </c:pt>
                <c:pt idx="9">
                  <c:v>6799132.4271202534</c:v>
                </c:pt>
                <c:pt idx="10">
                  <c:v>6946856.215867538</c:v>
                </c:pt>
                <c:pt idx="11">
                  <c:v>7091067.9020263534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4-426C-A34C-12E56B2DB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17664"/>
        <c:axId val="109219200"/>
      </c:lineChart>
      <c:dateAx>
        <c:axId val="109217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219200"/>
        <c:crosses val="autoZero"/>
        <c:auto val="1"/>
        <c:lblOffset val="100"/>
        <c:baseTimeUnit val="months"/>
      </c:dateAx>
      <c:valAx>
        <c:axId val="1092192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217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A-48B9-AF70-B0BCDC49B74A}"/>
            </c:ext>
          </c:extLst>
        </c:ser>
        <c:ser>
          <c:idx val="4"/>
          <c:order val="2"/>
          <c:tx>
            <c:strRef>
              <c:f>'KPI 16'!$D$21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A-48B9-AF70-B0BCDC49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77184"/>
        <c:axId val="109678976"/>
      </c:barChart>
      <c:lineChart>
        <c:grouping val="standard"/>
        <c:varyColors val="0"/>
        <c:ser>
          <c:idx val="0"/>
          <c:order val="0"/>
          <c:tx>
            <c:strRef>
              <c:f>'KPI 16'!$D$19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A-48B9-AF70-B0BCDC49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77184"/>
        <c:axId val="109678976"/>
      </c:lineChart>
      <c:dateAx>
        <c:axId val="109677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678976"/>
        <c:crosses val="autoZero"/>
        <c:auto val="1"/>
        <c:lblOffset val="100"/>
        <c:baseTimeUnit val="months"/>
      </c:dateAx>
      <c:valAx>
        <c:axId val="1096789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677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16A'!$D$20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16A'!$E$20:$P$20</c:f>
              <c:numCache>
                <c:formatCode>#,##0</c:formatCode>
                <c:ptCount val="12"/>
                <c:pt idx="0">
                  <c:v>630818.5</c:v>
                </c:pt>
                <c:pt idx="1">
                  <c:v>696791.5</c:v>
                </c:pt>
                <c:pt idx="2">
                  <c:v>547121.5</c:v>
                </c:pt>
                <c:pt idx="3">
                  <c:v>633322.5</c:v>
                </c:pt>
                <c:pt idx="4">
                  <c:v>416851</c:v>
                </c:pt>
                <c:pt idx="5">
                  <c:v>500992.5</c:v>
                </c:pt>
                <c:pt idx="6">
                  <c:v>746723</c:v>
                </c:pt>
                <c:pt idx="7">
                  <c:v>529341.5</c:v>
                </c:pt>
                <c:pt idx="8">
                  <c:v>244520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B-41D8-A3EA-E7E8A0A621BC}"/>
            </c:ext>
          </c:extLst>
        </c:ser>
        <c:ser>
          <c:idx val="4"/>
          <c:order val="2"/>
          <c:tx>
            <c:strRef>
              <c:f>'KPI 16A'!$D$21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16A'!$E$21:$P$21</c:f>
              <c:numCache>
                <c:formatCode>#,##0</c:formatCode>
                <c:ptCount val="12"/>
                <c:pt idx="0">
                  <c:v>467850</c:v>
                </c:pt>
                <c:pt idx="1">
                  <c:v>324100</c:v>
                </c:pt>
                <c:pt idx="2">
                  <c:v>254600</c:v>
                </c:pt>
                <c:pt idx="3">
                  <c:v>227600</c:v>
                </c:pt>
                <c:pt idx="4">
                  <c:v>234950</c:v>
                </c:pt>
                <c:pt idx="5">
                  <c:v>338950</c:v>
                </c:pt>
                <c:pt idx="6">
                  <c:v>495150</c:v>
                </c:pt>
                <c:pt idx="7">
                  <c:v>284992</c:v>
                </c:pt>
                <c:pt idx="8">
                  <c:v>370600</c:v>
                </c:pt>
                <c:pt idx="9">
                  <c:v>539558</c:v>
                </c:pt>
                <c:pt idx="10">
                  <c:v>443033</c:v>
                </c:pt>
                <c:pt idx="11">
                  <c:v>469818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B-41D8-A3EA-E7E8A0A62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460288"/>
        <c:axId val="110470272"/>
      </c:barChart>
      <c:lineChart>
        <c:grouping val="standard"/>
        <c:varyColors val="0"/>
        <c:ser>
          <c:idx val="0"/>
          <c:order val="0"/>
          <c:tx>
            <c:strRef>
              <c:f>'KPI 16A'!$D$19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16A'!$E$19:$P$19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FB-41D8-A3EA-E7E8A0A62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60288"/>
        <c:axId val="110470272"/>
      </c:lineChart>
      <c:dateAx>
        <c:axId val="110460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0470272"/>
        <c:crosses val="autoZero"/>
        <c:auto val="1"/>
        <c:lblOffset val="100"/>
        <c:baseTimeUnit val="months"/>
      </c:dateAx>
      <c:valAx>
        <c:axId val="110470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0460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17'!$E$20:$P$20</c:f>
              <c:numCache>
                <c:formatCode>#,##0</c:formatCode>
                <c:ptCount val="12"/>
                <c:pt idx="0">
                  <c:v>5903188.5</c:v>
                </c:pt>
                <c:pt idx="1">
                  <c:v>8162621.5</c:v>
                </c:pt>
                <c:pt idx="2">
                  <c:v>5586551.5</c:v>
                </c:pt>
                <c:pt idx="3">
                  <c:v>7709772.5</c:v>
                </c:pt>
                <c:pt idx="4">
                  <c:v>5207871</c:v>
                </c:pt>
                <c:pt idx="5">
                  <c:v>5680842.5</c:v>
                </c:pt>
                <c:pt idx="6">
                  <c:v>8791183</c:v>
                </c:pt>
                <c:pt idx="7">
                  <c:v>7516171.5</c:v>
                </c:pt>
                <c:pt idx="8">
                  <c:v>5134920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1-4415-8323-40FF0E46FFF5}"/>
            </c:ext>
          </c:extLst>
        </c:ser>
        <c:ser>
          <c:idx val="4"/>
          <c:order val="2"/>
          <c:tx>
            <c:strRef>
              <c:f>'KPI 17'!$D$21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17'!$E$21:$P$21</c:f>
              <c:numCache>
                <c:formatCode>#,##0</c:formatCode>
                <c:ptCount val="12"/>
                <c:pt idx="0">
                  <c:v>3677319</c:v>
                </c:pt>
                <c:pt idx="1">
                  <c:v>3825447</c:v>
                </c:pt>
                <c:pt idx="2">
                  <c:v>4111456</c:v>
                </c:pt>
                <c:pt idx="3">
                  <c:v>3868747</c:v>
                </c:pt>
                <c:pt idx="4">
                  <c:v>4927610</c:v>
                </c:pt>
                <c:pt idx="5">
                  <c:v>2891820</c:v>
                </c:pt>
                <c:pt idx="6">
                  <c:v>4579749</c:v>
                </c:pt>
                <c:pt idx="7">
                  <c:v>4139220</c:v>
                </c:pt>
                <c:pt idx="8">
                  <c:v>4424185</c:v>
                </c:pt>
                <c:pt idx="9">
                  <c:v>3423835</c:v>
                </c:pt>
                <c:pt idx="10">
                  <c:v>5795693</c:v>
                </c:pt>
                <c:pt idx="11">
                  <c:v>6466178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1-4415-8323-40FF0E46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829952"/>
        <c:axId val="110831488"/>
      </c:barChart>
      <c:lineChart>
        <c:grouping val="standard"/>
        <c:varyColors val="0"/>
        <c:ser>
          <c:idx val="0"/>
          <c:order val="0"/>
          <c:tx>
            <c:strRef>
              <c:f>'KPI 17'!$D$19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17'!$E$19:$P$19</c:f>
              <c:numCache>
                <c:formatCode>#,##0</c:formatCode>
                <c:ptCount val="12"/>
                <c:pt idx="0">
                  <c:v>5065118.2414229233</c:v>
                </c:pt>
                <c:pt idx="1">
                  <c:v>5186854.0401342409</c:v>
                </c:pt>
                <c:pt idx="2">
                  <c:v>5320132.9536295589</c:v>
                </c:pt>
                <c:pt idx="3">
                  <c:v>5584553.7091985717</c:v>
                </c:pt>
                <c:pt idx="4">
                  <c:v>5827594.1459915433</c:v>
                </c:pt>
                <c:pt idx="5">
                  <c:v>6061586.3943221532</c:v>
                </c:pt>
                <c:pt idx="6">
                  <c:v>6268878.0953539293</c:v>
                </c:pt>
                <c:pt idx="7">
                  <c:v>6470621.56846534</c:v>
                </c:pt>
                <c:pt idx="8">
                  <c:v>6650863.8502878789</c:v>
                </c:pt>
                <c:pt idx="9">
                  <c:v>6799132.4271202534</c:v>
                </c:pt>
                <c:pt idx="10">
                  <c:v>6946856.215867538</c:v>
                </c:pt>
                <c:pt idx="11">
                  <c:v>7091067.9020263534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71-4415-8323-40FF0E46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9952"/>
        <c:axId val="110831488"/>
      </c:lineChart>
      <c:dateAx>
        <c:axId val="1108299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0831488"/>
        <c:crosses val="autoZero"/>
        <c:auto val="1"/>
        <c:lblOffset val="100"/>
        <c:baseTimeUnit val="months"/>
      </c:dateAx>
      <c:valAx>
        <c:axId val="1108314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0829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 (2)'!$E$20:$P$20</c:f>
              <c:numCache>
                <c:formatCode>#,##0</c:formatCode>
                <c:ptCount val="12"/>
                <c:pt idx="0">
                  <c:v>3905900</c:v>
                </c:pt>
                <c:pt idx="1">
                  <c:v>3733170</c:v>
                </c:pt>
                <c:pt idx="2">
                  <c:v>3207580</c:v>
                </c:pt>
                <c:pt idx="3">
                  <c:v>3549060</c:v>
                </c:pt>
                <c:pt idx="4">
                  <c:v>3057070</c:v>
                </c:pt>
                <c:pt idx="5">
                  <c:v>3217900</c:v>
                </c:pt>
                <c:pt idx="6">
                  <c:v>3825280</c:v>
                </c:pt>
                <c:pt idx="7">
                  <c:v>4123770</c:v>
                </c:pt>
                <c:pt idx="8">
                  <c:v>3265000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D-417B-AECE-CBC76DCFA3ED}"/>
            </c:ext>
          </c:extLst>
        </c:ser>
        <c:ser>
          <c:idx val="4"/>
          <c:order val="2"/>
          <c:tx>
            <c:strRef>
              <c:f>'KPI 10 (2)'!$D$21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 (2)'!$E$21:$P$21</c:f>
              <c:numCache>
                <c:formatCode>#,##0</c:formatCode>
                <c:ptCount val="12"/>
                <c:pt idx="0">
                  <c:v>2130898</c:v>
                </c:pt>
                <c:pt idx="1">
                  <c:v>2494851</c:v>
                </c:pt>
                <c:pt idx="2">
                  <c:v>2586807</c:v>
                </c:pt>
                <c:pt idx="3">
                  <c:v>2312515</c:v>
                </c:pt>
                <c:pt idx="4">
                  <c:v>2408145</c:v>
                </c:pt>
                <c:pt idx="5">
                  <c:v>1739352</c:v>
                </c:pt>
                <c:pt idx="6">
                  <c:v>2146405</c:v>
                </c:pt>
                <c:pt idx="7">
                  <c:v>2060613</c:v>
                </c:pt>
                <c:pt idx="8">
                  <c:v>2172698</c:v>
                </c:pt>
                <c:pt idx="9">
                  <c:v>1949510</c:v>
                </c:pt>
                <c:pt idx="10">
                  <c:v>3454620</c:v>
                </c:pt>
                <c:pt idx="11">
                  <c:v>3809030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D-417B-AECE-CBC76DCFA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65888"/>
        <c:axId val="110967424"/>
      </c:barChart>
      <c:lineChart>
        <c:grouping val="standard"/>
        <c:varyColors val="0"/>
        <c:ser>
          <c:idx val="0"/>
          <c:order val="0"/>
          <c:tx>
            <c:strRef>
              <c:f>'KPI 10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 (2)'!$E$19:$P$19</c:f>
              <c:numCache>
                <c:formatCode>#,##0</c:formatCode>
                <c:ptCount val="12"/>
                <c:pt idx="0">
                  <c:v>2936883.6119525721</c:v>
                </c:pt>
                <c:pt idx="1">
                  <c:v>2978463.0835146657</c:v>
                </c:pt>
                <c:pt idx="2">
                  <c:v>3015830.7056028978</c:v>
                </c:pt>
                <c:pt idx="3">
                  <c:v>3030322.8830651944</c:v>
                </c:pt>
                <c:pt idx="4">
                  <c:v>3045939.5425312831</c:v>
                </c:pt>
                <c:pt idx="5">
                  <c:v>3057489.0423317845</c:v>
                </c:pt>
                <c:pt idx="6">
                  <c:v>3090862.2588154608</c:v>
                </c:pt>
                <c:pt idx="7">
                  <c:v>3110836.8137219953</c:v>
                </c:pt>
                <c:pt idx="8">
                  <c:v>3129963.9089611997</c:v>
                </c:pt>
                <c:pt idx="9">
                  <c:v>3149896.0733656478</c:v>
                </c:pt>
                <c:pt idx="10">
                  <c:v>3169903.4788791663</c:v>
                </c:pt>
                <c:pt idx="11">
                  <c:v>3189917.9355455334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3D-417B-AECE-CBC76DCFA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65888"/>
        <c:axId val="110967424"/>
      </c:lineChart>
      <c:dateAx>
        <c:axId val="110965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0967424"/>
        <c:crosses val="autoZero"/>
        <c:auto val="1"/>
        <c:lblOffset val="100"/>
        <c:baseTimeUnit val="months"/>
      </c:dateAx>
      <c:valAx>
        <c:axId val="110967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0965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 (2)'!$E$20:$P$20</c:f>
              <c:numCache>
                <c:formatCode>#,##0</c:formatCode>
                <c:ptCount val="12"/>
                <c:pt idx="0">
                  <c:v>142375</c:v>
                </c:pt>
                <c:pt idx="1">
                  <c:v>128227.5</c:v>
                </c:pt>
                <c:pt idx="2">
                  <c:v>111505</c:v>
                </c:pt>
                <c:pt idx="3">
                  <c:v>110110</c:v>
                </c:pt>
                <c:pt idx="4">
                  <c:v>99255</c:v>
                </c:pt>
                <c:pt idx="5">
                  <c:v>117272.5</c:v>
                </c:pt>
                <c:pt idx="6">
                  <c:v>133717.5</c:v>
                </c:pt>
                <c:pt idx="7">
                  <c:v>132787.5</c:v>
                </c:pt>
                <c:pt idx="8">
                  <c:v>112697.5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D-41F0-8A40-23074C473238}"/>
            </c:ext>
          </c:extLst>
        </c:ser>
        <c:ser>
          <c:idx val="4"/>
          <c:order val="2"/>
          <c:tx>
            <c:strRef>
              <c:f>'KPI 11 (2)'!$D$21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 (2)'!$E$21:$P$21</c:f>
              <c:numCache>
                <c:formatCode>#,##0</c:formatCode>
                <c:ptCount val="12"/>
                <c:pt idx="0">
                  <c:v>52477.5</c:v>
                </c:pt>
                <c:pt idx="1">
                  <c:v>64442.5</c:v>
                </c:pt>
                <c:pt idx="2">
                  <c:v>60608.25</c:v>
                </c:pt>
                <c:pt idx="3">
                  <c:v>59066.5</c:v>
                </c:pt>
                <c:pt idx="4">
                  <c:v>69893.5</c:v>
                </c:pt>
                <c:pt idx="5">
                  <c:v>49893.5</c:v>
                </c:pt>
                <c:pt idx="6">
                  <c:v>68763.5</c:v>
                </c:pt>
                <c:pt idx="7">
                  <c:v>74154.25</c:v>
                </c:pt>
                <c:pt idx="8">
                  <c:v>78705.5</c:v>
                </c:pt>
                <c:pt idx="9">
                  <c:v>75535.25</c:v>
                </c:pt>
                <c:pt idx="10">
                  <c:v>110252.5</c:v>
                </c:pt>
                <c:pt idx="11">
                  <c:v>110152.5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D-41F0-8A40-23074C47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130496"/>
        <c:axId val="111132032"/>
      </c:barChart>
      <c:lineChart>
        <c:grouping val="standard"/>
        <c:varyColors val="0"/>
        <c:ser>
          <c:idx val="0"/>
          <c:order val="0"/>
          <c:tx>
            <c:strRef>
              <c:f>'KPI 11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 (2)'!$E$19:$P$19</c:f>
              <c:numCache>
                <c:formatCode>#,##0</c:formatCode>
                <c:ptCount val="12"/>
                <c:pt idx="0">
                  <c:v>96809.505999981353</c:v>
                </c:pt>
                <c:pt idx="1">
                  <c:v>97684.242144150659</c:v>
                </c:pt>
                <c:pt idx="2">
                  <c:v>98558.741921406414</c:v>
                </c:pt>
                <c:pt idx="3">
                  <c:v>99433.008888245269</c:v>
                </c:pt>
                <c:pt idx="4">
                  <c:v>100307.04653016933</c:v>
                </c:pt>
                <c:pt idx="5">
                  <c:v>101180.85826344904</c:v>
                </c:pt>
                <c:pt idx="6">
                  <c:v>102054.44743683365</c:v>
                </c:pt>
                <c:pt idx="7">
                  <c:v>102927.8173332109</c:v>
                </c:pt>
                <c:pt idx="8">
                  <c:v>103800.97117121863</c:v>
                </c:pt>
                <c:pt idx="9">
                  <c:v>104673.91210680854</c:v>
                </c:pt>
                <c:pt idx="10">
                  <c:v>105546.64323476522</c:v>
                </c:pt>
                <c:pt idx="11">
                  <c:v>106419.1675901808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2D-41F0-8A40-23074C47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30496"/>
        <c:axId val="111132032"/>
      </c:lineChart>
      <c:dateAx>
        <c:axId val="111130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132032"/>
        <c:crosses val="autoZero"/>
        <c:auto val="1"/>
        <c:lblOffset val="100"/>
        <c:baseTimeUnit val="months"/>
      </c:dateAx>
      <c:valAx>
        <c:axId val="1111320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1130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11a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 (2)'!$E$20:$P$20</c:f>
              <c:numCache>
                <c:formatCode>#,##0</c:formatCode>
                <c:ptCount val="12"/>
                <c:pt idx="0">
                  <c:v>304295</c:v>
                </c:pt>
                <c:pt idx="1">
                  <c:v>457158.5</c:v>
                </c:pt>
                <c:pt idx="2">
                  <c:v>500601</c:v>
                </c:pt>
                <c:pt idx="3">
                  <c:v>294431</c:v>
                </c:pt>
                <c:pt idx="4">
                  <c:v>283853.5</c:v>
                </c:pt>
                <c:pt idx="5">
                  <c:v>302395</c:v>
                </c:pt>
                <c:pt idx="6">
                  <c:v>458464</c:v>
                </c:pt>
                <c:pt idx="7">
                  <c:v>347188.5</c:v>
                </c:pt>
                <c:pt idx="8">
                  <c:v>163250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C-4C4F-BE47-9D90791404EE}"/>
            </c:ext>
          </c:extLst>
        </c:ser>
        <c:ser>
          <c:idx val="4"/>
          <c:order val="2"/>
          <c:tx>
            <c:strRef>
              <c:f>'KPI 11a (2)'!$D$21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 (2)'!$E$21:$P$21</c:f>
              <c:numCache>
                <c:formatCode>#,##0</c:formatCode>
                <c:ptCount val="12"/>
                <c:pt idx="0">
                  <c:v>603155</c:v>
                </c:pt>
                <c:pt idx="1">
                  <c:v>229252</c:v>
                </c:pt>
                <c:pt idx="2">
                  <c:v>246550</c:v>
                </c:pt>
                <c:pt idx="3">
                  <c:v>226700</c:v>
                </c:pt>
                <c:pt idx="4">
                  <c:v>234700</c:v>
                </c:pt>
                <c:pt idx="5">
                  <c:v>177600</c:v>
                </c:pt>
                <c:pt idx="6">
                  <c:v>282050</c:v>
                </c:pt>
                <c:pt idx="7">
                  <c:v>275450</c:v>
                </c:pt>
                <c:pt idx="8">
                  <c:v>306450</c:v>
                </c:pt>
                <c:pt idx="9">
                  <c:v>343791</c:v>
                </c:pt>
                <c:pt idx="10">
                  <c:v>226231</c:v>
                </c:pt>
                <c:pt idx="11">
                  <c:v>311951.5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C-4C4F-BE47-9D9079140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92000"/>
        <c:axId val="111006080"/>
      </c:barChart>
      <c:lineChart>
        <c:grouping val="standard"/>
        <c:varyColors val="0"/>
        <c:ser>
          <c:idx val="0"/>
          <c:order val="0"/>
          <c:tx>
            <c:strRef>
              <c:f>'KPI 11a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 (2)'!$E$19:$P$19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8C-4C4F-BE47-9D9079140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92000"/>
        <c:axId val="111006080"/>
      </c:lineChart>
      <c:dateAx>
        <c:axId val="110992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006080"/>
        <c:crosses val="autoZero"/>
        <c:auto val="1"/>
        <c:lblOffset val="100"/>
        <c:baseTimeUnit val="months"/>
      </c:dateAx>
      <c:valAx>
        <c:axId val="1110060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0992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 (2)'!$E$20:$P$20</c:f>
              <c:numCache>
                <c:formatCode>#,##0</c:formatCode>
                <c:ptCount val="12"/>
                <c:pt idx="0">
                  <c:v>4352570</c:v>
                </c:pt>
                <c:pt idx="1">
                  <c:v>4318556</c:v>
                </c:pt>
                <c:pt idx="2">
                  <c:v>3819686</c:v>
                </c:pt>
                <c:pt idx="3">
                  <c:v>3953601</c:v>
                </c:pt>
                <c:pt idx="4">
                  <c:v>3440178.5</c:v>
                </c:pt>
                <c:pt idx="5">
                  <c:v>3637567.5</c:v>
                </c:pt>
                <c:pt idx="6">
                  <c:v>4417461.5</c:v>
                </c:pt>
                <c:pt idx="7">
                  <c:v>4603746</c:v>
                </c:pt>
                <c:pt idx="8">
                  <c:v>3540947.5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2-4A33-821F-4A9BD096B25B}"/>
            </c:ext>
          </c:extLst>
        </c:ser>
        <c:ser>
          <c:idx val="4"/>
          <c:order val="2"/>
          <c:tx>
            <c:strRef>
              <c:f>'KPI 12 (2)'!$D$21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 (2)'!$E$21:$P$21</c:f>
              <c:numCache>
                <c:formatCode>#,##0</c:formatCode>
                <c:ptCount val="12"/>
                <c:pt idx="0">
                  <c:v>2786530.5</c:v>
                </c:pt>
                <c:pt idx="1">
                  <c:v>2788545.5</c:v>
                </c:pt>
                <c:pt idx="2">
                  <c:v>2893965.25</c:v>
                </c:pt>
                <c:pt idx="3">
                  <c:v>2598281.5</c:v>
                </c:pt>
                <c:pt idx="4">
                  <c:v>2712738.5</c:v>
                </c:pt>
                <c:pt idx="5">
                  <c:v>1966845.5</c:v>
                </c:pt>
                <c:pt idx="6">
                  <c:v>2497218.5</c:v>
                </c:pt>
                <c:pt idx="7">
                  <c:v>2410217.25</c:v>
                </c:pt>
                <c:pt idx="8">
                  <c:v>2557853.5</c:v>
                </c:pt>
                <c:pt idx="9">
                  <c:v>2368836.25</c:v>
                </c:pt>
                <c:pt idx="10">
                  <c:v>3791103.5</c:v>
                </c:pt>
                <c:pt idx="11">
                  <c:v>4231134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2-4A33-821F-4A9BD096B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00672"/>
        <c:axId val="111510656"/>
      </c:barChart>
      <c:lineChart>
        <c:grouping val="standard"/>
        <c:varyColors val="0"/>
        <c:ser>
          <c:idx val="0"/>
          <c:order val="0"/>
          <c:tx>
            <c:strRef>
              <c:f>'KPI 12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 (2)'!$E$19:$P$19</c:f>
              <c:numCache>
                <c:formatCode>#,##0</c:formatCode>
                <c:ptCount val="12"/>
                <c:pt idx="0">
                  <c:v>3033693.1179525536</c:v>
                </c:pt>
                <c:pt idx="1">
                  <c:v>3076147.3256588164</c:v>
                </c:pt>
                <c:pt idx="2">
                  <c:v>3114389.447524304</c:v>
                </c:pt>
                <c:pt idx="3">
                  <c:v>3129755.8919534395</c:v>
                </c:pt>
                <c:pt idx="4">
                  <c:v>3146246.5890614525</c:v>
                </c:pt>
                <c:pt idx="5">
                  <c:v>3158669.9005952338</c:v>
                </c:pt>
                <c:pt idx="6">
                  <c:v>3192916.7062522946</c:v>
                </c:pt>
                <c:pt idx="7">
                  <c:v>3213764.6310552061</c:v>
                </c:pt>
                <c:pt idx="8">
                  <c:v>3233764.8801324181</c:v>
                </c:pt>
                <c:pt idx="9">
                  <c:v>3254569.9854724566</c:v>
                </c:pt>
                <c:pt idx="10">
                  <c:v>3275450.1221139315</c:v>
                </c:pt>
                <c:pt idx="11">
                  <c:v>3296337.1031357143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C2-4A33-821F-4A9BD096B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00672"/>
        <c:axId val="111510656"/>
      </c:lineChart>
      <c:dateAx>
        <c:axId val="111500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510656"/>
        <c:crosses val="autoZero"/>
        <c:auto val="1"/>
        <c:lblOffset val="100"/>
        <c:baseTimeUnit val="months"/>
      </c:dateAx>
      <c:valAx>
        <c:axId val="111510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1500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 (2)'!$D$20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 (2)'!$E$20:$P$20</c:f>
              <c:numCache>
                <c:formatCode>#,##0</c:formatCode>
                <c:ptCount val="12"/>
                <c:pt idx="0">
                  <c:v>3923587</c:v>
                </c:pt>
                <c:pt idx="1">
                  <c:v>3636715</c:v>
                </c:pt>
                <c:pt idx="2">
                  <c:v>3824618</c:v>
                </c:pt>
                <c:pt idx="3">
                  <c:v>3479507</c:v>
                </c:pt>
                <c:pt idx="4">
                  <c:v>3449807</c:v>
                </c:pt>
                <c:pt idx="5">
                  <c:v>3135057</c:v>
                </c:pt>
                <c:pt idx="6">
                  <c:v>3889293.5</c:v>
                </c:pt>
                <c:pt idx="7">
                  <c:v>4309123.5</c:v>
                </c:pt>
                <c:pt idx="8">
                  <c:v>3839815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5-4963-AFC0-3B7E108E8AB6}"/>
            </c:ext>
          </c:extLst>
        </c:ser>
        <c:ser>
          <c:idx val="4"/>
          <c:order val="2"/>
          <c:tx>
            <c:strRef>
              <c:f>'KPI 13 (2)'!$D$21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 (2)'!$E$21:$P$21</c:f>
              <c:numCache>
                <c:formatCode>#,##0</c:formatCode>
                <c:ptCount val="12"/>
                <c:pt idx="0">
                  <c:v>3402918</c:v>
                </c:pt>
                <c:pt idx="1">
                  <c:v>2531691</c:v>
                </c:pt>
                <c:pt idx="2">
                  <c:v>2755626</c:v>
                </c:pt>
                <c:pt idx="3">
                  <c:v>2723004</c:v>
                </c:pt>
                <c:pt idx="4">
                  <c:v>2384617</c:v>
                </c:pt>
                <c:pt idx="5">
                  <c:v>2229016</c:v>
                </c:pt>
                <c:pt idx="6">
                  <c:v>2599343</c:v>
                </c:pt>
                <c:pt idx="7">
                  <c:v>2201703</c:v>
                </c:pt>
                <c:pt idx="8">
                  <c:v>2184630</c:v>
                </c:pt>
                <c:pt idx="9">
                  <c:v>2640748</c:v>
                </c:pt>
                <c:pt idx="10">
                  <c:v>2851466</c:v>
                </c:pt>
                <c:pt idx="11">
                  <c:v>3794048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5-4963-AFC0-3B7E108E8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66112"/>
        <c:axId val="110667648"/>
      </c:barChart>
      <c:lineChart>
        <c:grouping val="standard"/>
        <c:varyColors val="0"/>
        <c:ser>
          <c:idx val="0"/>
          <c:order val="0"/>
          <c:tx>
            <c:strRef>
              <c:f>'KPI 13 (2)'!$D$19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 (2)'!$E$19:$P$19</c:f>
              <c:numCache>
                <c:formatCode>#,##0</c:formatCode>
                <c:ptCount val="12"/>
                <c:pt idx="0">
                  <c:v>3185377.7738501811</c:v>
                </c:pt>
                <c:pt idx="1">
                  <c:v>3229954.6919417572</c:v>
                </c:pt>
                <c:pt idx="2">
                  <c:v>3270108.9199005193</c:v>
                </c:pt>
                <c:pt idx="3">
                  <c:v>3286243.6865511118</c:v>
                </c:pt>
                <c:pt idx="4">
                  <c:v>3303558.9185145255</c:v>
                </c:pt>
                <c:pt idx="5">
                  <c:v>3316603.3956249957</c:v>
                </c:pt>
                <c:pt idx="6">
                  <c:v>3352562.5415649093</c:v>
                </c:pt>
                <c:pt idx="7">
                  <c:v>3374452.8626079666</c:v>
                </c:pt>
                <c:pt idx="8">
                  <c:v>3395453.1241390393</c:v>
                </c:pt>
                <c:pt idx="9">
                  <c:v>3417298.4847460794</c:v>
                </c:pt>
                <c:pt idx="10">
                  <c:v>3439222.6282196282</c:v>
                </c:pt>
                <c:pt idx="11">
                  <c:v>3461153.9582925001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85-4963-AFC0-3B7E108E8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66112"/>
        <c:axId val="110667648"/>
      </c:lineChart>
      <c:dateAx>
        <c:axId val="110666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0667648"/>
        <c:crosses val="autoZero"/>
        <c:auto val="1"/>
        <c:lblOffset val="100"/>
        <c:baseTimeUnit val="months"/>
      </c:dateAx>
      <c:valAx>
        <c:axId val="1106676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0666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18'!$E$20:$P$20</c:f>
              <c:numCache>
                <c:formatCode>#,##0</c:formatCode>
                <c:ptCount val="12"/>
                <c:pt idx="0">
                  <c:v>5499282</c:v>
                </c:pt>
                <c:pt idx="1">
                  <c:v>5319028.5</c:v>
                </c:pt>
                <c:pt idx="2">
                  <c:v>5187417.5</c:v>
                </c:pt>
                <c:pt idx="3">
                  <c:v>6761835</c:v>
                </c:pt>
                <c:pt idx="4">
                  <c:v>4609313.5</c:v>
                </c:pt>
                <c:pt idx="5">
                  <c:v>5790037</c:v>
                </c:pt>
                <c:pt idx="6">
                  <c:v>7645137.5</c:v>
                </c:pt>
                <c:pt idx="7">
                  <c:v>6841496</c:v>
                </c:pt>
                <c:pt idx="8">
                  <c:v>5621150.5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3-4AEE-BB44-B29B39B92D46}"/>
            </c:ext>
          </c:extLst>
        </c:ser>
        <c:ser>
          <c:idx val="4"/>
          <c:order val="2"/>
          <c:tx>
            <c:strRef>
              <c:f>'KPI 18'!$D$21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18'!$E$21:$P$21</c:f>
              <c:numCache>
                <c:formatCode>#,##0</c:formatCode>
                <c:ptCount val="12"/>
                <c:pt idx="0">
                  <c:v>3822073</c:v>
                </c:pt>
                <c:pt idx="1">
                  <c:v>3616206</c:v>
                </c:pt>
                <c:pt idx="2">
                  <c:v>3523424</c:v>
                </c:pt>
                <c:pt idx="3">
                  <c:v>3774178</c:v>
                </c:pt>
                <c:pt idx="4">
                  <c:v>3221254</c:v>
                </c:pt>
                <c:pt idx="5">
                  <c:v>3119877</c:v>
                </c:pt>
                <c:pt idx="6">
                  <c:v>4367599</c:v>
                </c:pt>
                <c:pt idx="7">
                  <c:v>3868317.25</c:v>
                </c:pt>
                <c:pt idx="8">
                  <c:v>3550532</c:v>
                </c:pt>
                <c:pt idx="9">
                  <c:v>3717077.99</c:v>
                </c:pt>
                <c:pt idx="10">
                  <c:v>4107749.5</c:v>
                </c:pt>
                <c:pt idx="11">
                  <c:v>5385918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3-4AEE-BB44-B29B39B92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65600"/>
        <c:axId val="111467136"/>
      </c:barChart>
      <c:lineChart>
        <c:grouping val="standard"/>
        <c:varyColors val="0"/>
        <c:ser>
          <c:idx val="0"/>
          <c:order val="0"/>
          <c:tx>
            <c:strRef>
              <c:f>'KPI 18'!$D$19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18'!$E$19:$P$19</c:f>
              <c:numCache>
                <c:formatCode>#,##0</c:formatCode>
                <c:ptCount val="12"/>
                <c:pt idx="0">
                  <c:v>5318374.1534940694</c:v>
                </c:pt>
                <c:pt idx="1">
                  <c:v>5446196.7421409534</c:v>
                </c:pt>
                <c:pt idx="2">
                  <c:v>5586139.6013110373</c:v>
                </c:pt>
                <c:pt idx="3">
                  <c:v>5863781.3946585003</c:v>
                </c:pt>
                <c:pt idx="4">
                  <c:v>6118973.8532911204</c:v>
                </c:pt>
                <c:pt idx="5">
                  <c:v>6364665.7140382612</c:v>
                </c:pt>
                <c:pt idx="6">
                  <c:v>6582322.0001216261</c:v>
                </c:pt>
                <c:pt idx="7">
                  <c:v>6794152.6468886072</c:v>
                </c:pt>
                <c:pt idx="8">
                  <c:v>6983407.0428022733</c:v>
                </c:pt>
                <c:pt idx="9">
                  <c:v>7139089.0484762667</c:v>
                </c:pt>
                <c:pt idx="10">
                  <c:v>7294199.0266609155</c:v>
                </c:pt>
                <c:pt idx="11">
                  <c:v>7445621.2971276715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73-4AEE-BB44-B29B39B92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65600"/>
        <c:axId val="111467136"/>
      </c:lineChart>
      <c:dateAx>
        <c:axId val="111465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467136"/>
        <c:crosses val="autoZero"/>
        <c:auto val="1"/>
        <c:lblOffset val="100"/>
        <c:baseTimeUnit val="months"/>
      </c:dateAx>
      <c:valAx>
        <c:axId val="1114671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1465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19'!$E$17:$P$17</c:f>
              <c:numCache>
                <c:formatCode>mmm\-yy</c:formatCode>
                <c:ptCount val="12"/>
              </c:numCache>
            </c:numRef>
          </c:cat>
          <c:val>
            <c:numRef>
              <c:f>'KPI 19'!$E$19:$P$19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4-4C97-B283-8CA8353CC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24256"/>
        <c:axId val="111425792"/>
      </c:barChart>
      <c:lineChart>
        <c:grouping val="standard"/>
        <c:varyColors val="0"/>
        <c:ser>
          <c:idx val="0"/>
          <c:order val="0"/>
          <c:tx>
            <c:strRef>
              <c:f>'KPI 19'!$D$18</c:f>
              <c:strCache>
                <c:ptCount val="1"/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19'!$E$17:$P$17</c:f>
              <c:numCache>
                <c:formatCode>mmm\-yy</c:formatCode>
                <c:ptCount val="12"/>
              </c:numCache>
            </c:numRef>
          </c:cat>
          <c:val>
            <c:numRef>
              <c:f>'KPI 19'!$E$18:$P$18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4-4C97-B283-8CA8353CC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4256"/>
        <c:axId val="111425792"/>
      </c:lineChart>
      <c:catAx>
        <c:axId val="111424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425792"/>
        <c:crosses val="autoZero"/>
        <c:auto val="1"/>
        <c:lblAlgn val="ctr"/>
        <c:lblOffset val="100"/>
        <c:noMultiLvlLbl val="1"/>
      </c:catAx>
      <c:valAx>
        <c:axId val="1114257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1142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q'!$D$20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q'!$E$18:$P$18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q'!$E$20:$P$20</c:f>
              <c:numCache>
                <c:formatCode>#,##0</c:formatCode>
                <c:ptCount val="12"/>
                <c:pt idx="0">
                  <c:v>188094265.59999999</c:v>
                </c:pt>
                <c:pt idx="1">
                  <c:v>196574552.30000001</c:v>
                </c:pt>
                <c:pt idx="2">
                  <c:v>198769120</c:v>
                </c:pt>
                <c:pt idx="3">
                  <c:v>199021725.5</c:v>
                </c:pt>
                <c:pt idx="4">
                  <c:v>200377339.40000001</c:v>
                </c:pt>
                <c:pt idx="5">
                  <c:v>196285940</c:v>
                </c:pt>
                <c:pt idx="6">
                  <c:v>206653217.69999999</c:v>
                </c:pt>
                <c:pt idx="7">
                  <c:v>208370783.69999999</c:v>
                </c:pt>
                <c:pt idx="8">
                  <c:v>205010129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3-4FEE-9A01-F13E350BFCF6}"/>
            </c:ext>
          </c:extLst>
        </c:ser>
        <c:ser>
          <c:idx val="4"/>
          <c:order val="2"/>
          <c:tx>
            <c:strRef>
              <c:f>'KPI q'!$D$21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q'!$E$18:$P$18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q'!$E$21:$P$21</c:f>
              <c:numCache>
                <c:formatCode>#,##0</c:formatCode>
                <c:ptCount val="12"/>
                <c:pt idx="0">
                  <c:v>173130367.5</c:v>
                </c:pt>
                <c:pt idx="1">
                  <c:v>178136205.59999999</c:v>
                </c:pt>
                <c:pt idx="2">
                  <c:v>178607959.30000001</c:v>
                </c:pt>
                <c:pt idx="3">
                  <c:v>178920672.69999999</c:v>
                </c:pt>
                <c:pt idx="4">
                  <c:v>178826151.40000001</c:v>
                </c:pt>
                <c:pt idx="5">
                  <c:v>176260483.80000001</c:v>
                </c:pt>
                <c:pt idx="6">
                  <c:v>176746489.69999999</c:v>
                </c:pt>
                <c:pt idx="7">
                  <c:v>176654248.40000001</c:v>
                </c:pt>
                <c:pt idx="8">
                  <c:v>183336585.40000001</c:v>
                </c:pt>
                <c:pt idx="9">
                  <c:v>177570277.19999999</c:v>
                </c:pt>
                <c:pt idx="10">
                  <c:v>187035966.90000001</c:v>
                </c:pt>
                <c:pt idx="11">
                  <c:v>187225998.19999999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23-4FEE-9A01-F13E350BF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71776"/>
        <c:axId val="111373312"/>
      </c:barChart>
      <c:lineChart>
        <c:grouping val="standard"/>
        <c:varyColors val="0"/>
        <c:ser>
          <c:idx val="0"/>
          <c:order val="0"/>
          <c:tx>
            <c:strRef>
              <c:f>'KPI q'!$D$19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q'!$E$18:$P$18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q'!$E$19:$P$19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23-4FEE-9A01-F13E350BF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71776"/>
        <c:axId val="111373312"/>
      </c:lineChart>
      <c:dateAx>
        <c:axId val="111371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373312"/>
        <c:crosses val="autoZero"/>
        <c:auto val="1"/>
        <c:lblOffset val="100"/>
        <c:baseTimeUnit val="months"/>
      </c:dateAx>
      <c:valAx>
        <c:axId val="1113733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1371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B-4BE0-9A1E-D05EB5262CC2}"/>
            </c:ext>
          </c:extLst>
        </c:ser>
        <c:ser>
          <c:idx val="4"/>
          <c:order val="2"/>
          <c:tx>
            <c:strRef>
              <c:f>'KPI 20'!$D$21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B-4BE0-9A1E-D05EB526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80448"/>
        <c:axId val="111882240"/>
      </c:barChart>
      <c:lineChart>
        <c:grouping val="standard"/>
        <c:varyColors val="0"/>
        <c:ser>
          <c:idx val="0"/>
          <c:order val="0"/>
          <c:tx>
            <c:strRef>
              <c:f>'KPI 20'!$D$19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B-4BE0-9A1E-D05EB526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80448"/>
        <c:axId val="111882240"/>
      </c:lineChart>
      <c:dateAx>
        <c:axId val="11188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882240"/>
        <c:crosses val="autoZero"/>
        <c:auto val="1"/>
        <c:lblOffset val="100"/>
        <c:baseTimeUnit val="months"/>
      </c:dateAx>
      <c:valAx>
        <c:axId val="111882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1880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v'!$D$20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v'!$E$18:$P$18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v'!$E$20:$P$20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-11881</c:v>
                </c:pt>
                <c:pt idx="2">
                  <c:v>-388037</c:v>
                </c:pt>
                <c:pt idx="3">
                  <c:v>31990.5</c:v>
                </c:pt>
                <c:pt idx="4">
                  <c:v>3831</c:v>
                </c:pt>
                <c:pt idx="5">
                  <c:v>0</c:v>
                </c:pt>
                <c:pt idx="6">
                  <c:v>-2061</c:v>
                </c:pt>
                <c:pt idx="7">
                  <c:v>-7836.25</c:v>
                </c:pt>
                <c:pt idx="8">
                  <c:v>90000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8-417F-BC0C-CD8DCA3207BF}"/>
            </c:ext>
          </c:extLst>
        </c:ser>
        <c:ser>
          <c:idx val="4"/>
          <c:order val="2"/>
          <c:tx>
            <c:strRef>
              <c:f>'KPI v'!$D$21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v'!$E$18:$P$18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v'!$E$21:$P$21</c:f>
              <c:numCache>
                <c:formatCode>_(* #,##0.00_);_(* \(#,##0.00\);_(* "-"??_);_(@_)</c:formatCode>
                <c:ptCount val="12"/>
                <c:pt idx="0">
                  <c:v>-148115</c:v>
                </c:pt>
                <c:pt idx="1">
                  <c:v>-141982</c:v>
                </c:pt>
                <c:pt idx="2">
                  <c:v>-89777.5</c:v>
                </c:pt>
                <c:pt idx="3">
                  <c:v>-123502</c:v>
                </c:pt>
                <c:pt idx="4">
                  <c:v>-140220.70000000001</c:v>
                </c:pt>
                <c:pt idx="5">
                  <c:v>-348511</c:v>
                </c:pt>
                <c:pt idx="6">
                  <c:v>-198423</c:v>
                </c:pt>
                <c:pt idx="7">
                  <c:v>-664.5</c:v>
                </c:pt>
                <c:pt idx="8">
                  <c:v>-55634.8</c:v>
                </c:pt>
                <c:pt idx="9">
                  <c:v>-986702.55</c:v>
                </c:pt>
                <c:pt idx="10">
                  <c:v>-25274.5</c:v>
                </c:pt>
                <c:pt idx="11">
                  <c:v>-46950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8-417F-BC0C-CD8DCA320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000000"/>
        <c:axId val="111158016"/>
      </c:barChart>
      <c:lineChart>
        <c:grouping val="standard"/>
        <c:varyColors val="0"/>
        <c:ser>
          <c:idx val="0"/>
          <c:order val="0"/>
          <c:tx>
            <c:strRef>
              <c:f>'KPI v'!$D$19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v'!$E$18:$P$18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v'!$E$19:$P$19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88-417F-BC0C-CD8DCA320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00000"/>
        <c:axId val="111158016"/>
      </c:lineChart>
      <c:dateAx>
        <c:axId val="112000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1158016"/>
        <c:crosses val="autoZero"/>
        <c:auto val="1"/>
        <c:lblOffset val="100"/>
        <c:baseTimeUnit val="months"/>
      </c:dateAx>
      <c:valAx>
        <c:axId val="11115801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12000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25'!$D$20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25'!$E$20:$P$20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B-44C7-B994-89A0411515EB}"/>
            </c:ext>
          </c:extLst>
        </c:ser>
        <c:ser>
          <c:idx val="4"/>
          <c:order val="2"/>
          <c:tx>
            <c:strRef>
              <c:f>'KPI 25'!$D$21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25'!$E$21:$P$21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B-44C7-B994-89A041151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28704"/>
        <c:axId val="112330240"/>
      </c:barChart>
      <c:lineChart>
        <c:grouping val="standard"/>
        <c:varyColors val="0"/>
        <c:ser>
          <c:idx val="0"/>
          <c:order val="0"/>
          <c:tx>
            <c:strRef>
              <c:f>'KPI 25'!$D$19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25'!$E$19:$P$19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B-44C7-B994-89A041151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28704"/>
        <c:axId val="112330240"/>
      </c:lineChart>
      <c:dateAx>
        <c:axId val="112328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2330240"/>
        <c:crosses val="autoZero"/>
        <c:auto val="1"/>
        <c:lblOffset val="100"/>
        <c:baseTimeUnit val="months"/>
      </c:dateAx>
      <c:valAx>
        <c:axId val="112330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2328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s'!$D$20</c:f>
              <c:strCache>
                <c:ptCount val="1"/>
                <c:pt idx="0">
                  <c:v>ACTUAL2025/26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s'!$E$18:$P$18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s'!$E$20:$P$20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C-416F-BD2B-18910943EB83}"/>
            </c:ext>
          </c:extLst>
        </c:ser>
        <c:ser>
          <c:idx val="4"/>
          <c:order val="2"/>
          <c:tx>
            <c:strRef>
              <c:f>'KPI s'!$D$21</c:f>
              <c:strCache>
                <c:ptCount val="1"/>
                <c:pt idx="0">
                  <c:v>ACTUAL2024/25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s'!$E$18:$P$18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s'!$E$21:$P$21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C-416F-BD2B-18910943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411456"/>
        <c:axId val="55412992"/>
      </c:barChart>
      <c:lineChart>
        <c:grouping val="standard"/>
        <c:varyColors val="0"/>
        <c:ser>
          <c:idx val="0"/>
          <c:order val="0"/>
          <c:tx>
            <c:strRef>
              <c:f>'KPI s'!$D$19</c:f>
              <c:strCache>
                <c:ptCount val="1"/>
                <c:pt idx="0">
                  <c:v>budget2025/26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s'!$E$18:$P$18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s'!$E$19:$P$19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BC-416F-BD2B-18910943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11456"/>
        <c:axId val="55412992"/>
      </c:lineChart>
      <c:dateAx>
        <c:axId val="55411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55412992"/>
        <c:crosses val="autoZero"/>
        <c:auto val="1"/>
        <c:lblOffset val="100"/>
        <c:baseTimeUnit val="months"/>
      </c:dateAx>
      <c:valAx>
        <c:axId val="55412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541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pin" dx="16" fmlaLink="Actual_month" max="12" min="1" page="10" val="9"/>
</file>

<file path=xl/ctrlProps/ctrlProp2.xml><?xml version="1.0" encoding="utf-8"?>
<formControlPr xmlns="http://schemas.microsoft.com/office/spreadsheetml/2009/9/main" objectType="Spin" dx="16" fmlaLink="Actual_month" max="12" min="1" page="10" val="9"/>
</file>

<file path=xl/ctrlProps/ctrlProp3.xml><?xml version="1.0" encoding="utf-8"?>
<formControlPr xmlns="http://schemas.microsoft.com/office/spreadsheetml/2009/9/main" objectType="Spin" dx="16" fmlaLink="Actual_month" max="12" min="1" page="10" val="9"/>
</file>

<file path=xl/ctrlProps/ctrlProp4.xml><?xml version="1.0" encoding="utf-8"?>
<formControlPr xmlns="http://schemas.microsoft.com/office/spreadsheetml/2009/9/main" objectType="Spin" dx="16" fmlaLink="Actual_month" max="12" min="1" page="10" val="9"/>
</file>

<file path=xl/ctrlProps/ctrlProp5.xml><?xml version="1.0" encoding="utf-8"?>
<formControlPr xmlns="http://schemas.microsoft.com/office/spreadsheetml/2009/9/main" objectType="Spin" dx="16" fmlaLink="Actual_month" max="12" min="1" page="10" val="9"/>
</file>

<file path=xl/ctrlProps/ctrlProp6.xml><?xml version="1.0" encoding="utf-8"?>
<formControlPr xmlns="http://schemas.microsoft.com/office/spreadsheetml/2009/9/main" objectType="Spin" dx="16" fmlaLink="Actual_month" max="12" min="1" page="10" val="9"/>
</file>

<file path=xl/ctrlProps/ctrlProp7.xml><?xml version="1.0" encoding="utf-8"?>
<formControlPr xmlns="http://schemas.microsoft.com/office/spreadsheetml/2009/9/main" objectType="Spin" dx="16" fmlaLink="Actual_month" max="12" min="1" page="10" val="9"/>
</file>

<file path=xl/ctrlProps/ctrlProp8.xml><?xml version="1.0" encoding="utf-8"?>
<formControlPr xmlns="http://schemas.microsoft.com/office/spreadsheetml/2009/9/main" objectType="Spin" dx="16" fmlaLink="Actual_month" max="12" min="1" page="10" val="9"/>
</file>

<file path=xl/ctrlProps/ctrlProp9.xml><?xml version="1.0" encoding="utf-8"?>
<formControlPr xmlns="http://schemas.microsoft.com/office/spreadsheetml/2009/9/main" objectType="Spin" dx="16" fmlaLink="Actual_month" max="12" min="1" page="10" val="9"/>
</file>

<file path=xl/ctrlProps/ctrlProp10.xml><?xml version="1.0" encoding="utf-8"?>
<formControlPr xmlns="http://schemas.microsoft.com/office/spreadsheetml/2009/9/main" objectType="Spin" dx="16" fmlaLink="Actual_month" max="12" min="1" page="10" val="9"/>
</file>

<file path=xl/ctrlProps/ctrlProp11.xml><?xml version="1.0" encoding="utf-8"?>
<formControlPr xmlns="http://schemas.microsoft.com/office/spreadsheetml/2009/9/main" objectType="Spin" dx="16" fmlaLink="Actual_month" max="12" min="1" page="10" val="9"/>
</file>

<file path=xl/ctrlProps/ctrlProp12.xml><?xml version="1.0" encoding="utf-8"?>
<formControlPr xmlns="http://schemas.microsoft.com/office/spreadsheetml/2009/9/main" objectType="Spin" dx="16" fmlaLink="Actual_month" max="12" min="1" page="10" val="9"/>
</file>

<file path=xl/ctrlProps/ctrlProp13.xml><?xml version="1.0" encoding="utf-8"?>
<formControlPr xmlns="http://schemas.microsoft.com/office/spreadsheetml/2009/9/main" objectType="Spin" dx="16" fmlaLink="Actual_month" max="12" min="1" page="10" val="9"/>
</file>

<file path=xl/ctrlProps/ctrlProp14.xml><?xml version="1.0" encoding="utf-8"?>
<formControlPr xmlns="http://schemas.microsoft.com/office/spreadsheetml/2009/9/main" objectType="Spin" dx="16" fmlaLink="Actual_month" max="12" min="1" page="10" val="9"/>
</file>

<file path=xl/ctrlProps/ctrlProp15.xml><?xml version="1.0" encoding="utf-8"?>
<formControlPr xmlns="http://schemas.microsoft.com/office/spreadsheetml/2009/9/main" objectType="Spin" dx="16" fmlaLink="Actual_month" max="12" min="1" page="10" val="9"/>
</file>

<file path=xl/ctrlProps/ctrlProp16.xml><?xml version="1.0" encoding="utf-8"?>
<formControlPr xmlns="http://schemas.microsoft.com/office/spreadsheetml/2009/9/main" objectType="Spin" dx="16" fmlaLink="Actual_month" max="12" min="1" page="10" val="9"/>
</file>

<file path=xl/ctrlProps/ctrlProp17.xml><?xml version="1.0" encoding="utf-8"?>
<formControlPr xmlns="http://schemas.microsoft.com/office/spreadsheetml/2009/9/main" objectType="Spin" dx="16" fmlaLink="Actual_month" max="12" min="1" page="10" val="9"/>
</file>

<file path=xl/ctrlProps/ctrlProp18.xml><?xml version="1.0" encoding="utf-8"?>
<formControlPr xmlns="http://schemas.microsoft.com/office/spreadsheetml/2009/9/main" objectType="Spin" dx="16" fmlaLink="Actual_month" max="12" min="1" page="10" val="9"/>
</file>

<file path=xl/ctrlProps/ctrlProp19.xml><?xml version="1.0" encoding="utf-8"?>
<formControlPr xmlns="http://schemas.microsoft.com/office/spreadsheetml/2009/9/main" objectType="Spin" dx="16" fmlaLink="Actual_month" max="12" min="1" page="10" val="9"/>
</file>

<file path=xl/ctrlProps/ctrlProp20.xml><?xml version="1.0" encoding="utf-8"?>
<formControlPr xmlns="http://schemas.microsoft.com/office/spreadsheetml/2009/9/main" objectType="Spin" dx="16" fmlaLink="Actual_month" max="12" min="1" page="10" val="9"/>
</file>

<file path=xl/ctrlProps/ctrlProp21.xml><?xml version="1.0" encoding="utf-8"?>
<formControlPr xmlns="http://schemas.microsoft.com/office/spreadsheetml/2009/9/main" objectType="Spin" dx="16" fmlaLink="Actual_month" max="12" min="1" page="10" val="9"/>
</file>

<file path=xl/ctrlProps/ctrlProp22.xml><?xml version="1.0" encoding="utf-8"?>
<formControlPr xmlns="http://schemas.microsoft.com/office/spreadsheetml/2009/9/main" objectType="Spin" dx="16" fmlaLink="Actual_month" max="12" min="1" page="10" val="9"/>
</file>

<file path=xl/ctrlProps/ctrlProp23.xml><?xml version="1.0" encoding="utf-8"?>
<formControlPr xmlns="http://schemas.microsoft.com/office/spreadsheetml/2009/9/main" objectType="Spin" dx="16" fmlaLink="Actual_month" max="12" min="1" page="10" val="9"/>
</file>

<file path=xl/ctrlProps/ctrlProp24.xml><?xml version="1.0" encoding="utf-8"?>
<formControlPr xmlns="http://schemas.microsoft.com/office/spreadsheetml/2009/9/main" objectType="Spin" dx="16" fmlaLink="Actual_month" max="12" min="1" page="10" val="9"/>
</file>

<file path=xl/ctrlProps/ctrlProp25.xml><?xml version="1.0" encoding="utf-8"?>
<formControlPr xmlns="http://schemas.microsoft.com/office/spreadsheetml/2009/9/main" objectType="Spin" dx="16" fmlaLink="Actual_month" max="12" min="1" page="10" val="9"/>
</file>

<file path=xl/ctrlProps/ctrlProp26.xml><?xml version="1.0" encoding="utf-8"?>
<formControlPr xmlns="http://schemas.microsoft.com/office/spreadsheetml/2009/9/main" objectType="Spin" dx="16" fmlaLink="Actual_month" max="12" min="1" page="10" val="9"/>
</file>

<file path=xl/ctrlProps/ctrlProp27.xml><?xml version="1.0" encoding="utf-8"?>
<formControlPr xmlns="http://schemas.microsoft.com/office/spreadsheetml/2009/9/main" objectType="Spin" dx="16" fmlaLink="Actual_month" max="12" min="1" page="10" val="9"/>
</file>

<file path=xl/ctrlProps/ctrlProp28.xml><?xml version="1.0" encoding="utf-8"?>
<formControlPr xmlns="http://schemas.microsoft.com/office/spreadsheetml/2009/9/main" objectType="Spin" dx="16" fmlaLink="Actual_month" max="12" min="1" page="10" val="9"/>
</file>

<file path=xl/ctrlProps/ctrlProp29.xml><?xml version="1.0" encoding="utf-8"?>
<formControlPr xmlns="http://schemas.microsoft.com/office/spreadsheetml/2009/9/main" objectType="Spin" dx="16" fmlaLink="Actual_month" max="12" min="1" page="10" val="9"/>
</file>

<file path=xl/ctrlProps/ctrlProp30.xml><?xml version="1.0" encoding="utf-8"?>
<formControlPr xmlns="http://schemas.microsoft.com/office/spreadsheetml/2009/9/main" objectType="Spin" dx="16" fmlaLink="Actual_month" max="12" min="1" page="10" val="9"/>
</file>

<file path=xl/ctrlProps/ctrlProp31.xml><?xml version="1.0" encoding="utf-8"?>
<formControlPr xmlns="http://schemas.microsoft.com/office/spreadsheetml/2009/9/main" objectType="Spin" dx="16" fmlaLink="Actual_month" max="12" min="1" page="10" val="9"/>
</file>

<file path=xl/ctrlProps/ctrlProp32.xml><?xml version="1.0" encoding="utf-8"?>
<formControlPr xmlns="http://schemas.microsoft.com/office/spreadsheetml/2009/9/main" objectType="Spin" dx="16" fmlaLink="Actual_month" max="12" min="1" page="10" val="9"/>
</file>

<file path=xl/ctrlProps/ctrlProp33.xml><?xml version="1.0" encoding="utf-8"?>
<formControlPr xmlns="http://schemas.microsoft.com/office/spreadsheetml/2009/9/main" objectType="Spin" dx="16" fmlaLink="Actual_month" max="12" min="1" page="10" val="9"/>
</file>

<file path=xl/ctrlProps/ctrlProp34.xml><?xml version="1.0" encoding="utf-8"?>
<formControlPr xmlns="http://schemas.microsoft.com/office/spreadsheetml/2009/9/main" objectType="Spin" dx="16" fmlaLink="Actual_month" max="12" min="1" page="10" val="9"/>
</file>

<file path=xl/ctrlProps/ctrlProp35.xml><?xml version="1.0" encoding="utf-8"?>
<formControlPr xmlns="http://schemas.microsoft.com/office/spreadsheetml/2009/9/main" objectType="Spin" dx="16" fmlaLink="Actual_month" max="12" min="1" page="10" val="9"/>
</file>

<file path=xl/ctrlProps/ctrlProp36.xml><?xml version="1.0" encoding="utf-8"?>
<formControlPr xmlns="http://schemas.microsoft.com/office/spreadsheetml/2009/9/main" objectType="Spin" dx="16" fmlaLink="Actual_month" max="12" min="1" page="10" val="9"/>
</file>

<file path=xl/ctrlProps/ctrlProp37.xml><?xml version="1.0" encoding="utf-8"?>
<formControlPr xmlns="http://schemas.microsoft.com/office/spreadsheetml/2009/9/main" objectType="Spin" dx="16" fmlaLink="Actual_month" max="12" min="1" page="10" val="9"/>
</file>

<file path=xl/ctrlProps/ctrlProp38.xml><?xml version="1.0" encoding="utf-8"?>
<formControlPr xmlns="http://schemas.microsoft.com/office/spreadsheetml/2009/9/main" objectType="Spin" dx="16" fmlaLink="Actual_month" max="12" min="1" page="10" val="9"/>
</file>

<file path=xl/ctrlProps/ctrlProp39.xml><?xml version="1.0" encoding="utf-8"?>
<formControlPr xmlns="http://schemas.microsoft.com/office/spreadsheetml/2009/9/main" objectType="Spin" dx="16" fmlaLink="Actual_month" max="12" min="1" page="10" val="9"/>
</file>

<file path=xl/ctrlProps/ctrlProp40.xml><?xml version="1.0" encoding="utf-8"?>
<formControlPr xmlns="http://schemas.microsoft.com/office/spreadsheetml/2009/9/main" objectType="Spin" dx="16" fmlaLink="Actual_month" max="12" min="1" page="10" val="9"/>
</file>

<file path=xl/ctrlProps/ctrlProp41.xml><?xml version="1.0" encoding="utf-8"?>
<formControlPr xmlns="http://schemas.microsoft.com/office/spreadsheetml/2009/9/main" objectType="Spin" dx="16" fmlaLink="Actual_month" max="12" min="1" page="10" val="9"/>
</file>

<file path=xl/ctrlProps/ctrlProp42.xml><?xml version="1.0" encoding="utf-8"?>
<formControlPr xmlns="http://schemas.microsoft.com/office/spreadsheetml/2009/9/main" objectType="Spin" dx="16" fmlaLink="Actual_month" max="12" min="1" page="10" val="9"/>
</file>

<file path=xl/ctrlProps/ctrlProp43.xml><?xml version="1.0" encoding="utf-8"?>
<formControlPr xmlns="http://schemas.microsoft.com/office/spreadsheetml/2009/9/main" objectType="Spin" dx="16" fmlaLink="Actual_month" max="12" min="1" page="10" val="9"/>
</file>

<file path=xl/ctrlProps/ctrlProp44.xml><?xml version="1.0" encoding="utf-8"?>
<formControlPr xmlns="http://schemas.microsoft.com/office/spreadsheetml/2009/9/main" objectType="Spin" dx="16" fmlaLink="Actual_month" max="12" min="1" page="10" val="9"/>
</file>

<file path=xl/ctrlProps/ctrlProp45.xml><?xml version="1.0" encoding="utf-8"?>
<formControlPr xmlns="http://schemas.microsoft.com/office/spreadsheetml/2009/9/main" objectType="Spin" dx="16" fmlaLink="Actual_month" max="12" min="1" page="10" val="9"/>
</file>

<file path=xl/ctrlProps/ctrlProp46.xml><?xml version="1.0" encoding="utf-8"?>
<formControlPr xmlns="http://schemas.microsoft.com/office/spreadsheetml/2009/9/main" objectType="Spin" dx="16" fmlaLink="Actual_month" max="12" min="1" page="10" val="9"/>
</file>

<file path=xl/ctrlProps/ctrlProp47.xml><?xml version="1.0" encoding="utf-8"?>
<formControlPr xmlns="http://schemas.microsoft.com/office/spreadsheetml/2009/9/main" objectType="Spin" dx="16" fmlaLink="Actual_month" max="12" min="1" page="10" val="9"/>
</file>

<file path=xl/ctrlProps/ctrlProp48.xml><?xml version="1.0" encoding="utf-8"?>
<formControlPr xmlns="http://schemas.microsoft.com/office/spreadsheetml/2009/9/main" objectType="Spin" dx="16" fmlaLink="Actual_month" max="12" min="1" page="10" val="9"/>
</file>

<file path=xl/ctrlProps/ctrlProp49.xml><?xml version="1.0" encoding="utf-8"?>
<formControlPr xmlns="http://schemas.microsoft.com/office/spreadsheetml/2009/9/main" objectType="Spin" dx="16" fmlaLink="Actual_month" max="12" min="1" page="10" val="9"/>
</file>

<file path=xl/ctrlProps/ctrlProp50.xml><?xml version="1.0" encoding="utf-8"?>
<formControlPr xmlns="http://schemas.microsoft.com/office/spreadsheetml/2009/9/main" objectType="Spin" dx="16" fmlaLink="Actual_month" max="12" min="1" page="10" val="9"/>
</file>

<file path=xl/ctrlProps/ctrlProp51.xml><?xml version="1.0" encoding="utf-8"?>
<formControlPr xmlns="http://schemas.microsoft.com/office/spreadsheetml/2009/9/main" objectType="Spin" dx="16" fmlaLink="Actual_month" max="12" min="1" page="10" val="9"/>
</file>

<file path=xl/ctrlProps/ctrlProp52.xml><?xml version="1.0" encoding="utf-8"?>
<formControlPr xmlns="http://schemas.microsoft.com/office/spreadsheetml/2009/9/main" objectType="Spin" dx="16" fmlaLink="Actual_month" max="12" min="1" page="10" val="9"/>
</file>

<file path=xl/ctrlProps/ctrlProp53.xml><?xml version="1.0" encoding="utf-8"?>
<formControlPr xmlns="http://schemas.microsoft.com/office/spreadsheetml/2009/9/main" objectType="Spin" dx="16" fmlaLink="Actual_month" max="12" min="1" page="10" val="9"/>
</file>

<file path=xl/ctrlProps/ctrlProp54.xml><?xml version="1.0" encoding="utf-8"?>
<formControlPr xmlns="http://schemas.microsoft.com/office/spreadsheetml/2009/9/main" objectType="Spin" dx="16" fmlaLink="Actual_month" max="12" min="1" page="10" val="9"/>
</file>

<file path=xl/ctrlProps/ctrlProp55.xml><?xml version="1.0" encoding="utf-8"?>
<formControlPr xmlns="http://schemas.microsoft.com/office/spreadsheetml/2009/9/main" objectType="Spin" dx="16" fmlaLink="Actual_month" max="12" min="1" page="10" val="9"/>
</file>

<file path=xl/ctrlProps/ctrlProp56.xml><?xml version="1.0" encoding="utf-8"?>
<formControlPr xmlns="http://schemas.microsoft.com/office/spreadsheetml/2009/9/main" objectType="Spin" dx="16" fmlaLink="Actual_month" max="12" min="1" page="10" val="9"/>
</file>

<file path=xl/ctrlProps/ctrlProp57.xml><?xml version="1.0" encoding="utf-8"?>
<formControlPr xmlns="http://schemas.microsoft.com/office/spreadsheetml/2009/9/main" objectType="Spin" dx="16" fmlaLink="Actual_month" max="12" min="1" page="10" val="9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533400</xdr:colOff>
          <xdr:row>1</xdr:row>
          <xdr:rowOff>12700</xdr:rowOff>
        </xdr:from>
        <xdr:to>
          <xdr:col>1</xdr:col>
          <xdr:colOff>869950</xdr:colOff>
          <xdr:row>2</xdr:row>
          <xdr:rowOff>146050</xdr:rowOff>
        </xdr:to>
        <xdr:sp macro="" textlink="">
          <xdr:nvSpPr>
            <xdr:cNvPr id="41985" name="Spinner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00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24641" name="Spinner 1" hidden="1">
              <a:extLst>
                <a:ext uri="{63B3BB69-23CF-44E3-9099-C40C66FF867C}">
                  <a14:compatExt spid="_x0000_s624641"/>
                </a:ext>
                <a:ext uri="{FF2B5EF4-FFF2-40B4-BE49-F238E27FC236}">
                  <a16:creationId xmlns:a16="http://schemas.microsoft.com/office/drawing/2014/main" id="{00000000-0008-0000-0700-0000018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0721" name="Spinner 1" hidden="1">
              <a:extLst>
                <a:ext uri="{63B3BB69-23CF-44E3-9099-C40C66FF867C}">
                  <a14:compatExt spid="_x0000_s1310721"/>
                </a:ext>
                <a:ext uri="{FF2B5EF4-FFF2-40B4-BE49-F238E27FC236}">
                  <a16:creationId xmlns:a16="http://schemas.microsoft.com/office/drawing/2014/main" id="{00000000-0008-0000-0800-0000010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25665" name="Spinner 1" hidden="1">
              <a:extLst>
                <a:ext uri="{63B3BB69-23CF-44E3-9099-C40C66FF867C}">
                  <a14:compatExt spid="_x0000_s625665"/>
                </a:ext>
                <a:ext uri="{FF2B5EF4-FFF2-40B4-BE49-F238E27FC236}">
                  <a16:creationId xmlns:a16="http://schemas.microsoft.com/office/drawing/2014/main" id="{00000000-0008-0000-0900-0000018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3793" name="Spinner 1" hidden="1">
              <a:extLst>
                <a:ext uri="{63B3BB69-23CF-44E3-9099-C40C66FF867C}">
                  <a14:compatExt spid="_x0000_s1313793"/>
                </a:ext>
                <a:ext uri="{FF2B5EF4-FFF2-40B4-BE49-F238E27FC236}">
                  <a16:creationId xmlns:a16="http://schemas.microsoft.com/office/drawing/2014/main" id="{00000000-0008-0000-0A00-0000010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455106" name="Spinner 2" hidden="1">
              <a:extLst>
                <a:ext uri="{63B3BB69-23CF-44E3-9099-C40C66FF867C}">
                  <a14:compatExt spid="_x0000_s1455106"/>
                </a:ext>
                <a:ext uri="{FF2B5EF4-FFF2-40B4-BE49-F238E27FC236}">
                  <a16:creationId xmlns:a16="http://schemas.microsoft.com/office/drawing/2014/main" id="{00000000-0008-0000-0B00-00000234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4817" name="Spinner 1" hidden="1">
              <a:extLst>
                <a:ext uri="{63B3BB69-23CF-44E3-9099-C40C66FF867C}">
                  <a14:compatExt spid="_x0000_s1314817"/>
                </a:ext>
                <a:ext uri="{FF2B5EF4-FFF2-40B4-BE49-F238E27FC236}">
                  <a16:creationId xmlns:a16="http://schemas.microsoft.com/office/drawing/2014/main" id="{00000000-0008-0000-0C00-0000011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5841" name="Spinner 1" hidden="1">
              <a:extLst>
                <a:ext uri="{63B3BB69-23CF-44E3-9099-C40C66FF867C}">
                  <a14:compatExt spid="_x0000_s1315841"/>
                </a:ext>
                <a:ext uri="{FF2B5EF4-FFF2-40B4-BE49-F238E27FC236}">
                  <a16:creationId xmlns:a16="http://schemas.microsoft.com/office/drawing/2014/main" id="{00000000-0008-0000-0D00-00000114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6865" name="Spinner 1" hidden="1">
              <a:extLst>
                <a:ext uri="{63B3BB69-23CF-44E3-9099-C40C66FF867C}">
                  <a14:compatExt spid="_x0000_s1316865"/>
                </a:ext>
                <a:ext uri="{FF2B5EF4-FFF2-40B4-BE49-F238E27FC236}">
                  <a16:creationId xmlns:a16="http://schemas.microsoft.com/office/drawing/2014/main" id="{00000000-0008-0000-0E00-00000118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26689" name="Spinner 1" hidden="1">
              <a:extLst>
                <a:ext uri="{63B3BB69-23CF-44E3-9099-C40C66FF867C}">
                  <a14:compatExt spid="_x0000_s626689"/>
                </a:ext>
                <a:ext uri="{FF2B5EF4-FFF2-40B4-BE49-F238E27FC236}">
                  <a16:creationId xmlns:a16="http://schemas.microsoft.com/office/drawing/2014/main" id="{00000000-0008-0000-0F00-0000019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27713" name="Spinner 1" hidden="1">
              <a:extLst>
                <a:ext uri="{63B3BB69-23CF-44E3-9099-C40C66FF867C}">
                  <a14:compatExt spid="_x0000_s627713"/>
                </a:ext>
                <a:ext uri="{FF2B5EF4-FFF2-40B4-BE49-F238E27FC236}">
                  <a16:creationId xmlns:a16="http://schemas.microsoft.com/office/drawing/2014/main" id="{00000000-0008-0000-1000-00000194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28737" name="Spinner 1" hidden="1">
              <a:extLst>
                <a:ext uri="{63B3BB69-23CF-44E3-9099-C40C66FF867C}">
                  <a14:compatExt spid="_x0000_s628737"/>
                </a:ext>
                <a:ext uri="{FF2B5EF4-FFF2-40B4-BE49-F238E27FC236}">
                  <a16:creationId xmlns:a16="http://schemas.microsoft.com/office/drawing/2014/main" id="{00000000-0008-0000-1100-0000019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32833" name="Spinner 1" hidden="1">
              <a:extLst>
                <a:ext uri="{63B3BB69-23CF-44E3-9099-C40C66FF867C}">
                  <a14:compatExt spid="_x0000_s632833"/>
                </a:ext>
                <a:ext uri="{FF2B5EF4-FFF2-40B4-BE49-F238E27FC236}">
                  <a16:creationId xmlns:a16="http://schemas.microsoft.com/office/drawing/2014/main" id="{00000000-0008-0000-1200-000001A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33857" name="Spinner 1" hidden="1">
              <a:extLst>
                <a:ext uri="{63B3BB69-23CF-44E3-9099-C40C66FF867C}">
                  <a14:compatExt spid="_x0000_s633857"/>
                </a:ext>
                <a:ext uri="{FF2B5EF4-FFF2-40B4-BE49-F238E27FC236}">
                  <a16:creationId xmlns:a16="http://schemas.microsoft.com/office/drawing/2014/main" id="{00000000-0008-0000-1300-000001A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34881" name="Spinner 1" hidden="1">
              <a:extLst>
                <a:ext uri="{63B3BB69-23CF-44E3-9099-C40C66FF867C}">
                  <a14:compatExt spid="_x0000_s634881"/>
                </a:ext>
                <a:ext uri="{FF2B5EF4-FFF2-40B4-BE49-F238E27FC236}">
                  <a16:creationId xmlns:a16="http://schemas.microsoft.com/office/drawing/2014/main" id="{00000000-0008-0000-1400-000001B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35905" name="Spinner 1" hidden="1">
              <a:extLst>
                <a:ext uri="{63B3BB69-23CF-44E3-9099-C40C66FF867C}">
                  <a14:compatExt spid="_x0000_s635905"/>
                </a:ext>
                <a:ext uri="{FF2B5EF4-FFF2-40B4-BE49-F238E27FC236}">
                  <a16:creationId xmlns:a16="http://schemas.microsoft.com/office/drawing/2014/main" id="{00000000-0008-0000-1500-000001B4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36929" name="Spinner 1" hidden="1">
              <a:extLst>
                <a:ext uri="{63B3BB69-23CF-44E3-9099-C40C66FF867C}">
                  <a14:compatExt spid="_x0000_s636929"/>
                </a:ext>
                <a:ext uri="{FF2B5EF4-FFF2-40B4-BE49-F238E27FC236}">
                  <a16:creationId xmlns:a16="http://schemas.microsoft.com/office/drawing/2014/main" id="{00000000-0008-0000-1600-000001B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37953" name="Spinner 1" hidden="1">
              <a:extLst>
                <a:ext uri="{63B3BB69-23CF-44E3-9099-C40C66FF867C}">
                  <a14:compatExt spid="_x0000_s637953"/>
                </a:ext>
                <a:ext uri="{FF2B5EF4-FFF2-40B4-BE49-F238E27FC236}">
                  <a16:creationId xmlns:a16="http://schemas.microsoft.com/office/drawing/2014/main" id="{00000000-0008-0000-1700-000001B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38977" name="Spinner 1" hidden="1">
              <a:extLst>
                <a:ext uri="{63B3BB69-23CF-44E3-9099-C40C66FF867C}">
                  <a14:compatExt spid="_x0000_s638977"/>
                </a:ext>
                <a:ext uri="{FF2B5EF4-FFF2-40B4-BE49-F238E27FC236}">
                  <a16:creationId xmlns:a16="http://schemas.microsoft.com/office/drawing/2014/main" id="{00000000-0008-0000-1800-000001C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7889" name="Spinner 1" hidden="1">
              <a:extLst>
                <a:ext uri="{63B3BB69-23CF-44E3-9099-C40C66FF867C}">
                  <a14:compatExt spid="_x0000_s1317889"/>
                </a:ext>
                <a:ext uri="{FF2B5EF4-FFF2-40B4-BE49-F238E27FC236}">
                  <a16:creationId xmlns:a16="http://schemas.microsoft.com/office/drawing/2014/main" id="{00000000-0008-0000-1900-0000011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8913" name="Spinner 1" hidden="1">
              <a:extLst>
                <a:ext uri="{63B3BB69-23CF-44E3-9099-C40C66FF867C}">
                  <a14:compatExt spid="_x0000_s1318913"/>
                </a:ext>
                <a:ext uri="{FF2B5EF4-FFF2-40B4-BE49-F238E27FC236}">
                  <a16:creationId xmlns:a16="http://schemas.microsoft.com/office/drawing/2014/main" id="{00000000-0008-0000-1A00-0000012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946177" name="Spinner 1" hidden="1">
              <a:extLst>
                <a:ext uri="{63B3BB69-23CF-44E3-9099-C40C66FF867C}">
                  <a14:compatExt spid="_x0000_s946177"/>
                </a:ext>
                <a:ext uri="{FF2B5EF4-FFF2-40B4-BE49-F238E27FC236}">
                  <a16:creationId xmlns:a16="http://schemas.microsoft.com/office/drawing/2014/main" id="{00000000-0008-0000-1B00-0000017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82689" name="Spinner 1" hidden="1">
              <a:extLst>
                <a:ext uri="{63B3BB69-23CF-44E3-9099-C40C66FF867C}">
                  <a14:compatExt spid="_x0000_s882689"/>
                </a:ext>
                <a:ext uri="{FF2B5EF4-FFF2-40B4-BE49-F238E27FC236}">
                  <a16:creationId xmlns:a16="http://schemas.microsoft.com/office/drawing/2014/main" id="{00000000-0008-0000-1C00-0000017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19937" name="Spinner 1" hidden="1">
              <a:extLst>
                <a:ext uri="{63B3BB69-23CF-44E3-9099-C40C66FF867C}">
                  <a14:compatExt spid="_x0000_s1319937"/>
                </a:ext>
                <a:ext uri="{FF2B5EF4-FFF2-40B4-BE49-F238E27FC236}">
                  <a16:creationId xmlns:a16="http://schemas.microsoft.com/office/drawing/2014/main" id="{00000000-0008-0000-1D00-00000124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947201" name="Spinner 1" hidden="1">
              <a:extLst>
                <a:ext uri="{63B3BB69-23CF-44E3-9099-C40C66FF867C}">
                  <a14:compatExt spid="_x0000_s947201"/>
                </a:ext>
                <a:ext uri="{FF2B5EF4-FFF2-40B4-BE49-F238E27FC236}">
                  <a16:creationId xmlns:a16="http://schemas.microsoft.com/office/drawing/2014/main" id="{00000000-0008-0000-1E00-0000017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40001" name="Spinner 1" hidden="1">
              <a:extLst>
                <a:ext uri="{63B3BB69-23CF-44E3-9099-C40C66FF867C}">
                  <a14:compatExt spid="_x0000_s640001"/>
                </a:ext>
                <a:ext uri="{FF2B5EF4-FFF2-40B4-BE49-F238E27FC236}">
                  <a16:creationId xmlns:a16="http://schemas.microsoft.com/office/drawing/2014/main" id="{00000000-0008-0000-1F00-000001C4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57825" name="Spinner 1" hidden="1">
              <a:extLst>
                <a:ext uri="{63B3BB69-23CF-44E3-9099-C40C66FF867C}">
                  <a14:compatExt spid="_x0000_s1357825"/>
                </a:ext>
                <a:ext uri="{FF2B5EF4-FFF2-40B4-BE49-F238E27FC236}">
                  <a16:creationId xmlns:a16="http://schemas.microsoft.com/office/drawing/2014/main" id="{00000000-0008-0000-2000-000001B8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59873" name="Spinner 1" hidden="1">
              <a:extLst>
                <a:ext uri="{63B3BB69-23CF-44E3-9099-C40C66FF867C}">
                  <a14:compatExt spid="_x0000_s1359873"/>
                </a:ext>
                <a:ext uri="{FF2B5EF4-FFF2-40B4-BE49-F238E27FC236}">
                  <a16:creationId xmlns:a16="http://schemas.microsoft.com/office/drawing/2014/main" id="{00000000-0008-0000-2100-000001C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401857" name="Spinner 1" hidden="1">
              <a:extLst>
                <a:ext uri="{63B3BB69-23CF-44E3-9099-C40C66FF867C}">
                  <a14:compatExt spid="_x0000_s1401857"/>
                </a:ext>
                <a:ext uri="{FF2B5EF4-FFF2-40B4-BE49-F238E27FC236}">
                  <a16:creationId xmlns:a16="http://schemas.microsoft.com/office/drawing/2014/main" id="{00000000-0008-0000-2200-0000016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43073" name="Spinner 1" hidden="1">
              <a:extLst>
                <a:ext uri="{63B3BB69-23CF-44E3-9099-C40C66FF867C}">
                  <a14:compatExt spid="_x0000_s643073"/>
                </a:ext>
                <a:ext uri="{FF2B5EF4-FFF2-40B4-BE49-F238E27FC236}">
                  <a16:creationId xmlns:a16="http://schemas.microsoft.com/office/drawing/2014/main" id="{00000000-0008-0000-2300-000001D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20961" name="Spinner 1" hidden="1">
              <a:extLst>
                <a:ext uri="{63B3BB69-23CF-44E3-9099-C40C66FF867C}">
                  <a14:compatExt spid="_x0000_s1320961"/>
                </a:ext>
                <a:ext uri="{FF2B5EF4-FFF2-40B4-BE49-F238E27FC236}">
                  <a16:creationId xmlns:a16="http://schemas.microsoft.com/office/drawing/2014/main" id="{00000000-0008-0000-2400-00000128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21985" name="Spinner 1" hidden="1">
              <a:extLst>
                <a:ext uri="{63B3BB69-23CF-44E3-9099-C40C66FF867C}">
                  <a14:compatExt spid="_x0000_s1321985"/>
                </a:ext>
                <a:ext uri="{FF2B5EF4-FFF2-40B4-BE49-F238E27FC236}">
                  <a16:creationId xmlns:a16="http://schemas.microsoft.com/office/drawing/2014/main" id="{00000000-0008-0000-2500-000001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46145" name="Spinner 1" hidden="1">
              <a:extLst>
                <a:ext uri="{63B3BB69-23CF-44E3-9099-C40C66FF867C}">
                  <a14:compatExt spid="_x0000_s646145"/>
                </a:ext>
                <a:ext uri="{FF2B5EF4-FFF2-40B4-BE49-F238E27FC236}">
                  <a16:creationId xmlns:a16="http://schemas.microsoft.com/office/drawing/2014/main" id="{00000000-0008-0000-2600-000001D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00769" name="Spinner 1" hidden="1">
              <a:extLst>
                <a:ext uri="{63B3BB69-23CF-44E3-9099-C40C66FF867C}">
                  <a14:compatExt spid="_x0000_s800769"/>
                </a:ext>
                <a:ext uri="{FF2B5EF4-FFF2-40B4-BE49-F238E27FC236}">
                  <a16:creationId xmlns:a16="http://schemas.microsoft.com/office/drawing/2014/main" id="{00000000-0008-0000-2700-0000013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01793" name="Spinner 1" hidden="1">
              <a:extLst>
                <a:ext uri="{63B3BB69-23CF-44E3-9099-C40C66FF867C}">
                  <a14:compatExt spid="_x0000_s801793"/>
                </a:ext>
                <a:ext uri="{FF2B5EF4-FFF2-40B4-BE49-F238E27FC236}">
                  <a16:creationId xmlns:a16="http://schemas.microsoft.com/office/drawing/2014/main" id="{00000000-0008-0000-2800-0000013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015809" name="Spinner 1" hidden="1">
              <a:extLst>
                <a:ext uri="{63B3BB69-23CF-44E3-9099-C40C66FF867C}">
                  <a14:compatExt spid="_x0000_s1015809"/>
                </a:ext>
                <a:ext uri="{FF2B5EF4-FFF2-40B4-BE49-F238E27FC236}">
                  <a16:creationId xmlns:a16="http://schemas.microsoft.com/office/drawing/2014/main" id="{00000000-0008-0000-2900-00000180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02817" name="Spinner 1" hidden="1">
              <a:extLst>
                <a:ext uri="{63B3BB69-23CF-44E3-9099-C40C66FF867C}">
                  <a14:compatExt spid="_x0000_s802817"/>
                </a:ext>
                <a:ext uri="{FF2B5EF4-FFF2-40B4-BE49-F238E27FC236}">
                  <a16:creationId xmlns:a16="http://schemas.microsoft.com/office/drawing/2014/main" id="{00000000-0008-0000-2A00-00000140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12033" name="Spinner 1" hidden="1">
              <a:extLst>
                <a:ext uri="{63B3BB69-23CF-44E3-9099-C40C66FF867C}">
                  <a14:compatExt spid="_x0000_s812033"/>
                </a:ext>
                <a:ext uri="{FF2B5EF4-FFF2-40B4-BE49-F238E27FC236}">
                  <a16:creationId xmlns:a16="http://schemas.microsoft.com/office/drawing/2014/main" id="{00000000-0008-0000-2B00-0000016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435649" name="Spinner 1" hidden="1">
              <a:extLst>
                <a:ext uri="{63B3BB69-23CF-44E3-9099-C40C66FF867C}">
                  <a14:compatExt spid="_x0000_s1435649"/>
                </a:ext>
                <a:ext uri="{FF2B5EF4-FFF2-40B4-BE49-F238E27FC236}">
                  <a16:creationId xmlns:a16="http://schemas.microsoft.com/office/drawing/2014/main" id="{00000000-0008-0000-2C00-000001E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93665" name="Spinner 1" hidden="1">
              <a:extLst>
                <a:ext uri="{63B3BB69-23CF-44E3-9099-C40C66FF867C}">
                  <a14:compatExt spid="_x0000_s1393665"/>
                </a:ext>
                <a:ext uri="{FF2B5EF4-FFF2-40B4-BE49-F238E27FC236}">
                  <a16:creationId xmlns:a16="http://schemas.microsoft.com/office/drawing/2014/main" id="{00000000-0008-0000-2D00-0000014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13057" name="Spinner 1" hidden="1">
              <a:extLst>
                <a:ext uri="{63B3BB69-23CF-44E3-9099-C40C66FF867C}">
                  <a14:compatExt spid="_x0000_s813057"/>
                </a:ext>
                <a:ext uri="{FF2B5EF4-FFF2-40B4-BE49-F238E27FC236}">
                  <a16:creationId xmlns:a16="http://schemas.microsoft.com/office/drawing/2014/main" id="{00000000-0008-0000-2E00-0000016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14081" name="Spinner 1" hidden="1">
              <a:extLst>
                <a:ext uri="{63B3BB69-23CF-44E3-9099-C40C66FF867C}">
                  <a14:compatExt spid="_x0000_s814081"/>
                </a:ext>
                <a:ext uri="{FF2B5EF4-FFF2-40B4-BE49-F238E27FC236}">
                  <a16:creationId xmlns:a16="http://schemas.microsoft.com/office/drawing/2014/main" id="{00000000-0008-0000-2F00-0000016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15105" name="Spinner 1" hidden="1">
              <a:extLst>
                <a:ext uri="{63B3BB69-23CF-44E3-9099-C40C66FF867C}">
                  <a14:compatExt spid="_x0000_s815105"/>
                </a:ext>
                <a:ext uri="{FF2B5EF4-FFF2-40B4-BE49-F238E27FC236}">
                  <a16:creationId xmlns:a16="http://schemas.microsoft.com/office/drawing/2014/main" id="{00000000-0008-0000-3000-00000170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016833" name="Spinner 1" hidden="1">
              <a:extLst>
                <a:ext uri="{63B3BB69-23CF-44E3-9099-C40C66FF867C}">
                  <a14:compatExt spid="_x0000_s1016833"/>
                </a:ext>
                <a:ext uri="{FF2B5EF4-FFF2-40B4-BE49-F238E27FC236}">
                  <a16:creationId xmlns:a16="http://schemas.microsoft.com/office/drawing/2014/main" id="{00000000-0008-0000-3100-00000184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17153" name="Spinner 1" hidden="1">
              <a:extLst>
                <a:ext uri="{63B3BB69-23CF-44E3-9099-C40C66FF867C}">
                  <a14:compatExt spid="_x0000_s817153"/>
                </a:ext>
                <a:ext uri="{FF2B5EF4-FFF2-40B4-BE49-F238E27FC236}">
                  <a16:creationId xmlns:a16="http://schemas.microsoft.com/office/drawing/2014/main" id="{00000000-0008-0000-3200-0000017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87521" name="Spinner 1" hidden="1">
              <a:extLst>
                <a:ext uri="{63B3BB69-23CF-44E3-9099-C40C66FF867C}">
                  <a14:compatExt spid="_x0000_s1387521"/>
                </a:ext>
                <a:ext uri="{FF2B5EF4-FFF2-40B4-BE49-F238E27FC236}">
                  <a16:creationId xmlns:a16="http://schemas.microsoft.com/office/drawing/2014/main" id="{00000000-0008-0000-3300-0000012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88545" name="Spinner 1" hidden="1">
              <a:extLst>
                <a:ext uri="{63B3BB69-23CF-44E3-9099-C40C66FF867C}">
                  <a14:compatExt spid="_x0000_s1388545"/>
                </a:ext>
                <a:ext uri="{FF2B5EF4-FFF2-40B4-BE49-F238E27FC236}">
                  <a16:creationId xmlns:a16="http://schemas.microsoft.com/office/drawing/2014/main" id="{00000000-0008-0000-3400-0000013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89569" name="Spinner 1" hidden="1">
              <a:extLst>
                <a:ext uri="{63B3BB69-23CF-44E3-9099-C40C66FF867C}">
                  <a14:compatExt spid="_x0000_s1389569"/>
                </a:ext>
                <a:ext uri="{FF2B5EF4-FFF2-40B4-BE49-F238E27FC236}">
                  <a16:creationId xmlns:a16="http://schemas.microsoft.com/office/drawing/2014/main" id="{00000000-0008-0000-3500-0000013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90593" name="Spinner 1" hidden="1">
              <a:extLst>
                <a:ext uri="{63B3BB69-23CF-44E3-9099-C40C66FF867C}">
                  <a14:compatExt spid="_x0000_s1390593"/>
                </a:ext>
                <a:ext uri="{FF2B5EF4-FFF2-40B4-BE49-F238E27FC236}">
                  <a16:creationId xmlns:a16="http://schemas.microsoft.com/office/drawing/2014/main" id="{00000000-0008-0000-3600-0000013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91617" name="Spinner 1" hidden="1">
              <a:extLst>
                <a:ext uri="{63B3BB69-23CF-44E3-9099-C40C66FF867C}">
                  <a14:compatExt spid="_x0000_s1391617"/>
                </a:ext>
                <a:ext uri="{FF2B5EF4-FFF2-40B4-BE49-F238E27FC236}">
                  <a16:creationId xmlns:a16="http://schemas.microsoft.com/office/drawing/2014/main" id="{00000000-0008-0000-3700-0000013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16129" name="Spinner 1" hidden="1">
              <a:extLst>
                <a:ext uri="{63B3BB69-23CF-44E3-9099-C40C66FF867C}">
                  <a14:compatExt spid="_x0000_s816129"/>
                </a:ext>
                <a:ext uri="{FF2B5EF4-FFF2-40B4-BE49-F238E27FC236}">
                  <a16:creationId xmlns:a16="http://schemas.microsoft.com/office/drawing/2014/main" id="{00000000-0008-0000-3800-0000017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818177" name="Spinner 1" hidden="1">
              <a:extLst>
                <a:ext uri="{63B3BB69-23CF-44E3-9099-C40C66FF867C}">
                  <a14:compatExt spid="_x0000_s818177"/>
                </a:ext>
                <a:ext uri="{FF2B5EF4-FFF2-40B4-BE49-F238E27FC236}">
                  <a16:creationId xmlns:a16="http://schemas.microsoft.com/office/drawing/2014/main" id="{00000000-0008-0000-3900-0000017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06625" name="Spinner 1" hidden="1">
              <a:extLst>
                <a:ext uri="{63B3BB69-23CF-44E3-9099-C40C66FF867C}">
                  <a14:compatExt spid="_x0000_s1306625"/>
                </a:ext>
                <a:ext uri="{FF2B5EF4-FFF2-40B4-BE49-F238E27FC236}">
                  <a16:creationId xmlns:a16="http://schemas.microsoft.com/office/drawing/2014/main" id="{00000000-0008-0000-3A00-000001F0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48193" name="Spinner 1" hidden="1">
              <a:extLst>
                <a:ext uri="{63B3BB69-23CF-44E3-9099-C40C66FF867C}">
                  <a14:compatExt spid="_x0000_s648193"/>
                </a:ext>
                <a:ext uri="{FF2B5EF4-FFF2-40B4-BE49-F238E27FC236}">
                  <a16:creationId xmlns:a16="http://schemas.microsoft.com/office/drawing/2014/main" id="{00000000-0008-0000-3B00-000001E4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307649" name="Spinner 1" hidden="1">
              <a:extLst>
                <a:ext uri="{63B3BB69-23CF-44E3-9099-C40C66FF867C}">
                  <a14:compatExt spid="_x0000_s1307649"/>
                </a:ext>
                <a:ext uri="{FF2B5EF4-FFF2-40B4-BE49-F238E27FC236}">
                  <a16:creationId xmlns:a16="http://schemas.microsoft.com/office/drawing/2014/main" id="{00000000-0008-0000-3C00-000001F4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650241" name="Spinner 1" hidden="1">
              <a:extLst>
                <a:ext uri="{63B3BB69-23CF-44E3-9099-C40C66FF867C}">
                  <a14:compatExt spid="_x0000_s650241"/>
                </a:ext>
                <a:ext uri="{FF2B5EF4-FFF2-40B4-BE49-F238E27FC236}">
                  <a16:creationId xmlns:a16="http://schemas.microsoft.com/office/drawing/2014/main" id="{00000000-0008-0000-3D00-000001E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38100</xdr:rowOff>
        </xdr:from>
        <xdr:to>
          <xdr:col>9</xdr:col>
          <xdr:colOff>412750</xdr:colOff>
          <xdr:row>1</xdr:row>
          <xdr:rowOff>152400</xdr:rowOff>
        </xdr:to>
        <xdr:sp macro="" textlink="">
          <xdr:nvSpPr>
            <xdr:cNvPr id="1096705" name="Spinner 1" hidden="1">
              <a:extLst>
                <a:ext uri="{63B3BB69-23CF-44E3-9099-C40C66FF867C}">
                  <a14:compatExt spid="_x0000_s1096705"/>
                </a:ext>
                <a:ext uri="{FF2B5EF4-FFF2-40B4-BE49-F238E27FC236}">
                  <a16:creationId xmlns:a16="http://schemas.microsoft.com/office/drawing/2014/main" id="{00000000-0008-0000-3E00-000001BC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a.NAIVAWASCO0/Desktop/final%20dashboard/FINANCE%20DASHBOARD%20june%2022.xlsx" TargetMode="External"/><Relationship Id="rId1" Type="http://schemas.openxmlformats.org/officeDocument/2006/relationships/externalLinkPath" Target="/Users/ba.NAIVAWASCO0/Desktop/final%20dashboard/FINANCE%20DASHBOARD%20june%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a.NAIVAWASCO0/Desktop/final%20dashboard/FINANCE%20DASHBOARD%20%20dec.xlsx" TargetMode="External"/><Relationship Id="rId1" Type="http://schemas.openxmlformats.org/officeDocument/2006/relationships/externalLinkPath" Target="/Users/ba.NAIVAWASCO0/Desktop/final%20dashboard/FINANCE%20DASHBOARD%20%20dec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evenueofficer/Desktop/WEEKLY%20BILLING%20VS%20COLL%20PER%20ZONE.xlsx" TargetMode="External"/><Relationship Id="rId1" Type="http://schemas.openxmlformats.org/officeDocument/2006/relationships/externalLinkPath" Target="/Users/revenueofficer/Desktop/WEEKLY%20BILLING%20VS%20COLL%20PER%20Z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BUDGET"/>
      <sheetName val="ACTUAL2122"/>
      <sheetName val="ACTUAL2021"/>
      <sheetName val="KPI 1"/>
      <sheetName val="KPI 2"/>
      <sheetName val="KPI 3"/>
      <sheetName val="KPI 3a"/>
      <sheetName val="KPI 3b"/>
      <sheetName val="KPI 3c"/>
      <sheetName val="KPI 3d"/>
      <sheetName val="KPI 4"/>
      <sheetName val="KPI 4a"/>
      <sheetName val="KPI 4b"/>
      <sheetName val="KPI 4c"/>
      <sheetName val="KPI 4d"/>
      <sheetName val="KPI 4 (i)"/>
      <sheetName val="KPI 4 (ii)"/>
      <sheetName val="KPI 5"/>
      <sheetName val="KPI 6"/>
      <sheetName val="KPI 7"/>
      <sheetName val="KPI 8"/>
      <sheetName val="KPI 9"/>
      <sheetName val="KPI 10"/>
      <sheetName val="KPI 11"/>
      <sheetName val="KPI 11a"/>
      <sheetName val="KPI 12"/>
      <sheetName val="KPI 13"/>
      <sheetName val="KPI 14"/>
      <sheetName val="KPI 15"/>
      <sheetName val="KPI 16"/>
      <sheetName val="KPI 16A"/>
      <sheetName val="KPI 17"/>
      <sheetName val="KPI 18"/>
      <sheetName val="KPI 19"/>
      <sheetName val="KPI 20"/>
      <sheetName val="KPI 21"/>
      <sheetName val="KPI 21A"/>
      <sheetName val="KPI 22"/>
      <sheetName val="KPI 23"/>
      <sheetName val="KPI 24"/>
      <sheetName val="KPI 25"/>
      <sheetName val="KPI 26"/>
      <sheetName val="KPI 26A"/>
      <sheetName val="KPI 27"/>
      <sheetName val="KPI 28"/>
      <sheetName val="KPI 29"/>
      <sheetName val="KPI 30"/>
      <sheetName val="KPI 31"/>
      <sheetName val="KPI 31A"/>
      <sheetName val="KPI 32"/>
      <sheetName val="KPI 33"/>
      <sheetName val="KPI 34"/>
      <sheetName val="KPI 35"/>
      <sheetName val="KPI 36"/>
      <sheetName val="KPI 36A"/>
      <sheetName val="KPI 37"/>
      <sheetName val="KPI 38"/>
      <sheetName val="KPI 39"/>
      <sheetName val="KPI 40"/>
      <sheetName val="KPI 41"/>
      <sheetName val="KPI 41A"/>
      <sheetName val="KPI 42"/>
      <sheetName val="KPI 43"/>
      <sheetName val="KPI 44"/>
      <sheetName val="KPI 45"/>
      <sheetName val="KPI 46"/>
      <sheetName val="KPI 46A"/>
      <sheetName val="KPI 47"/>
      <sheetName val="KPI 48"/>
      <sheetName val="KPI 49"/>
      <sheetName val="KPI 50"/>
      <sheetName val="KPI 51"/>
      <sheetName val="KPI 51A"/>
      <sheetName val="KPI 52"/>
      <sheetName val="KPI 53"/>
      <sheetName val="KPI 54"/>
      <sheetName val="KPI 55"/>
      <sheetName val="KPI 56"/>
      <sheetName val="KPI 56A"/>
      <sheetName val="KPI 57"/>
      <sheetName val="KPI 58"/>
      <sheetName val="KPI 59"/>
      <sheetName val="KPI 60"/>
      <sheetName val="KPI 61"/>
      <sheetName val="KPI 61A"/>
      <sheetName val="KPI 62"/>
      <sheetName val="KPI 63"/>
      <sheetName val="KPI 64"/>
      <sheetName val="KPI 65"/>
      <sheetName val="KPI 66"/>
      <sheetName val="KPI 66A"/>
      <sheetName val="KPI 67"/>
      <sheetName val="KPI 68"/>
      <sheetName val="KPI 69"/>
      <sheetName val="KPI sa"/>
      <sheetName val="KPI sb"/>
      <sheetName val="KPI sc"/>
      <sheetName val="KPI sd"/>
      <sheetName val="KPI se"/>
      <sheetName val="KPI s"/>
      <sheetName val="General"/>
    </sheetNames>
    <sheetDataSet>
      <sheetData sheetId="0">
        <row r="1">
          <cell r="A1" t="str">
            <v>FINANCE DASHBOARD</v>
          </cell>
        </row>
        <row r="5">
          <cell r="A5" t="str">
            <v>SALES DASHBOARD - SUMMARY</v>
          </cell>
        </row>
        <row r="6">
          <cell r="A6">
            <v>1</v>
          </cell>
          <cell r="B6" t="str">
            <v>Total Water Sales (Ksh)</v>
          </cell>
          <cell r="C6" t="str">
            <v>Ksh</v>
          </cell>
        </row>
        <row r="7">
          <cell r="A7">
            <v>2</v>
          </cell>
          <cell r="B7" t="str">
            <v>Total Sewerage Sales (Ksh)</v>
          </cell>
          <cell r="C7" t="str">
            <v>Ksh</v>
          </cell>
        </row>
        <row r="8">
          <cell r="A8">
            <v>3</v>
          </cell>
          <cell r="B8" t="str">
            <v xml:space="preserve">Total Water Related Sales </v>
          </cell>
          <cell r="C8" t="str">
            <v>Ksh</v>
          </cell>
        </row>
        <row r="9">
          <cell r="A9" t="str">
            <v>4(i)</v>
          </cell>
          <cell r="B9" t="str">
            <v>Company exhauster</v>
          </cell>
          <cell r="C9" t="str">
            <v>Ksh</v>
          </cell>
        </row>
        <row r="10">
          <cell r="A10" t="str">
            <v>4(ii)</v>
          </cell>
          <cell r="B10" t="str">
            <v>Customer exhauster</v>
          </cell>
          <cell r="C10" t="str">
            <v>Ksh</v>
          </cell>
        </row>
        <row r="11">
          <cell r="A11">
            <v>4</v>
          </cell>
          <cell r="B11" t="str">
            <v>Total Sewerage Related Sales</v>
          </cell>
          <cell r="C11" t="str">
            <v>Ksh</v>
          </cell>
        </row>
        <row r="12">
          <cell r="A12">
            <v>5</v>
          </cell>
          <cell r="B12" t="str">
            <v>Total Water/Sewerage and Related Sales (Ksh)</v>
          </cell>
          <cell r="C12" t="str">
            <v>Ksh</v>
          </cell>
        </row>
        <row r="13">
          <cell r="A13" t="str">
            <v xml:space="preserve">COLLECTION EFFICIENCY </v>
          </cell>
        </row>
        <row r="14">
          <cell r="A14">
            <v>6</v>
          </cell>
          <cell r="B14" t="str">
            <v>Total Collection, Water and Sewer Revenues and other sales</v>
          </cell>
          <cell r="C14" t="str">
            <v>Ksh</v>
          </cell>
        </row>
        <row r="15">
          <cell r="A15">
            <v>7</v>
          </cell>
          <cell r="B15" t="str">
            <v>Total Collection- Related Sales</v>
          </cell>
          <cell r="C15" t="str">
            <v>Ksh</v>
          </cell>
        </row>
        <row r="16">
          <cell r="A16">
            <v>8</v>
          </cell>
          <cell r="B16" t="str">
            <v xml:space="preserve">Collection Efficiency - in % of budget </v>
          </cell>
          <cell r="C16" t="str">
            <v>%</v>
          </cell>
        </row>
        <row r="17">
          <cell r="A17">
            <v>9</v>
          </cell>
          <cell r="B17" t="str">
            <v xml:space="preserve">Collection Efficiency - in % of billing </v>
          </cell>
          <cell r="C17" t="str">
            <v>%</v>
          </cell>
        </row>
        <row r="18">
          <cell r="A18" t="str">
            <v>REGIONAL PERFORMANCE</v>
          </cell>
        </row>
        <row r="19">
          <cell r="A19" t="str">
            <v>DTI REGION: CBD,CCCR,KABATI,SITE,KIHOTO</v>
          </cell>
        </row>
        <row r="20">
          <cell r="A20">
            <v>10</v>
          </cell>
          <cell r="B20" t="str">
            <v>Amount Billed Water-DTI</v>
          </cell>
          <cell r="C20" t="str">
            <v>Ksh.</v>
          </cell>
        </row>
        <row r="21">
          <cell r="A21">
            <v>11</v>
          </cell>
          <cell r="B21" t="str">
            <v>Amount Billed Sewer-DTI</v>
          </cell>
          <cell r="C21" t="str">
            <v>Ksh.</v>
          </cell>
        </row>
        <row r="22">
          <cell r="A22" t="str">
            <v>11a</v>
          </cell>
          <cell r="B22" t="str">
            <v>othersales</v>
          </cell>
          <cell r="C22" t="str">
            <v>Ksh.</v>
          </cell>
        </row>
        <row r="23">
          <cell r="A23">
            <v>12</v>
          </cell>
          <cell r="B23" t="str">
            <v>Amount Billed Water &amp; Sewer-othersales-DTI</v>
          </cell>
          <cell r="C23" t="str">
            <v>Ksh.</v>
          </cell>
        </row>
        <row r="24">
          <cell r="A24">
            <v>13</v>
          </cell>
          <cell r="B24" t="str">
            <v>Amount Collected-DTI</v>
          </cell>
          <cell r="C24" t="str">
            <v>Ksh.</v>
          </cell>
        </row>
        <row r="25">
          <cell r="A25">
            <v>14</v>
          </cell>
          <cell r="B25" t="str">
            <v>Collection Efficiency-DTI</v>
          </cell>
          <cell r="C25" t="str">
            <v>%</v>
          </cell>
        </row>
        <row r="26">
          <cell r="A26" t="str">
            <v>KARATI REGION: KAYOLE,HELLSGATE,KAMERE</v>
          </cell>
        </row>
        <row r="27">
          <cell r="A27">
            <v>15</v>
          </cell>
          <cell r="B27" t="str">
            <v>Amount Billed Water-KARATE</v>
          </cell>
          <cell r="C27" t="str">
            <v>Ksh.</v>
          </cell>
        </row>
        <row r="28">
          <cell r="A28">
            <v>16</v>
          </cell>
          <cell r="B28" t="str">
            <v>Amount Billed Sewer-KARATE</v>
          </cell>
          <cell r="C28" t="str">
            <v>Ksh.</v>
          </cell>
        </row>
        <row r="29">
          <cell r="A29" t="str">
            <v>16A</v>
          </cell>
          <cell r="B29" t="str">
            <v>othersales</v>
          </cell>
          <cell r="C29" t="str">
            <v>Ksh.</v>
          </cell>
        </row>
        <row r="30">
          <cell r="A30">
            <v>17</v>
          </cell>
          <cell r="B30" t="str">
            <v>Amount Billed Water &amp; Sewer-OTHER SALES-KARATE</v>
          </cell>
          <cell r="C30" t="str">
            <v>Ksh.</v>
          </cell>
        </row>
        <row r="31">
          <cell r="A31">
            <v>18</v>
          </cell>
          <cell r="B31" t="str">
            <v>Amount Collected-KARATE</v>
          </cell>
          <cell r="C31" t="str">
            <v>Ksh.</v>
          </cell>
        </row>
        <row r="109">
          <cell r="A109" t="str">
            <v>se</v>
          </cell>
          <cell r="B109" t="str">
            <v>Money in the bank</v>
          </cell>
        </row>
      </sheetData>
      <sheetData sheetId="1">
        <row r="23">
          <cell r="D23">
            <v>15131038.33</v>
          </cell>
          <cell r="E23">
            <v>12356990.449999999</v>
          </cell>
          <cell r="F23">
            <v>12415042.449999999</v>
          </cell>
          <cell r="G23">
            <v>13167327.800000001</v>
          </cell>
          <cell r="H23">
            <v>18704965.75</v>
          </cell>
          <cell r="I23">
            <v>11339412</v>
          </cell>
          <cell r="K23">
            <v>11507178</v>
          </cell>
          <cell r="L23">
            <v>13785469.57</v>
          </cell>
          <cell r="M23">
            <v>11337951.25</v>
          </cell>
          <cell r="N23">
            <v>19240362.850000001</v>
          </cell>
          <cell r="O23">
            <v>14508154.75</v>
          </cell>
        </row>
      </sheetData>
      <sheetData sheetId="2"/>
      <sheetData sheetId="3">
        <row r="21">
          <cell r="O21">
            <v>15655907.199999999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BUDGET"/>
      <sheetName val="ACTUAL2122"/>
      <sheetName val="ACTUAL2021"/>
      <sheetName val="KPI 1"/>
      <sheetName val="KPI 2"/>
      <sheetName val="KPI 3"/>
      <sheetName val="KPI 3a"/>
      <sheetName val="KPI 3b"/>
      <sheetName val="KPI 3c"/>
      <sheetName val="KPI 3d"/>
      <sheetName val="KPI 4"/>
      <sheetName val="KPI 4a"/>
      <sheetName val="KPI 4b"/>
      <sheetName val="KPI 4c"/>
      <sheetName val="KPI 4d"/>
      <sheetName val="KPI 4 (i)"/>
      <sheetName val="KPI 4 (ii)"/>
      <sheetName val="KPI 5"/>
      <sheetName val="KPI 6"/>
      <sheetName val="KPI 7"/>
      <sheetName val="KPI 8"/>
      <sheetName val="KPI 9"/>
      <sheetName val="KPI 10"/>
      <sheetName val="KPI 11"/>
      <sheetName val="KPI 11a"/>
      <sheetName val="KPI 12"/>
      <sheetName val="KPI 13"/>
      <sheetName val="KPI 14"/>
      <sheetName val="KPI 15"/>
      <sheetName val="KPI 16"/>
      <sheetName val="KPI 16A"/>
      <sheetName val="KPI 17"/>
      <sheetName val="KPI 18"/>
      <sheetName val="KPI 19"/>
      <sheetName val="KPI 20"/>
      <sheetName val="KPI 21"/>
      <sheetName val="KPI 21A"/>
      <sheetName val="KPI 22"/>
      <sheetName val="KPI 23"/>
      <sheetName val="KPI 24"/>
      <sheetName val="KPI 25"/>
      <sheetName val="KPI 26"/>
      <sheetName val="KPI 26A"/>
      <sheetName val="KPI 27"/>
      <sheetName val="KPI 28"/>
      <sheetName val="KPI 29"/>
      <sheetName val="KPI 30"/>
      <sheetName val="KPI 31"/>
      <sheetName val="KPI 31A"/>
      <sheetName val="KPI 32"/>
      <sheetName val="KPI 33"/>
      <sheetName val="KPI 34"/>
      <sheetName val="KPI 35"/>
      <sheetName val="KPI 36"/>
      <sheetName val="KPI 36A"/>
      <sheetName val="KPI 37"/>
      <sheetName val="KPI 38"/>
      <sheetName val="KPI 39"/>
      <sheetName val="KPI 40"/>
      <sheetName val="KPI 41"/>
      <sheetName val="KPI 41A"/>
      <sheetName val="KPI 42"/>
      <sheetName val="KPI 43"/>
      <sheetName val="KPI 44"/>
      <sheetName val="KPI 45"/>
      <sheetName val="KPI 46"/>
      <sheetName val="KPI 46A"/>
      <sheetName val="KPI 47"/>
      <sheetName val="KPI 48"/>
      <sheetName val="KPI 49"/>
      <sheetName val="KPI 50"/>
      <sheetName val="KPI 51"/>
      <sheetName val="KPI 51A"/>
      <sheetName val="KPI 52"/>
      <sheetName val="KPI 53"/>
      <sheetName val="KPI 54"/>
      <sheetName val="KPI 55"/>
      <sheetName val="KPI 56"/>
      <sheetName val="KPI 56A"/>
      <sheetName val="KPI 57"/>
      <sheetName val="KPI 58"/>
      <sheetName val="KPI 59"/>
      <sheetName val="KPI 60"/>
      <sheetName val="KPI 61"/>
      <sheetName val="KPI 61A"/>
      <sheetName val="KPI 62"/>
      <sheetName val="KPI 63"/>
      <sheetName val="KPI 64"/>
      <sheetName val="KPI 65"/>
      <sheetName val="KPI 66"/>
      <sheetName val="KPI 66A"/>
      <sheetName val="KPI 67"/>
      <sheetName val="KPI 68"/>
      <sheetName val="KPI 69"/>
      <sheetName val="KPI sa"/>
      <sheetName val="KPI sb"/>
      <sheetName val="KPI sc"/>
      <sheetName val="General"/>
    </sheetNames>
    <sheetDataSet>
      <sheetData sheetId="0" refreshError="1"/>
      <sheetData sheetId="1">
        <row r="23">
          <cell r="J23">
            <v>20351038.813685209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ly coll vs billing draft"/>
      <sheetName val="ZONE A"/>
      <sheetName val="ZONE B"/>
      <sheetName val="reconnected accounts"/>
      <sheetName val="APRILBILL-MAY COLL"/>
      <sheetName val="MAY BILL-JUNE COLL"/>
      <sheetName val="JUNE BILL-JULY COLL"/>
      <sheetName val="JULY BILL-AUG COLL"/>
      <sheetName val="AUG BILL-SEPT COLL"/>
      <sheetName val="SEPT BILL- OCT COLL"/>
      <sheetName val="OCT BILL- NOV COLL"/>
      <sheetName val="NOV BILL-DEC COL"/>
      <sheetName val="DEC BILL=JAN COLL"/>
      <sheetName val="JAN BILL-FEB COLL"/>
      <sheetName val="FEB BILL- MARC COLL"/>
      <sheetName val="MAR BILL-APRIL COLL"/>
      <sheetName val="APRIL BILL-MAY COLL"/>
      <sheetName val="MAY BILL-JUNECOLL"/>
      <sheetName val="JUNEBILL-JULY COLL"/>
      <sheetName val="JULY BILL-AUG COLL21"/>
      <sheetName val="SUMMARY"/>
      <sheetName val="nov coll explai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62">
          <cell r="C262">
            <v>9837261.6499999985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2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2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Relationship Id="rId4" Type="http://schemas.openxmlformats.org/officeDocument/2006/relationships/ctrlProp" Target="../ctrlProps/ctrlProp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Relationship Id="rId4" Type="http://schemas.openxmlformats.org/officeDocument/2006/relationships/ctrlProp" Target="../ctrlProps/ctrlProp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Relationship Id="rId4" Type="http://schemas.openxmlformats.org/officeDocument/2006/relationships/ctrlProp" Target="../ctrlProps/ctrlProp2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Relationship Id="rId4" Type="http://schemas.openxmlformats.org/officeDocument/2006/relationships/ctrlProp" Target="../ctrlProps/ctrlProp26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Relationship Id="rId4" Type="http://schemas.openxmlformats.org/officeDocument/2006/relationships/ctrlProp" Target="../ctrlProps/ctrlProp2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Relationship Id="rId4" Type="http://schemas.openxmlformats.org/officeDocument/2006/relationships/ctrlProp" Target="../ctrlProps/ctrlProp2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Relationship Id="rId4" Type="http://schemas.openxmlformats.org/officeDocument/2006/relationships/ctrlProp" Target="../ctrlProps/ctrlProp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Relationship Id="rId4" Type="http://schemas.openxmlformats.org/officeDocument/2006/relationships/ctrlProp" Target="../ctrlProps/ctrlProp30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Relationship Id="rId4" Type="http://schemas.openxmlformats.org/officeDocument/2006/relationships/ctrlProp" Target="../ctrlProps/ctrlProp3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Relationship Id="rId4" Type="http://schemas.openxmlformats.org/officeDocument/2006/relationships/ctrlProp" Target="../ctrlProps/ctrlProp3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Relationship Id="rId4" Type="http://schemas.openxmlformats.org/officeDocument/2006/relationships/ctrlProp" Target="../ctrlProps/ctrlProp33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Relationship Id="rId4" Type="http://schemas.openxmlformats.org/officeDocument/2006/relationships/ctrlProp" Target="../ctrlProps/ctrlProp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Relationship Id="rId4" Type="http://schemas.openxmlformats.org/officeDocument/2006/relationships/ctrlProp" Target="../ctrlProps/ctrlProp35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Relationship Id="rId4" Type="http://schemas.openxmlformats.org/officeDocument/2006/relationships/ctrlProp" Target="../ctrlProps/ctrlProp3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Relationship Id="rId4" Type="http://schemas.openxmlformats.org/officeDocument/2006/relationships/ctrlProp" Target="../ctrlProps/ctrlProp3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Relationship Id="rId4" Type="http://schemas.openxmlformats.org/officeDocument/2006/relationships/ctrlProp" Target="../ctrlProps/ctrlProp3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Relationship Id="rId4" Type="http://schemas.openxmlformats.org/officeDocument/2006/relationships/ctrlProp" Target="../ctrlProps/ctrlProp39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Relationship Id="rId4" Type="http://schemas.openxmlformats.org/officeDocument/2006/relationships/ctrlProp" Target="../ctrlProps/ctrlProp40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Relationship Id="rId4" Type="http://schemas.openxmlformats.org/officeDocument/2006/relationships/ctrlProp" Target="../ctrlProps/ctrlProp4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Relationship Id="rId4" Type="http://schemas.openxmlformats.org/officeDocument/2006/relationships/ctrlProp" Target="../ctrlProps/ctrlProp4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Relationship Id="rId4" Type="http://schemas.openxmlformats.org/officeDocument/2006/relationships/ctrlProp" Target="../ctrlProps/ctrlProp43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Relationship Id="rId4" Type="http://schemas.openxmlformats.org/officeDocument/2006/relationships/ctrlProp" Target="../ctrlProps/ctrlProp44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Relationship Id="rId4" Type="http://schemas.openxmlformats.org/officeDocument/2006/relationships/ctrlProp" Target="../ctrlProps/ctrlProp45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Relationship Id="rId4" Type="http://schemas.openxmlformats.org/officeDocument/2006/relationships/ctrlProp" Target="../ctrlProps/ctrlProp46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0.bin"/><Relationship Id="rId4" Type="http://schemas.openxmlformats.org/officeDocument/2006/relationships/ctrlProp" Target="../ctrlProps/ctrlProp4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1.bin"/><Relationship Id="rId4" Type="http://schemas.openxmlformats.org/officeDocument/2006/relationships/ctrlProp" Target="../ctrlProps/ctrlProp48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2.bin"/><Relationship Id="rId4" Type="http://schemas.openxmlformats.org/officeDocument/2006/relationships/ctrlProp" Target="../ctrlProps/ctrlProp4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3.bin"/><Relationship Id="rId4" Type="http://schemas.openxmlformats.org/officeDocument/2006/relationships/ctrlProp" Target="../ctrlProps/ctrlProp50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4.bin"/><Relationship Id="rId4" Type="http://schemas.openxmlformats.org/officeDocument/2006/relationships/ctrlProp" Target="../ctrlProps/ctrlProp51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5.bin"/><Relationship Id="rId4" Type="http://schemas.openxmlformats.org/officeDocument/2006/relationships/ctrlProp" Target="../ctrlProps/ctrlProp5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6.bin"/><Relationship Id="rId4" Type="http://schemas.openxmlformats.org/officeDocument/2006/relationships/ctrlProp" Target="../ctrlProps/ctrlProp5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7.bin"/><Relationship Id="rId4" Type="http://schemas.openxmlformats.org/officeDocument/2006/relationships/ctrlProp" Target="../ctrlProps/ctrlProp54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8.bin"/><Relationship Id="rId4" Type="http://schemas.openxmlformats.org/officeDocument/2006/relationships/ctrlProp" Target="../ctrlProps/ctrlProp55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9.bin"/><Relationship Id="rId4" Type="http://schemas.openxmlformats.org/officeDocument/2006/relationships/ctrlProp" Target="../ctrlProps/ctrlProp56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0.bin"/><Relationship Id="rId4" Type="http://schemas.openxmlformats.org/officeDocument/2006/relationships/ctrlProp" Target="../ctrlProps/ctrlProp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55"/>
  <sheetViews>
    <sheetView tabSelected="1" zoomScale="80" zoomScaleNormal="80" workbookViewId="0">
      <selection activeCell="P2" sqref="P2"/>
    </sheetView>
  </sheetViews>
  <sheetFormatPr defaultColWidth="9.1796875" defaultRowHeight="14.5" x14ac:dyDescent="0.35"/>
  <cols>
    <col min="1" max="1" width="7.453125" style="3" customWidth="1"/>
    <col min="2" max="2" width="53.1796875" style="3" customWidth="1"/>
    <col min="3" max="3" width="5.54296875" style="14" customWidth="1"/>
    <col min="4" max="6" width="4.54296875" style="14" bestFit="1" customWidth="1"/>
    <col min="7" max="7" width="13.453125" style="3" bestFit="1" customWidth="1"/>
    <col min="8" max="8" width="28" style="3" customWidth="1"/>
    <col min="9" max="9" width="8.1796875" style="3" customWidth="1"/>
    <col min="10" max="12" width="4.54296875" style="3" customWidth="1"/>
    <col min="13" max="13" width="12.54296875" style="3" bestFit="1" customWidth="1"/>
    <col min="14" max="14" width="15.453125" style="3" customWidth="1"/>
    <col min="15" max="15" width="8.1796875" style="3" customWidth="1"/>
    <col min="16" max="16" width="9.1796875" style="14"/>
    <col min="17" max="17" width="13.54296875" style="14" bestFit="1" customWidth="1"/>
    <col min="18" max="18" width="11.1796875" style="3" bestFit="1" customWidth="1"/>
    <col min="19" max="20" width="3.54296875" style="14" customWidth="1"/>
    <col min="21" max="16384" width="9.1796875" style="3"/>
  </cols>
  <sheetData>
    <row r="1" spans="1:20" ht="21.5" thickBot="1" x14ac:dyDescent="0.55000000000000004">
      <c r="A1" s="18" t="s">
        <v>79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20" ht="15" thickBot="1" x14ac:dyDescent="0.4">
      <c r="B2" s="17">
        <f>INDEX('KPI 1'!$E18:$P18,Actual_month)</f>
        <v>46082</v>
      </c>
      <c r="C2" s="13"/>
      <c r="D2" s="13"/>
      <c r="E2" s="13"/>
      <c r="F2" s="13"/>
    </row>
    <row r="3" spans="1:20" ht="15" thickBot="1" x14ac:dyDescent="0.4">
      <c r="C3" s="22"/>
      <c r="D3" s="95" t="s">
        <v>15</v>
      </c>
      <c r="E3" s="96"/>
      <c r="F3" s="96"/>
      <c r="G3" s="96"/>
      <c r="H3" s="96"/>
      <c r="I3" s="97"/>
      <c r="J3" s="95" t="s">
        <v>16</v>
      </c>
      <c r="K3" s="96"/>
      <c r="L3" s="96"/>
      <c r="M3" s="96"/>
      <c r="N3" s="96"/>
      <c r="O3" s="97"/>
      <c r="R3" s="6">
        <v>0.9</v>
      </c>
    </row>
    <row r="4" spans="1:20" ht="15" thickBot="1" x14ac:dyDescent="0.4">
      <c r="B4" s="16"/>
      <c r="C4" s="29" t="s">
        <v>13</v>
      </c>
      <c r="G4" s="30" t="s">
        <v>17</v>
      </c>
      <c r="H4" s="31" t="s">
        <v>2</v>
      </c>
      <c r="I4" s="32" t="s">
        <v>20</v>
      </c>
      <c r="J4" s="8"/>
      <c r="K4" s="8"/>
      <c r="L4" s="8"/>
      <c r="M4" s="30" t="s">
        <v>17</v>
      </c>
      <c r="N4" s="31" t="s">
        <v>2</v>
      </c>
      <c r="O4" s="32" t="s">
        <v>20</v>
      </c>
    </row>
    <row r="5" spans="1:20" ht="15" thickBot="1" x14ac:dyDescent="0.4">
      <c r="A5" s="93" t="s">
        <v>91</v>
      </c>
      <c r="B5" s="94"/>
      <c r="C5" s="34"/>
      <c r="D5" s="34"/>
      <c r="E5" s="34"/>
      <c r="F5" s="34"/>
      <c r="G5" s="35"/>
      <c r="H5" s="35"/>
      <c r="I5" s="35"/>
      <c r="J5" s="35"/>
      <c r="K5" s="35"/>
      <c r="L5" s="35"/>
      <c r="M5" s="35"/>
      <c r="N5" s="35"/>
      <c r="O5" s="36"/>
      <c r="Q5" s="14" t="s">
        <v>27</v>
      </c>
      <c r="R5" s="3" t="s">
        <v>26</v>
      </c>
    </row>
    <row r="6" spans="1:20" ht="20" x14ac:dyDescent="0.35">
      <c r="A6" s="47">
        <v>1</v>
      </c>
      <c r="B6" s="25" t="s">
        <v>21</v>
      </c>
      <c r="C6" s="23" t="s">
        <v>3</v>
      </c>
      <c r="D6" s="33" t="s">
        <v>6</v>
      </c>
      <c r="E6" s="33" t="s">
        <v>6</v>
      </c>
      <c r="F6" s="33" t="s">
        <v>6</v>
      </c>
      <c r="G6" s="43">
        <f>IFERROR(INDEX('KPI 1'!E$19:P$19,Actual_month),)</f>
        <v>18825127.777777776</v>
      </c>
      <c r="H6" s="44">
        <f>IFERROR(INDEX('KPI 1'!$E$20:$P$20,Actual_month),)</f>
        <v>18351480</v>
      </c>
      <c r="I6" s="24">
        <f t="shared" ref="I6:I8" si="0">IFERROR(H6/G6,"")</f>
        <v>0.97483959825564126</v>
      </c>
      <c r="J6" s="21" t="s">
        <v>6</v>
      </c>
      <c r="K6" s="21" t="s">
        <v>6</v>
      </c>
      <c r="L6" s="21" t="s">
        <v>6</v>
      </c>
      <c r="M6" s="43">
        <f>IFERROR(INDEX('KPI 1'!$E$26:$P$26,Actual_month),)</f>
        <v>161020690</v>
      </c>
      <c r="N6" s="44">
        <f>IFERROR(INDEX('KPI 1'!$E$27:$P$27,Actual_month),)</f>
        <v>179809530</v>
      </c>
      <c r="O6" s="24">
        <f t="shared" ref="O6:O7" si="1">IFERROR(N6/M6,"")</f>
        <v>1.1166858743432289</v>
      </c>
      <c r="P6" s="15" t="s">
        <v>18</v>
      </c>
      <c r="Q6" s="5">
        <f t="shared" ref="Q6:Q8" si="2">G6*$R$3</f>
        <v>16942615</v>
      </c>
      <c r="R6" s="5">
        <f t="shared" ref="R6:R8" si="3">M6*$R$3</f>
        <v>144918621</v>
      </c>
      <c r="S6" s="27" t="s">
        <v>22</v>
      </c>
      <c r="T6" s="14" t="s">
        <v>25</v>
      </c>
    </row>
    <row r="7" spans="1:20" ht="20" x14ac:dyDescent="0.35">
      <c r="A7" s="47">
        <v>2</v>
      </c>
      <c r="B7" s="25" t="s">
        <v>74</v>
      </c>
      <c r="C7" s="23" t="s">
        <v>3</v>
      </c>
      <c r="D7" s="33" t="s">
        <v>6</v>
      </c>
      <c r="E7" s="33" t="s">
        <v>6</v>
      </c>
      <c r="F7" s="33" t="s">
        <v>6</v>
      </c>
      <c r="G7" s="43">
        <f>IFERROR(INDEX('KPI 2'!E$19:P$19,Actual_month),)</f>
        <v>5264966.7499747369</v>
      </c>
      <c r="H7" s="44">
        <f>IFERROR(INDEX('KPI 2'!$E$20:$P$20,Actual_month),)</f>
        <v>5950166</v>
      </c>
      <c r="I7" s="24">
        <f t="shared" si="0"/>
        <v>1.1301431295892896</v>
      </c>
      <c r="J7" s="21" t="s">
        <v>6</v>
      </c>
      <c r="K7" s="21" t="s">
        <v>6</v>
      </c>
      <c r="L7" s="21" t="s">
        <v>6</v>
      </c>
      <c r="M7" s="43">
        <f>IFERROR(INDEX('KPI 2'!$E$26:$P$26,Actual_month),)</f>
        <v>46508628.788630314</v>
      </c>
      <c r="N7" s="44">
        <f>IFERROR(INDEX('KPI 2'!$E$27:$P$27,Actual_month),)</f>
        <v>52285081.799999997</v>
      </c>
      <c r="O7" s="24">
        <f t="shared" si="1"/>
        <v>1.1242017484029074</v>
      </c>
      <c r="P7" s="15" t="s">
        <v>18</v>
      </c>
      <c r="Q7" s="5">
        <f t="shared" si="2"/>
        <v>4738470.0749772638</v>
      </c>
      <c r="R7" s="5">
        <f t="shared" si="3"/>
        <v>41857765.909767285</v>
      </c>
      <c r="S7" s="27" t="s">
        <v>22</v>
      </c>
      <c r="T7" s="14" t="s">
        <v>25</v>
      </c>
    </row>
    <row r="8" spans="1:20" ht="20" x14ac:dyDescent="0.35">
      <c r="A8" s="47">
        <v>3</v>
      </c>
      <c r="B8" s="42" t="s">
        <v>89</v>
      </c>
      <c r="C8" s="23" t="s">
        <v>3</v>
      </c>
      <c r="D8" s="33" t="s">
        <v>6</v>
      </c>
      <c r="E8" s="33" t="s">
        <v>6</v>
      </c>
      <c r="F8" s="33" t="s">
        <v>6</v>
      </c>
      <c r="G8" s="43">
        <f>IFERROR(INDEX('KPI a'!E$19:P$19,Actual_month),)</f>
        <v>64130</v>
      </c>
      <c r="H8" s="92">
        <f>IFERROR(INDEX('KPI a'!$E$20:$P$20,Actual_month),)</f>
        <v>30290</v>
      </c>
      <c r="I8" s="24">
        <f t="shared" si="0"/>
        <v>0.47232184624980511</v>
      </c>
      <c r="J8" s="21" t="s">
        <v>6</v>
      </c>
      <c r="K8" s="21" t="s">
        <v>6</v>
      </c>
      <c r="L8" s="21" t="s">
        <v>6</v>
      </c>
      <c r="M8" s="43">
        <f>IFERROR(INDEX('KPI a'!$E$26:$P$26,Actual_month),)</f>
        <v>577170</v>
      </c>
      <c r="N8" s="44">
        <f>IFERROR(INDEX('KPI a'!$E$27:$P$27,Actual_month),)</f>
        <v>1096030</v>
      </c>
      <c r="O8" s="24">
        <f t="shared" ref="O8:O19" si="4">IFERROR(N8/M8,"")</f>
        <v>1.8989725730720586</v>
      </c>
      <c r="P8" s="26" t="s">
        <v>18</v>
      </c>
      <c r="Q8" s="5">
        <f t="shared" si="2"/>
        <v>57717</v>
      </c>
      <c r="R8" s="5">
        <f t="shared" si="3"/>
        <v>519453</v>
      </c>
      <c r="S8" s="27" t="s">
        <v>22</v>
      </c>
      <c r="T8" s="14" t="s">
        <v>25</v>
      </c>
    </row>
    <row r="9" spans="1:20" ht="20" x14ac:dyDescent="0.35">
      <c r="A9" s="47">
        <v>4</v>
      </c>
      <c r="B9" s="42" t="s">
        <v>136</v>
      </c>
      <c r="C9" s="23" t="s">
        <v>3</v>
      </c>
      <c r="D9" s="33" t="s">
        <v>6</v>
      </c>
      <c r="E9" s="33" t="s">
        <v>6</v>
      </c>
      <c r="F9" s="33" t="s">
        <v>6</v>
      </c>
      <c r="G9" s="43">
        <f>IFERROR(INDEX('KPI b1'!E$19:P$19,Actual_month),)</f>
        <v>936756.38888888888</v>
      </c>
      <c r="H9" s="44">
        <f>IFERROR(INDEX('KPI b1'!$E$20:$P$20,Actual_month),)</f>
        <v>917568.5</v>
      </c>
      <c r="I9" s="24">
        <f t="shared" ref="I9" si="5">IFERROR(H9/G9,"")</f>
        <v>0.97951667144576604</v>
      </c>
      <c r="J9" s="21" t="s">
        <v>6</v>
      </c>
      <c r="K9" s="21" t="s">
        <v>6</v>
      </c>
      <c r="L9" s="21" t="s">
        <v>6</v>
      </c>
      <c r="M9" s="43">
        <f>IFERROR(INDEX('KPI b1'!$E$26:$P$26,Actual_month),)</f>
        <v>8010534.5</v>
      </c>
      <c r="N9" s="44">
        <f>IFERROR(INDEX('KPI b1'!$E$27:$P$27,Actual_month),)</f>
        <v>8990471</v>
      </c>
      <c r="O9" s="24">
        <f t="shared" ref="O9" si="6">IFERROR(N9/M9,"")</f>
        <v>1.1223309755422688</v>
      </c>
      <c r="P9" s="26" t="s">
        <v>18</v>
      </c>
      <c r="Q9" s="5">
        <f t="shared" ref="Q9" si="7">G9*$R$3</f>
        <v>843080.75</v>
      </c>
      <c r="R9" s="5">
        <f t="shared" ref="R9" si="8">M9*$R$3</f>
        <v>7209481.0499999998</v>
      </c>
      <c r="S9" s="27" t="s">
        <v>22</v>
      </c>
      <c r="T9" s="14" t="s">
        <v>25</v>
      </c>
    </row>
    <row r="10" spans="1:20" ht="20" x14ac:dyDescent="0.35">
      <c r="A10" s="47">
        <v>5</v>
      </c>
      <c r="B10" s="42" t="s">
        <v>84</v>
      </c>
      <c r="C10" s="23" t="s">
        <v>3</v>
      </c>
      <c r="D10" s="33" t="s">
        <v>6</v>
      </c>
      <c r="E10" s="33" t="s">
        <v>6</v>
      </c>
      <c r="F10" s="33" t="s">
        <v>6</v>
      </c>
      <c r="G10" s="43">
        <f>IFERROR(INDEX('KPI c'!E$19:P$19,Actual_month),)</f>
        <v>475000</v>
      </c>
      <c r="H10" s="44">
        <f>IFERROR(INDEX('KPI c'!$E$20:$P$20,Actual_month),)</f>
        <v>147500</v>
      </c>
      <c r="I10" s="24">
        <f t="shared" ref="I10:I11" si="9">IFERROR(H10/G10,"")</f>
        <v>0.31052631578947371</v>
      </c>
      <c r="J10" s="21" t="s">
        <v>6</v>
      </c>
      <c r="K10" s="21" t="s">
        <v>6</v>
      </c>
      <c r="L10" s="21" t="s">
        <v>6</v>
      </c>
      <c r="M10" s="43">
        <f>IFERROR(INDEX('KPI c'!$E$26:$P$26,Actual_month),)</f>
        <v>4500000</v>
      </c>
      <c r="N10" s="44">
        <f>IFERROR(INDEX('KPI c'!$E$27:$P$27,Actual_month),)</f>
        <v>3002500</v>
      </c>
      <c r="O10" s="24">
        <f>IFERROR(N10/M10,"")</f>
        <v>0.66722222222222227</v>
      </c>
      <c r="P10" s="54" t="s">
        <v>18</v>
      </c>
      <c r="Q10" s="5">
        <f t="shared" ref="Q10:Q11" si="10">G10*$R$3</f>
        <v>427500</v>
      </c>
      <c r="R10" s="5">
        <f t="shared" ref="R10" si="11">M10*$R$3</f>
        <v>4050000</v>
      </c>
      <c r="S10" s="27" t="s">
        <v>22</v>
      </c>
      <c r="T10" s="14" t="s">
        <v>25</v>
      </c>
    </row>
    <row r="11" spans="1:20" ht="20" x14ac:dyDescent="0.35">
      <c r="A11" s="47">
        <v>6</v>
      </c>
      <c r="B11" s="42" t="s">
        <v>86</v>
      </c>
      <c r="C11" s="23" t="s">
        <v>3</v>
      </c>
      <c r="D11" s="33" t="s">
        <v>6</v>
      </c>
      <c r="E11" s="33" t="s">
        <v>6</v>
      </c>
      <c r="F11" s="33" t="s">
        <v>6</v>
      </c>
      <c r="G11" s="43">
        <f>IFERROR(INDEX('KPI e'!E$19:P$19,Actual_month),)</f>
        <v>75000</v>
      </c>
      <c r="H11" s="44">
        <f>IFERROR(INDEX('KPI e'!$E$20:$P$20,Actual_month),)</f>
        <v>0</v>
      </c>
      <c r="I11" s="24">
        <f t="shared" si="9"/>
        <v>0</v>
      </c>
      <c r="J11" s="21" t="s">
        <v>6</v>
      </c>
      <c r="K11" s="21" t="s">
        <v>6</v>
      </c>
      <c r="L11" s="21" t="s">
        <v>6</v>
      </c>
      <c r="M11" s="43">
        <f>IFERROR(INDEX('KPI e'!$E$26:$P$26,Actual_month),)</f>
        <v>680000</v>
      </c>
      <c r="N11" s="44">
        <f>IFERROR(INDEX('KPI e'!$E$27:$P$27,Actual_month),)</f>
        <v>142500</v>
      </c>
      <c r="O11" s="24">
        <f>IFERROR(N11/M11,"")</f>
        <v>0.20955882352941177</v>
      </c>
      <c r="P11" s="26" t="s">
        <v>18</v>
      </c>
      <c r="Q11" s="5">
        <f t="shared" si="10"/>
        <v>67500</v>
      </c>
      <c r="R11" s="5">
        <f>M11*$R$3</f>
        <v>612000</v>
      </c>
      <c r="S11" s="27" t="s">
        <v>22</v>
      </c>
      <c r="T11" s="14" t="s">
        <v>25</v>
      </c>
    </row>
    <row r="12" spans="1:20" ht="20" x14ac:dyDescent="0.35">
      <c r="A12" s="47">
        <v>7</v>
      </c>
      <c r="B12" s="42" t="s">
        <v>96</v>
      </c>
      <c r="C12" s="23" t="s">
        <v>3</v>
      </c>
      <c r="D12" s="33" t="s">
        <v>6</v>
      </c>
      <c r="E12" s="33" t="s">
        <v>6</v>
      </c>
      <c r="F12" s="33" t="s">
        <v>6</v>
      </c>
      <c r="G12" s="43">
        <f>IFERROR(INDEX('KPI k'!E$19:P$19,Actual_month),)</f>
        <v>582500</v>
      </c>
      <c r="H12" s="44">
        <f>IFERROR(INDEX('KPI k'!$E$20:$P$20,Actual_month),)</f>
        <v>157500</v>
      </c>
      <c r="I12" s="24">
        <f t="shared" ref="I12:I14" si="12">IFERROR(H12/G12,"")</f>
        <v>0.27038626609442062</v>
      </c>
      <c r="J12" s="21" t="s">
        <v>6</v>
      </c>
      <c r="K12" s="21" t="s">
        <v>6</v>
      </c>
      <c r="L12" s="21" t="s">
        <v>6</v>
      </c>
      <c r="M12" s="43">
        <f>IFERROR(INDEX('KPI k'!$E$26:$P$26,Actual_month),)</f>
        <v>5242500</v>
      </c>
      <c r="N12" s="44">
        <f>IFERROR(INDEX('KPI k'!$E$27:$P$27,Actual_month),)</f>
        <v>1335000</v>
      </c>
      <c r="O12" s="24">
        <f>IFERROR(N12/M12,"")</f>
        <v>0.25464949928469244</v>
      </c>
      <c r="P12" s="26" t="s">
        <v>18</v>
      </c>
      <c r="Q12" s="5">
        <f t="shared" ref="Q12:Q14" si="13">G12*$R$3</f>
        <v>524250</v>
      </c>
      <c r="R12" s="5">
        <f t="shared" ref="R12:R13" si="14">M12*$R$3</f>
        <v>4718250</v>
      </c>
      <c r="S12" s="27" t="s">
        <v>22</v>
      </c>
      <c r="T12" s="14" t="s">
        <v>25</v>
      </c>
    </row>
    <row r="13" spans="1:20" ht="20" x14ac:dyDescent="0.35">
      <c r="A13" s="47">
        <v>8</v>
      </c>
      <c r="B13" s="42" t="s">
        <v>99</v>
      </c>
      <c r="C13" s="23" t="s">
        <v>3</v>
      </c>
      <c r="D13" s="33" t="s">
        <v>6</v>
      </c>
      <c r="E13" s="33" t="s">
        <v>6</v>
      </c>
      <c r="F13" s="33" t="s">
        <v>6</v>
      </c>
      <c r="G13" s="43">
        <f>IFERROR(INDEX('KPI y'!E$19:P$19,Actual_month),)</f>
        <v>90000</v>
      </c>
      <c r="H13" s="44">
        <f>IFERROR(INDEX('KPI y'!$E$20:$P$20,Actual_month),)</f>
        <v>61500</v>
      </c>
      <c r="I13" s="24">
        <f t="shared" si="12"/>
        <v>0.68333333333333335</v>
      </c>
      <c r="J13" s="21" t="s">
        <v>6</v>
      </c>
      <c r="K13" s="21" t="s">
        <v>6</v>
      </c>
      <c r="L13" s="21" t="s">
        <v>6</v>
      </c>
      <c r="M13" s="43">
        <f>IFERROR(INDEX('KPI y'!$E$26:$P$26,Actual_month),)</f>
        <v>810000</v>
      </c>
      <c r="N13" s="44">
        <f>IFERROR(INDEX('KPI y'!$E$27:$P$27,Actual_month),)</f>
        <v>708200</v>
      </c>
      <c r="O13" s="24">
        <f>IFERROR(N13/M13,"")</f>
        <v>0.87432098765432098</v>
      </c>
      <c r="P13" s="54" t="s">
        <v>18</v>
      </c>
      <c r="Q13" s="5">
        <f t="shared" si="13"/>
        <v>81000</v>
      </c>
      <c r="R13" s="5">
        <f t="shared" si="14"/>
        <v>729000</v>
      </c>
      <c r="S13" s="27" t="s">
        <v>22</v>
      </c>
      <c r="T13" s="14" t="s">
        <v>25</v>
      </c>
    </row>
    <row r="14" spans="1:20" ht="20" x14ac:dyDescent="0.35">
      <c r="A14" s="47">
        <v>9</v>
      </c>
      <c r="B14" s="42" t="s">
        <v>88</v>
      </c>
      <c r="C14" s="23" t="s">
        <v>3</v>
      </c>
      <c r="D14" s="33" t="s">
        <v>6</v>
      </c>
      <c r="E14" s="33" t="s">
        <v>6</v>
      </c>
      <c r="F14" s="33" t="s">
        <v>6</v>
      </c>
      <c r="G14" s="43">
        <f>IFERROR(INDEX('KPI w'!E$19:P$19,Actual_month),)</f>
        <v>112050</v>
      </c>
      <c r="H14" s="44">
        <f>IFERROR(INDEX('KPI w'!$E$20:$P$20,Actual_month),)</f>
        <v>2454300</v>
      </c>
      <c r="I14" s="24">
        <f t="shared" si="12"/>
        <v>21.903614457831324</v>
      </c>
      <c r="J14" s="21" t="s">
        <v>6</v>
      </c>
      <c r="K14" s="21" t="s">
        <v>6</v>
      </c>
      <c r="L14" s="21" t="s">
        <v>6</v>
      </c>
      <c r="M14" s="43">
        <f>IFERROR(INDEX('KPI w'!$E$26:$P$26,Actual_month),)</f>
        <v>1008450</v>
      </c>
      <c r="N14" s="44">
        <f>IFERROR(INDEX('KPI w'!$E$27:$P$27,Actual_month),)</f>
        <v>2918450</v>
      </c>
      <c r="O14" s="24">
        <f t="shared" ref="O14" si="15">IFERROR(N14/M14,"")</f>
        <v>2.8939957360305417</v>
      </c>
      <c r="P14" s="26" t="s">
        <v>18</v>
      </c>
      <c r="Q14" s="5">
        <f t="shared" si="13"/>
        <v>100845</v>
      </c>
      <c r="R14" s="5">
        <f>M14*$R$3</f>
        <v>907605</v>
      </c>
      <c r="S14" s="27" t="s">
        <v>22</v>
      </c>
      <c r="T14" s="14" t="s">
        <v>25</v>
      </c>
    </row>
    <row r="15" spans="1:20" ht="20" x14ac:dyDescent="0.35">
      <c r="A15" s="47">
        <v>10</v>
      </c>
      <c r="B15" s="42" t="s">
        <v>87</v>
      </c>
      <c r="C15" s="23" t="s">
        <v>3</v>
      </c>
      <c r="D15" s="33" t="s">
        <v>6</v>
      </c>
      <c r="E15" s="33" t="s">
        <v>6</v>
      </c>
      <c r="F15" s="33" t="s">
        <v>6</v>
      </c>
      <c r="G15" s="43">
        <f>IFERROR(INDEX('KPI z'!E$19:P$19,Actual_month),)</f>
        <v>2500</v>
      </c>
      <c r="H15" s="44">
        <f>IFERROR(INDEX('KPI z'!$E$20:$P$20,Actual_month),)</f>
        <v>0</v>
      </c>
      <c r="I15" s="24">
        <f t="shared" ref="I15:I16" si="16">IFERROR(H15/G15,"")</f>
        <v>0</v>
      </c>
      <c r="J15" s="21" t="s">
        <v>6</v>
      </c>
      <c r="K15" s="21" t="s">
        <v>6</v>
      </c>
      <c r="L15" s="21" t="s">
        <v>6</v>
      </c>
      <c r="M15" s="43">
        <f>IFERROR(INDEX('KPI z'!$E$26:$P$26,Actual_month),)</f>
        <v>22500</v>
      </c>
      <c r="N15" s="44">
        <f>IFERROR(INDEX('KPI z'!$E$27:$P$27,Actual_month),)</f>
        <v>45000</v>
      </c>
      <c r="O15" s="24">
        <f>IFERROR(N15/M15,"")</f>
        <v>2</v>
      </c>
      <c r="P15" s="26" t="s">
        <v>18</v>
      </c>
      <c r="Q15" s="5">
        <f t="shared" ref="Q15:Q16" si="17">G15*$R$3</f>
        <v>2250</v>
      </c>
      <c r="R15" s="5">
        <f t="shared" ref="R15:R16" si="18">M15*$R$3</f>
        <v>20250</v>
      </c>
      <c r="S15" s="27" t="s">
        <v>22</v>
      </c>
      <c r="T15" s="14" t="s">
        <v>25</v>
      </c>
    </row>
    <row r="16" spans="1:20" ht="20" x14ac:dyDescent="0.35">
      <c r="A16" s="47">
        <v>11</v>
      </c>
      <c r="B16" s="42" t="s">
        <v>85</v>
      </c>
      <c r="C16" s="23" t="s">
        <v>3</v>
      </c>
      <c r="D16" s="33" t="s">
        <v>6</v>
      </c>
      <c r="E16" s="33" t="s">
        <v>6</v>
      </c>
      <c r="F16" s="33" t="s">
        <v>6</v>
      </c>
      <c r="G16" s="43">
        <f>IFERROR(INDEX('KPI j'!E$19:P$19,Actual_month),)</f>
        <v>190001</v>
      </c>
      <c r="H16" s="44">
        <f>IFERROR(INDEX('KPI j'!$E$20:$P$20,Actual_month),)</f>
        <v>155000</v>
      </c>
      <c r="I16" s="24">
        <f t="shared" si="16"/>
        <v>0.81578518007799961</v>
      </c>
      <c r="J16" s="21" t="s">
        <v>6</v>
      </c>
      <c r="K16" s="21" t="s">
        <v>6</v>
      </c>
      <c r="L16" s="21" t="s">
        <v>6</v>
      </c>
      <c r="M16" s="43">
        <f>IFERROR(INDEX('KPI j'!$E$26:$P$26,Actual_month),)</f>
        <v>1710009</v>
      </c>
      <c r="N16" s="44">
        <f>IFERROR(INDEX('KPI j'!$E$27:$P$27,Actual_month),)</f>
        <v>865000</v>
      </c>
      <c r="O16" s="24">
        <f>IFERROR(N16/M16,"")</f>
        <v>0.50584529087273811</v>
      </c>
      <c r="P16" s="26" t="s">
        <v>18</v>
      </c>
      <c r="Q16" s="5">
        <f t="shared" si="17"/>
        <v>171000.9</v>
      </c>
      <c r="R16" s="5">
        <f t="shared" si="18"/>
        <v>1539008.1</v>
      </c>
      <c r="S16" s="27" t="s">
        <v>22</v>
      </c>
      <c r="T16" s="14" t="s">
        <v>25</v>
      </c>
    </row>
    <row r="17" spans="1:20" ht="20" hidden="1" x14ac:dyDescent="0.35">
      <c r="A17" s="47">
        <v>12</v>
      </c>
      <c r="B17" s="42" t="s">
        <v>75</v>
      </c>
      <c r="C17" s="23" t="s">
        <v>3</v>
      </c>
      <c r="D17" s="33" t="s">
        <v>6</v>
      </c>
      <c r="E17" s="33" t="s">
        <v>6</v>
      </c>
      <c r="F17" s="33" t="s">
        <v>6</v>
      </c>
      <c r="G17" s="43">
        <f>IFERROR(INDEX('KPI 4(i)'!E$19:P$19,Actual_month),)</f>
        <v>0</v>
      </c>
      <c r="H17" s="44">
        <f>IFERROR(INDEX('KPI 4(i)'!$E$20:$P$20,Actual_month),)</f>
        <v>0</v>
      </c>
      <c r="I17" s="24" t="str">
        <f t="shared" ref="I17:I18" si="19">IFERROR(H17/G17,"")</f>
        <v/>
      </c>
      <c r="J17" s="21" t="s">
        <v>6</v>
      </c>
      <c r="K17" s="21" t="s">
        <v>6</v>
      </c>
      <c r="L17" s="21" t="s">
        <v>6</v>
      </c>
      <c r="M17" s="43">
        <f>IFERROR(INDEX('KPI 4(i)'!$E$26:$P$26,Actual_month),)</f>
        <v>0</v>
      </c>
      <c r="N17" s="44">
        <f>IFERROR(INDEX('KPI 4(i)'!$E$27:$P$27,Actual_month),)</f>
        <v>0</v>
      </c>
      <c r="O17" s="24" t="str">
        <f>IFERROR(N17/M17,"")</f>
        <v/>
      </c>
      <c r="P17" s="54" t="s">
        <v>18</v>
      </c>
      <c r="Q17" s="5">
        <f t="shared" ref="Q17:Q18" si="20">G17*$R$3</f>
        <v>0</v>
      </c>
      <c r="R17" s="5">
        <f t="shared" ref="R17" si="21">M17*$R$3</f>
        <v>0</v>
      </c>
      <c r="S17" s="27" t="s">
        <v>22</v>
      </c>
      <c r="T17" s="14" t="s">
        <v>25</v>
      </c>
    </row>
    <row r="18" spans="1:20" ht="20" x14ac:dyDescent="0.35">
      <c r="A18" s="47">
        <v>12</v>
      </c>
      <c r="B18" s="42" t="s">
        <v>76</v>
      </c>
      <c r="C18" s="23" t="s">
        <v>3</v>
      </c>
      <c r="D18" s="33" t="s">
        <v>6</v>
      </c>
      <c r="E18" s="33" t="s">
        <v>6</v>
      </c>
      <c r="F18" s="33" t="s">
        <v>6</v>
      </c>
      <c r="G18" s="43">
        <f>IFERROR(INDEX('KPI 4 (ii)'!E$19:P$19,Actual_month),)</f>
        <v>210000</v>
      </c>
      <c r="H18" s="44">
        <f>IFERROR(INDEX('KPI 4 (ii)'!$E$20:$P$20,Actual_month),)</f>
        <v>180000</v>
      </c>
      <c r="I18" s="24">
        <f t="shared" si="19"/>
        <v>0.8571428571428571</v>
      </c>
      <c r="J18" s="21" t="s">
        <v>6</v>
      </c>
      <c r="K18" s="21" t="s">
        <v>6</v>
      </c>
      <c r="L18" s="21" t="s">
        <v>6</v>
      </c>
      <c r="M18" s="43">
        <f>IFERROR(INDEX('KPI 4 (ii)'!$E$26:$P$26,Actual_month),)</f>
        <v>1890000</v>
      </c>
      <c r="N18" s="44">
        <f>IFERROR(INDEX('KPI 4 (ii)'!$E$27:$P$27,Actual_month),)</f>
        <v>1770000</v>
      </c>
      <c r="O18" s="24">
        <f t="shared" ref="O18" si="22">IFERROR(N18/M18,"")</f>
        <v>0.93650793650793651</v>
      </c>
      <c r="P18" s="26" t="s">
        <v>18</v>
      </c>
      <c r="Q18" s="5">
        <f t="shared" si="20"/>
        <v>189000</v>
      </c>
      <c r="R18" s="5">
        <f>M18*$R$3</f>
        <v>1701000</v>
      </c>
      <c r="S18" s="27" t="s">
        <v>22</v>
      </c>
      <c r="T18" s="14" t="s">
        <v>25</v>
      </c>
    </row>
    <row r="19" spans="1:20" ht="20.5" thickBot="1" x14ac:dyDescent="0.4">
      <c r="A19" s="47">
        <v>13</v>
      </c>
      <c r="B19" s="39" t="s">
        <v>83</v>
      </c>
      <c r="C19" s="40" t="s">
        <v>3</v>
      </c>
      <c r="D19" s="33" t="s">
        <v>6</v>
      </c>
      <c r="E19" s="33" t="s">
        <v>6</v>
      </c>
      <c r="F19" s="33" t="s">
        <v>6</v>
      </c>
      <c r="G19" s="43">
        <f>IFERROR(INDEX('KPI 5'!E$19:P$19,Actual_month),)</f>
        <v>26673901.916641399</v>
      </c>
      <c r="H19" s="44">
        <f>IFERROR(INDEX('KPI 5'!$E$20:$P$20,Actual_month),)</f>
        <v>28313514.5</v>
      </c>
      <c r="I19" s="41">
        <f t="shared" ref="I19" si="23">IFERROR(H19/G19,"")</f>
        <v>1.0614687940475509</v>
      </c>
      <c r="J19" s="38" t="s">
        <v>6</v>
      </c>
      <c r="K19" s="38" t="s">
        <v>6</v>
      </c>
      <c r="L19" s="38" t="s">
        <v>6</v>
      </c>
      <c r="M19" s="43">
        <f>IFERROR(INDEX('KPI 5'!$E$26:$P$26,Actual_month),)</f>
        <v>230593312.28863031</v>
      </c>
      <c r="N19" s="44">
        <f>IFERROR(INDEX('KPI 5'!$E$27:$P$27,Actual_month),)</f>
        <v>251163532.80000001</v>
      </c>
      <c r="O19" s="24">
        <f t="shared" si="4"/>
        <v>1.0892056248605435</v>
      </c>
      <c r="P19" s="26" t="s">
        <v>18</v>
      </c>
      <c r="Q19" s="5">
        <f t="shared" ref="Q19" si="24">G19*$R$3</f>
        <v>24006511.724977259</v>
      </c>
      <c r="R19" s="5">
        <f t="shared" ref="R19" si="25">M19*$R$3</f>
        <v>207533981.05976728</v>
      </c>
      <c r="S19" s="27" t="s">
        <v>22</v>
      </c>
      <c r="T19" s="14" t="s">
        <v>25</v>
      </c>
    </row>
    <row r="20" spans="1:20" ht="15" thickBot="1" x14ac:dyDescent="0.4">
      <c r="A20" s="93"/>
      <c r="B20" s="94"/>
      <c r="C20" s="34"/>
      <c r="D20" s="34"/>
      <c r="E20" s="34"/>
      <c r="F20" s="34"/>
      <c r="G20" s="35"/>
      <c r="H20" s="35"/>
      <c r="I20" s="35"/>
      <c r="J20" s="35"/>
      <c r="K20" s="35"/>
      <c r="L20" s="35"/>
      <c r="M20" s="35"/>
      <c r="N20" s="35"/>
      <c r="O20" s="36"/>
      <c r="Q20" s="3"/>
    </row>
    <row r="21" spans="1:20" ht="20" x14ac:dyDescent="0.35">
      <c r="A21" s="37" t="s">
        <v>160</v>
      </c>
      <c r="B21" s="25" t="s">
        <v>105</v>
      </c>
      <c r="C21" s="23" t="s">
        <v>166</v>
      </c>
      <c r="D21" s="33" t="s">
        <v>6</v>
      </c>
      <c r="E21" s="33" t="s">
        <v>6</v>
      </c>
      <c r="F21" s="33" t="s">
        <v>6</v>
      </c>
      <c r="G21" s="43">
        <f>IFERROR(INDEX('KPI g'!E$19:P$19,Actual_month),)</f>
        <v>0</v>
      </c>
      <c r="H21" s="44" t="str">
        <f>IFERROR(INDEX('KPI g'!$E$20:$P$20,Actual_month),)</f>
        <v>10TH</v>
      </c>
      <c r="I21" s="24" t="str">
        <f t="shared" ref="I21:I23" si="26">IFERROR(H21/G21,"")</f>
        <v/>
      </c>
      <c r="J21" s="21" t="s">
        <v>6</v>
      </c>
      <c r="K21" s="21" t="s">
        <v>6</v>
      </c>
      <c r="L21" s="21" t="s">
        <v>6</v>
      </c>
      <c r="M21" s="43">
        <f>IFERROR(INDEX('KPI g'!$E$26:$P$26,Actual_month),)</f>
        <v>0</v>
      </c>
      <c r="N21" s="44" t="str">
        <f>H21</f>
        <v>10TH</v>
      </c>
      <c r="O21" s="24" t="str">
        <f t="shared" ref="O21:O23" si="27">IFERROR(N21/M21,"")</f>
        <v/>
      </c>
      <c r="P21" s="26" t="s">
        <v>18</v>
      </c>
      <c r="Q21" s="5"/>
      <c r="R21" s="5">
        <f t="shared" ref="R21:R22" si="28">M21*$R$3</f>
        <v>0</v>
      </c>
      <c r="S21" s="27" t="s">
        <v>22</v>
      </c>
      <c r="T21" s="14" t="s">
        <v>25</v>
      </c>
    </row>
    <row r="22" spans="1:20" ht="20" x14ac:dyDescent="0.35">
      <c r="A22" s="37" t="s">
        <v>161</v>
      </c>
      <c r="B22" s="25" t="s">
        <v>106</v>
      </c>
      <c r="C22" s="23" t="s">
        <v>166</v>
      </c>
      <c r="D22" s="33" t="s">
        <v>6</v>
      </c>
      <c r="E22" s="33" t="s">
        <v>6</v>
      </c>
      <c r="F22" s="33" t="s">
        <v>6</v>
      </c>
      <c r="G22" s="43">
        <f>IFERROR(INDEX('KPI x'!E$19:P$19,Actual_month),)</f>
        <v>0</v>
      </c>
      <c r="H22" s="44" t="str">
        <f>IFERROR(INDEX('KPI x'!$E$20:$P$20,Actual_month),)</f>
        <v>24TH</v>
      </c>
      <c r="I22" s="24" t="str">
        <f t="shared" ref="I22" si="29">IFERROR(H22/G22,"")</f>
        <v/>
      </c>
      <c r="J22" s="21" t="s">
        <v>6</v>
      </c>
      <c r="K22" s="21" t="s">
        <v>6</v>
      </c>
      <c r="L22" s="21" t="s">
        <v>6</v>
      </c>
      <c r="M22" s="43">
        <f>IFERROR(INDEX('KPI x'!$E$26:$P$26,Actual_month),)</f>
        <v>0</v>
      </c>
      <c r="N22" s="44" t="str">
        <f t="shared" ref="N22:N23" si="30">H22</f>
        <v>24TH</v>
      </c>
      <c r="O22" s="24" t="str">
        <f t="shared" ref="O22" si="31">IFERROR(N22/M22,"")</f>
        <v/>
      </c>
      <c r="P22" s="26" t="s">
        <v>18</v>
      </c>
      <c r="Q22" s="5"/>
      <c r="R22" s="5">
        <f t="shared" si="28"/>
        <v>0</v>
      </c>
      <c r="S22" s="27" t="s">
        <v>22</v>
      </c>
      <c r="T22" s="14" t="s">
        <v>25</v>
      </c>
    </row>
    <row r="23" spans="1:20" ht="20.5" thickBot="1" x14ac:dyDescent="0.4">
      <c r="A23" s="37" t="s">
        <v>162</v>
      </c>
      <c r="B23" s="25" t="s">
        <v>127</v>
      </c>
      <c r="C23" s="23" t="s">
        <v>166</v>
      </c>
      <c r="D23" s="33" t="s">
        <v>6</v>
      </c>
      <c r="E23" s="33" t="s">
        <v>6</v>
      </c>
      <c r="F23" s="33" t="s">
        <v>6</v>
      </c>
      <c r="G23" s="43">
        <f>IFERROR(INDEX('KPI x (2)'!E$19:P$19,Actual_month),)</f>
        <v>0</v>
      </c>
      <c r="H23" s="44" t="str">
        <f>IFERROR(INDEX('KPI x (2)'!$E$20:$P$20,Actual_month),)</f>
        <v>31ST</v>
      </c>
      <c r="I23" s="24" t="str">
        <f t="shared" si="26"/>
        <v/>
      </c>
      <c r="J23" s="21" t="s">
        <v>6</v>
      </c>
      <c r="K23" s="21" t="s">
        <v>6</v>
      </c>
      <c r="L23" s="21" t="s">
        <v>6</v>
      </c>
      <c r="M23" s="43">
        <f>IFERROR(INDEX('KPI x (2)'!$E$26:$P$26,Actual_month),)</f>
        <v>0</v>
      </c>
      <c r="N23" s="44" t="str">
        <f t="shared" si="30"/>
        <v>31ST</v>
      </c>
      <c r="O23" s="24" t="str">
        <f t="shared" si="27"/>
        <v/>
      </c>
      <c r="P23" s="26" t="s">
        <v>18</v>
      </c>
      <c r="Q23" s="5"/>
      <c r="R23" s="5">
        <f t="shared" ref="R23" si="32">M23*$R$3</f>
        <v>0</v>
      </c>
      <c r="S23" s="27" t="s">
        <v>22</v>
      </c>
      <c r="T23" s="14" t="s">
        <v>25</v>
      </c>
    </row>
    <row r="24" spans="1:20" ht="15" thickBot="1" x14ac:dyDescent="0.4">
      <c r="A24" s="93" t="s">
        <v>35</v>
      </c>
      <c r="B24" s="94"/>
      <c r="C24" s="34"/>
      <c r="D24" s="34"/>
      <c r="E24" s="34"/>
      <c r="F24" s="34"/>
      <c r="G24" s="35"/>
      <c r="H24" s="35"/>
      <c r="I24" s="35"/>
      <c r="J24" s="35"/>
      <c r="K24" s="35"/>
      <c r="L24" s="35"/>
      <c r="M24" s="35"/>
      <c r="N24" s="35"/>
      <c r="O24" s="36"/>
      <c r="Q24" s="3"/>
    </row>
    <row r="25" spans="1:20" ht="20" x14ac:dyDescent="0.35">
      <c r="A25" s="37" t="s">
        <v>163</v>
      </c>
      <c r="B25" s="25" t="s">
        <v>92</v>
      </c>
      <c r="C25" s="23" t="s">
        <v>95</v>
      </c>
      <c r="D25" s="33" t="s">
        <v>6</v>
      </c>
      <c r="E25" s="33" t="s">
        <v>6</v>
      </c>
      <c r="F25" s="33" t="s">
        <v>6</v>
      </c>
      <c r="G25" s="43">
        <f>IFERROR(INDEX('KPI qi'!E$19:P$19,Actual_month),)</f>
        <v>500</v>
      </c>
      <c r="H25" s="44">
        <f>IFERROR(INDEX('KPI qi'!$E$20:$P$20,Actual_month),)</f>
        <v>148</v>
      </c>
      <c r="I25" s="24">
        <f t="shared" ref="I25:I29" si="33">IFERROR(H25/G25,"")</f>
        <v>0.29599999999999999</v>
      </c>
      <c r="J25" s="21" t="s">
        <v>6</v>
      </c>
      <c r="K25" s="21" t="s">
        <v>6</v>
      </c>
      <c r="L25" s="21" t="s">
        <v>6</v>
      </c>
      <c r="M25" s="43">
        <f>IFERROR(INDEX('KPI qi'!$E$26:$P$26,Actual_month),)</f>
        <v>4500</v>
      </c>
      <c r="N25" s="44">
        <f>IFERROR(INDEX('KPI qi'!$E$27:$P$27,Actual_month),)</f>
        <v>1158</v>
      </c>
      <c r="O25" s="24">
        <f t="shared" ref="O25:O29" si="34">IFERROR(N25/M25,"")</f>
        <v>0.25733333333333336</v>
      </c>
      <c r="P25" s="26" t="s">
        <v>18</v>
      </c>
      <c r="Q25" s="5">
        <f t="shared" ref="Q25:Q29" si="35">G25*$R$3</f>
        <v>450</v>
      </c>
      <c r="R25" s="5">
        <f t="shared" ref="R25:R29" si="36">M25*$R$3</f>
        <v>4050</v>
      </c>
      <c r="S25" s="27" t="s">
        <v>22</v>
      </c>
      <c r="T25" s="14" t="s">
        <v>25</v>
      </c>
    </row>
    <row r="26" spans="1:20" ht="20" x14ac:dyDescent="0.35">
      <c r="A26" s="37" t="s">
        <v>164</v>
      </c>
      <c r="B26" s="25" t="s">
        <v>93</v>
      </c>
      <c r="C26" s="23" t="s">
        <v>95</v>
      </c>
      <c r="D26" s="33" t="s">
        <v>6</v>
      </c>
      <c r="E26" s="33" t="s">
        <v>6</v>
      </c>
      <c r="F26" s="33" t="s">
        <v>6</v>
      </c>
      <c r="G26" s="43">
        <f>IFERROR(INDEX('KPI h'!E$19:P$19,Actual_month),)</f>
        <v>55</v>
      </c>
      <c r="H26" s="44">
        <f>IFERROR(INDEX('KPI h'!$E$20:$P$20,Actual_month),)</f>
        <v>1</v>
      </c>
      <c r="I26" s="24">
        <f t="shared" si="33"/>
        <v>1.8181818181818181E-2</v>
      </c>
      <c r="J26" s="21" t="s">
        <v>6</v>
      </c>
      <c r="K26" s="21" t="s">
        <v>6</v>
      </c>
      <c r="L26" s="21" t="s">
        <v>6</v>
      </c>
      <c r="M26" s="43">
        <f>IFERROR(INDEX('KPI h'!$E$26:$P$26,Actual_month),)</f>
        <v>495</v>
      </c>
      <c r="N26" s="44">
        <f>IFERROR(INDEX('KPI h'!$E$27:$P$27,Actual_month),)</f>
        <v>30</v>
      </c>
      <c r="O26" s="24">
        <f t="shared" si="34"/>
        <v>6.0606060606060608E-2</v>
      </c>
      <c r="P26" s="26" t="s">
        <v>18</v>
      </c>
      <c r="Q26" s="5">
        <f>G26*$R$3</f>
        <v>49.5</v>
      </c>
      <c r="R26" s="5">
        <f t="shared" si="36"/>
        <v>445.5</v>
      </c>
      <c r="S26" s="27" t="s">
        <v>22</v>
      </c>
      <c r="T26" s="14" t="s">
        <v>25</v>
      </c>
    </row>
    <row r="27" spans="1:20" ht="20" x14ac:dyDescent="0.35">
      <c r="A27" s="37">
        <v>14</v>
      </c>
      <c r="B27" s="25" t="s">
        <v>94</v>
      </c>
      <c r="C27" s="23" t="s">
        <v>3</v>
      </c>
      <c r="D27" s="33" t="s">
        <v>6</v>
      </c>
      <c r="E27" s="33" t="s">
        <v>6</v>
      </c>
      <c r="F27" s="33" t="s">
        <v>6</v>
      </c>
      <c r="G27" s="43">
        <f>IFERROR(INDEX('KPI 6'!E$19:P$19,Actual_month),)</f>
        <v>27944610.204552922</v>
      </c>
      <c r="H27" s="44">
        <f>IFERROR(INDEX('KPI 6'!$E$20:$P$20,Actual_month),)</f>
        <v>31993097.75</v>
      </c>
      <c r="I27" s="24">
        <f t="shared" ref="I27:I28" si="37">IFERROR(H27/G27,"")</f>
        <v>1.1448754345046284</v>
      </c>
      <c r="J27" s="21" t="s">
        <v>6</v>
      </c>
      <c r="K27" s="21" t="s">
        <v>6</v>
      </c>
      <c r="L27" s="21" t="s">
        <v>6</v>
      </c>
      <c r="M27" s="43">
        <f>IFERROR(INDEX('KPI 6'!$E$26:$P$26,Actual_month),)</f>
        <v>242095761.90404791</v>
      </c>
      <c r="N27" s="44">
        <f>IFERROR(INDEX('KPI 6'!$E$27:$P$27,Actual_month),)</f>
        <v>234586603.84999999</v>
      </c>
      <c r="O27" s="24">
        <f t="shared" ref="O27:O28" si="38">IFERROR(N27/M27,"")</f>
        <v>0.96898269513274637</v>
      </c>
      <c r="P27" s="26" t="s">
        <v>18</v>
      </c>
      <c r="Q27" s="5">
        <f t="shared" ref="Q27" si="39">G27*$R$3</f>
        <v>25150149.184097629</v>
      </c>
      <c r="R27" s="5">
        <f t="shared" ref="R27" si="40">M27*$R$3</f>
        <v>217886185.71364313</v>
      </c>
      <c r="S27" s="27" t="s">
        <v>22</v>
      </c>
      <c r="T27" s="14" t="s">
        <v>25</v>
      </c>
    </row>
    <row r="28" spans="1:20" ht="20" hidden="1" x14ac:dyDescent="0.35">
      <c r="A28" s="37">
        <v>7</v>
      </c>
      <c r="B28" s="25" t="s">
        <v>49</v>
      </c>
      <c r="C28" s="23" t="s">
        <v>3</v>
      </c>
      <c r="D28" s="33" t="s">
        <v>6</v>
      </c>
      <c r="E28" s="33" t="s">
        <v>6</v>
      </c>
      <c r="F28" s="33" t="s">
        <v>6</v>
      </c>
      <c r="G28" s="43">
        <f>IFERROR(INDEX('KPI j'!E$19:P$19,Actual_month),)</f>
        <v>190001</v>
      </c>
      <c r="H28" s="44">
        <f>IFERROR(INDEX('KPI j'!$E$20:$P$20,Actual_month),)</f>
        <v>155000</v>
      </c>
      <c r="I28" s="24">
        <f t="shared" si="37"/>
        <v>0.81578518007799961</v>
      </c>
      <c r="J28" s="21" t="s">
        <v>6</v>
      </c>
      <c r="K28" s="21" t="s">
        <v>6</v>
      </c>
      <c r="L28" s="21" t="s">
        <v>6</v>
      </c>
      <c r="M28" s="43">
        <f>IFERROR(INDEX('KPI j'!$E$26:$P$26,Actual_month),)</f>
        <v>1710009</v>
      </c>
      <c r="N28" s="44">
        <f>IFERROR(INDEX('KPI j'!$E$27:$P$27,Actual_month),)</f>
        <v>865000</v>
      </c>
      <c r="O28" s="24">
        <f t="shared" si="38"/>
        <v>0.50584529087273811</v>
      </c>
      <c r="P28" s="26" t="s">
        <v>18</v>
      </c>
      <c r="Q28" s="5"/>
      <c r="R28" s="5"/>
      <c r="S28" s="27"/>
    </row>
    <row r="29" spans="1:20" ht="20.5" thickBot="1" x14ac:dyDescent="0.4">
      <c r="A29" s="37">
        <v>15</v>
      </c>
      <c r="B29" s="25" t="s">
        <v>34</v>
      </c>
      <c r="C29" s="23" t="s">
        <v>1</v>
      </c>
      <c r="D29" s="33" t="s">
        <v>6</v>
      </c>
      <c r="E29" s="33" t="s">
        <v>6</v>
      </c>
      <c r="F29" s="33" t="s">
        <v>6</v>
      </c>
      <c r="G29" s="45">
        <f>IFERROR(INDEX('KPI 9'!E$19:P$19,Actual_month),)</f>
        <v>1.04763863539285</v>
      </c>
      <c r="H29" s="46">
        <f>IFERROR(INDEX('KPI 9'!$E$20:$P$20,Actual_month),)</f>
        <v>1.0860912777950618</v>
      </c>
      <c r="I29" s="28">
        <f t="shared" si="33"/>
        <v>1.0367041087481397</v>
      </c>
      <c r="J29" s="21" t="s">
        <v>6</v>
      </c>
      <c r="K29" s="21" t="s">
        <v>6</v>
      </c>
      <c r="L29" s="21" t="s">
        <v>6</v>
      </c>
      <c r="M29" s="45">
        <f>IFERROR(INDEX('KPI 9'!$E$26:$P$26,Actual_month),)</f>
        <v>1.04763863539285</v>
      </c>
      <c r="N29" s="46">
        <f>IFERROR(INDEX('KPI 9'!$E$27:$P$27,Actual_month),)</f>
        <v>0.94457037891256002</v>
      </c>
      <c r="O29" s="28">
        <f t="shared" si="34"/>
        <v>0.90161850374901387</v>
      </c>
      <c r="P29" s="26" t="s">
        <v>18</v>
      </c>
      <c r="Q29" s="6">
        <f t="shared" si="35"/>
        <v>0.94287477185356494</v>
      </c>
      <c r="R29" s="6">
        <f t="shared" si="36"/>
        <v>0.94287477185356494</v>
      </c>
      <c r="S29" s="14" t="s">
        <v>22</v>
      </c>
      <c r="T29" s="14" t="s">
        <v>25</v>
      </c>
    </row>
    <row r="30" spans="1:20" ht="21.5" thickBot="1" x14ac:dyDescent="0.55000000000000004">
      <c r="A30" s="18" t="s">
        <v>47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</row>
    <row r="31" spans="1:20" ht="15" thickBot="1" x14ac:dyDescent="0.4">
      <c r="A31" s="93" t="s">
        <v>130</v>
      </c>
      <c r="B31" s="94"/>
      <c r="C31" s="34"/>
      <c r="D31" s="34"/>
      <c r="E31" s="34"/>
      <c r="F31" s="34"/>
      <c r="G31" s="35"/>
      <c r="H31" s="35"/>
      <c r="I31" s="35"/>
      <c r="J31" s="35"/>
      <c r="K31" s="35"/>
      <c r="L31" s="35"/>
      <c r="M31" s="35"/>
      <c r="N31" s="35"/>
      <c r="O31" s="36"/>
      <c r="Q31" s="3"/>
    </row>
    <row r="32" spans="1:20" ht="20" x14ac:dyDescent="0.35">
      <c r="A32" s="37" t="s">
        <v>146</v>
      </c>
      <c r="B32" s="25" t="s">
        <v>107</v>
      </c>
      <c r="C32" s="23" t="s">
        <v>36</v>
      </c>
      <c r="D32" s="33" t="s">
        <v>6</v>
      </c>
      <c r="E32" s="33" t="s">
        <v>6</v>
      </c>
      <c r="F32" s="33" t="s">
        <v>6</v>
      </c>
      <c r="G32" s="43">
        <f>IFERROR(INDEX('KPI 10'!E$19:P$19,Actual_month),)</f>
        <v>9044300.0185286924</v>
      </c>
      <c r="H32" s="44">
        <f>IFERROR(INDEX('KPI 10'!$E$20:$P$20,Actual_month),)</f>
        <v>10195970</v>
      </c>
      <c r="I32" s="28">
        <f t="shared" ref="I32:I37" si="41">IFERROR(H32/G32,"")</f>
        <v>1.1273365522054695</v>
      </c>
      <c r="J32" s="21" t="s">
        <v>6</v>
      </c>
      <c r="K32" s="21" t="s">
        <v>6</v>
      </c>
      <c r="L32" s="21" t="s">
        <v>6</v>
      </c>
      <c r="M32" s="43">
        <f>IFERROR(INDEX('KPI 10'!$E$26:$P$26,Actual_month),)</f>
        <v>81187895.150696784</v>
      </c>
      <c r="N32" s="44">
        <f>IFERROR(INDEX('KPI 10'!$E$27:$P$27,Actual_month),)</f>
        <v>93178050</v>
      </c>
      <c r="O32" s="24">
        <f t="shared" ref="O32:O37" si="42">IFERROR(N32/M32,"")</f>
        <v>1.1476840214547712</v>
      </c>
      <c r="P32" s="26" t="s">
        <v>18</v>
      </c>
      <c r="Q32" s="5">
        <f t="shared" ref="Q32:Q37" si="43">G32*$R$3</f>
        <v>8139870.0166758234</v>
      </c>
      <c r="R32" s="5">
        <f t="shared" ref="R32:R37" si="44">M32*$R$3</f>
        <v>73069105.635627106</v>
      </c>
      <c r="S32" s="27" t="s">
        <v>22</v>
      </c>
    </row>
    <row r="33" spans="1:19" ht="20" x14ac:dyDescent="0.35">
      <c r="A33" s="37" t="s">
        <v>147</v>
      </c>
      <c r="B33" s="25" t="s">
        <v>108</v>
      </c>
      <c r="C33" s="23" t="s">
        <v>36</v>
      </c>
      <c r="D33" s="33" t="s">
        <v>6</v>
      </c>
      <c r="E33" s="33" t="s">
        <v>6</v>
      </c>
      <c r="F33" s="33" t="s">
        <v>6</v>
      </c>
      <c r="G33" s="43">
        <f>IFERROR(INDEX('KPI 11'!E$19:P$19,Actual_month),)</f>
        <v>5161165.778803519</v>
      </c>
      <c r="H33" s="44">
        <f>IFERROR(INDEX('KPI 11'!$E$20:$P$20,Actual_month),)</f>
        <v>5821018.5000000009</v>
      </c>
      <c r="I33" s="28">
        <f t="shared" si="41"/>
        <v>1.1278495497870737</v>
      </c>
      <c r="J33" s="21" t="s">
        <v>6</v>
      </c>
      <c r="K33" s="21" t="s">
        <v>6</v>
      </c>
      <c r="L33" s="21" t="s">
        <v>6</v>
      </c>
      <c r="M33" s="43">
        <f>IFERROR(INDEX('KPI 11'!$E$26:$P$26,Actual_month),)</f>
        <v>45605872.148941658</v>
      </c>
      <c r="N33" s="44">
        <f>IFERROR(INDEX('KPI 11'!$E$27:$P$27,Actual_month),)</f>
        <v>51180684.299999997</v>
      </c>
      <c r="O33" s="24">
        <f t="shared" si="42"/>
        <v>1.1222389110957438</v>
      </c>
      <c r="P33" s="26" t="s">
        <v>18</v>
      </c>
      <c r="Q33" s="5">
        <f t="shared" si="43"/>
        <v>4645049.2009231672</v>
      </c>
      <c r="R33" s="5">
        <f t="shared" si="44"/>
        <v>41045284.93404749</v>
      </c>
      <c r="S33" s="27" t="s">
        <v>22</v>
      </c>
    </row>
    <row r="34" spans="1:19" ht="20" x14ac:dyDescent="0.35">
      <c r="A34" s="37" t="s">
        <v>148</v>
      </c>
      <c r="B34" s="25" t="s">
        <v>78</v>
      </c>
      <c r="C34" s="23" t="s">
        <v>36</v>
      </c>
      <c r="D34" s="33" t="s">
        <v>6</v>
      </c>
      <c r="E34" s="33" t="s">
        <v>6</v>
      </c>
      <c r="F34" s="33" t="s">
        <v>6</v>
      </c>
      <c r="G34" s="43">
        <f>IFERROR(INDEX('KPI 11a'!E$19:P$19,Actual_month),)</f>
        <v>0</v>
      </c>
      <c r="H34" s="44">
        <f>IFERROR(INDEX('KPI 11a'!$E$20:$P$20,Actual_month),)</f>
        <v>509798.49999999907</v>
      </c>
      <c r="I34" s="28" t="str">
        <f t="shared" ref="I34" si="45">IFERROR(H34/G34,"")</f>
        <v/>
      </c>
      <c r="J34" s="21" t="s">
        <v>6</v>
      </c>
      <c r="K34" s="21" t="s">
        <v>6</v>
      </c>
      <c r="L34" s="21" t="s">
        <v>6</v>
      </c>
      <c r="M34" s="43">
        <f>IFERROR(INDEX('KPI 11a'!$E$26:$P$26,Actual_month),)</f>
        <v>0</v>
      </c>
      <c r="N34" s="44">
        <f>IFERROR(INDEX('KPI 11a'!$E$27:$P$27,Actual_month),)</f>
        <v>7916502.5</v>
      </c>
      <c r="O34" s="24" t="str">
        <f t="shared" ref="O34" si="46">IFERROR(N34/M34,"")</f>
        <v/>
      </c>
      <c r="P34" s="26" t="s">
        <v>18</v>
      </c>
      <c r="Q34" s="5">
        <f t="shared" ref="Q34" si="47">G34*$R$3</f>
        <v>0</v>
      </c>
      <c r="R34" s="5">
        <f t="shared" ref="R34" si="48">M34*$R$3</f>
        <v>0</v>
      </c>
      <c r="S34" s="27" t="s">
        <v>22</v>
      </c>
    </row>
    <row r="35" spans="1:19" ht="20" x14ac:dyDescent="0.35">
      <c r="A35" s="37" t="s">
        <v>149</v>
      </c>
      <c r="B35" s="25" t="s">
        <v>109</v>
      </c>
      <c r="C35" s="23" t="s">
        <v>36</v>
      </c>
      <c r="D35" s="33" t="s">
        <v>6</v>
      </c>
      <c r="E35" s="33" t="s">
        <v>6</v>
      </c>
      <c r="F35" s="33" t="s">
        <v>6</v>
      </c>
      <c r="G35" s="43">
        <f>IFERROR(INDEX('KPI 12'!E$19:P$19,Actual_month),)</f>
        <v>14205465.797332212</v>
      </c>
      <c r="H35" s="44">
        <f>IFERROR(INDEX('KPI 12'!$E$20:$P$20,Actual_month),)</f>
        <v>16526787</v>
      </c>
      <c r="I35" s="28">
        <f t="shared" si="41"/>
        <v>1.1634104249579575</v>
      </c>
      <c r="J35" s="21" t="s">
        <v>6</v>
      </c>
      <c r="K35" s="21" t="s">
        <v>6</v>
      </c>
      <c r="L35" s="21" t="s">
        <v>6</v>
      </c>
      <c r="M35" s="43">
        <f>IFERROR(INDEX('KPI 12'!$E$26:$P$26,Actual_month),)</f>
        <v>126793767.29963842</v>
      </c>
      <c r="N35" s="44">
        <f>IFERROR(INDEX('KPI 12'!$E$27:$P$27,Actual_month),)</f>
        <v>152275236.80000001</v>
      </c>
      <c r="O35" s="24">
        <f t="shared" si="42"/>
        <v>1.2009678396899739</v>
      </c>
      <c r="P35" s="26" t="s">
        <v>18</v>
      </c>
      <c r="Q35" s="5">
        <f t="shared" si="43"/>
        <v>12784919.217598991</v>
      </c>
      <c r="R35" s="5">
        <f t="shared" si="44"/>
        <v>114114390.56967458</v>
      </c>
      <c r="S35" s="27" t="s">
        <v>22</v>
      </c>
    </row>
    <row r="36" spans="1:19" ht="20" x14ac:dyDescent="0.35">
      <c r="A36" s="37" t="s">
        <v>143</v>
      </c>
      <c r="B36" s="25" t="s">
        <v>110</v>
      </c>
      <c r="C36" s="23" t="s">
        <v>36</v>
      </c>
      <c r="D36" s="33" t="s">
        <v>6</v>
      </c>
      <c r="E36" s="33" t="s">
        <v>6</v>
      </c>
      <c r="F36" s="33" t="s">
        <v>6</v>
      </c>
      <c r="G36" s="43">
        <f>IFERROR(INDEX('KPI 13'!E$19:P$19,Actual_month),)</f>
        <v>14915739.087198824</v>
      </c>
      <c r="H36" s="44">
        <f>IFERROR(INDEX('KPI 13'!$E$20:$P$20,Actual_month),)</f>
        <v>22532132.25</v>
      </c>
      <c r="I36" s="28">
        <f t="shared" si="41"/>
        <v>1.5106279426232263</v>
      </c>
      <c r="J36" s="21" t="s">
        <v>6</v>
      </c>
      <c r="K36" s="21" t="s">
        <v>6</v>
      </c>
      <c r="L36" s="21" t="s">
        <v>6</v>
      </c>
      <c r="M36" s="43">
        <f>IFERROR(INDEX('KPI 13'!$E$26:$P$26,Actual_month),)</f>
        <v>133133455.66462035</v>
      </c>
      <c r="N36" s="44">
        <f>IFERROR(INDEX('KPI 13'!$E$27:$P$27,Actual_month),)</f>
        <v>147824383.84999999</v>
      </c>
      <c r="O36" s="24">
        <f t="shared" si="42"/>
        <v>1.1103473812201488</v>
      </c>
      <c r="P36" s="26" t="s">
        <v>18</v>
      </c>
      <c r="Q36" s="5">
        <f t="shared" si="43"/>
        <v>13424165.178478941</v>
      </c>
      <c r="R36" s="5">
        <f t="shared" si="44"/>
        <v>119820110.09815831</v>
      </c>
      <c r="S36" s="27" t="s">
        <v>22</v>
      </c>
    </row>
    <row r="37" spans="1:19" ht="20.5" thickBot="1" x14ac:dyDescent="0.4">
      <c r="A37" s="47" t="s">
        <v>144</v>
      </c>
      <c r="B37" s="25" t="s">
        <v>111</v>
      </c>
      <c r="C37" s="23" t="s">
        <v>1</v>
      </c>
      <c r="D37" s="33" t="s">
        <v>6</v>
      </c>
      <c r="E37" s="33" t="s">
        <v>6</v>
      </c>
      <c r="F37" s="33" t="s">
        <v>6</v>
      </c>
      <c r="G37" s="45">
        <f>IFERROR(INDEX('KPI 14'!E$19:P$19,Actual_month),)</f>
        <v>1.05</v>
      </c>
      <c r="H37" s="46">
        <f>IFERROR(INDEX('KPI 14'!$E$20:$P$20,Actual_month),)</f>
        <v>1.2996422111530128</v>
      </c>
      <c r="I37" s="28">
        <f t="shared" si="41"/>
        <v>1.2377544868123931</v>
      </c>
      <c r="J37" s="21" t="s">
        <v>6</v>
      </c>
      <c r="K37" s="21" t="s">
        <v>6</v>
      </c>
      <c r="L37" s="21" t="s">
        <v>6</v>
      </c>
      <c r="M37" s="45">
        <f>IFERROR(INDEX('KPI 14'!$E$26:$P$26,Actual_month),)</f>
        <v>1.05</v>
      </c>
      <c r="N37" s="46">
        <f>IFERROR(INDEX('KPI 14'!$E$27:$P$27,Actual_month),)</f>
        <v>0.97001417303819992</v>
      </c>
      <c r="O37" s="24">
        <f t="shared" si="42"/>
        <v>0.92382302194114274</v>
      </c>
      <c r="P37" s="26" t="s">
        <v>18</v>
      </c>
      <c r="Q37" s="6">
        <f t="shared" si="43"/>
        <v>0.94500000000000006</v>
      </c>
      <c r="R37" s="6">
        <f t="shared" si="44"/>
        <v>0.94500000000000006</v>
      </c>
      <c r="S37" s="14" t="s">
        <v>22</v>
      </c>
    </row>
    <row r="38" spans="1:19" ht="15" thickBot="1" x14ac:dyDescent="0.4">
      <c r="A38" s="93" t="s">
        <v>131</v>
      </c>
      <c r="B38" s="94"/>
      <c r="C38" s="34"/>
      <c r="D38" s="34"/>
      <c r="E38" s="34"/>
      <c r="F38" s="34"/>
      <c r="G38" s="35"/>
      <c r="H38" s="35"/>
      <c r="I38" s="35"/>
      <c r="J38" s="35"/>
      <c r="K38" s="35"/>
      <c r="L38" s="35"/>
      <c r="M38" s="35"/>
      <c r="N38" s="35"/>
      <c r="O38" s="36"/>
      <c r="Q38" s="3"/>
    </row>
    <row r="39" spans="1:19" ht="20" x14ac:dyDescent="0.35">
      <c r="A39" s="37" t="s">
        <v>145</v>
      </c>
      <c r="B39" s="25" t="s">
        <v>112</v>
      </c>
      <c r="C39" s="23" t="s">
        <v>36</v>
      </c>
      <c r="D39" s="33" t="s">
        <v>6</v>
      </c>
      <c r="E39" s="33" t="s">
        <v>6</v>
      </c>
      <c r="F39" s="33" t="s">
        <v>6</v>
      </c>
      <c r="G39" s="43">
        <f>IFERROR(INDEX('KPI 15'!E$19:P$19,Actual_month),)</f>
        <v>6650863.8502878789</v>
      </c>
      <c r="H39" s="44">
        <f>IFERROR(INDEX('KPI 15'!$E$20:$P$20,Actual_month),)</f>
        <v>4890400</v>
      </c>
      <c r="I39" s="28">
        <f t="shared" ref="I39:I52" si="49">IFERROR(H39/G39,"")</f>
        <v>0.73530297869325978</v>
      </c>
      <c r="J39" s="21" t="s">
        <v>6</v>
      </c>
      <c r="K39" s="21" t="s">
        <v>6</v>
      </c>
      <c r="L39" s="21" t="s">
        <v>6</v>
      </c>
      <c r="M39" s="43">
        <f>IFERROR(INDEX('KPI 15'!$E$26:$P$26,Actual_month),)</f>
        <v>52436202.998806134</v>
      </c>
      <c r="N39" s="44">
        <f>IFERROR(INDEX('KPI 15'!$E$27:$P$27,Actual_month),)</f>
        <v>54746640</v>
      </c>
      <c r="O39" s="24">
        <f t="shared" ref="O39:O44" si="50">IFERROR(N39/M39,"")</f>
        <v>1.0440618669747401</v>
      </c>
      <c r="P39" s="26" t="s">
        <v>18</v>
      </c>
      <c r="Q39" s="5">
        <f t="shared" ref="Q39:Q52" si="51">G39*$R$3</f>
        <v>5985777.465259091</v>
      </c>
      <c r="R39" s="5">
        <f t="shared" ref="R39:R52" si="52">M39*$R$3</f>
        <v>47192582.698925525</v>
      </c>
      <c r="S39" s="27" t="s">
        <v>22</v>
      </c>
    </row>
    <row r="40" spans="1:19" ht="20" x14ac:dyDescent="0.35">
      <c r="A40" s="37" t="s">
        <v>150</v>
      </c>
      <c r="B40" s="25" t="s">
        <v>113</v>
      </c>
      <c r="C40" s="23" t="s">
        <v>36</v>
      </c>
      <c r="D40" s="33" t="s">
        <v>6</v>
      </c>
      <c r="E40" s="33" t="s">
        <v>6</v>
      </c>
      <c r="F40" s="33" t="s">
        <v>6</v>
      </c>
      <c r="G40" s="43">
        <f>IFERROR(INDEX('KPI 16'!E$19:P$19,Actual_month),)</f>
        <v>0</v>
      </c>
      <c r="H40" s="44">
        <f>IFERROR(INDEX('KPI 16'!$E$20:$P$20,Actual_month),)</f>
        <v>0</v>
      </c>
      <c r="I40" s="28" t="str">
        <f t="shared" si="49"/>
        <v/>
      </c>
      <c r="J40" s="21" t="s">
        <v>6</v>
      </c>
      <c r="K40" s="21" t="s">
        <v>6</v>
      </c>
      <c r="L40" s="21" t="s">
        <v>6</v>
      </c>
      <c r="M40" s="43">
        <f>IFERROR(INDEX('KPI 16'!$E$26:$P$26,Actual_month),)</f>
        <v>0</v>
      </c>
      <c r="N40" s="44">
        <f>IFERROR(INDEX('KPI 16'!$E$27:$P$27,Actual_month),)</f>
        <v>0</v>
      </c>
      <c r="O40" s="24" t="str">
        <f t="shared" si="50"/>
        <v/>
      </c>
      <c r="P40" s="26" t="s">
        <v>18</v>
      </c>
      <c r="Q40" s="5">
        <f t="shared" si="51"/>
        <v>0</v>
      </c>
      <c r="R40" s="5">
        <f t="shared" si="52"/>
        <v>0</v>
      </c>
      <c r="S40" s="27" t="s">
        <v>22</v>
      </c>
    </row>
    <row r="41" spans="1:19" ht="20" x14ac:dyDescent="0.35">
      <c r="A41" s="37" t="s">
        <v>151</v>
      </c>
      <c r="B41" s="25" t="s">
        <v>78</v>
      </c>
      <c r="C41" s="23" t="s">
        <v>36</v>
      </c>
      <c r="D41" s="33" t="s">
        <v>6</v>
      </c>
      <c r="E41" s="33" t="s">
        <v>6</v>
      </c>
      <c r="F41" s="33" t="s">
        <v>6</v>
      </c>
      <c r="G41" s="43">
        <f>IFERROR(INDEX('KPI 16A'!E$19:P$19,Actual_month),)</f>
        <v>0</v>
      </c>
      <c r="H41" s="44">
        <f>IFERROR(INDEX('KPI 16A'!$E$20:$P$20,Actual_month),)</f>
        <v>244520</v>
      </c>
      <c r="I41" s="28" t="str">
        <f t="shared" ref="I41" si="53">IFERROR(H41/G41,"")</f>
        <v/>
      </c>
      <c r="J41" s="21" t="s">
        <v>6</v>
      </c>
      <c r="K41" s="21" t="s">
        <v>6</v>
      </c>
      <c r="L41" s="21" t="s">
        <v>6</v>
      </c>
      <c r="M41" s="43">
        <f>IFERROR(INDEX('KPI 16A'!$E$26:$P$26,Actual_month),)</f>
        <v>0</v>
      </c>
      <c r="N41" s="44">
        <f>IFERROR(INDEX('KPI 16A'!$E$27:$P$27,Actual_month),)</f>
        <v>4946482</v>
      </c>
      <c r="O41" s="24" t="str">
        <f t="shared" ref="O41" si="54">IFERROR(N41/M41,"")</f>
        <v/>
      </c>
      <c r="P41" s="26" t="s">
        <v>18</v>
      </c>
      <c r="Q41" s="5">
        <f t="shared" ref="Q41" si="55">G41*$R$3</f>
        <v>0</v>
      </c>
      <c r="R41" s="5">
        <f t="shared" ref="R41" si="56">M41*$R$3</f>
        <v>0</v>
      </c>
      <c r="S41" s="27" t="s">
        <v>22</v>
      </c>
    </row>
    <row r="42" spans="1:19" ht="20" x14ac:dyDescent="0.35">
      <c r="A42" s="37" t="s">
        <v>152</v>
      </c>
      <c r="B42" s="25" t="s">
        <v>114</v>
      </c>
      <c r="C42" s="23" t="s">
        <v>36</v>
      </c>
      <c r="D42" s="33" t="s">
        <v>6</v>
      </c>
      <c r="E42" s="33" t="s">
        <v>6</v>
      </c>
      <c r="F42" s="33" t="s">
        <v>6</v>
      </c>
      <c r="G42" s="43">
        <f>IFERROR(INDEX('KPI 17'!E$19:P$19,Actual_month),)</f>
        <v>6650863.8502878789</v>
      </c>
      <c r="H42" s="44">
        <f>IFERROR(INDEX('KPI 17'!$E$20:$P$20,Actual_month),)</f>
        <v>5134920</v>
      </c>
      <c r="I42" s="28">
        <f t="shared" si="49"/>
        <v>0.77206812762792276</v>
      </c>
      <c r="J42" s="21" t="s">
        <v>6</v>
      </c>
      <c r="K42" s="21" t="s">
        <v>6</v>
      </c>
      <c r="L42" s="21" t="s">
        <v>6</v>
      </c>
      <c r="M42" s="43">
        <f>IFERROR(INDEX('KPI 17'!$E$26:$P$26,Actual_month),)</f>
        <v>52436202.998806134</v>
      </c>
      <c r="N42" s="44">
        <f>IFERROR(INDEX('KPI 17'!$E$27:$P$27,Actual_month),)</f>
        <v>59693122</v>
      </c>
      <c r="O42" s="24">
        <f t="shared" si="50"/>
        <v>1.1383952038128904</v>
      </c>
      <c r="P42" s="26" t="s">
        <v>18</v>
      </c>
      <c r="Q42" s="5">
        <f t="shared" si="51"/>
        <v>5985777.465259091</v>
      </c>
      <c r="R42" s="5">
        <f t="shared" si="52"/>
        <v>47192582.698925525</v>
      </c>
      <c r="S42" s="27" t="s">
        <v>22</v>
      </c>
    </row>
    <row r="43" spans="1:19" ht="20" x14ac:dyDescent="0.35">
      <c r="A43" s="37" t="s">
        <v>153</v>
      </c>
      <c r="B43" s="25" t="s">
        <v>115</v>
      </c>
      <c r="C43" s="23" t="s">
        <v>36</v>
      </c>
      <c r="D43" s="33" t="s">
        <v>6</v>
      </c>
      <c r="E43" s="33" t="s">
        <v>6</v>
      </c>
      <c r="F43" s="33" t="s">
        <v>6</v>
      </c>
      <c r="G43" s="43">
        <f>IFERROR(INDEX('KPI 18'!E$19:P$19,Actual_month),)</f>
        <v>6983407.0428022733</v>
      </c>
      <c r="H43" s="44">
        <f>IFERROR(INDEX('KPI 18'!$E$20:$P$20,Actual_month),)</f>
        <v>5621150.5</v>
      </c>
      <c r="I43" s="28">
        <f t="shared" si="49"/>
        <v>0.80492952301751663</v>
      </c>
      <c r="J43" s="21" t="s">
        <v>6</v>
      </c>
      <c r="K43" s="21" t="s">
        <v>6</v>
      </c>
      <c r="L43" s="21" t="s">
        <v>6</v>
      </c>
      <c r="M43" s="43">
        <f>IFERROR(INDEX('KPI 18'!$E$26:$P$26,Actual_month),)</f>
        <v>55058013.148746446</v>
      </c>
      <c r="N43" s="44">
        <f>IFERROR(INDEX('KPI 18'!$E$27:$P$27,Actual_month),)</f>
        <v>53274697.5</v>
      </c>
      <c r="O43" s="24">
        <f t="shared" si="50"/>
        <v>0.96761024332773171</v>
      </c>
      <c r="P43" s="26" t="s">
        <v>18</v>
      </c>
      <c r="Q43" s="5">
        <f t="shared" si="51"/>
        <v>6285066.3385220459</v>
      </c>
      <c r="R43" s="5">
        <f t="shared" si="52"/>
        <v>49552211.833871804</v>
      </c>
      <c r="S43" s="27" t="s">
        <v>22</v>
      </c>
    </row>
    <row r="44" spans="1:19" ht="20.5" thickBot="1" x14ac:dyDescent="0.4">
      <c r="A44" s="47" t="s">
        <v>154</v>
      </c>
      <c r="B44" s="25" t="s">
        <v>121</v>
      </c>
      <c r="C44" s="23" t="s">
        <v>1</v>
      </c>
      <c r="D44" s="33" t="s">
        <v>6</v>
      </c>
      <c r="E44" s="33" t="s">
        <v>6</v>
      </c>
      <c r="F44" s="33" t="s">
        <v>6</v>
      </c>
      <c r="G44" s="45">
        <f>IFERROR(INDEX('KPI 14 (2)'!E$19:P$19,Actual_month),)</f>
        <v>1.05</v>
      </c>
      <c r="H44" s="46">
        <f>IFERROR(INDEX('KPI 14 (2)'!$E$20:$P$20,Actual_month),)</f>
        <v>0.74787416705433074</v>
      </c>
      <c r="I44" s="28">
        <f t="shared" si="49"/>
        <v>0.71226111148031501</v>
      </c>
      <c r="J44" s="21" t="s">
        <v>6</v>
      </c>
      <c r="K44" s="21" t="s">
        <v>6</v>
      </c>
      <c r="L44" s="21" t="s">
        <v>6</v>
      </c>
      <c r="M44" s="45">
        <f>IFERROR(INDEX('KPI 14 (2)'!$E$26:$P$26,Actual_month),)</f>
        <v>1.05</v>
      </c>
      <c r="N44" s="46">
        <f>IFERROR(INDEX('KPI 14 (2)'!$E$27:$P$27,Actual_month),)</f>
        <v>0.90876768190867252</v>
      </c>
      <c r="O44" s="24">
        <f t="shared" si="50"/>
        <v>0.86549303038921188</v>
      </c>
      <c r="P44" s="26" t="s">
        <v>18</v>
      </c>
      <c r="Q44" s="6">
        <f t="shared" si="51"/>
        <v>0.94500000000000006</v>
      </c>
      <c r="R44" s="6">
        <f t="shared" si="52"/>
        <v>0.94500000000000006</v>
      </c>
      <c r="S44" s="14" t="s">
        <v>22</v>
      </c>
    </row>
    <row r="45" spans="1:19" ht="15" thickBot="1" x14ac:dyDescent="0.4">
      <c r="A45" s="93" t="s">
        <v>133</v>
      </c>
      <c r="B45" s="94"/>
      <c r="C45" s="34"/>
      <c r="D45" s="34"/>
      <c r="E45" s="34"/>
      <c r="F45" s="34"/>
      <c r="G45" s="35"/>
      <c r="H45" s="35"/>
      <c r="I45" s="35"/>
      <c r="J45" s="35"/>
      <c r="K45" s="35"/>
      <c r="L45" s="35"/>
      <c r="M45" s="35"/>
      <c r="N45" s="35"/>
      <c r="O45" s="36"/>
      <c r="Q45" s="3"/>
    </row>
    <row r="46" spans="1:19" ht="20" x14ac:dyDescent="0.35">
      <c r="A46" s="37" t="s">
        <v>155</v>
      </c>
      <c r="B46" s="25" t="s">
        <v>116</v>
      </c>
      <c r="C46" s="23" t="s">
        <v>36</v>
      </c>
      <c r="D46" s="33" t="s">
        <v>6</v>
      </c>
      <c r="E46" s="33" t="s">
        <v>6</v>
      </c>
      <c r="F46" s="33" t="s">
        <v>6</v>
      </c>
      <c r="G46" s="43">
        <f>IFERROR(INDEX('KPI 10 (2)'!E$19:P$19,Actual_month),)</f>
        <v>3129963.9089611997</v>
      </c>
      <c r="H46" s="44">
        <f>IFERROR(INDEX('KPI 10 (2)'!$E$20:$P$20,Actual_month),)</f>
        <v>3265000</v>
      </c>
      <c r="I46" s="28">
        <f t="shared" ref="I46:I51" si="57">IFERROR(H46/G46,"")</f>
        <v>1.0431430185671429</v>
      </c>
      <c r="J46" s="21" t="s">
        <v>6</v>
      </c>
      <c r="K46" s="21" t="s">
        <v>6</v>
      </c>
      <c r="L46" s="21" t="s">
        <v>6</v>
      </c>
      <c r="M46" s="43">
        <f>IFERROR(INDEX('KPI 10 (2)'!$E$26:$P$26,Actual_month),)</f>
        <v>27396591.850497052</v>
      </c>
      <c r="N46" s="44">
        <f>IFERROR(INDEX('KPI 10 (2)'!$E$27:$P$27,Actual_month),)</f>
        <v>31884730</v>
      </c>
      <c r="O46" s="24">
        <f t="shared" ref="O46:O51" si="58">IFERROR(N46/M46,"")</f>
        <v>1.1638210392735957</v>
      </c>
      <c r="P46" s="26" t="s">
        <v>18</v>
      </c>
      <c r="Q46" s="5">
        <f t="shared" ref="Q46:Q51" si="59">G46*$R$3</f>
        <v>2816967.5180650796</v>
      </c>
      <c r="R46" s="5">
        <f t="shared" ref="R46:R51" si="60">M46*$R$3</f>
        <v>24656932.665447347</v>
      </c>
      <c r="S46" s="27" t="s">
        <v>22</v>
      </c>
    </row>
    <row r="47" spans="1:19" ht="20" x14ac:dyDescent="0.35">
      <c r="A47" s="37" t="s">
        <v>156</v>
      </c>
      <c r="B47" s="25" t="s">
        <v>117</v>
      </c>
      <c r="C47" s="23" t="s">
        <v>36</v>
      </c>
      <c r="D47" s="33" t="s">
        <v>6</v>
      </c>
      <c r="E47" s="33" t="s">
        <v>6</v>
      </c>
      <c r="F47" s="33" t="s">
        <v>6</v>
      </c>
      <c r="G47" s="43">
        <f>IFERROR(INDEX('KPI 11 (2)'!E$19:P$19,Actual_month),)</f>
        <v>103800.97117121863</v>
      </c>
      <c r="H47" s="44">
        <f>IFERROR(INDEX('KPI 11 (2)'!$E$20:$P$20,Actual_month),)</f>
        <v>112697.5</v>
      </c>
      <c r="I47" s="28">
        <f t="shared" si="57"/>
        <v>1.0857075683242563</v>
      </c>
      <c r="J47" s="21" t="s">
        <v>6</v>
      </c>
      <c r="K47" s="21" t="s">
        <v>6</v>
      </c>
      <c r="L47" s="21" t="s">
        <v>6</v>
      </c>
      <c r="M47" s="43">
        <f>IFERROR(INDEX('KPI 11 (2)'!$E$26:$P$26,Actual_month),)</f>
        <v>902756.63968866528</v>
      </c>
      <c r="N47" s="44">
        <f>IFERROR(INDEX('KPI 11 (2)'!$E$27:$P$27,Actual_month),)</f>
        <v>1087947.5</v>
      </c>
      <c r="O47" s="24">
        <f t="shared" si="58"/>
        <v>1.2051392946555362</v>
      </c>
      <c r="P47" s="26" t="s">
        <v>18</v>
      </c>
      <c r="Q47" s="5">
        <f t="shared" si="59"/>
        <v>93420.87405409677</v>
      </c>
      <c r="R47" s="5">
        <f t="shared" si="60"/>
        <v>812480.97571979882</v>
      </c>
      <c r="S47" s="27" t="s">
        <v>22</v>
      </c>
    </row>
    <row r="48" spans="1:19" ht="20" x14ac:dyDescent="0.35">
      <c r="A48" s="37" t="s">
        <v>157</v>
      </c>
      <c r="B48" s="25" t="s">
        <v>78</v>
      </c>
      <c r="C48" s="23" t="s">
        <v>36</v>
      </c>
      <c r="D48" s="33" t="s">
        <v>6</v>
      </c>
      <c r="E48" s="33" t="s">
        <v>6</v>
      </c>
      <c r="F48" s="33" t="s">
        <v>6</v>
      </c>
      <c r="G48" s="43">
        <f>IFERROR(INDEX('KPI 11a (2)'!E$19:P$19,Actual_month),)</f>
        <v>0</v>
      </c>
      <c r="H48" s="44">
        <f>IFERROR(INDEX('KPI 11a (2)'!$E$20:$P$20,Actual_month),)</f>
        <v>163250</v>
      </c>
      <c r="I48" s="28" t="str">
        <f t="shared" si="57"/>
        <v/>
      </c>
      <c r="J48" s="21" t="s">
        <v>6</v>
      </c>
      <c r="K48" s="21" t="s">
        <v>6</v>
      </c>
      <c r="L48" s="21" t="s">
        <v>6</v>
      </c>
      <c r="M48" s="43">
        <f>IFERROR(INDEX('KPI 11a (2)'!$E$26:$P$26,Actual_month),)</f>
        <v>0</v>
      </c>
      <c r="N48" s="44">
        <f>IFERROR(INDEX('KPI 11a (2)'!$E$27:$P$27,Actual_month),)</f>
        <v>3111636.5</v>
      </c>
      <c r="O48" s="24" t="str">
        <f t="shared" si="58"/>
        <v/>
      </c>
      <c r="P48" s="26" t="s">
        <v>18</v>
      </c>
      <c r="Q48" s="5">
        <f t="shared" si="59"/>
        <v>0</v>
      </c>
      <c r="R48" s="5">
        <f t="shared" si="60"/>
        <v>0</v>
      </c>
      <c r="S48" s="27" t="s">
        <v>22</v>
      </c>
    </row>
    <row r="49" spans="1:19" ht="20" x14ac:dyDescent="0.35">
      <c r="A49" s="37" t="s">
        <v>152</v>
      </c>
      <c r="B49" s="25" t="s">
        <v>118</v>
      </c>
      <c r="C49" s="23" t="s">
        <v>36</v>
      </c>
      <c r="D49" s="33" t="s">
        <v>6</v>
      </c>
      <c r="E49" s="33" t="s">
        <v>6</v>
      </c>
      <c r="F49" s="33" t="s">
        <v>6</v>
      </c>
      <c r="G49" s="43">
        <f>IFERROR(INDEX('KPI 12 (2)'!E$19:P$19,Actual_month),)</f>
        <v>3233764.8801324181</v>
      </c>
      <c r="H49" s="44">
        <f>IFERROR(INDEX('KPI 12 (2)'!$E$20:$P$20,Actual_month),)</f>
        <v>3540947.5</v>
      </c>
      <c r="I49" s="28">
        <f t="shared" si="57"/>
        <v>1.0949922555454938</v>
      </c>
      <c r="J49" s="21" t="s">
        <v>6</v>
      </c>
      <c r="K49" s="21" t="s">
        <v>6</v>
      </c>
      <c r="L49" s="21" t="s">
        <v>6</v>
      </c>
      <c r="M49" s="43">
        <f>IFERROR(INDEX('KPI 12 (2)'!$E$26:$P$26,Actual_month),)</f>
        <v>28299348.490185719</v>
      </c>
      <c r="N49" s="44">
        <f>IFERROR(INDEX('KPI 12 (2)'!$E$27:$P$27,Actual_month),)</f>
        <v>36084314</v>
      </c>
      <c r="O49" s="24">
        <f t="shared" si="58"/>
        <v>1.27509345356534</v>
      </c>
      <c r="P49" s="26" t="s">
        <v>18</v>
      </c>
      <c r="Q49" s="5">
        <f t="shared" si="59"/>
        <v>2910388.3921191762</v>
      </c>
      <c r="R49" s="5">
        <f t="shared" si="60"/>
        <v>25469413.641167149</v>
      </c>
      <c r="S49" s="27" t="s">
        <v>22</v>
      </c>
    </row>
    <row r="50" spans="1:19" ht="20" x14ac:dyDescent="0.35">
      <c r="A50" s="37" t="s">
        <v>158</v>
      </c>
      <c r="B50" s="25" t="s">
        <v>119</v>
      </c>
      <c r="C50" s="23" t="s">
        <v>36</v>
      </c>
      <c r="D50" s="33" t="s">
        <v>6</v>
      </c>
      <c r="E50" s="33" t="s">
        <v>6</v>
      </c>
      <c r="F50" s="33" t="s">
        <v>6</v>
      </c>
      <c r="G50" s="43">
        <f>IFERROR(INDEX('KPI 13 (2)'!E$19:P$19,Actual_month),)</f>
        <v>3395453.1241390393</v>
      </c>
      <c r="H50" s="44">
        <f>IFERROR(INDEX('KPI 13 (2)'!$E$20:$P$20,Actual_month),)</f>
        <v>3839815</v>
      </c>
      <c r="I50" s="28">
        <f t="shared" si="57"/>
        <v>1.1308696835488294</v>
      </c>
      <c r="J50" s="21" t="s">
        <v>6</v>
      </c>
      <c r="K50" s="21" t="s">
        <v>6</v>
      </c>
      <c r="L50" s="21" t="s">
        <v>6</v>
      </c>
      <c r="M50" s="43">
        <f>IFERROR(INDEX('KPI 13 (2)'!$E$26:$P$26,Actual_month),)</f>
        <v>29714315.91469501</v>
      </c>
      <c r="N50" s="44">
        <f>IFERROR(INDEX('KPI 13 (2)'!$E$27:$P$27,Actual_month),)</f>
        <v>33487523</v>
      </c>
      <c r="O50" s="24">
        <f t="shared" si="58"/>
        <v>1.1269828016952252</v>
      </c>
      <c r="P50" s="26" t="s">
        <v>18</v>
      </c>
      <c r="Q50" s="5">
        <f t="shared" si="59"/>
        <v>3055907.8117251354</v>
      </c>
      <c r="R50" s="5">
        <f t="shared" si="60"/>
        <v>26742884.323225509</v>
      </c>
      <c r="S50" s="27" t="s">
        <v>22</v>
      </c>
    </row>
    <row r="51" spans="1:19" ht="20" x14ac:dyDescent="0.35">
      <c r="A51" s="47" t="s">
        <v>159</v>
      </c>
      <c r="B51" s="25" t="s">
        <v>120</v>
      </c>
      <c r="C51" s="23" t="s">
        <v>1</v>
      </c>
      <c r="D51" s="33" t="s">
        <v>6</v>
      </c>
      <c r="E51" s="33" t="s">
        <v>6</v>
      </c>
      <c r="F51" s="33" t="s">
        <v>6</v>
      </c>
      <c r="G51" s="45">
        <f>IFERROR(INDEX('KPI 14 (3)'!E$19:P$19,Actual_month),)</f>
        <v>1.05</v>
      </c>
      <c r="H51" s="46">
        <f>IFERROR(INDEX('KPI 14 (3)'!$E$20:$P$20,Actual_month),)</f>
        <v>0.83406317377196748</v>
      </c>
      <c r="I51" s="28">
        <f t="shared" si="57"/>
        <v>0.79434587978282611</v>
      </c>
      <c r="J51" s="21" t="s">
        <v>6</v>
      </c>
      <c r="K51" s="21" t="s">
        <v>6</v>
      </c>
      <c r="L51" s="21" t="s">
        <v>6</v>
      </c>
      <c r="M51" s="45">
        <f>IFERROR(INDEX('KPI 14 (3)'!$E$26:$P$26,Actual_month),)</f>
        <v>1.05</v>
      </c>
      <c r="N51" s="46">
        <f>IFERROR(INDEX('KPI 14 (3)'!$E$27:$P$27,Actual_month),)</f>
        <v>0.91355898194082874</v>
      </c>
      <c r="O51" s="24">
        <f t="shared" si="58"/>
        <v>0.87005617327697971</v>
      </c>
      <c r="P51" s="26" t="s">
        <v>18</v>
      </c>
      <c r="Q51" s="6">
        <f t="shared" si="59"/>
        <v>0.94500000000000006</v>
      </c>
      <c r="R51" s="6">
        <f t="shared" si="60"/>
        <v>0.94500000000000006</v>
      </c>
      <c r="S51" s="14" t="s">
        <v>22</v>
      </c>
    </row>
    <row r="52" spans="1:19" ht="20" hidden="1" x14ac:dyDescent="0.35">
      <c r="A52" s="37">
        <v>19</v>
      </c>
      <c r="B52" s="25" t="s">
        <v>104</v>
      </c>
      <c r="C52" s="23" t="s">
        <v>1</v>
      </c>
      <c r="D52" s="33" t="s">
        <v>6</v>
      </c>
      <c r="E52" s="33" t="s">
        <v>6</v>
      </c>
      <c r="F52" s="33" t="s">
        <v>6</v>
      </c>
      <c r="G52" s="45">
        <f>IFERROR(INDEX('KPI 19'!E$19:P$19,Actual_month),)</f>
        <v>0</v>
      </c>
      <c r="H52" s="46">
        <f>IFERROR(INDEX('KPI 19'!$E$20:$P$20,Actual_month),)</f>
        <v>0</v>
      </c>
      <c r="I52" s="28" t="str">
        <f t="shared" si="49"/>
        <v/>
      </c>
      <c r="J52" s="21" t="s">
        <v>6</v>
      </c>
      <c r="K52" s="21" t="s">
        <v>6</v>
      </c>
      <c r="L52" s="21" t="s">
        <v>6</v>
      </c>
      <c r="M52" s="45">
        <f>IFERROR(INDEX('KPI 19'!$E$26:$P$26,Actual_month),)</f>
        <v>0</v>
      </c>
      <c r="N52" s="46">
        <f>IFERROR(INDEX('KPI 19'!$E$27:$P$27,Actual_month),)</f>
        <v>0</v>
      </c>
      <c r="O52" s="24" t="str">
        <f>IFERROR(N52/M52,"")</f>
        <v/>
      </c>
      <c r="P52" s="26" t="s">
        <v>18</v>
      </c>
      <c r="Q52" s="6">
        <f t="shared" si="51"/>
        <v>0</v>
      </c>
      <c r="R52" s="6">
        <f t="shared" si="52"/>
        <v>0</v>
      </c>
      <c r="S52" s="14" t="s">
        <v>22</v>
      </c>
    </row>
    <row r="53" spans="1:19" ht="19.5" customHeight="1" thickBot="1" x14ac:dyDescent="0.4">
      <c r="A53" s="65"/>
      <c r="B53" s="64" t="s">
        <v>80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26"/>
      <c r="Q53" s="5"/>
      <c r="R53" s="5"/>
      <c r="S53" s="27"/>
    </row>
    <row r="54" spans="1:19" ht="20" x14ac:dyDescent="0.35">
      <c r="A54" s="37">
        <v>20</v>
      </c>
      <c r="B54" s="25" t="s">
        <v>82</v>
      </c>
      <c r="C54" s="23" t="s">
        <v>36</v>
      </c>
      <c r="D54" s="33" t="s">
        <v>6</v>
      </c>
      <c r="E54" s="33" t="s">
        <v>6</v>
      </c>
      <c r="F54" s="33" t="s">
        <v>6</v>
      </c>
      <c r="G54" s="43">
        <f>IFERROR(INDEX('KPI q'!E$19:P$19,Actual_month),)</f>
        <v>0</v>
      </c>
      <c r="H54" s="44">
        <f>IFERROR(INDEX('KPI q'!$E$20:$P$20,Actual_month),)</f>
        <v>205010129</v>
      </c>
      <c r="I54" s="28" t="str">
        <f t="shared" ref="I54:I55" si="61">IFERROR(H54/G54,"")</f>
        <v/>
      </c>
      <c r="J54" s="21" t="s">
        <v>6</v>
      </c>
      <c r="K54" s="21" t="s">
        <v>6</v>
      </c>
      <c r="L54" s="21" t="s">
        <v>6</v>
      </c>
      <c r="M54" s="43">
        <f>IFERROR(INDEX('KPI q'!$E$26:$P$26,Actual_month),)</f>
        <v>0</v>
      </c>
      <c r="N54" s="44">
        <f>IFERROR(INDEX('KPI q'!$E$27:$P$27,Actual_month),)</f>
        <v>205010129</v>
      </c>
      <c r="O54" s="24" t="str">
        <f t="shared" ref="O54:O55" si="62">IFERROR(N54/M54,"")</f>
        <v/>
      </c>
      <c r="P54" s="26" t="s">
        <v>18</v>
      </c>
      <c r="Q54" s="5">
        <f t="shared" ref="Q54:Q55" si="63">G54*$R$3</f>
        <v>0</v>
      </c>
      <c r="R54" s="5">
        <f t="shared" ref="R54:R55" si="64">M54*$R$3</f>
        <v>0</v>
      </c>
      <c r="S54" s="27" t="s">
        <v>22</v>
      </c>
    </row>
    <row r="55" spans="1:19" ht="20" x14ac:dyDescent="0.35">
      <c r="A55" s="37">
        <v>21</v>
      </c>
      <c r="B55" s="62" t="s">
        <v>81</v>
      </c>
      <c r="C55" s="23" t="s">
        <v>36</v>
      </c>
      <c r="D55" s="33" t="s">
        <v>6</v>
      </c>
      <c r="E55" s="33" t="s">
        <v>6</v>
      </c>
      <c r="F55" s="33" t="s">
        <v>6</v>
      </c>
      <c r="G55" s="43">
        <f>IFERROR(INDEX('KPI v'!E$19:P$19,Actual_month),)</f>
        <v>0</v>
      </c>
      <c r="H55" s="71">
        <f>IFERROR(INDEX('KPI v'!$E$20:$P$20,Actual_month),)</f>
        <v>90000</v>
      </c>
      <c r="I55" s="28" t="str">
        <f t="shared" si="61"/>
        <v/>
      </c>
      <c r="J55" s="21" t="s">
        <v>6</v>
      </c>
      <c r="K55" s="21" t="s">
        <v>6</v>
      </c>
      <c r="L55" s="21" t="s">
        <v>6</v>
      </c>
      <c r="M55" s="43">
        <f>IFERROR(INDEX('KPI v'!$E$26:$P$26,Actual_month),)</f>
        <v>0</v>
      </c>
      <c r="N55" s="71">
        <f>IFERROR(INDEX('KPI v'!$E$27:$P$27,Actual_month),)</f>
        <v>-283993.75</v>
      </c>
      <c r="O55" s="24" t="str">
        <f t="shared" si="62"/>
        <v/>
      </c>
      <c r="P55" s="26" t="s">
        <v>18</v>
      </c>
      <c r="Q55" s="5">
        <f t="shared" si="63"/>
        <v>0</v>
      </c>
      <c r="R55" s="5">
        <f t="shared" si="64"/>
        <v>0</v>
      </c>
      <c r="S55" s="27" t="s">
        <v>22</v>
      </c>
    </row>
  </sheetData>
  <mergeCells count="8">
    <mergeCell ref="A45:B45"/>
    <mergeCell ref="A38:B38"/>
    <mergeCell ref="A20:B20"/>
    <mergeCell ref="J3:O3"/>
    <mergeCell ref="D3:I3"/>
    <mergeCell ref="A5:B5"/>
    <mergeCell ref="A24:B24"/>
    <mergeCell ref="A31:B31"/>
  </mergeCells>
  <conditionalFormatting sqref="D6:D19">
    <cfRule type="expression" dxfId="209" priority="3">
      <formula>H6&gt;=G6</formula>
    </cfRule>
  </conditionalFormatting>
  <conditionalFormatting sqref="D21:D23">
    <cfRule type="expression" dxfId="208" priority="24">
      <formula>H21&gt;=G21</formula>
    </cfRule>
  </conditionalFormatting>
  <conditionalFormatting sqref="D25:D29">
    <cfRule type="expression" dxfId="207" priority="78">
      <formula>H25&gt;=G25</formula>
    </cfRule>
  </conditionalFormatting>
  <conditionalFormatting sqref="D32:D37">
    <cfRule type="expression" dxfId="206" priority="275">
      <formula>H32&gt;=G32</formula>
    </cfRule>
  </conditionalFormatting>
  <conditionalFormatting sqref="D39:D44">
    <cfRule type="expression" dxfId="205" priority="18">
      <formula>H39&gt;=G39</formula>
    </cfRule>
  </conditionalFormatting>
  <conditionalFormatting sqref="D46:D52">
    <cfRule type="expression" dxfId="204" priority="30">
      <formula>H46&gt;=G46</formula>
    </cfRule>
  </conditionalFormatting>
  <conditionalFormatting sqref="D54:D55">
    <cfRule type="expression" dxfId="203" priority="12">
      <formula>H54&gt;=G54</formula>
    </cfRule>
  </conditionalFormatting>
  <conditionalFormatting sqref="E6:E19">
    <cfRule type="expression" dxfId="202" priority="1">
      <formula>AND(H6&gt;=Q6,H6&lt;G6)</formula>
    </cfRule>
  </conditionalFormatting>
  <conditionalFormatting sqref="E21:E23">
    <cfRule type="expression" dxfId="201" priority="22">
      <formula>AND(H21&gt;=Q21,H21&lt;G21)</formula>
    </cfRule>
  </conditionalFormatting>
  <conditionalFormatting sqref="E25:E29">
    <cfRule type="expression" dxfId="200" priority="76">
      <formula>AND(H25&gt;=Q25,H25&lt;G25)</formula>
    </cfRule>
  </conditionalFormatting>
  <conditionalFormatting sqref="E32:E37">
    <cfRule type="expression" dxfId="199" priority="273">
      <formula>AND(H32&gt;=Q32,H32&lt;G32)</formula>
    </cfRule>
  </conditionalFormatting>
  <conditionalFormatting sqref="E39:E44">
    <cfRule type="expression" dxfId="198" priority="16">
      <formula>AND(H39&gt;=Q39,H39&lt;G39)</formula>
    </cfRule>
  </conditionalFormatting>
  <conditionalFormatting sqref="E46:E52">
    <cfRule type="expression" dxfId="197" priority="28">
      <formula>AND(H46&gt;=Q46,H46&lt;G46)</formula>
    </cfRule>
  </conditionalFormatting>
  <conditionalFormatting sqref="E54:E55">
    <cfRule type="expression" dxfId="196" priority="10">
      <formula>AND(H54&gt;=Q54,H54&lt;G54)</formula>
    </cfRule>
  </conditionalFormatting>
  <conditionalFormatting sqref="F6:F19">
    <cfRule type="expression" dxfId="195" priority="2">
      <formula>H6&lt;Q6</formula>
    </cfRule>
  </conditionalFormatting>
  <conditionalFormatting sqref="F21:F23">
    <cfRule type="expression" dxfId="194" priority="23">
      <formula>H21&lt;Q21</formula>
    </cfRule>
  </conditionalFormatting>
  <conditionalFormatting sqref="F25:F29">
    <cfRule type="expression" dxfId="193" priority="77">
      <formula>H25&lt;Q25</formula>
    </cfRule>
  </conditionalFormatting>
  <conditionalFormatting sqref="F32:F37">
    <cfRule type="expression" dxfId="192" priority="274">
      <formula>H32&lt;Q32</formula>
    </cfRule>
  </conditionalFormatting>
  <conditionalFormatting sqref="F39:F44">
    <cfRule type="expression" dxfId="191" priority="17">
      <formula>H39&lt;Q39</formula>
    </cfRule>
  </conditionalFormatting>
  <conditionalFormatting sqref="F46:F52">
    <cfRule type="expression" dxfId="190" priority="29">
      <formula>H46&lt;Q46</formula>
    </cfRule>
  </conditionalFormatting>
  <conditionalFormatting sqref="F54:F55">
    <cfRule type="expression" dxfId="189" priority="11">
      <formula>H54&lt;Q54</formula>
    </cfRule>
  </conditionalFormatting>
  <conditionalFormatting sqref="J6:J19">
    <cfRule type="expression" dxfId="188" priority="6">
      <formula>N6&gt;=M6</formula>
    </cfRule>
  </conditionalFormatting>
  <conditionalFormatting sqref="J21:J23">
    <cfRule type="expression" dxfId="187" priority="21">
      <formula>N21&gt;=M21</formula>
    </cfRule>
  </conditionalFormatting>
  <conditionalFormatting sqref="J25:J29">
    <cfRule type="expression" dxfId="186" priority="75">
      <formula>N25&gt;=M25</formula>
    </cfRule>
  </conditionalFormatting>
  <conditionalFormatting sqref="J32:J37">
    <cfRule type="expression" dxfId="185" priority="272">
      <formula>N32&gt;=M32</formula>
    </cfRule>
  </conditionalFormatting>
  <conditionalFormatting sqref="J39:J44">
    <cfRule type="expression" dxfId="184" priority="15">
      <formula>N39&gt;=M39</formula>
    </cfRule>
  </conditionalFormatting>
  <conditionalFormatting sqref="J46:J52">
    <cfRule type="expression" dxfId="183" priority="27">
      <formula>N46&gt;=M46</formula>
    </cfRule>
  </conditionalFormatting>
  <conditionalFormatting sqref="J54:J55">
    <cfRule type="expression" dxfId="182" priority="9">
      <formula>N54&gt;=M54</formula>
    </cfRule>
  </conditionalFormatting>
  <conditionalFormatting sqref="K6:K19">
    <cfRule type="expression" dxfId="181" priority="4">
      <formula>AND(N6&gt;=R6,N6&lt;M6)</formula>
    </cfRule>
  </conditionalFormatting>
  <conditionalFormatting sqref="K21:K23">
    <cfRule type="expression" dxfId="180" priority="19">
      <formula>AND(N21&gt;=R21,N21&lt;M21)</formula>
    </cfRule>
  </conditionalFormatting>
  <conditionalFormatting sqref="K25:K29">
    <cfRule type="expression" dxfId="179" priority="73">
      <formula>AND(N25&gt;=R25,N25&lt;M25)</formula>
    </cfRule>
  </conditionalFormatting>
  <conditionalFormatting sqref="K32:K37">
    <cfRule type="expression" dxfId="178" priority="270">
      <formula>AND(N32&gt;=R32,N32&lt;M32)</formula>
    </cfRule>
  </conditionalFormatting>
  <conditionalFormatting sqref="K39:K44">
    <cfRule type="expression" dxfId="177" priority="13">
      <formula>AND(N39&gt;=R39,N39&lt;M39)</formula>
    </cfRule>
  </conditionalFormatting>
  <conditionalFormatting sqref="K46:K52">
    <cfRule type="expression" dxfId="176" priority="25">
      <formula>AND(N46&gt;=R46,N46&lt;M46)</formula>
    </cfRule>
  </conditionalFormatting>
  <conditionalFormatting sqref="K54:K55">
    <cfRule type="expression" dxfId="175" priority="7">
      <formula>AND(N54&gt;=R54,N54&lt;M54)</formula>
    </cfRule>
  </conditionalFormatting>
  <conditionalFormatting sqref="L6:L19">
    <cfRule type="expression" dxfId="174" priority="5">
      <formula>N6&lt;R6</formula>
    </cfRule>
  </conditionalFormatting>
  <conditionalFormatting sqref="L21:L23">
    <cfRule type="expression" dxfId="173" priority="20">
      <formula>N21&lt;R21</formula>
    </cfRule>
  </conditionalFormatting>
  <conditionalFormatting sqref="L25:L29">
    <cfRule type="expression" dxfId="172" priority="74">
      <formula>N25&lt;R25</formula>
    </cfRule>
  </conditionalFormatting>
  <conditionalFormatting sqref="L32:L37">
    <cfRule type="expression" dxfId="171" priority="271">
      <formula>N32&lt;R32</formula>
    </cfRule>
  </conditionalFormatting>
  <conditionalFormatting sqref="L39:L44">
    <cfRule type="expression" dxfId="170" priority="14">
      <formula>N39&lt;R39</formula>
    </cfRule>
  </conditionalFormatting>
  <conditionalFormatting sqref="L46:L52">
    <cfRule type="expression" dxfId="169" priority="26">
      <formula>N46&lt;R46</formula>
    </cfRule>
  </conditionalFormatting>
  <conditionalFormatting sqref="L54:L55">
    <cfRule type="expression" dxfId="168" priority="8">
      <formula>N54&lt;R54</formula>
    </cfRule>
  </conditionalFormatting>
  <hyperlinks>
    <hyperlink ref="P6" location="'KPI 1'!A1" display="details" xr:uid="{00000000-0004-0000-0000-000000000000}"/>
    <hyperlink ref="P7" location="'KPI 2'!A1" display="details" xr:uid="{00000000-0004-0000-0000-000001000000}"/>
    <hyperlink ref="P19" location="'KPI 5'!A1" display="details" xr:uid="{00000000-0004-0000-0000-000002000000}"/>
    <hyperlink ref="P12" location="'KPI k'!A1" display="details" xr:uid="{00000000-0004-0000-0000-000003000000}"/>
    <hyperlink ref="P8" location="'KPI a'!A1" display="details" xr:uid="{00000000-0004-0000-0000-000004000000}"/>
    <hyperlink ref="P25" location="'KPI qi'!A1" display="details" xr:uid="{00000000-0004-0000-0000-000005000000}"/>
    <hyperlink ref="P29" location="'KPI 9'!A1" display="details" xr:uid="{00000000-0004-0000-0000-000006000000}"/>
    <hyperlink ref="P32:P37" location="'KPI 12'!A1" display="details" xr:uid="{00000000-0004-0000-0000-000007000000}"/>
    <hyperlink ref="P32" location="'KPI 10'!A1" display="details" xr:uid="{00000000-0004-0000-0000-000008000000}"/>
    <hyperlink ref="P33" location="'KPI 11'!A1" display="details" xr:uid="{00000000-0004-0000-0000-000009000000}"/>
    <hyperlink ref="P35" location="'KPI 12'!A1" display="details" xr:uid="{00000000-0004-0000-0000-00000A000000}"/>
    <hyperlink ref="P36" location="'KPI 13'!A1" display="details" xr:uid="{00000000-0004-0000-0000-00000B000000}"/>
    <hyperlink ref="P37" location="'KPI 14'!A1" display="details" xr:uid="{00000000-0004-0000-0000-00000C000000}"/>
    <hyperlink ref="P39:P52" location="'KPI 12'!A1" display="details" xr:uid="{00000000-0004-0000-0000-00000D000000}"/>
    <hyperlink ref="P39" location="'KPI 15'!A1" display="details" xr:uid="{00000000-0004-0000-0000-00000E000000}"/>
    <hyperlink ref="P40" location="'KPI 16'!A1" display="details" xr:uid="{00000000-0004-0000-0000-00000F000000}"/>
    <hyperlink ref="P42" location="'KPI 17'!A1" display="details" xr:uid="{00000000-0004-0000-0000-000010000000}"/>
    <hyperlink ref="P43" location="'KPI 18'!A1" display="details" xr:uid="{00000000-0004-0000-0000-000011000000}"/>
    <hyperlink ref="P52" location="'KPI 19'!A1" display="details" xr:uid="{00000000-0004-0000-0000-000012000000}"/>
    <hyperlink ref="P26" location="'KPI h'!A1" display="details" xr:uid="{00000000-0004-0000-0000-000013000000}"/>
    <hyperlink ref="P10" location="'KPI c'!A1" display="details" xr:uid="{00000000-0004-0000-0000-000014000000}"/>
    <hyperlink ref="P11" location="'KPI e'!A1" display="details" xr:uid="{00000000-0004-0000-0000-000015000000}"/>
    <hyperlink ref="P34" location="'KPI 11a'!A1" display="details" xr:uid="{00000000-0004-0000-0000-000016000000}"/>
    <hyperlink ref="P41" location="'KPI 16A'!A1" display="details" xr:uid="{00000000-0004-0000-0000-000017000000}"/>
    <hyperlink ref="P54" location="'KPI q'!A1" display="details" xr:uid="{00000000-0004-0000-0000-000018000000}"/>
    <hyperlink ref="P15" location="'KPI z'!A1" display="details" xr:uid="{00000000-0004-0000-0000-000019000000}"/>
    <hyperlink ref="P13" location="'KPI y'!A1" display="details" xr:uid="{00000000-0004-0000-0000-00001A000000}"/>
    <hyperlink ref="P14" location="'KPI w'!A1" display="details" xr:uid="{00000000-0004-0000-0000-00001B000000}"/>
    <hyperlink ref="P17" location="'KPI 4(i)'!A1" display="details" xr:uid="{00000000-0004-0000-0000-00001C000000}"/>
    <hyperlink ref="P18" location="'KPI 4 (ii)'!A1" display="details" xr:uid="{00000000-0004-0000-0000-00001D000000}"/>
    <hyperlink ref="P16" location="'KPI j'!A1" display="details" xr:uid="{00000000-0004-0000-0000-00001E000000}"/>
    <hyperlink ref="P27" location="'KPI 6'!A1" display="details" xr:uid="{00000000-0004-0000-0000-00001F000000}"/>
    <hyperlink ref="P28" location="'KPI 7'!A1" display="details" xr:uid="{00000000-0004-0000-0000-000020000000}"/>
    <hyperlink ref="P21" location="'KPI g'!A1" display="details" xr:uid="{00000000-0004-0000-0000-000021000000}"/>
    <hyperlink ref="P23" location="'KPI x (2)'!A1" display="details" xr:uid="{00000000-0004-0000-0000-000022000000}"/>
    <hyperlink ref="P46:P51" location="'KPI 12'!A1" display="details" xr:uid="{00000000-0004-0000-0000-000023000000}"/>
    <hyperlink ref="P46" location="'KPI 10 (2)'!A1" display="details" xr:uid="{00000000-0004-0000-0000-000024000000}"/>
    <hyperlink ref="P47" location="'KPI 11 (2)'!A1" display="details" xr:uid="{00000000-0004-0000-0000-000025000000}"/>
    <hyperlink ref="P49" location="'KPI 12 (2)'!A1" display="details" xr:uid="{00000000-0004-0000-0000-000026000000}"/>
    <hyperlink ref="P50" location="'KPI 13 (2)'!A1" display="details" xr:uid="{00000000-0004-0000-0000-000027000000}"/>
    <hyperlink ref="P51" location="'KPI 14 (3)'!A1" display="details" xr:uid="{00000000-0004-0000-0000-000028000000}"/>
    <hyperlink ref="P48" location="'KPI 11a (2)'!A1" display="details" xr:uid="{00000000-0004-0000-0000-000029000000}"/>
    <hyperlink ref="P22" location="'KPI x'!A1" display="details" xr:uid="{00000000-0004-0000-0000-00002A000000}"/>
    <hyperlink ref="P44" location="'KPI 14 (2)'!A1" display="details" xr:uid="{00000000-0004-0000-0000-00002B000000}"/>
    <hyperlink ref="P55" location="'KPI v'!A1" display="details" xr:uid="{00000000-0004-0000-0000-00002C000000}"/>
    <hyperlink ref="P9" location="'KPI b1'!A1" display="details" xr:uid="{00000000-0004-0000-0000-00002D000000}"/>
  </hyperlinks>
  <pageMargins left="0.51181102362204722" right="0.51181102362204722" top="0.74803149606299213" bottom="0.74803149606299213" header="0.31496062992125984" footer="0.31496062992125984"/>
  <pageSetup paperSize="9" scale="7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Spinner 1">
              <controlPr defaultSize="0" autoPict="0">
                <anchor moveWithCells="1" sizeWithCells="1">
                  <from>
                    <xdr:col>1</xdr:col>
                    <xdr:colOff>533400</xdr:colOff>
                    <xdr:row>1</xdr:row>
                    <xdr:rowOff>12700</xdr:rowOff>
                  </from>
                  <to>
                    <xdr:col>1</xdr:col>
                    <xdr:colOff>869950</xdr:colOff>
                    <xdr:row>2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workbookViewId="0">
      <selection activeCell="B38" sqref="B38"/>
    </sheetView>
  </sheetViews>
  <sheetFormatPr defaultColWidth="9.1796875" defaultRowHeight="14.5" x14ac:dyDescent="0.35"/>
  <cols>
    <col min="1" max="1" width="9.1796875" style="50"/>
    <col min="2" max="2" width="69" style="50" bestFit="1" customWidth="1"/>
    <col min="3" max="3" width="9.1796875" style="50"/>
    <col min="4" max="15" width="15.1796875" style="55" customWidth="1"/>
    <col min="16" max="16" width="17.54296875" style="50" customWidth="1"/>
    <col min="17" max="16384" width="9.1796875" style="50"/>
  </cols>
  <sheetData>
    <row r="1" spans="1:16" x14ac:dyDescent="0.35">
      <c r="A1" s="50" t="str">
        <f>Dashboard!A1</f>
        <v>FINANCE DASHBOARD</v>
      </c>
    </row>
    <row r="4" spans="1:16" x14ac:dyDescent="0.35">
      <c r="B4" s="50" t="s">
        <v>50</v>
      </c>
      <c r="C4" s="50" t="s">
        <v>51</v>
      </c>
      <c r="D4" s="55" t="s">
        <v>52</v>
      </c>
      <c r="E4" s="55" t="s">
        <v>53</v>
      </c>
      <c r="F4" s="55" t="s">
        <v>54</v>
      </c>
      <c r="G4" s="55" t="s">
        <v>55</v>
      </c>
      <c r="H4" s="55" t="s">
        <v>56</v>
      </c>
      <c r="I4" s="55" t="s">
        <v>57</v>
      </c>
      <c r="J4" s="55" t="s">
        <v>58</v>
      </c>
      <c r="K4" s="55" t="s">
        <v>59</v>
      </c>
      <c r="L4" s="55" t="s">
        <v>60</v>
      </c>
      <c r="M4" s="55" t="s">
        <v>61</v>
      </c>
      <c r="N4" s="55" t="s">
        <v>62</v>
      </c>
      <c r="O4" s="55" t="s">
        <v>63</v>
      </c>
    </row>
    <row r="5" spans="1:16" x14ac:dyDescent="0.35">
      <c r="A5" s="50" t="str">
        <f>Dashboard!A5</f>
        <v>BILLING DASHBOARD - SUMMARY</v>
      </c>
    </row>
    <row r="6" spans="1:16" x14ac:dyDescent="0.35">
      <c r="A6" s="50">
        <f>Dashboard!A6</f>
        <v>1</v>
      </c>
      <c r="B6" s="50" t="str">
        <f>Dashboard!B6</f>
        <v>Total Water Sales (Ksh)</v>
      </c>
      <c r="C6" s="50" t="str">
        <f>Dashboard!C6</f>
        <v>Ksh</v>
      </c>
      <c r="D6" s="78">
        <v>16944467.777777776</v>
      </c>
      <c r="E6" s="78">
        <v>17161527.777777776</v>
      </c>
      <c r="F6" s="78">
        <v>17381827.777777776</v>
      </c>
      <c r="G6" s="78">
        <v>17650727.777777776</v>
      </c>
      <c r="H6" s="78">
        <v>17903427.777777776</v>
      </c>
      <c r="I6" s="78">
        <v>18139927.777777776</v>
      </c>
      <c r="J6" s="78">
        <v>18392627.777777776</v>
      </c>
      <c r="K6" s="78">
        <v>18621027.777777776</v>
      </c>
      <c r="L6" s="78">
        <v>18825127.777777776</v>
      </c>
      <c r="M6" s="78">
        <v>19013027.777777776</v>
      </c>
      <c r="N6" s="78">
        <v>19200927.77777778</v>
      </c>
      <c r="O6" s="78">
        <v>19385587.77777778</v>
      </c>
      <c r="P6" s="67"/>
    </row>
    <row r="7" spans="1:16" x14ac:dyDescent="0.35">
      <c r="A7" s="50">
        <f>Dashboard!A7</f>
        <v>2</v>
      </c>
      <c r="B7" s="50" t="str">
        <f>Dashboard!B7</f>
        <v>Total Sewerage Sales (Ksh)</v>
      </c>
      <c r="C7" s="50" t="str">
        <f>Dashboard!C7</f>
        <v>Ksh</v>
      </c>
      <c r="D7" s="78">
        <v>5070284.0919431113</v>
      </c>
      <c r="E7" s="78">
        <v>5094619.4241970647</v>
      </c>
      <c r="F7" s="78">
        <v>5118954.7564510172</v>
      </c>
      <c r="G7" s="78">
        <v>5143290.0887049716</v>
      </c>
      <c r="H7" s="78">
        <v>5167625.420958925</v>
      </c>
      <c r="I7" s="78">
        <v>5191960.7532128775</v>
      </c>
      <c r="J7" s="78">
        <v>5216296.085466831</v>
      </c>
      <c r="K7" s="78">
        <v>5240631.4177207835</v>
      </c>
      <c r="L7" s="78">
        <v>5264966.7499747369</v>
      </c>
      <c r="M7" s="78">
        <v>5289302.0822286904</v>
      </c>
      <c r="N7" s="78">
        <v>5313637.4144826438</v>
      </c>
      <c r="O7" s="78">
        <v>5337972.7467365973</v>
      </c>
      <c r="P7" s="67"/>
    </row>
    <row r="8" spans="1:16" x14ac:dyDescent="0.35">
      <c r="A8" s="50">
        <f>Dashboard!A8</f>
        <v>3</v>
      </c>
      <c r="B8" s="50" t="str">
        <f>Dashboard!B8</f>
        <v xml:space="preserve">Bulk water </v>
      </c>
      <c r="D8" s="52">
        <v>64130</v>
      </c>
      <c r="E8" s="52">
        <v>64130</v>
      </c>
      <c r="F8" s="52">
        <v>64130</v>
      </c>
      <c r="G8" s="52">
        <v>64130</v>
      </c>
      <c r="H8" s="52">
        <v>64130</v>
      </c>
      <c r="I8" s="52">
        <v>64130</v>
      </c>
      <c r="J8" s="52">
        <v>64130</v>
      </c>
      <c r="K8" s="52">
        <v>64130</v>
      </c>
      <c r="L8" s="52">
        <v>64130</v>
      </c>
      <c r="M8" s="52">
        <v>64130</v>
      </c>
      <c r="N8" s="52">
        <v>64130</v>
      </c>
      <c r="O8" s="52">
        <v>64130</v>
      </c>
      <c r="P8" s="67"/>
    </row>
    <row r="9" spans="1:16" x14ac:dyDescent="0.35">
      <c r="A9" s="50" t="e">
        <f>Dashboard!#REF!</f>
        <v>#REF!</v>
      </c>
      <c r="B9" s="50" t="e">
        <f>Dashboard!#REF!</f>
        <v>#REF!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67"/>
    </row>
    <row r="10" spans="1:16" x14ac:dyDescent="0.35">
      <c r="A10" s="50">
        <f>Dashboard!A9</f>
        <v>4</v>
      </c>
      <c r="B10" s="50" t="str">
        <f>Dashboard!B9</f>
        <v>Sanitation</v>
      </c>
      <c r="D10" s="52">
        <v>842723.38888888888</v>
      </c>
      <c r="E10" s="52">
        <v>853576.38888888888</v>
      </c>
      <c r="F10" s="52">
        <v>864591.38888888888</v>
      </c>
      <c r="G10" s="52">
        <v>878036.38888888888</v>
      </c>
      <c r="H10" s="52">
        <v>890671.38888888888</v>
      </c>
      <c r="I10" s="52">
        <v>902496.38888888888</v>
      </c>
      <c r="J10" s="52">
        <v>915131.38888888888</v>
      </c>
      <c r="K10" s="52">
        <v>926551.38888888888</v>
      </c>
      <c r="L10" s="52">
        <v>936756.38888888888</v>
      </c>
      <c r="M10" s="52">
        <v>946151.38888888888</v>
      </c>
      <c r="N10" s="52">
        <v>955546.38888888899</v>
      </c>
      <c r="O10" s="52">
        <v>964779.38888888899</v>
      </c>
      <c r="P10" s="67"/>
    </row>
    <row r="11" spans="1:16" x14ac:dyDescent="0.35">
      <c r="A11" s="50">
        <f>Dashboard!A10</f>
        <v>5</v>
      </c>
      <c r="B11" s="50" t="str">
        <f>Dashboard!B10</f>
        <v>new connection fee water</v>
      </c>
      <c r="D11" s="52">
        <v>455000</v>
      </c>
      <c r="E11" s="52">
        <v>407500</v>
      </c>
      <c r="F11" s="52">
        <v>412500</v>
      </c>
      <c r="G11" s="52">
        <v>587500</v>
      </c>
      <c r="H11" s="52">
        <v>562500</v>
      </c>
      <c r="I11" s="52">
        <v>537500</v>
      </c>
      <c r="J11" s="52">
        <v>550000</v>
      </c>
      <c r="K11" s="52">
        <v>512500</v>
      </c>
      <c r="L11" s="52">
        <v>475000</v>
      </c>
      <c r="M11" s="52">
        <v>425000</v>
      </c>
      <c r="N11" s="52">
        <v>425000</v>
      </c>
      <c r="O11" s="52">
        <v>420000</v>
      </c>
      <c r="P11" s="67"/>
    </row>
    <row r="12" spans="1:16" x14ac:dyDescent="0.35">
      <c r="A12" s="50">
        <f>Dashboard!A11</f>
        <v>6</v>
      </c>
      <c r="B12" s="50" t="str">
        <f>Dashboard!B11</f>
        <v>new connection fee sewer</v>
      </c>
      <c r="D12" s="52">
        <v>80000</v>
      </c>
      <c r="E12" s="52">
        <v>75000</v>
      </c>
      <c r="F12" s="52">
        <v>75000</v>
      </c>
      <c r="G12" s="52">
        <v>75000</v>
      </c>
      <c r="H12" s="52">
        <v>75000</v>
      </c>
      <c r="I12" s="52">
        <v>75000</v>
      </c>
      <c r="J12" s="52">
        <v>75000</v>
      </c>
      <c r="K12" s="52">
        <v>75000</v>
      </c>
      <c r="L12" s="52">
        <v>75000</v>
      </c>
      <c r="M12" s="52">
        <v>75000</v>
      </c>
      <c r="N12" s="52">
        <v>75000</v>
      </c>
      <c r="O12" s="52">
        <v>75000</v>
      </c>
      <c r="P12" s="67"/>
    </row>
    <row r="13" spans="1:16" x14ac:dyDescent="0.35">
      <c r="A13" s="50">
        <f>Dashboard!A12</f>
        <v>7</v>
      </c>
      <c r="B13" s="50" t="str">
        <f>Dashboard!B12</f>
        <v>reconnection fee (water+sewer)</v>
      </c>
      <c r="D13" s="52">
        <v>582500</v>
      </c>
      <c r="E13" s="52">
        <v>582500</v>
      </c>
      <c r="F13" s="52">
        <v>582500</v>
      </c>
      <c r="G13" s="52">
        <v>582500</v>
      </c>
      <c r="H13" s="52">
        <v>582500</v>
      </c>
      <c r="I13" s="52">
        <v>582500</v>
      </c>
      <c r="J13" s="52">
        <v>582500</v>
      </c>
      <c r="K13" s="52">
        <v>582500</v>
      </c>
      <c r="L13" s="52">
        <v>582500</v>
      </c>
      <c r="M13" s="52">
        <v>582500</v>
      </c>
      <c r="N13" s="52">
        <v>582500</v>
      </c>
      <c r="O13" s="52">
        <v>582500</v>
      </c>
      <c r="P13" s="67"/>
    </row>
    <row r="14" spans="1:16" x14ac:dyDescent="0.35">
      <c r="A14" s="50">
        <f>Dashboard!A13</f>
        <v>8</v>
      </c>
      <c r="B14" s="50" t="str">
        <f>Dashboard!B13</f>
        <v>Prepaid kiosk</v>
      </c>
      <c r="C14" s="50" t="str">
        <f>Dashboard!C8</f>
        <v>Ksh</v>
      </c>
      <c r="D14" s="52">
        <v>90000</v>
      </c>
      <c r="E14" s="52">
        <v>90000</v>
      </c>
      <c r="F14" s="52">
        <v>90000</v>
      </c>
      <c r="G14" s="52">
        <v>90000</v>
      </c>
      <c r="H14" s="52">
        <v>90000</v>
      </c>
      <c r="I14" s="52">
        <v>90000</v>
      </c>
      <c r="J14" s="52">
        <v>90000</v>
      </c>
      <c r="K14" s="52">
        <v>90000</v>
      </c>
      <c r="L14" s="52">
        <v>90000</v>
      </c>
      <c r="M14" s="52">
        <v>90000</v>
      </c>
      <c r="N14" s="52">
        <v>90000</v>
      </c>
      <c r="O14" s="52">
        <v>90000</v>
      </c>
      <c r="P14" s="67"/>
    </row>
    <row r="15" spans="1:16" x14ac:dyDescent="0.35">
      <c r="A15" s="50">
        <f>Dashboard!A14</f>
        <v>9</v>
      </c>
      <c r="B15" s="50" t="str">
        <f>Dashboard!B14</f>
        <v>misc income-printing fee,CA,meter replacement fee,meter testing</v>
      </c>
      <c r="C15" s="50" t="str">
        <f>Dashboard!C10</f>
        <v>Ksh</v>
      </c>
      <c r="D15" s="52">
        <v>112050</v>
      </c>
      <c r="E15" s="52">
        <v>112050</v>
      </c>
      <c r="F15" s="52">
        <v>112050</v>
      </c>
      <c r="G15" s="52">
        <v>112050</v>
      </c>
      <c r="H15" s="52">
        <v>112050</v>
      </c>
      <c r="I15" s="52">
        <v>112050</v>
      </c>
      <c r="J15" s="52">
        <v>112050</v>
      </c>
      <c r="K15" s="52">
        <v>112050</v>
      </c>
      <c r="L15" s="52">
        <v>112050</v>
      </c>
      <c r="M15" s="52">
        <v>112050</v>
      </c>
      <c r="N15" s="52">
        <v>112050</v>
      </c>
      <c r="O15" s="52">
        <v>112050</v>
      </c>
      <c r="P15" s="67"/>
    </row>
    <row r="16" spans="1:16" x14ac:dyDescent="0.35">
      <c r="A16" s="50">
        <f>Dashboard!A15</f>
        <v>10</v>
      </c>
      <c r="B16" s="50" t="str">
        <f>Dashboard!B15</f>
        <v>sewer unblocking fee</v>
      </c>
      <c r="C16" s="50" t="str">
        <f>Dashboard!C11</f>
        <v>Ksh</v>
      </c>
      <c r="D16" s="78">
        <v>2500</v>
      </c>
      <c r="E16" s="78">
        <v>2500</v>
      </c>
      <c r="F16" s="78">
        <v>2500</v>
      </c>
      <c r="G16" s="78">
        <v>2500</v>
      </c>
      <c r="H16" s="78">
        <v>2500</v>
      </c>
      <c r="I16" s="78">
        <v>2500</v>
      </c>
      <c r="J16" s="78">
        <v>2500</v>
      </c>
      <c r="K16" s="78">
        <v>2500</v>
      </c>
      <c r="L16" s="78">
        <v>2500</v>
      </c>
      <c r="M16" s="78">
        <v>2500</v>
      </c>
      <c r="N16" s="78">
        <v>2500</v>
      </c>
      <c r="O16" s="78">
        <v>2500</v>
      </c>
      <c r="P16" s="67"/>
    </row>
    <row r="17" spans="1:16" ht="14.25" customHeight="1" x14ac:dyDescent="0.35">
      <c r="A17" s="50">
        <f>Dashboard!A16</f>
        <v>11</v>
      </c>
      <c r="B17" s="50" t="str">
        <f>Dashboard!B16</f>
        <v>penalties (water+sewer)</v>
      </c>
      <c r="C17" s="50" t="str">
        <f>Dashboard!C12</f>
        <v>Ksh</v>
      </c>
      <c r="D17" s="52">
        <v>110001</v>
      </c>
      <c r="E17" s="52">
        <v>260001</v>
      </c>
      <c r="F17" s="52">
        <v>220001</v>
      </c>
      <c r="G17" s="52">
        <v>150001</v>
      </c>
      <c r="H17" s="52">
        <v>160001</v>
      </c>
      <c r="I17" s="52">
        <v>240001</v>
      </c>
      <c r="J17" s="52">
        <v>190001</v>
      </c>
      <c r="K17" s="52">
        <v>190001</v>
      </c>
      <c r="L17" s="52">
        <v>190001</v>
      </c>
      <c r="M17" s="52">
        <v>160001</v>
      </c>
      <c r="N17" s="52">
        <v>110001</v>
      </c>
      <c r="O17" s="52">
        <v>120001</v>
      </c>
      <c r="P17" s="67"/>
    </row>
    <row r="18" spans="1:16" hidden="1" x14ac:dyDescent="0.35">
      <c r="A18" s="50" t="e">
        <f>Dashboard!#REF!</f>
        <v>#REF!</v>
      </c>
      <c r="B18" s="50" t="e">
        <f>Dashboard!#REF!</f>
        <v>#REF!</v>
      </c>
      <c r="C18" s="50" t="str">
        <f>Dashboard!C13</f>
        <v>Ksh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67"/>
    </row>
    <row r="19" spans="1:16" x14ac:dyDescent="0.35">
      <c r="A19" s="50">
        <f>Dashboard!A17</f>
        <v>12</v>
      </c>
      <c r="B19" s="50" t="str">
        <f>Dashboard!B17</f>
        <v>Company exhauster</v>
      </c>
      <c r="C19" s="50" t="str">
        <f>Dashboard!C14</f>
        <v>Ksh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67"/>
    </row>
    <row r="20" spans="1:16" x14ac:dyDescent="0.35">
      <c r="A20" s="50">
        <f>Dashboard!A18</f>
        <v>12</v>
      </c>
      <c r="B20" s="50" t="str">
        <f>Dashboard!B18</f>
        <v>Customer exhauster</v>
      </c>
      <c r="C20" s="50" t="str">
        <f>Dashboard!C15</f>
        <v>Ksh</v>
      </c>
      <c r="D20" s="52">
        <v>210000</v>
      </c>
      <c r="E20" s="52">
        <v>210000</v>
      </c>
      <c r="F20" s="52">
        <v>210000</v>
      </c>
      <c r="G20" s="52">
        <v>210000</v>
      </c>
      <c r="H20" s="52">
        <v>210000</v>
      </c>
      <c r="I20" s="52">
        <v>210000</v>
      </c>
      <c r="J20" s="52">
        <v>210000</v>
      </c>
      <c r="K20" s="52">
        <v>210000</v>
      </c>
      <c r="L20" s="52">
        <v>210000</v>
      </c>
      <c r="M20" s="52">
        <v>210000</v>
      </c>
      <c r="N20" s="52">
        <v>210000</v>
      </c>
      <c r="O20" s="52">
        <v>210000</v>
      </c>
      <c r="P20" s="67"/>
    </row>
    <row r="21" spans="1:16" x14ac:dyDescent="0.35">
      <c r="A21" s="50">
        <f>Dashboard!A19</f>
        <v>13</v>
      </c>
      <c r="B21" s="50" t="str">
        <f>Dashboard!B19</f>
        <v>Total billed (Ksh)</v>
      </c>
      <c r="C21" s="50" t="str">
        <f>Dashboard!C17</f>
        <v>Ksh</v>
      </c>
      <c r="D21" s="55">
        <f>D6+D7+D9+D11+D12+D13+D14+D16+D17+D20+D10+D15-D14</f>
        <v>24409526.258609775</v>
      </c>
      <c r="E21" s="55">
        <f t="shared" ref="E21:O21" si="0">E6+E7+E9+E11+E12+E13+E14+E16+E17+E20+E10+E15-E14</f>
        <v>24759274.590863727</v>
      </c>
      <c r="F21" s="55">
        <f t="shared" si="0"/>
        <v>24979924.923117682</v>
      </c>
      <c r="G21" s="55">
        <f t="shared" si="0"/>
        <v>25391605.255371638</v>
      </c>
      <c r="H21" s="55">
        <f t="shared" si="0"/>
        <v>25666275.587625589</v>
      </c>
      <c r="I21" s="55">
        <f t="shared" si="0"/>
        <v>25993935.919879541</v>
      </c>
      <c r="J21" s="55">
        <f t="shared" si="0"/>
        <v>26246106.252133496</v>
      </c>
      <c r="K21" s="55">
        <f t="shared" si="0"/>
        <v>26472761.584387448</v>
      </c>
      <c r="L21" s="55">
        <f t="shared" si="0"/>
        <v>26673901.916641399</v>
      </c>
      <c r="M21" s="55">
        <f t="shared" si="0"/>
        <v>26815532.248895355</v>
      </c>
      <c r="N21" s="55">
        <f t="shared" si="0"/>
        <v>26987162.58114931</v>
      </c>
      <c r="O21" s="55">
        <f t="shared" si="0"/>
        <v>27210390.913403265</v>
      </c>
      <c r="P21" s="67"/>
    </row>
    <row r="22" spans="1:16" x14ac:dyDescent="0.35">
      <c r="A22" s="50">
        <f>Dashboard!A20</f>
        <v>0</v>
      </c>
      <c r="B22" s="50">
        <f>Dashboard!B20</f>
        <v>0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5"/>
    </row>
    <row r="23" spans="1:16" x14ac:dyDescent="0.35">
      <c r="A23" s="50" t="str">
        <f>Dashboard!A21</f>
        <v>A</v>
      </c>
      <c r="B23" s="50" t="str">
        <f>Dashboard!B21</f>
        <v>Eastern Region</v>
      </c>
      <c r="C23" s="50" t="str">
        <f>Dashboard!C21</f>
        <v>DATE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67"/>
    </row>
    <row r="24" spans="1:16" x14ac:dyDescent="0.35">
      <c r="A24" s="50" t="str">
        <f>Dashboard!A22</f>
        <v>B</v>
      </c>
      <c r="B24" s="50" t="str">
        <f>Dashboard!B22</f>
        <v>Southern Region</v>
      </c>
      <c r="C24" s="50" t="str">
        <f>Dashboard!C22</f>
        <v>DATE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spans="1:16" x14ac:dyDescent="0.35">
      <c r="A25" s="50" t="str">
        <f>Dashboard!A23</f>
        <v>C</v>
      </c>
      <c r="B25" s="50" t="str">
        <f>Dashboard!B23</f>
        <v>Central Region</v>
      </c>
      <c r="C25" s="50" t="str">
        <f>Dashboard!C23</f>
        <v>DATE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spans="1:16" x14ac:dyDescent="0.35">
      <c r="A26" s="50" t="str">
        <f>Dashboard!A24</f>
        <v xml:space="preserve">COLLECTION EFFICIENCY </v>
      </c>
      <c r="B26" s="50">
        <f>Dashboard!B24</f>
        <v>0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spans="1:16" x14ac:dyDescent="0.35">
      <c r="A27" s="50" t="str">
        <f>Dashboard!A25</f>
        <v>D</v>
      </c>
      <c r="B27" s="50" t="str">
        <f>Dashboard!B25</f>
        <v>Total accounts disconnected-water</v>
      </c>
      <c r="C27" s="50" t="str">
        <f>Dashboard!C25</f>
        <v>NO</v>
      </c>
      <c r="D27" s="52">
        <v>500</v>
      </c>
      <c r="E27" s="52">
        <v>500</v>
      </c>
      <c r="F27" s="52">
        <v>500</v>
      </c>
      <c r="G27" s="52">
        <v>500</v>
      </c>
      <c r="H27" s="52">
        <v>500</v>
      </c>
      <c r="I27" s="52">
        <v>500</v>
      </c>
      <c r="J27" s="52">
        <v>500</v>
      </c>
      <c r="K27" s="52">
        <v>500</v>
      </c>
      <c r="L27" s="52">
        <v>500</v>
      </c>
      <c r="M27" s="52">
        <v>500</v>
      </c>
      <c r="N27" s="52">
        <v>500</v>
      </c>
      <c r="O27" s="52">
        <v>500</v>
      </c>
    </row>
    <row r="28" spans="1:16" x14ac:dyDescent="0.35">
      <c r="A28" s="50" t="str">
        <f>Dashboard!A26</f>
        <v>E</v>
      </c>
      <c r="B28" s="50" t="str">
        <f>Dashboard!B26</f>
        <v>Total accounts disconnected-sewer</v>
      </c>
      <c r="C28" s="50" t="str">
        <f>Dashboard!C26</f>
        <v>NO</v>
      </c>
      <c r="D28" s="52">
        <v>55</v>
      </c>
      <c r="E28" s="52">
        <v>55</v>
      </c>
      <c r="F28" s="52">
        <v>55</v>
      </c>
      <c r="G28" s="52">
        <v>55</v>
      </c>
      <c r="H28" s="52">
        <v>55</v>
      </c>
      <c r="I28" s="52">
        <v>55</v>
      </c>
      <c r="J28" s="52">
        <v>55</v>
      </c>
      <c r="K28" s="52">
        <v>55</v>
      </c>
      <c r="L28" s="52">
        <v>55</v>
      </c>
      <c r="M28" s="52">
        <v>55</v>
      </c>
      <c r="N28" s="52">
        <v>55</v>
      </c>
      <c r="O28" s="52">
        <v>55</v>
      </c>
    </row>
    <row r="29" spans="1:16" x14ac:dyDescent="0.35">
      <c r="A29" s="50">
        <f>Dashboard!A27</f>
        <v>14</v>
      </c>
      <c r="B29" s="50" t="str">
        <f>Dashboard!B27</f>
        <v>Total Collection for the month</v>
      </c>
      <c r="C29" s="50" t="str">
        <f>Dashboard!C27</f>
        <v>Ksh</v>
      </c>
      <c r="D29" s="55">
        <f>D21*D31</f>
        <v>25630002.571540266</v>
      </c>
      <c r="E29" s="55">
        <f t="shared" ref="E29:O29" si="1">E21*E31</f>
        <v>25997238.320406914</v>
      </c>
      <c r="F29" s="55">
        <f t="shared" si="1"/>
        <v>26228921.169273566</v>
      </c>
      <c r="G29" s="55">
        <f t="shared" si="1"/>
        <v>26723338.526970502</v>
      </c>
      <c r="H29" s="55">
        <f t="shared" si="1"/>
        <v>26984968.457927983</v>
      </c>
      <c r="I29" s="55">
        <f t="shared" si="1"/>
        <v>27296721.383644138</v>
      </c>
      <c r="J29" s="55">
        <f t="shared" si="1"/>
        <v>27536999.782383684</v>
      </c>
      <c r="K29" s="55">
        <f t="shared" si="1"/>
        <v>27752961.487347931</v>
      </c>
      <c r="L29" s="55">
        <f t="shared" si="1"/>
        <v>27944610.204552922</v>
      </c>
      <c r="M29" s="55">
        <f t="shared" si="1"/>
        <v>28079771.861253671</v>
      </c>
      <c r="N29" s="55">
        <f t="shared" si="1"/>
        <v>28243358.368009515</v>
      </c>
      <c r="O29" s="55">
        <f t="shared" si="1"/>
        <v>28455821.902245048</v>
      </c>
    </row>
    <row r="30" spans="1:16" hidden="1" x14ac:dyDescent="0.35">
      <c r="A30" s="50">
        <f>Dashboard!A28</f>
        <v>7</v>
      </c>
      <c r="B30" s="50" t="str">
        <f>Dashboard!B28</f>
        <v>Total Collection- Related Sales</v>
      </c>
      <c r="C30" s="50" t="str">
        <f>Dashboard!C28</f>
        <v>Ksh</v>
      </c>
      <c r="D30" s="56"/>
      <c r="E30" s="56">
        <f>D21/E29</f>
        <v>0.93892766446077314</v>
      </c>
      <c r="F30" s="56">
        <f t="shared" ref="F30:O30" si="2">E21/F29</f>
        <v>0.94396847018887342</v>
      </c>
      <c r="G30" s="56">
        <f t="shared" si="2"/>
        <v>0.93476063620968308</v>
      </c>
      <c r="H30" s="56">
        <f t="shared" si="2"/>
        <v>0.94095367556050535</v>
      </c>
      <c r="I30" s="56">
        <f t="shared" si="2"/>
        <v>0.94026953738863706</v>
      </c>
      <c r="J30" s="56">
        <f t="shared" si="2"/>
        <v>0.94396398029202544</v>
      </c>
      <c r="K30" s="56">
        <f t="shared" si="2"/>
        <v>0.94570470485099822</v>
      </c>
      <c r="L30" s="56">
        <f t="shared" si="2"/>
        <v>0.9473297852647925</v>
      </c>
      <c r="M30" s="56">
        <f t="shared" si="2"/>
        <v>0.9499329997565904</v>
      </c>
      <c r="N30" s="56">
        <f t="shared" si="2"/>
        <v>0.94944559706711718</v>
      </c>
      <c r="O30" s="56">
        <f t="shared" si="2"/>
        <v>0.94838808992616486</v>
      </c>
    </row>
    <row r="31" spans="1:16" x14ac:dyDescent="0.35">
      <c r="A31" s="50">
        <f>Dashboard!A29</f>
        <v>15</v>
      </c>
      <c r="B31" s="50" t="str">
        <f>Dashboard!B29</f>
        <v xml:space="preserve">Collection Efficiency - in % of billing </v>
      </c>
      <c r="C31" s="50" t="str">
        <f>Dashboard!C29</f>
        <v>%</v>
      </c>
      <c r="D31" s="56">
        <v>1.05</v>
      </c>
      <c r="E31" s="56">
        <v>1.05</v>
      </c>
      <c r="F31" s="56">
        <v>1.05</v>
      </c>
      <c r="G31" s="56">
        <v>1.0524477778464649</v>
      </c>
      <c r="H31" s="56">
        <v>1.0513784271426654</v>
      </c>
      <c r="I31" s="56">
        <v>1.0501188226277136</v>
      </c>
      <c r="J31" s="56">
        <v>1.0491841920416387</v>
      </c>
      <c r="K31" s="56">
        <v>1.0483591369521301</v>
      </c>
      <c r="L31" s="56">
        <v>1.04763863539285</v>
      </c>
      <c r="M31" s="56">
        <v>1.0471457959746593</v>
      </c>
      <c r="N31" s="56">
        <v>1.0465479015469994</v>
      </c>
      <c r="O31" s="56">
        <v>1.045770418837618</v>
      </c>
    </row>
    <row r="32" spans="1:16" x14ac:dyDescent="0.35">
      <c r="A32" s="50" t="str">
        <f>Dashboard!A31</f>
        <v>CENTRAL REGION: CBD,CCCR,KABATI,SITE,KIHOTO,LAKEVIEW,HOPEWELL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67"/>
    </row>
    <row r="33" spans="1:16" x14ac:dyDescent="0.35">
      <c r="A33" s="50" t="str">
        <f>Dashboard!A32</f>
        <v>16a</v>
      </c>
      <c r="B33" s="50" t="str">
        <f>Dashboard!B32</f>
        <v>Amount Billed Water-Central</v>
      </c>
      <c r="C33" s="50" t="str">
        <f>Dashboard!C32</f>
        <v>Ksh.</v>
      </c>
      <c r="D33" s="52">
        <v>8942465.9244022779</v>
      </c>
      <c r="E33" s="52">
        <v>8996210.65412887</v>
      </c>
      <c r="F33" s="52">
        <v>9045864.1185453143</v>
      </c>
      <c r="G33" s="52">
        <v>9035851.1855140068</v>
      </c>
      <c r="H33" s="52">
        <v>9029894.0892549474</v>
      </c>
      <c r="I33" s="52">
        <v>9020852.3411238343</v>
      </c>
      <c r="J33" s="52">
        <v>9032887.4236083888</v>
      </c>
      <c r="K33" s="52">
        <v>9039569.3955904376</v>
      </c>
      <c r="L33" s="52">
        <v>9044300.0185286924</v>
      </c>
      <c r="M33" s="52">
        <v>9063999.2772918735</v>
      </c>
      <c r="N33" s="52">
        <v>9084168.0830310751</v>
      </c>
      <c r="O33" s="52">
        <v>9104601.9402058907</v>
      </c>
      <c r="P33" s="67"/>
    </row>
    <row r="34" spans="1:16" x14ac:dyDescent="0.35">
      <c r="A34" s="50" t="str">
        <f>Dashboard!A33</f>
        <v>17a</v>
      </c>
      <c r="B34" s="50" t="str">
        <f>Dashboard!B33</f>
        <v>Amount Billed Sewer-Central</v>
      </c>
      <c r="C34" s="50" t="str">
        <f>Dashboard!C33</f>
        <v>Ksh.</v>
      </c>
      <c r="D34" s="52">
        <v>4973474.5859431289</v>
      </c>
      <c r="E34" s="52">
        <v>4996935.182052915</v>
      </c>
      <c r="F34" s="52">
        <v>5020396.0145296101</v>
      </c>
      <c r="G34" s="52">
        <v>5043857.079816726</v>
      </c>
      <c r="H34" s="52">
        <v>5067318.3744287556</v>
      </c>
      <c r="I34" s="52">
        <v>5090779.8949494297</v>
      </c>
      <c r="J34" s="52">
        <v>5114241.6380299972</v>
      </c>
      <c r="K34" s="52">
        <v>5137703.6003875732</v>
      </c>
      <c r="L34" s="52">
        <v>5161165.778803519</v>
      </c>
      <c r="M34" s="52">
        <v>5184628.1701218812</v>
      </c>
      <c r="N34" s="52">
        <v>5208090.7712478768</v>
      </c>
      <c r="O34" s="52">
        <v>5231553.5791464159</v>
      </c>
    </row>
    <row r="35" spans="1:16" x14ac:dyDescent="0.35">
      <c r="A35" s="50" t="str">
        <f>Dashboard!A34</f>
        <v>18a</v>
      </c>
      <c r="B35" s="50" t="str">
        <f>Dashboard!B34</f>
        <v>othersales</v>
      </c>
      <c r="C35" s="50" t="str">
        <f>Dashboard!C34</f>
        <v>Ksh.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</row>
    <row r="36" spans="1:16" x14ac:dyDescent="0.35">
      <c r="A36" s="50" t="str">
        <f>Dashboard!A35</f>
        <v>19a</v>
      </c>
      <c r="B36" s="50" t="str">
        <f>Dashboard!B35</f>
        <v>Amount Billed Water &amp; Sewer-othersales-Central</v>
      </c>
      <c r="C36" s="50" t="str">
        <f>Dashboard!C35</f>
        <v>Ksh.</v>
      </c>
      <c r="D36" s="55">
        <f>D33+D34+D35</f>
        <v>13915940.510345407</v>
      </c>
      <c r="E36" s="55">
        <f t="shared" ref="E36:O36" si="3">E33+E34+E35</f>
        <v>13993145.836181786</v>
      </c>
      <c r="F36" s="55">
        <f t="shared" si="3"/>
        <v>14066260.133074924</v>
      </c>
      <c r="G36" s="55">
        <f t="shared" si="3"/>
        <v>14079708.265330732</v>
      </c>
      <c r="H36" s="55">
        <f t="shared" si="3"/>
        <v>14097212.463683702</v>
      </c>
      <c r="I36" s="55">
        <f t="shared" si="3"/>
        <v>14111632.236073263</v>
      </c>
      <c r="J36" s="55">
        <f t="shared" si="3"/>
        <v>14147129.061638385</v>
      </c>
      <c r="K36" s="55">
        <f t="shared" si="3"/>
        <v>14177272.995978011</v>
      </c>
      <c r="L36" s="55">
        <f t="shared" si="3"/>
        <v>14205465.797332212</v>
      </c>
      <c r="M36" s="55">
        <f t="shared" si="3"/>
        <v>14248627.447413754</v>
      </c>
      <c r="N36" s="55">
        <f t="shared" si="3"/>
        <v>14292258.854278952</v>
      </c>
      <c r="O36" s="55">
        <f t="shared" si="3"/>
        <v>14336155.519352306</v>
      </c>
    </row>
    <row r="37" spans="1:16" x14ac:dyDescent="0.35">
      <c r="A37" s="50" t="str">
        <f>Dashboard!A36</f>
        <v>14a</v>
      </c>
      <c r="B37" s="50" t="str">
        <f>Dashboard!B36</f>
        <v>Amount Collected-Central</v>
      </c>
      <c r="C37" s="50" t="str">
        <f>Dashboard!C36</f>
        <v>Ksh.</v>
      </c>
      <c r="D37" s="52">
        <f>D38*D36</f>
        <v>14611737.535862679</v>
      </c>
      <c r="E37" s="52">
        <f t="shared" ref="E37:O37" si="4">E38*E36</f>
        <v>14692803.127990875</v>
      </c>
      <c r="F37" s="52">
        <f t="shared" si="4"/>
        <v>14769573.139728671</v>
      </c>
      <c r="G37" s="52">
        <f t="shared" si="4"/>
        <v>14783693.67859727</v>
      </c>
      <c r="H37" s="52">
        <f t="shared" si="4"/>
        <v>14802073.086867888</v>
      </c>
      <c r="I37" s="52">
        <f t="shared" si="4"/>
        <v>14817213.847876927</v>
      </c>
      <c r="J37" s="52">
        <f t="shared" si="4"/>
        <v>14854485.514720306</v>
      </c>
      <c r="K37" s="52">
        <f t="shared" si="4"/>
        <v>14886136.645776913</v>
      </c>
      <c r="L37" s="52">
        <f t="shared" si="4"/>
        <v>14915739.087198824</v>
      </c>
      <c r="M37" s="52">
        <f t="shared" si="4"/>
        <v>14961058.819784442</v>
      </c>
      <c r="N37" s="52">
        <f t="shared" si="4"/>
        <v>15006871.7969929</v>
      </c>
      <c r="O37" s="52">
        <f t="shared" si="4"/>
        <v>15052963.295319922</v>
      </c>
      <c r="P37" s="67"/>
    </row>
    <row r="38" spans="1:16" x14ac:dyDescent="0.35">
      <c r="A38" s="50" t="str">
        <f>Dashboard!A37</f>
        <v>15a</v>
      </c>
      <c r="B38" s="50" t="str">
        <f>Dashboard!B37</f>
        <v>Collection Efficiency-Central</v>
      </c>
      <c r="C38" s="50" t="str">
        <f>Dashboard!C37</f>
        <v>%</v>
      </c>
      <c r="D38" s="59">
        <v>1.05</v>
      </c>
      <c r="E38" s="59">
        <v>1.05</v>
      </c>
      <c r="F38" s="59">
        <v>1.05</v>
      </c>
      <c r="G38" s="59">
        <v>1.05</v>
      </c>
      <c r="H38" s="59">
        <v>1.05</v>
      </c>
      <c r="I38" s="59">
        <v>1.05</v>
      </c>
      <c r="J38" s="59">
        <v>1.05</v>
      </c>
      <c r="K38" s="59">
        <v>1.05</v>
      </c>
      <c r="L38" s="59">
        <v>1.05</v>
      </c>
      <c r="M38" s="59">
        <v>1.05</v>
      </c>
      <c r="N38" s="59">
        <v>1.05</v>
      </c>
      <c r="O38" s="59">
        <v>1.05</v>
      </c>
      <c r="P38" s="67"/>
    </row>
    <row r="39" spans="1:16" x14ac:dyDescent="0.35">
      <c r="A39" s="50" t="str">
        <f>Dashboard!A38</f>
        <v>SOUTHERN REGION: HELLSGATE,KAMERE, MAI MAHIU,LONGONOT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</row>
    <row r="40" spans="1:16" x14ac:dyDescent="0.35">
      <c r="A40" s="50" t="str">
        <f>Dashboard!A39</f>
        <v>16b</v>
      </c>
      <c r="B40" s="50" t="str">
        <f>Dashboard!B39</f>
        <v>Amount Billed Water-Southern</v>
      </c>
      <c r="C40" s="50" t="str">
        <f>Dashboard!C39</f>
        <v>Ksh.</v>
      </c>
      <c r="D40" s="73">
        <v>5065118.2414229233</v>
      </c>
      <c r="E40" s="73">
        <v>5186854.0401342409</v>
      </c>
      <c r="F40" s="73">
        <v>5320132.9536295589</v>
      </c>
      <c r="G40" s="73">
        <v>5584553.7091985717</v>
      </c>
      <c r="H40" s="73">
        <v>5827594.1459915433</v>
      </c>
      <c r="I40" s="73">
        <v>6061586.3943221532</v>
      </c>
      <c r="J40" s="73">
        <v>6268878.0953539293</v>
      </c>
      <c r="K40" s="73">
        <v>6470621.56846534</v>
      </c>
      <c r="L40" s="73">
        <v>6650863.8502878789</v>
      </c>
      <c r="M40" s="73">
        <v>6799132.4271202534</v>
      </c>
      <c r="N40" s="73">
        <v>6946856.215867538</v>
      </c>
      <c r="O40" s="73">
        <v>7091067.9020263534</v>
      </c>
      <c r="P40" s="67"/>
    </row>
    <row r="41" spans="1:16" x14ac:dyDescent="0.35">
      <c r="A41" s="50" t="str">
        <f>Dashboard!A40</f>
        <v>17b</v>
      </c>
      <c r="B41" s="50" t="str">
        <f>Dashboard!B40</f>
        <v>Amount Billed Sewer-Southern</v>
      </c>
      <c r="C41" s="50" t="str">
        <f>Dashboard!C40</f>
        <v>Ksh.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</row>
    <row r="42" spans="1:16" x14ac:dyDescent="0.35">
      <c r="A42" s="50" t="str">
        <f>Dashboard!A41</f>
        <v>18b</v>
      </c>
      <c r="B42" s="50" t="str">
        <f>Dashboard!B41</f>
        <v>othersales</v>
      </c>
      <c r="C42" s="50" t="str">
        <f>Dashboard!C41</f>
        <v>Ksh.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67"/>
    </row>
    <row r="43" spans="1:16" x14ac:dyDescent="0.35">
      <c r="A43" s="50" t="str">
        <f>Dashboard!A42</f>
        <v>19b</v>
      </c>
      <c r="B43" s="50" t="str">
        <f>Dashboard!B42</f>
        <v>Amount Billed Water &amp; Sewer-OTHER SALES-Southern</v>
      </c>
      <c r="C43" s="50" t="str">
        <f>Dashboard!C42</f>
        <v>Ksh.</v>
      </c>
      <c r="D43" s="55">
        <f>D40+D41+D42</f>
        <v>5065118.2414229233</v>
      </c>
      <c r="E43" s="55">
        <f t="shared" ref="E43:O43" si="5">E40+E41+E42</f>
        <v>5186854.0401342409</v>
      </c>
      <c r="F43" s="55">
        <f t="shared" si="5"/>
        <v>5320132.9536295589</v>
      </c>
      <c r="G43" s="55">
        <f t="shared" si="5"/>
        <v>5584553.7091985717</v>
      </c>
      <c r="H43" s="55">
        <f t="shared" si="5"/>
        <v>5827594.1459915433</v>
      </c>
      <c r="I43" s="55">
        <f t="shared" si="5"/>
        <v>6061586.3943221532</v>
      </c>
      <c r="J43" s="55">
        <f t="shared" si="5"/>
        <v>6268878.0953539293</v>
      </c>
      <c r="K43" s="55">
        <f t="shared" si="5"/>
        <v>6470621.56846534</v>
      </c>
      <c r="L43" s="55">
        <f t="shared" si="5"/>
        <v>6650863.8502878789</v>
      </c>
      <c r="M43" s="55">
        <f t="shared" si="5"/>
        <v>6799132.4271202534</v>
      </c>
      <c r="N43" s="55">
        <f t="shared" si="5"/>
        <v>6946856.215867538</v>
      </c>
      <c r="O43" s="55">
        <f t="shared" si="5"/>
        <v>7091067.9020263534</v>
      </c>
      <c r="P43" s="67"/>
    </row>
    <row r="44" spans="1:16" x14ac:dyDescent="0.35">
      <c r="A44" s="50" t="str">
        <f>Dashboard!A43</f>
        <v>14b</v>
      </c>
      <c r="B44" s="50" t="str">
        <f>Dashboard!B43</f>
        <v>Amount Collected-Southern</v>
      </c>
      <c r="C44" s="50" t="str">
        <f>Dashboard!C43</f>
        <v>Ksh.</v>
      </c>
      <c r="D44" s="52">
        <f>D43*D45</f>
        <v>5318374.1534940694</v>
      </c>
      <c r="E44" s="52">
        <f t="shared" ref="E44:O44" si="6">E43*E45</f>
        <v>5446196.7421409534</v>
      </c>
      <c r="F44" s="52">
        <f t="shared" si="6"/>
        <v>5586139.6013110373</v>
      </c>
      <c r="G44" s="52">
        <f t="shared" si="6"/>
        <v>5863781.3946585003</v>
      </c>
      <c r="H44" s="52">
        <f t="shared" si="6"/>
        <v>6118973.8532911204</v>
      </c>
      <c r="I44" s="52">
        <f t="shared" si="6"/>
        <v>6364665.7140382612</v>
      </c>
      <c r="J44" s="52">
        <f t="shared" si="6"/>
        <v>6582322.0001216261</v>
      </c>
      <c r="K44" s="52">
        <f t="shared" si="6"/>
        <v>6794152.6468886072</v>
      </c>
      <c r="L44" s="52">
        <f t="shared" si="6"/>
        <v>6983407.0428022733</v>
      </c>
      <c r="M44" s="52">
        <f t="shared" si="6"/>
        <v>7139089.0484762667</v>
      </c>
      <c r="N44" s="52">
        <f t="shared" si="6"/>
        <v>7294199.0266609155</v>
      </c>
      <c r="O44" s="52">
        <f t="shared" si="6"/>
        <v>7445621.2971276715</v>
      </c>
    </row>
    <row r="45" spans="1:16" x14ac:dyDescent="0.35">
      <c r="A45" s="50" t="str">
        <f>Dashboard!A44</f>
        <v>15b</v>
      </c>
      <c r="B45" s="50" t="str">
        <f>Dashboard!B44</f>
        <v>Collection Efficiency-Southern</v>
      </c>
      <c r="C45" s="50" t="str">
        <f>Dashboard!C44</f>
        <v>%</v>
      </c>
      <c r="D45" s="59">
        <v>1.05</v>
      </c>
      <c r="E45" s="59">
        <v>1.05</v>
      </c>
      <c r="F45" s="59">
        <v>1.05</v>
      </c>
      <c r="G45" s="59">
        <v>1.05</v>
      </c>
      <c r="H45" s="59">
        <v>1.05</v>
      </c>
      <c r="I45" s="59">
        <v>1.05</v>
      </c>
      <c r="J45" s="59">
        <v>1.05</v>
      </c>
      <c r="K45" s="59">
        <v>1.05</v>
      </c>
      <c r="L45" s="59">
        <v>1.05</v>
      </c>
      <c r="M45" s="59">
        <v>1.05</v>
      </c>
      <c r="N45" s="59">
        <v>1.05</v>
      </c>
      <c r="O45" s="59">
        <v>1.05</v>
      </c>
    </row>
    <row r="46" spans="1:16" x14ac:dyDescent="0.35">
      <c r="A46" s="50" t="str">
        <f>Dashboard!A45</f>
        <v>EASTERN REGION: KAYOLE,GONDI,KINUNGI,NJONJORO,IHINDU</v>
      </c>
      <c r="B46" s="50">
        <f>Dashboard!B45</f>
        <v>0</v>
      </c>
      <c r="C46" s="50">
        <f>Dashboard!C45</f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6" x14ac:dyDescent="0.35">
      <c r="A47" s="50" t="str">
        <f>Dashboard!A46</f>
        <v>16c</v>
      </c>
      <c r="B47" s="50" t="str">
        <f>Dashboard!B46</f>
        <v>Amount Billed Water-Eastern</v>
      </c>
      <c r="C47" s="50" t="str">
        <f>Dashboard!C46</f>
        <v>Ksh.</v>
      </c>
      <c r="D47" s="52">
        <v>2936883.6119525721</v>
      </c>
      <c r="E47" s="52">
        <v>2978463.0835146657</v>
      </c>
      <c r="F47" s="52">
        <v>3015830.7056028978</v>
      </c>
      <c r="G47" s="52">
        <v>3030322.8830651944</v>
      </c>
      <c r="H47" s="52">
        <v>3045939.5425312831</v>
      </c>
      <c r="I47" s="52">
        <v>3057489.0423317845</v>
      </c>
      <c r="J47" s="52">
        <v>3090862.2588154608</v>
      </c>
      <c r="K47" s="52">
        <v>3110836.8137219953</v>
      </c>
      <c r="L47" s="52">
        <v>3129963.9089611997</v>
      </c>
      <c r="M47" s="52">
        <v>3149896.0733656478</v>
      </c>
      <c r="N47" s="52">
        <v>3169903.4788791663</v>
      </c>
      <c r="O47" s="52">
        <v>3189917.9355455334</v>
      </c>
      <c r="P47" s="67"/>
    </row>
    <row r="48" spans="1:16" x14ac:dyDescent="0.35">
      <c r="A48" s="50" t="str">
        <f>Dashboard!A47</f>
        <v>17c</v>
      </c>
      <c r="B48" s="50" t="str">
        <f>Dashboard!B47</f>
        <v>Amount Billed Sewer-Eastern</v>
      </c>
      <c r="C48" s="50" t="str">
        <f>Dashboard!C47</f>
        <v>Ksh.</v>
      </c>
      <c r="D48" s="52">
        <v>96809.505999981353</v>
      </c>
      <c r="E48" s="52">
        <v>97684.242144150659</v>
      </c>
      <c r="F48" s="52">
        <v>98558.741921406414</v>
      </c>
      <c r="G48" s="52">
        <v>99433.008888245269</v>
      </c>
      <c r="H48" s="52">
        <v>100307.04653016933</v>
      </c>
      <c r="I48" s="52">
        <v>101180.85826344904</v>
      </c>
      <c r="J48" s="52">
        <v>102054.44743683365</v>
      </c>
      <c r="K48" s="52">
        <v>102927.8173332109</v>
      </c>
      <c r="L48" s="52">
        <v>103800.97117121863</v>
      </c>
      <c r="M48" s="52">
        <v>104673.91210680854</v>
      </c>
      <c r="N48" s="52">
        <v>105546.64323476522</v>
      </c>
      <c r="O48" s="52">
        <v>106419.1675901808</v>
      </c>
    </row>
    <row r="49" spans="1:15" x14ac:dyDescent="0.35">
      <c r="A49" s="50" t="str">
        <f>Dashboard!A48</f>
        <v>18c</v>
      </c>
      <c r="B49" s="50" t="str">
        <f>Dashboard!B48</f>
        <v>othersales</v>
      </c>
      <c r="C49" s="50" t="str">
        <f>Dashboard!C48</f>
        <v>Ksh.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</row>
    <row r="50" spans="1:15" x14ac:dyDescent="0.35">
      <c r="A50" s="50" t="str">
        <f>Dashboard!A49</f>
        <v>19b</v>
      </c>
      <c r="B50" s="50" t="str">
        <f>Dashboard!B49</f>
        <v>Amount Billed Water &amp; Sewer-othersales-Eastern</v>
      </c>
      <c r="C50" s="50" t="str">
        <f>Dashboard!C49</f>
        <v>Ksh.</v>
      </c>
      <c r="D50" s="55">
        <f>D47+D48</f>
        <v>3033693.1179525536</v>
      </c>
      <c r="E50" s="55">
        <f t="shared" ref="E50:O50" si="7">E47+E48</f>
        <v>3076147.3256588164</v>
      </c>
      <c r="F50" s="55">
        <f t="shared" si="7"/>
        <v>3114389.447524304</v>
      </c>
      <c r="G50" s="55">
        <f t="shared" si="7"/>
        <v>3129755.8919534395</v>
      </c>
      <c r="H50" s="55">
        <f t="shared" si="7"/>
        <v>3146246.5890614525</v>
      </c>
      <c r="I50" s="55">
        <f t="shared" si="7"/>
        <v>3158669.9005952338</v>
      </c>
      <c r="J50" s="55">
        <f t="shared" si="7"/>
        <v>3192916.7062522946</v>
      </c>
      <c r="K50" s="55">
        <f t="shared" si="7"/>
        <v>3213764.6310552061</v>
      </c>
      <c r="L50" s="55">
        <f t="shared" si="7"/>
        <v>3233764.8801324181</v>
      </c>
      <c r="M50" s="55">
        <f t="shared" si="7"/>
        <v>3254569.9854724566</v>
      </c>
      <c r="N50" s="55">
        <f t="shared" si="7"/>
        <v>3275450.1221139315</v>
      </c>
      <c r="O50" s="55">
        <f t="shared" si="7"/>
        <v>3296337.1031357143</v>
      </c>
    </row>
    <row r="51" spans="1:15" x14ac:dyDescent="0.35">
      <c r="A51" s="50" t="str">
        <f>Dashboard!A50</f>
        <v>14c</v>
      </c>
      <c r="B51" s="50" t="str">
        <f>Dashboard!B50</f>
        <v>Amount Collected-Eastern</v>
      </c>
      <c r="C51" s="50" t="str">
        <f>Dashboard!C50</f>
        <v>Ksh.</v>
      </c>
      <c r="D51" s="52">
        <f>D50*D52</f>
        <v>3185377.7738501811</v>
      </c>
      <c r="E51" s="52">
        <f t="shared" ref="E51:O51" si="8">E50*E52</f>
        <v>3229954.6919417572</v>
      </c>
      <c r="F51" s="52">
        <f t="shared" si="8"/>
        <v>3270108.9199005193</v>
      </c>
      <c r="G51" s="52">
        <f t="shared" si="8"/>
        <v>3286243.6865511118</v>
      </c>
      <c r="H51" s="52">
        <f t="shared" si="8"/>
        <v>3303558.9185145255</v>
      </c>
      <c r="I51" s="52">
        <f t="shared" si="8"/>
        <v>3316603.3956249957</v>
      </c>
      <c r="J51" s="52">
        <f t="shared" si="8"/>
        <v>3352562.5415649093</v>
      </c>
      <c r="K51" s="52">
        <f t="shared" si="8"/>
        <v>3374452.8626079666</v>
      </c>
      <c r="L51" s="52">
        <f t="shared" si="8"/>
        <v>3395453.1241390393</v>
      </c>
      <c r="M51" s="52">
        <f t="shared" si="8"/>
        <v>3417298.4847460794</v>
      </c>
      <c r="N51" s="52">
        <f t="shared" si="8"/>
        <v>3439222.6282196282</v>
      </c>
      <c r="O51" s="52">
        <f t="shared" si="8"/>
        <v>3461153.9582925001</v>
      </c>
    </row>
    <row r="52" spans="1:15" x14ac:dyDescent="0.35">
      <c r="A52" s="50" t="str">
        <f>Dashboard!A51</f>
        <v>15c</v>
      </c>
      <c r="B52" s="50" t="str">
        <f>Dashboard!B51</f>
        <v>Collection Efficiency-Eastern</v>
      </c>
      <c r="C52" s="50" t="str">
        <f>Dashboard!C51</f>
        <v>%</v>
      </c>
      <c r="D52" s="56">
        <v>1.05</v>
      </c>
      <c r="E52" s="56">
        <v>1.05</v>
      </c>
      <c r="F52" s="56">
        <v>1.05</v>
      </c>
      <c r="G52" s="56">
        <v>1.05</v>
      </c>
      <c r="H52" s="56">
        <v>1.05</v>
      </c>
      <c r="I52" s="56">
        <v>1.05</v>
      </c>
      <c r="J52" s="56">
        <v>1.05</v>
      </c>
      <c r="K52" s="56">
        <v>1.05</v>
      </c>
      <c r="L52" s="56">
        <v>1.05</v>
      </c>
      <c r="M52" s="56">
        <v>1.05</v>
      </c>
      <c r="N52" s="56">
        <v>1.05</v>
      </c>
      <c r="O52" s="56">
        <v>1.05</v>
      </c>
    </row>
    <row r="53" spans="1:15" x14ac:dyDescent="0.35">
      <c r="A53" s="50">
        <f>Dashboard!A52</f>
        <v>19</v>
      </c>
      <c r="B53" s="50">
        <f>Dashboard!B59</f>
        <v>0</v>
      </c>
      <c r="C53" s="50">
        <f>Dashboard!C59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x14ac:dyDescent="0.35">
      <c r="A54" s="50">
        <f>Dashboard!A53</f>
        <v>0</v>
      </c>
      <c r="B54" s="50" t="str">
        <f>Dashboard!B53</f>
        <v>AMOUNT RECEIVABLES</v>
      </c>
      <c r="C54" s="50">
        <f>Dashboard!C62</f>
        <v>0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</row>
    <row r="55" spans="1:15" x14ac:dyDescent="0.35">
      <c r="A55" s="50">
        <f>Dashboard!A54</f>
        <v>20</v>
      </c>
      <c r="B55" s="50" t="str">
        <f>Dashboard!B54</f>
        <v>Amount receivables as at close of the month</v>
      </c>
      <c r="C55" s="50">
        <f>Dashboard!C63</f>
        <v>0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</row>
    <row r="56" spans="1:15" x14ac:dyDescent="0.35">
      <c r="A56" s="50">
        <f>Dashboard!A55</f>
        <v>21</v>
      </c>
      <c r="B56" s="50" t="str">
        <f>Dashboard!B55</f>
        <v>Adjustment done for the month</v>
      </c>
      <c r="C56" s="50" t="str">
        <f>Dashboard!C55</f>
        <v>Ksh.</v>
      </c>
      <c r="D56" s="52">
        <f>D55*0.95</f>
        <v>0</v>
      </c>
      <c r="E56" s="52">
        <f t="shared" ref="E56:O56" si="9">E55*0.95</f>
        <v>0</v>
      </c>
      <c r="F56" s="52">
        <f t="shared" si="9"/>
        <v>0</v>
      </c>
      <c r="G56" s="52">
        <f t="shared" si="9"/>
        <v>0</v>
      </c>
      <c r="H56" s="52">
        <f t="shared" si="9"/>
        <v>0</v>
      </c>
      <c r="I56" s="52">
        <f t="shared" si="9"/>
        <v>0</v>
      </c>
      <c r="J56" s="52">
        <f t="shared" si="9"/>
        <v>0</v>
      </c>
      <c r="K56" s="52">
        <f t="shared" si="9"/>
        <v>0</v>
      </c>
      <c r="L56" s="52">
        <f t="shared" si="9"/>
        <v>0</v>
      </c>
      <c r="M56" s="52">
        <f t="shared" si="9"/>
        <v>0</v>
      </c>
      <c r="N56" s="52">
        <f t="shared" si="9"/>
        <v>0</v>
      </c>
      <c r="O56" s="52">
        <f t="shared" si="9"/>
        <v>0</v>
      </c>
    </row>
    <row r="57" spans="1:15" x14ac:dyDescent="0.35">
      <c r="A57" s="50">
        <f>Dashboard!A56</f>
        <v>0</v>
      </c>
      <c r="B57" s="50">
        <f>Dashboard!B56</f>
        <v>0</v>
      </c>
      <c r="C57" s="50">
        <f>Dashboard!C65</f>
        <v>0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</row>
    <row r="58" spans="1:15" x14ac:dyDescent="0.35">
      <c r="A58" s="50">
        <f>Dashboard!A57</f>
        <v>0</v>
      </c>
      <c r="B58" s="50">
        <f>Dashboard!B57</f>
        <v>0</v>
      </c>
      <c r="C58" s="50">
        <f>Dashboard!C66</f>
        <v>0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</row>
    <row r="59" spans="1:15" x14ac:dyDescent="0.35">
      <c r="A59" s="50">
        <f>Dashboard!A58</f>
        <v>0</v>
      </c>
      <c r="B59" s="50">
        <f>Dashboard!B58</f>
        <v>0</v>
      </c>
      <c r="C59" s="50">
        <f>Dashboard!C67</f>
        <v>0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</row>
    <row r="60" spans="1:15" x14ac:dyDescent="0.35">
      <c r="A60" s="50">
        <f>Dashboard!A59</f>
        <v>0</v>
      </c>
      <c r="B60" s="50">
        <f>Dashboard!B68</f>
        <v>0</v>
      </c>
      <c r="C60" s="50">
        <f>Dashboard!C68</f>
        <v>0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</row>
    <row r="61" spans="1:15" x14ac:dyDescent="0.35">
      <c r="A61" s="50">
        <f>Dashboard!A60</f>
        <v>0</v>
      </c>
      <c r="B61" s="50">
        <f>Dashboard!B69</f>
        <v>0</v>
      </c>
      <c r="C61" s="50">
        <f>Dashboard!C69</f>
        <v>0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</row>
    <row r="62" spans="1:15" x14ac:dyDescent="0.35">
      <c r="A62" s="50">
        <f>Dashboard!A70</f>
        <v>0</v>
      </c>
      <c r="B62" s="50">
        <f>Dashboard!B70</f>
        <v>0</v>
      </c>
      <c r="C62" s="50">
        <f>Dashboard!C70</f>
        <v>0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</row>
    <row r="63" spans="1:15" x14ac:dyDescent="0.35">
      <c r="A63" s="50">
        <f>Dashboard!A71</f>
        <v>0</v>
      </c>
      <c r="B63" s="50">
        <f>Dashboard!B71</f>
        <v>0</v>
      </c>
      <c r="C63" s="50">
        <f>Dashboard!C71</f>
        <v>0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</row>
    <row r="64" spans="1:15" x14ac:dyDescent="0.35">
      <c r="A64" s="50">
        <f>Dashboard!A72</f>
        <v>0</v>
      </c>
      <c r="B64" s="50">
        <f>Dashboard!B72</f>
        <v>0</v>
      </c>
      <c r="C64" s="50">
        <f>Dashboard!C72</f>
        <v>0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workbookViewId="0">
      <pane xSplit="4" ySplit="5" topLeftCell="J8" activePane="bottomRight" state="frozen"/>
      <selection pane="topRight" activeCell="E1" sqref="E1"/>
      <selection pane="bottomLeft" activeCell="A6" sqref="A6"/>
      <selection pane="bottomRight" activeCell="M56" sqref="M56"/>
    </sheetView>
  </sheetViews>
  <sheetFormatPr defaultColWidth="9.1796875" defaultRowHeight="14.5" x14ac:dyDescent="0.35"/>
  <cols>
    <col min="1" max="1" width="7.453125" style="50" customWidth="1"/>
    <col min="2" max="2" width="49.36328125" style="50" customWidth="1"/>
    <col min="3" max="3" width="5.54296875" style="50" customWidth="1"/>
    <col min="4" max="4" width="5.6328125" style="50" customWidth="1"/>
    <col min="5" max="6" width="18.1796875" style="50" customWidth="1"/>
    <col min="7" max="7" width="18.54296875" style="50" customWidth="1"/>
    <col min="8" max="8" width="18.54296875" style="55" customWidth="1"/>
    <col min="9" max="9" width="16.54296875" style="50" customWidth="1"/>
    <col min="10" max="10" width="17.81640625" style="50" customWidth="1"/>
    <col min="11" max="11" width="15.453125" style="55" customWidth="1"/>
    <col min="12" max="12" width="15.81640625" style="50" customWidth="1"/>
    <col min="13" max="13" width="20.453125" style="50" customWidth="1"/>
    <col min="14" max="14" width="18.81640625" style="50" customWidth="1"/>
    <col min="15" max="15" width="17.453125" style="50" customWidth="1"/>
    <col min="16" max="16" width="18" style="50" bestFit="1" customWidth="1"/>
    <col min="17" max="16384" width="9.1796875" style="50"/>
  </cols>
  <sheetData>
    <row r="1" spans="1:16" x14ac:dyDescent="0.35">
      <c r="A1" s="50" t="str">
        <f>Dashboard!A1</f>
        <v>FINANCE DASHBOARD</v>
      </c>
    </row>
    <row r="2" spans="1:16" x14ac:dyDescent="0.35">
      <c r="E2" s="67"/>
      <c r="F2" s="67"/>
      <c r="G2" s="67"/>
      <c r="I2" s="67"/>
      <c r="J2" s="67"/>
      <c r="L2" s="67"/>
    </row>
    <row r="4" spans="1:16" x14ac:dyDescent="0.35">
      <c r="B4" s="50" t="s">
        <v>50</v>
      </c>
      <c r="C4" s="50" t="s">
        <v>51</v>
      </c>
      <c r="E4" s="50" t="s">
        <v>52</v>
      </c>
      <c r="F4" s="50" t="s">
        <v>53</v>
      </c>
      <c r="G4" s="50" t="s">
        <v>54</v>
      </c>
      <c r="H4" s="55" t="s">
        <v>55</v>
      </c>
      <c r="I4" s="50" t="s">
        <v>56</v>
      </c>
      <c r="J4" s="50" t="s">
        <v>57</v>
      </c>
      <c r="K4" s="55" t="s">
        <v>58</v>
      </c>
      <c r="L4" s="50" t="s">
        <v>59</v>
      </c>
      <c r="M4" s="50" t="s">
        <v>60</v>
      </c>
      <c r="N4" s="50" t="s">
        <v>61</v>
      </c>
      <c r="O4" s="50" t="s">
        <v>62</v>
      </c>
      <c r="P4" s="50" t="s">
        <v>63</v>
      </c>
    </row>
    <row r="5" spans="1:16" ht="15" thickBot="1" x14ac:dyDescent="0.4">
      <c r="A5" s="50" t="str">
        <f>Dashboard!A5</f>
        <v>BILLING DASHBOARD - SUMMARY</v>
      </c>
    </row>
    <row r="6" spans="1:16" ht="15" thickBot="1" x14ac:dyDescent="0.4">
      <c r="A6" s="50">
        <f>Dashboard!A6</f>
        <v>1</v>
      </c>
      <c r="B6" s="50" t="str">
        <f>Dashboard!B6</f>
        <v>Total Water Sales (Ksh)</v>
      </c>
      <c r="C6" s="50" t="str">
        <f>Dashboard!C6</f>
        <v>Ksh</v>
      </c>
      <c r="E6" s="80">
        <v>18389070</v>
      </c>
      <c r="F6" s="80">
        <v>22070060</v>
      </c>
      <c r="G6" s="81">
        <f>18397090+440</f>
        <v>18397530</v>
      </c>
      <c r="H6" s="82">
        <v>21684080</v>
      </c>
      <c r="I6" s="82">
        <f>17026640+10140</f>
        <v>17036780</v>
      </c>
      <c r="J6" s="82">
        <v>16441310</v>
      </c>
      <c r="K6" s="82">
        <v>25608070</v>
      </c>
      <c r="L6" s="80">
        <v>21831150</v>
      </c>
      <c r="M6" s="80">
        <v>18351480</v>
      </c>
      <c r="N6" s="80"/>
      <c r="O6" s="80"/>
      <c r="P6" s="80"/>
    </row>
    <row r="7" spans="1:16" ht="15" thickBot="1" x14ac:dyDescent="0.4">
      <c r="A7" s="50">
        <f>Dashboard!A7</f>
        <v>2</v>
      </c>
      <c r="B7" s="50" t="str">
        <f>Dashboard!B7</f>
        <v>Total Sewerage Sales (Ksh)</v>
      </c>
      <c r="C7" s="50" t="str">
        <f>Dashboard!C7</f>
        <v>Ksh</v>
      </c>
      <c r="E7" s="80">
        <v>5703320.9999999991</v>
      </c>
      <c r="F7" s="80">
        <v>6046365.9999999991</v>
      </c>
      <c r="G7" s="81">
        <f>5665420.8+55465.2-350</f>
        <v>5720536</v>
      </c>
      <c r="H7" s="83">
        <v>5831420.9999999991</v>
      </c>
      <c r="I7" s="82">
        <f>5336003.5+7130</f>
        <v>5343133.5</v>
      </c>
      <c r="J7" s="82">
        <v>4905403.7999999989</v>
      </c>
      <c r="K7" s="82">
        <v>6958143.4999999991</v>
      </c>
      <c r="L7" s="80">
        <v>5826590.9999999991</v>
      </c>
      <c r="M7" s="80">
        <v>5950166</v>
      </c>
      <c r="N7" s="80"/>
      <c r="O7" s="80"/>
      <c r="P7" s="80"/>
    </row>
    <row r="8" spans="1:16" ht="15" thickBot="1" x14ac:dyDescent="0.4">
      <c r="A8" s="50">
        <f>Dashboard!A8</f>
        <v>3</v>
      </c>
      <c r="B8" s="50" t="str">
        <f>Dashboard!B8</f>
        <v xml:space="preserve">Bulk water </v>
      </c>
      <c r="C8" s="50" t="str">
        <f>Dashboard!C8</f>
        <v>Ksh</v>
      </c>
      <c r="E8" s="83">
        <v>185510</v>
      </c>
      <c r="F8" s="83">
        <v>166400</v>
      </c>
      <c r="G8" s="84">
        <v>165100</v>
      </c>
      <c r="H8" s="82">
        <v>164840</v>
      </c>
      <c r="I8" s="82">
        <v>126750</v>
      </c>
      <c r="J8" s="83">
        <v>122200</v>
      </c>
      <c r="K8" s="83">
        <v>46020</v>
      </c>
      <c r="L8" s="83">
        <v>88920</v>
      </c>
      <c r="M8" s="83">
        <v>30290</v>
      </c>
      <c r="N8" s="83"/>
      <c r="O8" s="83"/>
      <c r="P8" s="83"/>
    </row>
    <row r="9" spans="1:16" ht="15" thickBot="1" x14ac:dyDescent="0.4">
      <c r="C9" s="50" t="str">
        <f>Dashboard!C9</f>
        <v>Ksh</v>
      </c>
      <c r="E9" s="83"/>
      <c r="F9" s="83"/>
      <c r="G9" s="84"/>
      <c r="H9" s="84"/>
      <c r="I9" s="82"/>
      <c r="J9" s="82"/>
      <c r="K9" s="83"/>
      <c r="L9" s="83"/>
      <c r="M9" s="83"/>
      <c r="N9" s="83"/>
      <c r="O9" s="83"/>
      <c r="P9" s="83"/>
    </row>
    <row r="10" spans="1:16" ht="15" thickBot="1" x14ac:dyDescent="0.4">
      <c r="A10" s="50">
        <f>Dashboard!A9</f>
        <v>4</v>
      </c>
      <c r="B10" s="50" t="str">
        <f>Dashboard!B9</f>
        <v>Sanitation</v>
      </c>
      <c r="C10" s="50" t="str">
        <f>Dashboard!C10</f>
        <v>Ksh</v>
      </c>
      <c r="E10" s="83">
        <v>919453.5</v>
      </c>
      <c r="F10" s="83">
        <v>1103503</v>
      </c>
      <c r="G10" s="84">
        <f>919854.5+22</f>
        <v>919876.5</v>
      </c>
      <c r="H10" s="84">
        <v>1084204</v>
      </c>
      <c r="I10" s="82">
        <f>851332+507</f>
        <v>851839</v>
      </c>
      <c r="J10" s="82">
        <v>822065.5</v>
      </c>
      <c r="K10" s="83">
        <v>1280403.5</v>
      </c>
      <c r="L10" s="83">
        <v>1091557.5</v>
      </c>
      <c r="M10" s="83">
        <v>917568.5</v>
      </c>
      <c r="N10" s="83"/>
      <c r="O10" s="83"/>
      <c r="P10" s="83"/>
    </row>
    <row r="11" spans="1:16" ht="15" thickBot="1" x14ac:dyDescent="0.4">
      <c r="A11" s="50">
        <f>Dashboard!A10</f>
        <v>5</v>
      </c>
      <c r="B11" s="50" t="str">
        <f>Dashboard!B10</f>
        <v>new connection fee water</v>
      </c>
      <c r="C11" s="50" t="str">
        <f>Dashboard!C11</f>
        <v>Ksh</v>
      </c>
      <c r="E11" s="83">
        <v>385000</v>
      </c>
      <c r="F11" s="83">
        <v>455000</v>
      </c>
      <c r="G11" s="84">
        <v>345000</v>
      </c>
      <c r="H11" s="82">
        <v>422500</v>
      </c>
      <c r="I11" s="82">
        <v>255000</v>
      </c>
      <c r="J11" s="82">
        <v>360000</v>
      </c>
      <c r="K11" s="83">
        <v>440000</v>
      </c>
      <c r="L11" s="83">
        <v>192500</v>
      </c>
      <c r="M11" s="83">
        <v>147500</v>
      </c>
      <c r="N11" s="83"/>
      <c r="O11" s="83"/>
      <c r="P11" s="83"/>
    </row>
    <row r="12" spans="1:16" ht="15" thickBot="1" x14ac:dyDescent="0.4">
      <c r="A12" s="50">
        <f>Dashboard!A11</f>
        <v>6</v>
      </c>
      <c r="B12" s="50" t="str">
        <f>Dashboard!B11</f>
        <v>new connection fee sewer</v>
      </c>
      <c r="C12" s="50" t="str">
        <f>Dashboard!C12</f>
        <v>Ksh</v>
      </c>
      <c r="E12" s="83">
        <v>0</v>
      </c>
      <c r="F12" s="83">
        <v>22500</v>
      </c>
      <c r="G12" s="84">
        <v>22500</v>
      </c>
      <c r="H12" s="83">
        <v>20000</v>
      </c>
      <c r="I12" s="82">
        <v>27500</v>
      </c>
      <c r="J12" s="82">
        <v>0</v>
      </c>
      <c r="K12" s="83">
        <v>22500</v>
      </c>
      <c r="L12" s="83">
        <v>27500</v>
      </c>
      <c r="M12" s="83">
        <v>0</v>
      </c>
      <c r="N12" s="83"/>
      <c r="O12" s="83"/>
      <c r="P12" s="83"/>
    </row>
    <row r="13" spans="1:16" ht="15" thickBot="1" x14ac:dyDescent="0.4">
      <c r="A13" s="50">
        <f>Dashboard!A12</f>
        <v>7</v>
      </c>
      <c r="B13" s="50" t="str">
        <f>Dashboard!B12</f>
        <v>reconnection fee (water+sewer)</v>
      </c>
      <c r="C13" s="50" t="str">
        <f>Dashboard!C13</f>
        <v>Ksh</v>
      </c>
      <c r="E13" s="83">
        <v>165000</v>
      </c>
      <c r="F13" s="83">
        <v>261500</v>
      </c>
      <c r="G13" s="84">
        <v>120500</v>
      </c>
      <c r="H13" s="82">
        <v>67500</v>
      </c>
      <c r="I13" s="83">
        <v>114000</v>
      </c>
      <c r="J13" s="82">
        <v>101000</v>
      </c>
      <c r="K13" s="83">
        <v>162000</v>
      </c>
      <c r="L13" s="83">
        <v>186000</v>
      </c>
      <c r="M13" s="83">
        <v>157500</v>
      </c>
      <c r="N13" s="83"/>
      <c r="O13" s="83"/>
      <c r="P13" s="83"/>
    </row>
    <row r="14" spans="1:16" ht="15" thickBot="1" x14ac:dyDescent="0.4">
      <c r="A14" s="50">
        <f>Dashboard!A13</f>
        <v>8</v>
      </c>
      <c r="B14" s="50" t="str">
        <f>Dashboard!B13</f>
        <v>Prepaid kiosk</v>
      </c>
      <c r="C14" s="50" t="str">
        <f>Dashboard!C8</f>
        <v>Ksh</v>
      </c>
      <c r="E14" s="83">
        <v>78800</v>
      </c>
      <c r="F14" s="83">
        <v>82100</v>
      </c>
      <c r="G14" s="84">
        <v>74600</v>
      </c>
      <c r="H14" s="83">
        <v>84300</v>
      </c>
      <c r="I14" s="83">
        <v>67100</v>
      </c>
      <c r="J14" s="83">
        <v>62600</v>
      </c>
      <c r="K14" s="83">
        <v>116200</v>
      </c>
      <c r="L14" s="83">
        <v>81000</v>
      </c>
      <c r="M14" s="83">
        <v>61500</v>
      </c>
      <c r="N14" s="83"/>
      <c r="O14" s="83"/>
      <c r="P14" s="83"/>
    </row>
    <row r="15" spans="1:16" ht="15" thickBot="1" x14ac:dyDescent="0.4">
      <c r="A15" s="50">
        <f>Dashboard!A14</f>
        <v>9</v>
      </c>
      <c r="B15" s="50" t="str">
        <f>Dashboard!B14</f>
        <v>misc income-printing fee,CA,meter replacement fee,meter testing</v>
      </c>
      <c r="C15" s="50" t="str">
        <f>Dashboard!C10</f>
        <v>Ksh</v>
      </c>
      <c r="E15" s="83">
        <v>115100</v>
      </c>
      <c r="F15" s="83">
        <v>30900</v>
      </c>
      <c r="G15" s="84">
        <v>49000</v>
      </c>
      <c r="H15" s="83">
        <v>44200</v>
      </c>
      <c r="I15" s="83">
        <v>68950</v>
      </c>
      <c r="J15" s="83">
        <v>21500</v>
      </c>
      <c r="K15" s="83">
        <f>90200-K16</f>
        <v>57700</v>
      </c>
      <c r="L15" s="83">
        <v>76800</v>
      </c>
      <c r="M15" s="83">
        <v>2454300</v>
      </c>
      <c r="N15" s="83"/>
      <c r="O15" s="83"/>
      <c r="P15" s="83"/>
    </row>
    <row r="16" spans="1:16" ht="15" thickBot="1" x14ac:dyDescent="0.4">
      <c r="A16" s="50">
        <f>Dashboard!A15</f>
        <v>10</v>
      </c>
      <c r="B16" s="50" t="str">
        <f>Dashboard!B15</f>
        <v>sewer unblocking fee</v>
      </c>
      <c r="C16" s="50" t="str">
        <f>Dashboard!C11</f>
        <v>Ksh</v>
      </c>
      <c r="E16" s="83">
        <v>2500</v>
      </c>
      <c r="F16" s="83">
        <v>5000</v>
      </c>
      <c r="G16" s="84">
        <v>5000</v>
      </c>
      <c r="H16" s="83">
        <v>0</v>
      </c>
      <c r="I16" s="83">
        <v>0</v>
      </c>
      <c r="J16" s="83">
        <v>0</v>
      </c>
      <c r="K16" s="83">
        <v>32500</v>
      </c>
      <c r="L16" s="83">
        <v>0</v>
      </c>
      <c r="M16" s="83">
        <v>0</v>
      </c>
      <c r="N16" s="83"/>
      <c r="O16" s="83"/>
      <c r="P16" s="83"/>
    </row>
    <row r="17" spans="1:16" ht="14.25" customHeight="1" thickBot="1" x14ac:dyDescent="0.4">
      <c r="A17" s="50">
        <f>Dashboard!A16</f>
        <v>11</v>
      </c>
      <c r="B17" s="50" t="str">
        <f>Dashboard!B16</f>
        <v>penalties (water+sewer)</v>
      </c>
      <c r="C17" s="50" t="str">
        <f>Dashboard!C12</f>
        <v>Ksh</v>
      </c>
      <c r="E17" s="83">
        <v>40000</v>
      </c>
      <c r="F17" s="83">
        <v>0</v>
      </c>
      <c r="G17" s="84">
        <v>280000</v>
      </c>
      <c r="H17" s="83">
        <v>90000</v>
      </c>
      <c r="I17" s="83">
        <v>0</v>
      </c>
      <c r="J17" s="83">
        <v>0</v>
      </c>
      <c r="K17" s="83">
        <v>285000</v>
      </c>
      <c r="L17" s="83">
        <v>15000</v>
      </c>
      <c r="M17" s="83">
        <v>155000</v>
      </c>
      <c r="N17" s="83"/>
      <c r="O17" s="83"/>
      <c r="P17" s="83"/>
    </row>
    <row r="18" spans="1:16" ht="15" hidden="1" thickBot="1" x14ac:dyDescent="0.4">
      <c r="A18" s="50" t="e">
        <f>Dashboard!#REF!</f>
        <v>#REF!</v>
      </c>
      <c r="B18" s="50" t="e">
        <f>Dashboard!#REF!</f>
        <v>#REF!</v>
      </c>
      <c r="C18" s="50" t="str">
        <f>Dashboard!C13</f>
        <v>Ksh</v>
      </c>
      <c r="E18" s="83"/>
      <c r="F18" s="83"/>
      <c r="G18" s="84"/>
      <c r="H18" s="83"/>
      <c r="I18" s="83"/>
      <c r="J18" s="83"/>
      <c r="K18" s="83"/>
      <c r="L18" s="85"/>
      <c r="M18" s="83"/>
      <c r="N18" s="83"/>
      <c r="O18" s="83"/>
      <c r="P18" s="85"/>
    </row>
    <row r="19" spans="1:16" ht="15" thickBot="1" x14ac:dyDescent="0.4">
      <c r="A19" s="50">
        <f>Dashboard!A17</f>
        <v>12</v>
      </c>
      <c r="B19" s="50" t="str">
        <f>Dashboard!B17</f>
        <v>Company exhauster</v>
      </c>
      <c r="C19" s="50" t="str">
        <f>Dashboard!C14</f>
        <v>Ksh</v>
      </c>
      <c r="E19" s="83">
        <v>0</v>
      </c>
      <c r="F19" s="83">
        <v>0</v>
      </c>
      <c r="G19" s="84"/>
      <c r="H19" s="83"/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/>
      <c r="O19" s="83"/>
      <c r="P19" s="83"/>
    </row>
    <row r="20" spans="1:16" ht="15" thickBot="1" x14ac:dyDescent="0.4">
      <c r="A20" s="50">
        <f>Dashboard!A18</f>
        <v>12</v>
      </c>
      <c r="B20" s="50" t="str">
        <f>Dashboard!B18</f>
        <v>Customer exhauster</v>
      </c>
      <c r="C20" s="50" t="str">
        <f>Dashboard!C15</f>
        <v>Ksh</v>
      </c>
      <c r="E20" s="83">
        <v>180000</v>
      </c>
      <c r="F20" s="83">
        <v>180000</v>
      </c>
      <c r="G20" s="84">
        <v>210000</v>
      </c>
      <c r="H20" s="83">
        <v>210000</v>
      </c>
      <c r="I20" s="83">
        <v>195000</v>
      </c>
      <c r="J20" s="83">
        <v>195000</v>
      </c>
      <c r="K20" s="83">
        <v>210000</v>
      </c>
      <c r="L20" s="83">
        <v>210000</v>
      </c>
      <c r="M20" s="83">
        <v>180000</v>
      </c>
      <c r="N20" s="83"/>
      <c r="O20" s="83"/>
      <c r="P20" s="83"/>
    </row>
    <row r="21" spans="1:16" ht="15" thickBot="1" x14ac:dyDescent="0.4">
      <c r="A21" s="50">
        <f>Dashboard!A19</f>
        <v>13</v>
      </c>
      <c r="B21" s="50" t="str">
        <f>Dashboard!B19</f>
        <v>Total billed (Ksh)</v>
      </c>
      <c r="C21" s="50" t="str">
        <f>Dashboard!C17</f>
        <v>Ksh</v>
      </c>
      <c r="D21" s="67">
        <f>'Actual 202425'!P21</f>
        <v>28905831.5</v>
      </c>
      <c r="E21" s="86">
        <f>SUM(E6:E20)-(E14+E8)</f>
        <v>25899444.5</v>
      </c>
      <c r="F21" s="86">
        <f t="shared" ref="F21:P21" si="0">SUM(F6:F20)-(F14+F8)</f>
        <v>30174829</v>
      </c>
      <c r="G21" s="86">
        <f t="shared" si="0"/>
        <v>26069942.5</v>
      </c>
      <c r="H21" s="86">
        <f t="shared" si="0"/>
        <v>29453905</v>
      </c>
      <c r="I21" s="86">
        <f t="shared" si="0"/>
        <v>23892202.5</v>
      </c>
      <c r="J21" s="86">
        <f t="shared" si="0"/>
        <v>22846279.299999997</v>
      </c>
      <c r="K21" s="86">
        <f t="shared" si="0"/>
        <v>35056317</v>
      </c>
      <c r="L21" s="86">
        <f t="shared" si="0"/>
        <v>29457098.5</v>
      </c>
      <c r="M21" s="86">
        <f t="shared" si="0"/>
        <v>28313514.5</v>
      </c>
      <c r="N21" s="86">
        <f t="shared" si="0"/>
        <v>0</v>
      </c>
      <c r="O21" s="86">
        <f t="shared" si="0"/>
        <v>0</v>
      </c>
      <c r="P21" s="86">
        <f t="shared" si="0"/>
        <v>0</v>
      </c>
    </row>
    <row r="22" spans="1:16" ht="15" thickBot="1" x14ac:dyDescent="0.4">
      <c r="A22" s="50">
        <f>Dashboard!A20</f>
        <v>0</v>
      </c>
      <c r="B22" s="50">
        <f>Dashboard!B20</f>
        <v>0</v>
      </c>
      <c r="C22" s="50" t="str">
        <f>Dashboard!C18</f>
        <v>Ksh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1:16" ht="15" thickBot="1" x14ac:dyDescent="0.4">
      <c r="A23" s="50" t="str">
        <f>Dashboard!A21</f>
        <v>A</v>
      </c>
      <c r="B23" s="50" t="str">
        <f>Dashboard!B21</f>
        <v>Eastern Region</v>
      </c>
      <c r="C23" s="50" t="str">
        <f>Dashboard!C21</f>
        <v>DATE</v>
      </c>
      <c r="E23" s="80" t="s">
        <v>165</v>
      </c>
      <c r="F23" s="80" t="s">
        <v>129</v>
      </c>
      <c r="G23" s="80" t="s">
        <v>169</v>
      </c>
      <c r="H23" s="83" t="s">
        <v>165</v>
      </c>
      <c r="I23" s="80" t="s">
        <v>171</v>
      </c>
      <c r="J23" s="80" t="s">
        <v>174</v>
      </c>
      <c r="K23" s="83" t="s">
        <v>176</v>
      </c>
      <c r="L23" s="80" t="s">
        <v>178</v>
      </c>
      <c r="M23" s="80" t="s">
        <v>178</v>
      </c>
      <c r="N23" s="80"/>
      <c r="O23" s="80"/>
      <c r="P23" s="80"/>
    </row>
    <row r="24" spans="1:16" ht="15" thickBot="1" x14ac:dyDescent="0.4">
      <c r="A24" s="50" t="str">
        <f>Dashboard!A22</f>
        <v>B</v>
      </c>
      <c r="B24" s="50" t="str">
        <f>Dashboard!B22</f>
        <v>Southern Region</v>
      </c>
      <c r="C24" s="50" t="str">
        <f>Dashboard!C22</f>
        <v>DATE</v>
      </c>
      <c r="E24" s="80" t="s">
        <v>167</v>
      </c>
      <c r="F24" s="83" t="s">
        <v>123</v>
      </c>
      <c r="G24" s="83" t="s">
        <v>123</v>
      </c>
      <c r="H24" s="83" t="s">
        <v>170</v>
      </c>
      <c r="I24" s="83" t="s">
        <v>172</v>
      </c>
      <c r="J24" s="83" t="s">
        <v>175</v>
      </c>
      <c r="K24" s="83" t="s">
        <v>177</v>
      </c>
      <c r="L24" s="83" t="s">
        <v>179</v>
      </c>
      <c r="M24" s="83" t="s">
        <v>181</v>
      </c>
      <c r="N24" s="83"/>
      <c r="O24" s="83"/>
      <c r="P24" s="83"/>
    </row>
    <row r="25" spans="1:16" ht="15" thickBot="1" x14ac:dyDescent="0.4">
      <c r="A25" s="50" t="str">
        <f>Dashboard!A23</f>
        <v>C</v>
      </c>
      <c r="B25" s="50" t="str">
        <f>Dashboard!B23</f>
        <v>Central Region</v>
      </c>
      <c r="C25" s="50" t="str">
        <f>Dashboard!C23</f>
        <v>DATE</v>
      </c>
      <c r="E25" s="83" t="s">
        <v>168</v>
      </c>
      <c r="F25" s="83" t="s">
        <v>97</v>
      </c>
      <c r="G25" s="83" t="s">
        <v>101</v>
      </c>
      <c r="H25" s="83" t="s">
        <v>103</v>
      </c>
      <c r="I25" s="83" t="s">
        <v>173</v>
      </c>
      <c r="J25" s="83" t="s">
        <v>175</v>
      </c>
      <c r="K25" s="83" t="s">
        <v>177</v>
      </c>
      <c r="L25" s="83" t="s">
        <v>180</v>
      </c>
      <c r="M25" s="83" t="s">
        <v>168</v>
      </c>
      <c r="N25" s="83"/>
      <c r="O25" s="83"/>
      <c r="P25" s="83"/>
    </row>
    <row r="26" spans="1:16" ht="15" thickBot="1" x14ac:dyDescent="0.4">
      <c r="A26" s="50" t="str">
        <f>Dashboard!A24</f>
        <v xml:space="preserve">COLLECTION EFFICIENCY </v>
      </c>
      <c r="B26" s="50">
        <f>Dashboard!B24</f>
        <v>0</v>
      </c>
      <c r="C26" s="50">
        <f>Dashboard!C20</f>
        <v>0</v>
      </c>
      <c r="E26" s="85"/>
      <c r="F26" s="83"/>
      <c r="G26" s="85"/>
      <c r="H26" s="83"/>
      <c r="I26" s="83"/>
      <c r="J26" s="85"/>
      <c r="K26" s="83"/>
      <c r="L26" s="85"/>
      <c r="M26" s="85"/>
      <c r="N26" s="85"/>
      <c r="O26" s="85"/>
      <c r="P26" s="85"/>
    </row>
    <row r="27" spans="1:16" ht="15" thickBot="1" x14ac:dyDescent="0.4">
      <c r="A27" s="50" t="str">
        <f>Dashboard!A25</f>
        <v>D</v>
      </c>
      <c r="B27" s="50" t="str">
        <f>Dashboard!B25</f>
        <v>Total accounts disconnected-water</v>
      </c>
      <c r="C27" s="50" t="str">
        <f>Dashboard!C25</f>
        <v>NO</v>
      </c>
      <c r="E27" s="83">
        <v>152</v>
      </c>
      <c r="F27" s="83">
        <v>229</v>
      </c>
      <c r="G27" s="83">
        <v>112</v>
      </c>
      <c r="H27" s="83">
        <v>42</v>
      </c>
      <c r="I27" s="83">
        <v>99</v>
      </c>
      <c r="J27" s="83">
        <v>101</v>
      </c>
      <c r="K27" s="83">
        <v>142</v>
      </c>
      <c r="L27" s="83">
        <v>133</v>
      </c>
      <c r="M27" s="83">
        <v>148</v>
      </c>
      <c r="N27" s="83"/>
      <c r="O27" s="83"/>
      <c r="P27" s="83"/>
    </row>
    <row r="28" spans="1:16" ht="15" thickBot="1" x14ac:dyDescent="0.4">
      <c r="A28" s="50" t="str">
        <f>Dashboard!A26</f>
        <v>E</v>
      </c>
      <c r="B28" s="50" t="str">
        <f>Dashboard!B26</f>
        <v>Total accounts disconnected-sewer</v>
      </c>
      <c r="C28" s="50" t="str">
        <f>Dashboard!C26</f>
        <v>NO</v>
      </c>
      <c r="E28" s="83">
        <v>6</v>
      </c>
      <c r="F28" s="83">
        <v>3</v>
      </c>
      <c r="G28" s="83">
        <v>3</v>
      </c>
      <c r="H28" s="83">
        <v>1</v>
      </c>
      <c r="I28" s="83">
        <v>2</v>
      </c>
      <c r="J28" s="83">
        <v>0</v>
      </c>
      <c r="K28" s="83">
        <v>0</v>
      </c>
      <c r="L28" s="83">
        <v>14</v>
      </c>
      <c r="M28" s="83">
        <v>1</v>
      </c>
      <c r="N28" s="83"/>
      <c r="O28" s="83"/>
      <c r="P28" s="83"/>
    </row>
    <row r="29" spans="1:16" s="79" customFormat="1" ht="15" thickBot="1" x14ac:dyDescent="0.4">
      <c r="A29" s="79">
        <f>Dashboard!A27</f>
        <v>14</v>
      </c>
      <c r="B29" s="79" t="str">
        <f>Dashboard!B27</f>
        <v>Total Collection for the month</v>
      </c>
      <c r="C29" s="79" t="str">
        <f>Dashboard!C27</f>
        <v>Ksh</v>
      </c>
      <c r="E29" s="87">
        <v>25396691</v>
      </c>
      <c r="F29" s="87">
        <v>22000368</v>
      </c>
      <c r="G29" s="87">
        <v>23442339.5</v>
      </c>
      <c r="H29" s="87">
        <v>29982818.599999998</v>
      </c>
      <c r="I29" s="87">
        <v>22433751</v>
      </c>
      <c r="J29" s="87">
        <v>27037162.5</v>
      </c>
      <c r="K29" s="87">
        <v>24586578.5</v>
      </c>
      <c r="L29" s="87">
        <v>27713797</v>
      </c>
      <c r="M29" s="87">
        <v>31993097.75</v>
      </c>
      <c r="N29" s="87"/>
      <c r="O29" s="87"/>
      <c r="P29" s="87"/>
    </row>
    <row r="30" spans="1:16" ht="15" hidden="1" thickBot="1" x14ac:dyDescent="0.4">
      <c r="A30" s="50">
        <f>Dashboard!A28</f>
        <v>7</v>
      </c>
      <c r="B30" s="50" t="str">
        <f>Dashboard!B28</f>
        <v>Total Collection- Related Sales</v>
      </c>
      <c r="C30" s="50" t="str">
        <f>Dashboard!C18</f>
        <v>Ksh</v>
      </c>
      <c r="E30" s="88"/>
      <c r="F30" s="88"/>
      <c r="G30" s="88"/>
      <c r="H30" s="83"/>
      <c r="I30" s="88"/>
      <c r="J30" s="88"/>
      <c r="K30" s="83"/>
      <c r="L30" s="88"/>
      <c r="M30" s="88"/>
      <c r="N30" s="88"/>
      <c r="O30" s="88"/>
      <c r="P30" s="88"/>
    </row>
    <row r="31" spans="1:16" ht="15" thickBot="1" x14ac:dyDescent="0.4">
      <c r="A31" s="50">
        <f>Dashboard!A29</f>
        <v>15</v>
      </c>
      <c r="B31" s="50" t="str">
        <f>Dashboard!B29</f>
        <v xml:space="preserve">Collection Efficiency - in % of billing </v>
      </c>
      <c r="E31" s="89">
        <f>E29/D21</f>
        <v>0.87860094943125921</v>
      </c>
      <c r="F31" s="89">
        <f>F29/E21</f>
        <v>0.84945327688398875</v>
      </c>
      <c r="G31" s="89">
        <f>G29/F21</f>
        <v>0.77688392202653411</v>
      </c>
      <c r="H31" s="89">
        <f>H29/G21</f>
        <v>1.1500914741181343</v>
      </c>
      <c r="I31" s="89">
        <f t="shared" ref="I31:P31" si="1">I29/H21</f>
        <v>0.76165625576642559</v>
      </c>
      <c r="J31" s="89">
        <f t="shared" si="1"/>
        <v>1.1316312298960298</v>
      </c>
      <c r="K31" s="89">
        <f t="shared" si="1"/>
        <v>1.0761742941661403</v>
      </c>
      <c r="L31" s="89">
        <f t="shared" si="1"/>
        <v>0.79055073012946564</v>
      </c>
      <c r="M31" s="89">
        <f t="shared" si="1"/>
        <v>1.0860912777950618</v>
      </c>
      <c r="N31" s="89">
        <f t="shared" si="1"/>
        <v>0</v>
      </c>
      <c r="O31" s="89" t="e">
        <f t="shared" si="1"/>
        <v>#DIV/0!</v>
      </c>
      <c r="P31" s="89" t="e">
        <f t="shared" si="1"/>
        <v>#DIV/0!</v>
      </c>
    </row>
    <row r="32" spans="1:16" ht="15" thickBot="1" x14ac:dyDescent="0.4">
      <c r="A32" s="50" t="str">
        <f>Dashboard!A31</f>
        <v>CENTRAL REGION: CBD,CCCR,KABATI,SITE,KIHOTO,LAKEVIEW,HOPEWELL</v>
      </c>
      <c r="E32" s="85"/>
      <c r="F32" s="85"/>
      <c r="G32" s="85"/>
      <c r="H32" s="83"/>
      <c r="I32" s="85"/>
      <c r="J32" s="85"/>
      <c r="K32" s="83"/>
      <c r="L32" s="85"/>
      <c r="M32" s="80"/>
      <c r="N32" s="85"/>
      <c r="O32" s="85"/>
      <c r="P32" s="85"/>
    </row>
    <row r="33" spans="1:16" ht="15" thickBot="1" x14ac:dyDescent="0.4">
      <c r="A33" s="50" t="str">
        <f>Dashboard!A32</f>
        <v>16a</v>
      </c>
      <c r="B33" s="50" t="str">
        <f>Dashboard!B32</f>
        <v>Amount Billed Water-Central</v>
      </c>
      <c r="C33" s="50" t="str">
        <f>Dashboard!C32</f>
        <v>Ksh.</v>
      </c>
      <c r="E33" s="83">
        <v>9210800</v>
      </c>
      <c r="F33" s="83">
        <v>10871060</v>
      </c>
      <c r="G33" s="83">
        <v>10150080</v>
      </c>
      <c r="H33" s="82">
        <v>11059010</v>
      </c>
      <c r="I33" s="82">
        <f>9178550+10140</f>
        <v>9188690</v>
      </c>
      <c r="J33" s="82">
        <v>8043560</v>
      </c>
      <c r="K33" s="83">
        <v>13738330</v>
      </c>
      <c r="L33" s="83">
        <v>10720550</v>
      </c>
      <c r="M33" s="83">
        <v>10195970</v>
      </c>
      <c r="N33" s="83"/>
      <c r="O33" s="83"/>
      <c r="P33" s="83"/>
    </row>
    <row r="34" spans="1:16" ht="15" thickBot="1" x14ac:dyDescent="0.4">
      <c r="A34" s="50" t="str">
        <f>Dashboard!A33</f>
        <v>17a</v>
      </c>
      <c r="B34" s="50" t="str">
        <f>Dashboard!B33</f>
        <v>Amount Billed Sewer-Central</v>
      </c>
      <c r="C34" s="50" t="str">
        <f>Dashboard!C33</f>
        <v>Ksh.</v>
      </c>
      <c r="E34" s="83">
        <v>5560946</v>
      </c>
      <c r="F34" s="83">
        <v>5918138.5</v>
      </c>
      <c r="G34" s="83">
        <f>5553915.8+55465.2-350</f>
        <v>5609031</v>
      </c>
      <c r="H34" s="82">
        <v>5721311</v>
      </c>
      <c r="I34" s="82">
        <f>5236748.5+7130</f>
        <v>5243878.5</v>
      </c>
      <c r="J34" s="82">
        <v>4788131.3</v>
      </c>
      <c r="K34" s="83">
        <v>6824426</v>
      </c>
      <c r="L34" s="83">
        <v>5693803.4999999991</v>
      </c>
      <c r="M34" s="83">
        <v>5821018.5000000009</v>
      </c>
      <c r="N34" s="83"/>
      <c r="O34" s="83"/>
      <c r="P34" s="83"/>
    </row>
    <row r="35" spans="1:16" ht="15" thickBot="1" x14ac:dyDescent="0.4">
      <c r="A35" s="50" t="str">
        <f>Dashboard!A34</f>
        <v>18a</v>
      </c>
      <c r="B35" s="50" t="str">
        <f>Dashboard!B34</f>
        <v>othersales</v>
      </c>
      <c r="C35" s="50" t="str">
        <f>Dashboard!C34</f>
        <v>Ksh.</v>
      </c>
      <c r="E35" s="83">
        <v>871940</v>
      </c>
      <c r="F35" s="83">
        <v>904453</v>
      </c>
      <c r="G35" s="83">
        <v>904154</v>
      </c>
      <c r="H35" s="82">
        <v>1010650.5</v>
      </c>
      <c r="I35" s="82">
        <f>811077.5+507</f>
        <v>811584.5</v>
      </c>
      <c r="J35" s="82">
        <v>696178</v>
      </c>
      <c r="K35" s="83">
        <v>1284916.5</v>
      </c>
      <c r="L35" s="83">
        <v>922827.50000000093</v>
      </c>
      <c r="M35" s="83">
        <v>509798.49999999907</v>
      </c>
      <c r="N35" s="83"/>
      <c r="O35" s="83"/>
      <c r="P35" s="83"/>
    </row>
    <row r="36" spans="1:16" ht="15" thickBot="1" x14ac:dyDescent="0.4">
      <c r="A36" s="50" t="str">
        <f>Dashboard!A35</f>
        <v>19a</v>
      </c>
      <c r="B36" s="50" t="str">
        <f>Dashboard!B35</f>
        <v>Amount Billed Water &amp; Sewer-othersales-Central</v>
      </c>
      <c r="C36" s="50" t="str">
        <f>Dashboard!C35</f>
        <v>Ksh.</v>
      </c>
      <c r="D36" s="67">
        <f>'Actual 202425'!P36</f>
        <v>18208519.5</v>
      </c>
      <c r="E36" s="90">
        <f>E33+E34+E35</f>
        <v>15643686</v>
      </c>
      <c r="F36" s="90">
        <f>F33+F34+F35</f>
        <v>17693651.5</v>
      </c>
      <c r="G36" s="90">
        <f t="shared" ref="G36:P36" si="2">G33+G34+G35</f>
        <v>16663265</v>
      </c>
      <c r="H36" s="90">
        <f t="shared" si="2"/>
        <v>17790971.5</v>
      </c>
      <c r="I36" s="90">
        <f t="shared" si="2"/>
        <v>15244153</v>
      </c>
      <c r="J36" s="90">
        <f t="shared" si="2"/>
        <v>13527869.300000001</v>
      </c>
      <c r="K36" s="90">
        <f t="shared" si="2"/>
        <v>21847672.5</v>
      </c>
      <c r="L36" s="90">
        <f t="shared" si="2"/>
        <v>17337181</v>
      </c>
      <c r="M36" s="90">
        <f>M33+M34+M35</f>
        <v>16526787</v>
      </c>
      <c r="N36" s="90">
        <f t="shared" si="2"/>
        <v>0</v>
      </c>
      <c r="O36" s="90">
        <f t="shared" si="2"/>
        <v>0</v>
      </c>
      <c r="P36" s="90">
        <f t="shared" si="2"/>
        <v>0</v>
      </c>
    </row>
    <row r="37" spans="1:16" ht="15" thickBot="1" x14ac:dyDescent="0.4">
      <c r="A37" s="50" t="str">
        <f>Dashboard!A36</f>
        <v>14a</v>
      </c>
      <c r="B37" s="50" t="str">
        <f>Dashboard!B36</f>
        <v>Amount Collected-Central</v>
      </c>
      <c r="C37" s="50" t="str">
        <f>Dashboard!C36</f>
        <v>Ksh.</v>
      </c>
      <c r="E37" s="83">
        <v>15973822</v>
      </c>
      <c r="F37" s="83">
        <v>13044625</v>
      </c>
      <c r="G37" s="83">
        <v>14430304</v>
      </c>
      <c r="H37" s="82">
        <f>19726476.6+15000</f>
        <v>19741476.600000001</v>
      </c>
      <c r="I37" s="82">
        <v>14374630.5</v>
      </c>
      <c r="J37" s="83">
        <v>18112068.5</v>
      </c>
      <c r="K37" s="83">
        <v>13052147.5</v>
      </c>
      <c r="L37" s="83">
        <v>16563177.5</v>
      </c>
      <c r="M37" s="83">
        <v>22532132.25</v>
      </c>
      <c r="N37" s="83"/>
      <c r="O37" s="83"/>
      <c r="P37" s="83"/>
    </row>
    <row r="38" spans="1:16" ht="15" thickBot="1" x14ac:dyDescent="0.4">
      <c r="A38" s="50" t="str">
        <f>Dashboard!A37</f>
        <v>15a</v>
      </c>
      <c r="B38" s="50" t="str">
        <f>Dashboard!B37</f>
        <v>Collection Efficiency-Central</v>
      </c>
      <c r="C38" s="50" t="str">
        <f>Dashboard!C37</f>
        <v>%</v>
      </c>
      <c r="E38" s="89">
        <f>E37/D36</f>
        <v>0.8772718726527986</v>
      </c>
      <c r="F38" s="89">
        <f>F37/E36</f>
        <v>0.83385878494365073</v>
      </c>
      <c r="G38" s="89">
        <f>G37/F36</f>
        <v>0.81556393263425586</v>
      </c>
      <c r="H38" s="89">
        <f t="shared" ref="H38:P38" si="3">H37/G36</f>
        <v>1.1847303994745328</v>
      </c>
      <c r="I38" s="89">
        <f t="shared" si="3"/>
        <v>0.8079733307425061</v>
      </c>
      <c r="J38" s="89">
        <f t="shared" si="3"/>
        <v>1.1881321645092384</v>
      </c>
      <c r="K38" s="89">
        <f t="shared" si="3"/>
        <v>0.96483394469223616</v>
      </c>
      <c r="L38" s="89">
        <f t="shared" si="3"/>
        <v>0.75812091654156755</v>
      </c>
      <c r="M38" s="89">
        <f t="shared" si="3"/>
        <v>1.2996422111530128</v>
      </c>
      <c r="N38" s="89">
        <f t="shared" si="3"/>
        <v>0</v>
      </c>
      <c r="O38" s="89" t="e">
        <f t="shared" si="3"/>
        <v>#DIV/0!</v>
      </c>
      <c r="P38" s="89" t="e">
        <f t="shared" si="3"/>
        <v>#DIV/0!</v>
      </c>
    </row>
    <row r="39" spans="1:16" ht="15" thickBot="1" x14ac:dyDescent="0.4">
      <c r="A39" s="50" t="str">
        <f>Dashboard!A38</f>
        <v>SOUTHERN REGION: HELLSGATE,KAMERE, MAI MAHIU,LONGONOT</v>
      </c>
      <c r="E39" s="80"/>
      <c r="F39" s="80"/>
      <c r="G39" s="85"/>
      <c r="H39" s="83"/>
      <c r="I39" s="85"/>
      <c r="J39" s="85"/>
      <c r="K39" s="83"/>
      <c r="L39" s="85"/>
      <c r="M39" s="85"/>
      <c r="N39" s="85"/>
      <c r="O39" s="85"/>
      <c r="P39" s="85"/>
    </row>
    <row r="40" spans="1:16" ht="15" thickBot="1" x14ac:dyDescent="0.4">
      <c r="A40" s="50" t="str">
        <f>Dashboard!A39</f>
        <v>16b</v>
      </c>
      <c r="B40" s="50" t="str">
        <f>Dashboard!B39</f>
        <v>Amount Billed Water-Southern</v>
      </c>
      <c r="C40" s="50" t="str">
        <f>Dashboard!C39</f>
        <v>Ksh.</v>
      </c>
      <c r="E40" s="83">
        <v>5272370</v>
      </c>
      <c r="F40" s="83">
        <v>7465830</v>
      </c>
      <c r="G40" s="83">
        <v>5039430</v>
      </c>
      <c r="H40" s="82">
        <v>7076450</v>
      </c>
      <c r="I40" s="82">
        <v>4791020</v>
      </c>
      <c r="J40" s="82">
        <v>5179850</v>
      </c>
      <c r="K40" s="83">
        <v>8044460</v>
      </c>
      <c r="L40" s="83">
        <v>6986830</v>
      </c>
      <c r="M40" s="83">
        <v>4890400</v>
      </c>
      <c r="N40" s="83"/>
      <c r="O40" s="83"/>
      <c r="P40" s="83"/>
    </row>
    <row r="41" spans="1:16" ht="15" thickBot="1" x14ac:dyDescent="0.4">
      <c r="A41" s="50" t="str">
        <f>Dashboard!A40</f>
        <v>17b</v>
      </c>
      <c r="B41" s="50" t="str">
        <f>Dashboard!B40</f>
        <v>Amount Billed Sewer-Southern</v>
      </c>
      <c r="C41" s="50" t="str">
        <f>Dashboard!C40</f>
        <v>Ksh.</v>
      </c>
      <c r="E41" s="83">
        <v>0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83"/>
      <c r="O41" s="83"/>
      <c r="P41" s="83"/>
    </row>
    <row r="42" spans="1:16" ht="15" thickBot="1" x14ac:dyDescent="0.4">
      <c r="A42" s="50" t="str">
        <f>Dashboard!A41</f>
        <v>18b</v>
      </c>
      <c r="B42" s="50" t="str">
        <f>Dashboard!B41</f>
        <v>othersales</v>
      </c>
      <c r="C42" s="50" t="str">
        <f>Dashboard!C41</f>
        <v>Ksh.</v>
      </c>
      <c r="E42" s="83">
        <v>630818.5</v>
      </c>
      <c r="F42" s="83">
        <v>696791.5</v>
      </c>
      <c r="G42" s="83">
        <v>547121.5</v>
      </c>
      <c r="H42" s="82">
        <v>633322.5</v>
      </c>
      <c r="I42" s="83">
        <v>416851</v>
      </c>
      <c r="J42" s="83">
        <v>500992.5</v>
      </c>
      <c r="K42" s="83">
        <v>746723</v>
      </c>
      <c r="L42" s="83">
        <v>529341.5</v>
      </c>
      <c r="M42" s="83">
        <v>244520</v>
      </c>
      <c r="N42" s="83"/>
      <c r="O42" s="83"/>
      <c r="P42" s="83"/>
    </row>
    <row r="43" spans="1:16" ht="15" thickBot="1" x14ac:dyDescent="0.4">
      <c r="A43" s="50" t="str">
        <f>Dashboard!A42</f>
        <v>19b</v>
      </c>
      <c r="B43" s="50" t="str">
        <f>Dashboard!B42</f>
        <v>Amount Billed Water &amp; Sewer-OTHER SALES-Southern</v>
      </c>
      <c r="C43" s="50" t="str">
        <f>Dashboard!C42</f>
        <v>Ksh.</v>
      </c>
      <c r="D43" s="67">
        <f>'Actual 202425'!P43</f>
        <v>6466178</v>
      </c>
      <c r="E43" s="90">
        <f>E40+E41+E42</f>
        <v>5903188.5</v>
      </c>
      <c r="F43" s="90">
        <f>F40+F41+F42</f>
        <v>8162621.5</v>
      </c>
      <c r="G43" s="90">
        <f t="shared" ref="G43:P43" si="4">G40+G41+G42</f>
        <v>5586551.5</v>
      </c>
      <c r="H43" s="90">
        <f t="shared" si="4"/>
        <v>7709772.5</v>
      </c>
      <c r="I43" s="90">
        <f t="shared" si="4"/>
        <v>5207871</v>
      </c>
      <c r="J43" s="90">
        <f t="shared" si="4"/>
        <v>5680842.5</v>
      </c>
      <c r="K43" s="90">
        <f t="shared" si="4"/>
        <v>8791183</v>
      </c>
      <c r="L43" s="90">
        <f t="shared" si="4"/>
        <v>7516171.5</v>
      </c>
      <c r="M43" s="90">
        <f t="shared" si="4"/>
        <v>5134920</v>
      </c>
      <c r="N43" s="90">
        <f t="shared" si="4"/>
        <v>0</v>
      </c>
      <c r="O43" s="90">
        <f t="shared" si="4"/>
        <v>0</v>
      </c>
      <c r="P43" s="90">
        <f t="shared" si="4"/>
        <v>0</v>
      </c>
    </row>
    <row r="44" spans="1:16" ht="15" thickBot="1" x14ac:dyDescent="0.4">
      <c r="A44" s="50" t="str">
        <f>Dashboard!A43</f>
        <v>14b</v>
      </c>
      <c r="B44" s="50" t="str">
        <f>Dashboard!B43</f>
        <v>Amount Collected-Southern</v>
      </c>
      <c r="C44" s="50" t="str">
        <f>Dashboard!C43</f>
        <v>Ksh.</v>
      </c>
      <c r="E44" s="83">
        <v>5499282</v>
      </c>
      <c r="F44" s="83">
        <v>5319028.5</v>
      </c>
      <c r="G44" s="83">
        <v>5187417.5</v>
      </c>
      <c r="H44" s="82">
        <v>6761835</v>
      </c>
      <c r="I44" s="82">
        <v>4609313.5</v>
      </c>
      <c r="J44" s="83">
        <v>5790037</v>
      </c>
      <c r="K44" s="83">
        <v>7645137.5</v>
      </c>
      <c r="L44" s="83">
        <v>6841496</v>
      </c>
      <c r="M44" s="83">
        <v>5621150.5</v>
      </c>
      <c r="N44" s="83"/>
      <c r="O44" s="83"/>
      <c r="P44" s="91"/>
    </row>
    <row r="45" spans="1:16" ht="15" thickBot="1" x14ac:dyDescent="0.4">
      <c r="A45" s="50" t="str">
        <f>Dashboard!A44</f>
        <v>15b</v>
      </c>
      <c r="B45" s="50" t="str">
        <f>Dashboard!B44</f>
        <v>Collection Efficiency-Southern</v>
      </c>
      <c r="C45" s="50" t="str">
        <f>Dashboard!C44</f>
        <v>%</v>
      </c>
      <c r="E45" s="89">
        <f>E44/D43</f>
        <v>0.85046870036673905</v>
      </c>
      <c r="F45" s="89">
        <f>F44/E43</f>
        <v>0.9010433090523875</v>
      </c>
      <c r="G45" s="89">
        <f>G44/F43</f>
        <v>0.63550876394305433</v>
      </c>
      <c r="H45" s="89">
        <f t="shared" ref="H45:P45" si="5">H44/G43</f>
        <v>1.2103772783621525</v>
      </c>
      <c r="I45" s="89">
        <f t="shared" si="5"/>
        <v>0.5978533737538948</v>
      </c>
      <c r="J45" s="89">
        <f t="shared" si="5"/>
        <v>1.1117857950014507</v>
      </c>
      <c r="K45" s="89">
        <f t="shared" si="5"/>
        <v>1.3457752965339207</v>
      </c>
      <c r="L45" s="89">
        <f t="shared" si="5"/>
        <v>0.77822245311012184</v>
      </c>
      <c r="M45" s="89">
        <f t="shared" si="5"/>
        <v>0.74787416705433074</v>
      </c>
      <c r="N45" s="89">
        <f t="shared" si="5"/>
        <v>0</v>
      </c>
      <c r="O45" s="89" t="e">
        <f t="shared" si="5"/>
        <v>#DIV/0!</v>
      </c>
      <c r="P45" s="89" t="e">
        <f t="shared" si="5"/>
        <v>#DIV/0!</v>
      </c>
    </row>
    <row r="46" spans="1:16" ht="15" thickBot="1" x14ac:dyDescent="0.4">
      <c r="A46" s="50" t="str">
        <f>Dashboard!A45</f>
        <v>EASTERN REGION: KAYOLE,GONDI,KINUNGI,NJONJORO,IHINDU</v>
      </c>
      <c r="B46" s="50">
        <f>Dashboard!B45</f>
        <v>0</v>
      </c>
      <c r="C46" s="50">
        <f>Dashboard!C45</f>
        <v>0</v>
      </c>
      <c r="E46" s="88"/>
      <c r="F46" s="88"/>
      <c r="G46" s="88"/>
      <c r="H46" s="83"/>
      <c r="I46" s="88"/>
      <c r="J46" s="88"/>
      <c r="K46" s="83"/>
      <c r="L46" s="88"/>
      <c r="M46" s="88"/>
      <c r="N46" s="88"/>
      <c r="O46" s="88"/>
      <c r="P46" s="88"/>
    </row>
    <row r="47" spans="1:16" ht="15" thickBot="1" x14ac:dyDescent="0.4">
      <c r="A47" s="50" t="str">
        <f>Dashboard!A46</f>
        <v>16c</v>
      </c>
      <c r="B47" s="50" t="str">
        <f>Dashboard!B46</f>
        <v>Amount Billed Water-Eastern</v>
      </c>
      <c r="C47" s="50" t="str">
        <f>Dashboard!C46</f>
        <v>Ksh.</v>
      </c>
      <c r="E47" s="85">
        <v>3905900</v>
      </c>
      <c r="F47" s="80">
        <v>3733170</v>
      </c>
      <c r="G47" s="83">
        <v>3207580</v>
      </c>
      <c r="H47" s="82">
        <f>3548620+440</f>
        <v>3549060</v>
      </c>
      <c r="I47" s="82">
        <v>3057070</v>
      </c>
      <c r="J47" s="82">
        <v>3217900</v>
      </c>
      <c r="K47" s="83">
        <v>3825280</v>
      </c>
      <c r="L47" s="83">
        <v>4123770</v>
      </c>
      <c r="M47" s="83">
        <v>3265000</v>
      </c>
      <c r="N47" s="83"/>
      <c r="O47" s="83"/>
      <c r="P47" s="83"/>
    </row>
    <row r="48" spans="1:16" ht="15" thickBot="1" x14ac:dyDescent="0.4">
      <c r="A48" s="50" t="str">
        <f>Dashboard!A47</f>
        <v>17c</v>
      </c>
      <c r="B48" s="50" t="str">
        <f>Dashboard!B47</f>
        <v>Amount Billed Sewer-Eastern</v>
      </c>
      <c r="C48" s="50" t="str">
        <f>Dashboard!C47</f>
        <v>Ksh.</v>
      </c>
      <c r="E48" s="83">
        <v>142375</v>
      </c>
      <c r="F48" s="83">
        <v>128227.5</v>
      </c>
      <c r="G48" s="83">
        <v>111505</v>
      </c>
      <c r="H48" s="82">
        <v>110110</v>
      </c>
      <c r="I48" s="82">
        <v>99255</v>
      </c>
      <c r="J48" s="82">
        <v>117272.5</v>
      </c>
      <c r="K48" s="83">
        <v>133717.5</v>
      </c>
      <c r="L48" s="83">
        <v>132787.5</v>
      </c>
      <c r="M48" s="83">
        <v>112697.5</v>
      </c>
      <c r="N48" s="83"/>
      <c r="O48" s="83"/>
      <c r="P48" s="83"/>
    </row>
    <row r="49" spans="1:16" ht="15" thickBot="1" x14ac:dyDescent="0.4">
      <c r="A49" s="50" t="str">
        <f>Dashboard!A48</f>
        <v>18c</v>
      </c>
      <c r="B49" s="50" t="str">
        <f>Dashboard!B48</f>
        <v>othersales</v>
      </c>
      <c r="C49" s="50" t="str">
        <f>Dashboard!C48</f>
        <v>Ksh.</v>
      </c>
      <c r="E49" s="83">
        <v>304295</v>
      </c>
      <c r="F49" s="83">
        <v>457158.5</v>
      </c>
      <c r="G49" s="83">
        <f>500579+22</f>
        <v>500601</v>
      </c>
      <c r="H49" s="82">
        <v>294431</v>
      </c>
      <c r="I49" s="82">
        <v>283853.5</v>
      </c>
      <c r="J49" s="82">
        <v>302395</v>
      </c>
      <c r="K49" s="83">
        <v>458464</v>
      </c>
      <c r="L49" s="83">
        <v>347188.5</v>
      </c>
      <c r="M49" s="83">
        <v>163250</v>
      </c>
      <c r="N49" s="83"/>
      <c r="O49" s="83"/>
      <c r="P49" s="83"/>
    </row>
    <row r="50" spans="1:16" ht="15" thickBot="1" x14ac:dyDescent="0.4">
      <c r="A50" s="50" t="str">
        <f>Dashboard!A49</f>
        <v>19b</v>
      </c>
      <c r="B50" s="50" t="str">
        <f>Dashboard!B49</f>
        <v>Amount Billed Water &amp; Sewer-othersales-Eastern</v>
      </c>
      <c r="C50" s="50" t="str">
        <f>Dashboard!C49</f>
        <v>Ksh.</v>
      </c>
      <c r="D50" s="67">
        <f>'Actual 202425'!P50</f>
        <v>4231134</v>
      </c>
      <c r="E50" s="90">
        <f>E47+E48+E49</f>
        <v>4352570</v>
      </c>
      <c r="F50" s="90">
        <f>F47+F48+F49</f>
        <v>4318556</v>
      </c>
      <c r="G50" s="90">
        <f t="shared" ref="G50:P50" si="6">G47+G48+G49</f>
        <v>3819686</v>
      </c>
      <c r="H50" s="90">
        <f t="shared" si="6"/>
        <v>3953601</v>
      </c>
      <c r="I50" s="90">
        <f t="shared" si="6"/>
        <v>3440178.5</v>
      </c>
      <c r="J50" s="90">
        <f t="shared" si="6"/>
        <v>3637567.5</v>
      </c>
      <c r="K50" s="90">
        <f t="shared" si="6"/>
        <v>4417461.5</v>
      </c>
      <c r="L50" s="90">
        <f t="shared" si="6"/>
        <v>4603746</v>
      </c>
      <c r="M50" s="90">
        <f t="shared" si="6"/>
        <v>3540947.5</v>
      </c>
      <c r="N50" s="90">
        <f t="shared" si="6"/>
        <v>0</v>
      </c>
      <c r="O50" s="90">
        <f t="shared" si="6"/>
        <v>0</v>
      </c>
      <c r="P50" s="90">
        <f t="shared" si="6"/>
        <v>0</v>
      </c>
    </row>
    <row r="51" spans="1:16" ht="15" thickBot="1" x14ac:dyDescent="0.4">
      <c r="A51" s="50" t="str">
        <f>Dashboard!A50</f>
        <v>14c</v>
      </c>
      <c r="B51" s="50" t="str">
        <f>Dashboard!B50</f>
        <v>Amount Collected-Eastern</v>
      </c>
      <c r="C51" s="50" t="str">
        <f>Dashboard!C50</f>
        <v>Ksh.</v>
      </c>
      <c r="E51" s="83">
        <v>3923587</v>
      </c>
      <c r="F51" s="83">
        <v>3636715</v>
      </c>
      <c r="G51" s="83">
        <v>3824618</v>
      </c>
      <c r="H51" s="82">
        <v>3479507</v>
      </c>
      <c r="I51" s="82">
        <v>3449807</v>
      </c>
      <c r="J51" s="83">
        <v>3135057</v>
      </c>
      <c r="K51" s="83">
        <v>3889293.5</v>
      </c>
      <c r="L51" s="83">
        <v>4309123.5</v>
      </c>
      <c r="M51" s="83">
        <v>3839815</v>
      </c>
      <c r="N51" s="83"/>
      <c r="O51" s="83"/>
      <c r="P51" s="83"/>
    </row>
    <row r="52" spans="1:16" ht="15" thickBot="1" x14ac:dyDescent="0.4">
      <c r="A52" s="50" t="str">
        <f>Dashboard!A51</f>
        <v>15c</v>
      </c>
      <c r="B52" s="50" t="str">
        <f>Dashboard!B51</f>
        <v>Collection Efficiency-Eastern</v>
      </c>
      <c r="C52" s="50" t="str">
        <f>Dashboard!C51</f>
        <v>%</v>
      </c>
      <c r="E52" s="88">
        <f>E51/D50</f>
        <v>0.92731333963897145</v>
      </c>
      <c r="F52" s="88">
        <f>F51/E50</f>
        <v>0.83553280016174347</v>
      </c>
      <c r="G52" s="88">
        <f t="shared" ref="G52:P52" si="7">G51/F50</f>
        <v>0.88562426885282952</v>
      </c>
      <c r="H52" s="88">
        <f t="shared" si="7"/>
        <v>0.91094058516851906</v>
      </c>
      <c r="I52" s="88">
        <f t="shared" si="7"/>
        <v>0.87257338310062138</v>
      </c>
      <c r="J52" s="88">
        <f t="shared" si="7"/>
        <v>0.91130649179977141</v>
      </c>
      <c r="K52" s="88">
        <f t="shared" si="7"/>
        <v>1.0692017398989846</v>
      </c>
      <c r="L52" s="88">
        <f t="shared" si="7"/>
        <v>0.97547505507405097</v>
      </c>
      <c r="M52" s="88">
        <f t="shared" si="7"/>
        <v>0.83406317377196748</v>
      </c>
      <c r="N52" s="88">
        <f t="shared" si="7"/>
        <v>0</v>
      </c>
      <c r="O52" s="88" t="e">
        <f t="shared" si="7"/>
        <v>#DIV/0!</v>
      </c>
      <c r="P52" s="88" t="e">
        <f t="shared" si="7"/>
        <v>#DIV/0!</v>
      </c>
    </row>
    <row r="53" spans="1:16" ht="15" hidden="1" thickBot="1" x14ac:dyDescent="0.4">
      <c r="A53" s="50">
        <f>Dashboard!A52</f>
        <v>19</v>
      </c>
      <c r="B53" s="50">
        <f>Dashboard!B59</f>
        <v>0</v>
      </c>
      <c r="C53" s="50">
        <f>Dashboard!C59</f>
        <v>0</v>
      </c>
      <c r="E53" s="88" t="e">
        <f>E52/ACTUAL2122!O47</f>
        <v>#DIV/0!</v>
      </c>
      <c r="F53" s="88">
        <f>F52/E51</f>
        <v>2.1295126122136286E-7</v>
      </c>
      <c r="G53" s="88">
        <f t="shared" ref="G53" si="8">G52/F51</f>
        <v>2.435231435107864E-7</v>
      </c>
      <c r="H53" s="83">
        <f t="shared" ref="H53:P53" si="9">H52/G51</f>
        <v>2.3817818803564672E-7</v>
      </c>
      <c r="I53" s="88">
        <f t="shared" si="9"/>
        <v>2.507750043614286E-7</v>
      </c>
      <c r="J53" s="88">
        <f t="shared" si="9"/>
        <v>2.6416158695247922E-7</v>
      </c>
      <c r="K53" s="83">
        <f t="shared" si="9"/>
        <v>3.4104698571636326E-7</v>
      </c>
      <c r="L53" s="88">
        <f t="shared" si="9"/>
        <v>2.5081034770815083E-7</v>
      </c>
      <c r="M53" s="88">
        <f t="shared" si="9"/>
        <v>1.9355750044573275E-7</v>
      </c>
      <c r="N53" s="88">
        <f t="shared" si="9"/>
        <v>0</v>
      </c>
      <c r="O53" s="88" t="e">
        <f t="shared" si="9"/>
        <v>#DIV/0!</v>
      </c>
      <c r="P53" s="88" t="e">
        <f t="shared" si="9"/>
        <v>#DIV/0!</v>
      </c>
    </row>
    <row r="54" spans="1:16" ht="15" thickBot="1" x14ac:dyDescent="0.4">
      <c r="A54" s="50">
        <f>Dashboard!A53</f>
        <v>0</v>
      </c>
      <c r="B54" s="50" t="str">
        <f>Dashboard!B53</f>
        <v>AMOUNT RECEIVABLES</v>
      </c>
      <c r="C54" s="50">
        <f>Dashboard!C62</f>
        <v>0</v>
      </c>
      <c r="E54" s="85"/>
      <c r="F54" s="85"/>
      <c r="G54" s="85"/>
      <c r="H54" s="83"/>
      <c r="I54" s="85"/>
      <c r="J54" s="85"/>
      <c r="K54" s="83"/>
      <c r="L54" s="85"/>
      <c r="M54" s="85"/>
      <c r="N54" s="85"/>
      <c r="O54" s="85"/>
      <c r="P54" s="85"/>
    </row>
    <row r="55" spans="1:16" ht="15" thickBot="1" x14ac:dyDescent="0.4">
      <c r="A55" s="50">
        <f>Dashboard!A54</f>
        <v>20</v>
      </c>
      <c r="B55" s="50" t="str">
        <f>Dashboard!B54</f>
        <v>Amount receivables as at close of the month</v>
      </c>
      <c r="C55" s="50">
        <f>Dashboard!C63</f>
        <v>0</v>
      </c>
      <c r="E55" s="83">
        <v>188094265.59999999</v>
      </c>
      <c r="F55" s="83">
        <v>196574552.30000001</v>
      </c>
      <c r="G55" s="83">
        <v>198769120</v>
      </c>
      <c r="H55" s="83">
        <v>199021725.5</v>
      </c>
      <c r="I55" s="83">
        <v>200377339.40000001</v>
      </c>
      <c r="J55" s="83">
        <v>196285940</v>
      </c>
      <c r="K55" s="83">
        <v>206653217.69999999</v>
      </c>
      <c r="L55" s="83">
        <v>208370783.69999999</v>
      </c>
      <c r="M55" s="83">
        <v>205010129</v>
      </c>
      <c r="N55" s="83"/>
      <c r="O55" s="83"/>
      <c r="P55" s="83"/>
    </row>
    <row r="56" spans="1:16" ht="15" thickBot="1" x14ac:dyDescent="0.4">
      <c r="A56" s="50">
        <f>Dashboard!A55</f>
        <v>21</v>
      </c>
      <c r="B56" s="50" t="str">
        <f>Dashboard!B55</f>
        <v>Adjustment done for the month</v>
      </c>
      <c r="C56" s="50" t="str">
        <f>Dashboard!C55</f>
        <v>Ksh.</v>
      </c>
      <c r="E56" s="82">
        <v>0</v>
      </c>
      <c r="F56" s="83">
        <v>-11881</v>
      </c>
      <c r="G56" s="83">
        <v>-388037</v>
      </c>
      <c r="H56" s="83">
        <v>31990.5</v>
      </c>
      <c r="I56" s="83">
        <v>3831</v>
      </c>
      <c r="J56" s="83">
        <v>0</v>
      </c>
      <c r="K56" s="82">
        <v>-2061</v>
      </c>
      <c r="L56" s="83">
        <v>-7836.25</v>
      </c>
      <c r="M56" s="82">
        <v>90000</v>
      </c>
      <c r="N56" s="83"/>
      <c r="O56" s="83"/>
      <c r="P56" s="83"/>
    </row>
    <row r="57" spans="1:16" ht="15" thickBot="1" x14ac:dyDescent="0.4">
      <c r="A57" s="50">
        <f>Dashboard!A56</f>
        <v>0</v>
      </c>
      <c r="B57" s="50">
        <f>Dashboard!B56</f>
        <v>0</v>
      </c>
      <c r="C57" s="50">
        <f>Dashboard!C65</f>
        <v>0</v>
      </c>
      <c r="E57" s="85"/>
      <c r="F57" s="83"/>
      <c r="G57" s="85"/>
      <c r="H57" s="83"/>
      <c r="I57" s="85"/>
      <c r="J57" s="85"/>
      <c r="K57" s="83"/>
      <c r="L57" s="80"/>
      <c r="M57" s="85"/>
      <c r="N57" s="85"/>
      <c r="O57" s="85"/>
      <c r="P57" s="85"/>
    </row>
    <row r="58" spans="1:16" ht="15" thickBot="1" x14ac:dyDescent="0.4">
      <c r="A58" s="50">
        <f>Dashboard!A57</f>
        <v>0</v>
      </c>
      <c r="B58" s="50">
        <f>Dashboard!B57</f>
        <v>0</v>
      </c>
      <c r="C58" s="50">
        <f>Dashboard!C66</f>
        <v>0</v>
      </c>
      <c r="E58" s="80"/>
      <c r="F58" s="80"/>
      <c r="G58" s="85"/>
      <c r="H58" s="83"/>
      <c r="I58" s="85"/>
      <c r="J58" s="85"/>
      <c r="K58" s="83"/>
      <c r="L58" s="85"/>
      <c r="M58" s="80"/>
      <c r="N58" s="85"/>
      <c r="O58" s="85"/>
      <c r="P58" s="85"/>
    </row>
    <row r="59" spans="1:16" ht="15" thickBot="1" x14ac:dyDescent="0.4">
      <c r="A59" s="50">
        <f>Dashboard!A58</f>
        <v>0</v>
      </c>
      <c r="B59" s="50">
        <f>Dashboard!B58</f>
        <v>0</v>
      </c>
      <c r="C59" s="50">
        <f>Dashboard!C67</f>
        <v>0</v>
      </c>
      <c r="E59" s="85"/>
      <c r="F59" s="85"/>
      <c r="G59" s="85"/>
      <c r="H59" s="83"/>
      <c r="I59" s="85"/>
      <c r="J59" s="85"/>
      <c r="K59" s="83"/>
      <c r="L59" s="85"/>
      <c r="M59" s="85"/>
      <c r="N59" s="85"/>
      <c r="O59" s="85"/>
      <c r="P59" s="85"/>
    </row>
    <row r="60" spans="1:16" ht="15" thickBot="1" x14ac:dyDescent="0.4">
      <c r="A60" s="50">
        <f>Dashboard!A59</f>
        <v>0</v>
      </c>
      <c r="B60" s="50">
        <f>Dashboard!B68</f>
        <v>0</v>
      </c>
      <c r="C60" s="50">
        <f>Dashboard!C68</f>
        <v>0</v>
      </c>
      <c r="E60" s="85"/>
      <c r="F60" s="85"/>
      <c r="G60" s="85"/>
      <c r="H60" s="83"/>
      <c r="I60" s="85"/>
      <c r="J60" s="85"/>
      <c r="K60" s="83"/>
      <c r="L60" s="85"/>
      <c r="M60" s="85"/>
      <c r="N60" s="85"/>
      <c r="O60" s="85"/>
      <c r="P60" s="85"/>
    </row>
    <row r="61" spans="1:16" ht="15" thickBot="1" x14ac:dyDescent="0.4">
      <c r="A61" s="50">
        <f>Dashboard!A69</f>
        <v>0</v>
      </c>
      <c r="B61" s="50">
        <f>Dashboard!B69</f>
        <v>0</v>
      </c>
      <c r="C61" s="50">
        <f>Dashboard!C69</f>
        <v>0</v>
      </c>
      <c r="E61" s="85"/>
      <c r="F61" s="85"/>
      <c r="G61" s="85"/>
      <c r="H61" s="83"/>
      <c r="I61" s="85"/>
      <c r="J61" s="85"/>
      <c r="K61" s="83"/>
      <c r="L61" s="85"/>
      <c r="M61" s="85"/>
      <c r="N61" s="85"/>
      <c r="O61" s="85"/>
      <c r="P61" s="85"/>
    </row>
    <row r="62" spans="1:16" ht="15" thickBot="1" x14ac:dyDescent="0.4">
      <c r="A62" s="50">
        <f>Dashboard!A70</f>
        <v>0</v>
      </c>
      <c r="B62" s="50">
        <f>Dashboard!B70</f>
        <v>0</v>
      </c>
      <c r="C62" s="50">
        <f>Dashboard!C70</f>
        <v>0</v>
      </c>
      <c r="E62" s="85"/>
      <c r="F62" s="85"/>
      <c r="G62" s="85"/>
      <c r="H62" s="83"/>
      <c r="I62" s="85"/>
      <c r="J62" s="85"/>
      <c r="K62" s="83"/>
      <c r="L62" s="85"/>
      <c r="M62" s="85"/>
      <c r="N62" s="85"/>
      <c r="O62" s="85"/>
      <c r="P62" s="85"/>
    </row>
    <row r="63" spans="1:16" ht="15" thickBot="1" x14ac:dyDescent="0.4">
      <c r="A63" s="50">
        <f>Dashboard!A71</f>
        <v>0</v>
      </c>
      <c r="B63" s="50">
        <f>Dashboard!B71</f>
        <v>0</v>
      </c>
      <c r="C63" s="50">
        <f>Dashboard!C71</f>
        <v>0</v>
      </c>
      <c r="E63" s="85"/>
      <c r="F63" s="85"/>
      <c r="G63" s="85"/>
      <c r="H63" s="83"/>
      <c r="I63" s="85"/>
      <c r="J63" s="85"/>
      <c r="K63" s="83"/>
      <c r="L63" s="85"/>
      <c r="M63" s="85"/>
      <c r="N63" s="85"/>
      <c r="O63" s="85"/>
      <c r="P63" s="85"/>
    </row>
    <row r="64" spans="1:16" ht="15" thickBot="1" x14ac:dyDescent="0.4">
      <c r="A64" s="50">
        <f>Dashboard!A72</f>
        <v>0</v>
      </c>
      <c r="B64" s="50">
        <f>Dashboard!B72</f>
        <v>0</v>
      </c>
      <c r="C64" s="50">
        <f>Dashboard!C72</f>
        <v>0</v>
      </c>
      <c r="E64" s="85"/>
      <c r="F64" s="85"/>
      <c r="G64" s="85"/>
      <c r="H64" s="83"/>
      <c r="I64" s="85"/>
      <c r="J64" s="85"/>
      <c r="K64" s="83"/>
      <c r="L64" s="85"/>
      <c r="M64" s="85"/>
      <c r="N64" s="85"/>
      <c r="O64" s="85"/>
      <c r="P64" s="8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4"/>
  <sheetViews>
    <sheetView topLeftCell="A6" zoomScaleNormal="100" workbookViewId="0">
      <selection activeCell="E9" sqref="E9"/>
    </sheetView>
  </sheetViews>
  <sheetFormatPr defaultColWidth="9.1796875" defaultRowHeight="14.5" x14ac:dyDescent="0.35"/>
  <cols>
    <col min="1" max="1" width="9.1796875" style="50"/>
    <col min="2" max="2" width="32.1796875" style="50" customWidth="1"/>
    <col min="3" max="4" width="5.54296875" style="50" customWidth="1"/>
    <col min="5" max="6" width="18.1796875" style="50" customWidth="1"/>
    <col min="7" max="7" width="18.54296875" style="50" customWidth="1"/>
    <col min="8" max="8" width="18.54296875" style="55" customWidth="1"/>
    <col min="9" max="9" width="16.54296875" style="50" customWidth="1"/>
    <col min="10" max="10" width="17.81640625" style="50" customWidth="1"/>
    <col min="11" max="11" width="15.453125" style="55" customWidth="1"/>
    <col min="12" max="12" width="15.81640625" style="50" customWidth="1"/>
    <col min="13" max="13" width="20.453125" style="50" customWidth="1"/>
    <col min="14" max="14" width="18.81640625" style="50" customWidth="1"/>
    <col min="15" max="15" width="17.453125" style="50" customWidth="1"/>
    <col min="16" max="16" width="18" style="50" bestFit="1" customWidth="1"/>
    <col min="17" max="16384" width="9.1796875" style="50"/>
  </cols>
  <sheetData>
    <row r="1" spans="1:16" x14ac:dyDescent="0.35">
      <c r="A1" s="50" t="str">
        <f>Dashboard!A1</f>
        <v>FINANCE DASHBOARD</v>
      </c>
    </row>
    <row r="2" spans="1:16" x14ac:dyDescent="0.35">
      <c r="E2" s="67"/>
      <c r="F2" s="67"/>
      <c r="G2" s="67"/>
      <c r="I2" s="67"/>
      <c r="J2" s="67"/>
      <c r="L2" s="67"/>
    </row>
    <row r="4" spans="1:16" x14ac:dyDescent="0.35">
      <c r="B4" s="50" t="s">
        <v>50</v>
      </c>
      <c r="C4" s="50" t="s">
        <v>51</v>
      </c>
      <c r="E4" s="50" t="s">
        <v>52</v>
      </c>
      <c r="F4" s="50" t="s">
        <v>53</v>
      </c>
      <c r="G4" s="50" t="s">
        <v>54</v>
      </c>
      <c r="H4" s="55" t="s">
        <v>55</v>
      </c>
      <c r="I4" s="50" t="s">
        <v>56</v>
      </c>
      <c r="J4" s="50" t="s">
        <v>57</v>
      </c>
      <c r="K4" s="55" t="s">
        <v>58</v>
      </c>
      <c r="L4" s="50" t="s">
        <v>59</v>
      </c>
      <c r="M4" s="50" t="s">
        <v>60</v>
      </c>
      <c r="N4" s="50" t="s">
        <v>61</v>
      </c>
      <c r="O4" s="50" t="s">
        <v>62</v>
      </c>
      <c r="P4" s="50" t="s">
        <v>63</v>
      </c>
    </row>
    <row r="5" spans="1:16" x14ac:dyDescent="0.35">
      <c r="A5" s="50" t="str">
        <f>Dashboard!A5</f>
        <v>BILLING DASHBOARD - SUMMARY</v>
      </c>
    </row>
    <row r="6" spans="1:16" x14ac:dyDescent="0.35">
      <c r="A6" s="50">
        <f>Dashboard!A6</f>
        <v>1</v>
      </c>
      <c r="B6" s="50" t="str">
        <f>Dashboard!B6</f>
        <v>Total Water Sales (Ksh)</v>
      </c>
      <c r="C6" s="50" t="str">
        <f>Dashboard!C6</f>
        <v>Ksh</v>
      </c>
      <c r="E6" s="57">
        <v>11183420</v>
      </c>
      <c r="F6" s="57">
        <v>13918957</v>
      </c>
      <c r="G6" s="74">
        <v>13018249</v>
      </c>
      <c r="H6" s="75">
        <v>12608519</v>
      </c>
      <c r="I6" s="60">
        <v>14174994</v>
      </c>
      <c r="J6" s="60">
        <v>8977679</v>
      </c>
      <c r="K6" s="60">
        <v>14767948</v>
      </c>
      <c r="L6" s="57">
        <v>13060906</v>
      </c>
      <c r="M6" s="57">
        <v>13951180</v>
      </c>
      <c r="N6" s="57">
        <v>13956857</v>
      </c>
      <c r="O6" s="57">
        <v>19515330</v>
      </c>
      <c r="P6" s="57">
        <v>20899160</v>
      </c>
    </row>
    <row r="7" spans="1:16" x14ac:dyDescent="0.35">
      <c r="A7" s="50">
        <f>Dashboard!A7</f>
        <v>2</v>
      </c>
      <c r="B7" s="50" t="str">
        <f>Dashboard!B7</f>
        <v>Total Sewerage Sales (Ksh)</v>
      </c>
      <c r="C7" s="50" t="str">
        <f>Dashboard!C7</f>
        <v>Ksh</v>
      </c>
      <c r="E7" s="57">
        <v>4109000.4</v>
      </c>
      <c r="F7" s="57">
        <v>5060354.6500000004</v>
      </c>
      <c r="G7" s="74">
        <v>4299927.7</v>
      </c>
      <c r="H7" s="76">
        <v>4437132.6999999993</v>
      </c>
      <c r="I7" s="60">
        <v>4483043.4999999991</v>
      </c>
      <c r="J7" s="60">
        <v>3764102.6999999997</v>
      </c>
      <c r="K7" s="60">
        <f>5424626.2+350</f>
        <v>5424976.2000000002</v>
      </c>
      <c r="L7" s="57">
        <v>4666903.2</v>
      </c>
      <c r="M7" s="57">
        <v>4963782.45</v>
      </c>
      <c r="N7" s="57">
        <v>5710578.7499999991</v>
      </c>
      <c r="O7" s="57">
        <v>6133010.9999999991</v>
      </c>
      <c r="P7" s="57">
        <v>6224363.4999999991</v>
      </c>
    </row>
    <row r="8" spans="1:16" x14ac:dyDescent="0.35">
      <c r="A8" s="50">
        <f>Dashboard!A8</f>
        <v>3</v>
      </c>
      <c r="B8" s="50" t="str">
        <f>Dashboard!B8</f>
        <v xml:space="preserve">Bulk water </v>
      </c>
      <c r="E8" s="52">
        <v>22320</v>
      </c>
      <c r="F8" s="52">
        <v>28370</v>
      </c>
      <c r="G8" s="77">
        <v>64720</v>
      </c>
      <c r="H8" s="75">
        <v>22800</v>
      </c>
      <c r="I8" s="60">
        <v>40480</v>
      </c>
      <c r="J8" s="52">
        <v>25520</v>
      </c>
      <c r="K8" s="52">
        <v>51520</v>
      </c>
      <c r="L8" s="52">
        <v>59520</v>
      </c>
      <c r="M8" s="52">
        <v>104400</v>
      </c>
      <c r="N8" s="52">
        <v>73540</v>
      </c>
      <c r="O8" s="52">
        <v>63440</v>
      </c>
      <c r="P8" s="52">
        <v>165230</v>
      </c>
    </row>
    <row r="9" spans="1:16" x14ac:dyDescent="0.35">
      <c r="A9" s="50" t="e">
        <f>Dashboard!#REF!</f>
        <v>#REF!</v>
      </c>
      <c r="B9" s="50" t="e">
        <f>Dashboard!#REF!</f>
        <v>#REF!</v>
      </c>
      <c r="E9" s="52">
        <v>491000</v>
      </c>
      <c r="F9" s="52">
        <v>494150</v>
      </c>
      <c r="G9" s="77">
        <v>496750</v>
      </c>
      <c r="H9" s="77">
        <v>498550</v>
      </c>
      <c r="I9" s="60">
        <v>498350</v>
      </c>
      <c r="J9" s="60">
        <v>501650</v>
      </c>
      <c r="K9" s="52">
        <f>502600+800</f>
        <v>503400</v>
      </c>
      <c r="L9" s="52">
        <v>507750</v>
      </c>
      <c r="M9" s="52">
        <v>510500</v>
      </c>
      <c r="N9" s="52">
        <v>281750</v>
      </c>
      <c r="O9" s="52">
        <v>0</v>
      </c>
      <c r="P9" s="52">
        <v>0</v>
      </c>
    </row>
    <row r="10" spans="1:16" x14ac:dyDescent="0.35">
      <c r="A10" s="50">
        <f>Dashboard!A9</f>
        <v>4</v>
      </c>
      <c r="B10" s="50" t="str">
        <f>Dashboard!B9</f>
        <v>Sanitation</v>
      </c>
      <c r="E10" s="52"/>
      <c r="F10" s="52"/>
      <c r="G10" s="77"/>
      <c r="H10" s="77"/>
      <c r="I10" s="60"/>
      <c r="J10" s="60"/>
      <c r="K10" s="52"/>
      <c r="L10" s="52"/>
      <c r="M10" s="52"/>
      <c r="N10" s="52">
        <v>456894.5</v>
      </c>
      <c r="O10" s="52">
        <v>975766.5</v>
      </c>
      <c r="P10" s="52">
        <v>1044958</v>
      </c>
    </row>
    <row r="11" spans="1:16" x14ac:dyDescent="0.35">
      <c r="A11" s="50">
        <f>Dashboard!A10</f>
        <v>5</v>
      </c>
      <c r="B11" s="50" t="str">
        <f>Dashboard!B10</f>
        <v>new connection fee water</v>
      </c>
      <c r="E11" s="52">
        <v>327500</v>
      </c>
      <c r="F11" s="52">
        <v>172500</v>
      </c>
      <c r="G11" s="77">
        <v>90000</v>
      </c>
      <c r="H11" s="75">
        <v>35000</v>
      </c>
      <c r="I11" s="60">
        <v>102500</v>
      </c>
      <c r="J11" s="60">
        <v>145000</v>
      </c>
      <c r="K11" s="52">
        <v>377500</v>
      </c>
      <c r="L11" s="52">
        <v>225000</v>
      </c>
      <c r="M11" s="52">
        <v>245000</v>
      </c>
      <c r="N11" s="52">
        <v>417500</v>
      </c>
      <c r="O11" s="52">
        <v>187500</v>
      </c>
      <c r="P11" s="52">
        <v>265000</v>
      </c>
    </row>
    <row r="12" spans="1:16" x14ac:dyDescent="0.35">
      <c r="A12" s="50">
        <f>Dashboard!A11</f>
        <v>6</v>
      </c>
      <c r="B12" s="50" t="str">
        <f>Dashboard!B11</f>
        <v>new connection fee sewer</v>
      </c>
      <c r="E12" s="52">
        <v>50000</v>
      </c>
      <c r="F12" s="52">
        <v>30000</v>
      </c>
      <c r="G12" s="77">
        <v>37500</v>
      </c>
      <c r="H12" s="76">
        <v>12500</v>
      </c>
      <c r="I12" s="60">
        <v>0</v>
      </c>
      <c r="J12" s="60">
        <v>25000</v>
      </c>
      <c r="K12" s="52">
        <v>10500</v>
      </c>
      <c r="L12" s="52">
        <v>60000</v>
      </c>
      <c r="M12" s="52">
        <v>22500</v>
      </c>
      <c r="N12" s="52">
        <v>17500</v>
      </c>
      <c r="O12" s="52">
        <v>0</v>
      </c>
      <c r="P12" s="52">
        <v>20000</v>
      </c>
    </row>
    <row r="13" spans="1:16" x14ac:dyDescent="0.35">
      <c r="A13" s="50">
        <f>Dashboard!A12</f>
        <v>7</v>
      </c>
      <c r="B13" s="50" t="str">
        <f>Dashboard!B12</f>
        <v>reconnection fee (water+sewer)</v>
      </c>
      <c r="E13" s="52">
        <v>714000</v>
      </c>
      <c r="F13" s="52">
        <v>279000</v>
      </c>
      <c r="G13" s="77">
        <v>192500</v>
      </c>
      <c r="H13" s="75">
        <v>270000</v>
      </c>
      <c r="I13" s="52">
        <v>176500</v>
      </c>
      <c r="J13" s="60">
        <f>150500+4500</f>
        <v>155000</v>
      </c>
      <c r="K13" s="52">
        <v>268500</v>
      </c>
      <c r="L13" s="52">
        <v>165000</v>
      </c>
      <c r="M13" s="52">
        <v>243500</v>
      </c>
      <c r="N13" s="52">
        <v>122500</v>
      </c>
      <c r="O13" s="52">
        <v>151000</v>
      </c>
      <c r="P13" s="52">
        <v>127000</v>
      </c>
    </row>
    <row r="14" spans="1:16" x14ac:dyDescent="0.35">
      <c r="A14" s="50">
        <f>Dashboard!A13</f>
        <v>8</v>
      </c>
      <c r="B14" s="50" t="str">
        <f>Dashboard!B13</f>
        <v>Prepaid kiosk</v>
      </c>
      <c r="C14" s="50" t="str">
        <f>Dashboard!C8</f>
        <v>Ksh</v>
      </c>
      <c r="E14" s="52">
        <v>77900</v>
      </c>
      <c r="F14" s="52">
        <v>100000</v>
      </c>
      <c r="G14" s="77">
        <v>107100</v>
      </c>
      <c r="H14" s="76">
        <v>99700</v>
      </c>
      <c r="I14" s="52">
        <v>100900</v>
      </c>
      <c r="J14" s="52">
        <v>57800</v>
      </c>
      <c r="K14" s="52">
        <v>124500</v>
      </c>
      <c r="L14" s="52">
        <v>96800</v>
      </c>
      <c r="M14" s="52">
        <v>100800</v>
      </c>
      <c r="N14" s="52">
        <v>67500</v>
      </c>
      <c r="O14" s="52">
        <v>86800</v>
      </c>
      <c r="P14" s="52">
        <v>124600</v>
      </c>
    </row>
    <row r="15" spans="1:16" x14ac:dyDescent="0.35">
      <c r="A15" s="50">
        <f>Dashboard!A14</f>
        <v>9</v>
      </c>
      <c r="B15" s="50" t="str">
        <f>Dashboard!B14</f>
        <v>misc income-printing fee,CA,meter replacement fee,meter testing</v>
      </c>
      <c r="C15" s="50" t="str">
        <f>Dashboard!C10</f>
        <v>Ksh</v>
      </c>
      <c r="E15" s="52">
        <v>75850</v>
      </c>
      <c r="F15" s="52">
        <v>51400</v>
      </c>
      <c r="G15" s="77">
        <v>133100</v>
      </c>
      <c r="H15" s="76">
        <v>165000</v>
      </c>
      <c r="I15" s="52">
        <v>46900</v>
      </c>
      <c r="J15" s="52">
        <v>80800</v>
      </c>
      <c r="K15" s="52">
        <v>147500</v>
      </c>
      <c r="L15" s="52">
        <v>100950</v>
      </c>
      <c r="M15" s="52">
        <v>163400</v>
      </c>
      <c r="N15" s="52">
        <v>295950</v>
      </c>
      <c r="O15" s="52">
        <v>143650</v>
      </c>
      <c r="P15" s="52">
        <v>90350</v>
      </c>
    </row>
    <row r="16" spans="1:16" x14ac:dyDescent="0.35">
      <c r="A16" s="50">
        <f>Dashboard!A15</f>
        <v>10</v>
      </c>
      <c r="B16" s="50" t="str">
        <f>Dashboard!B15</f>
        <v>sewer unblocking fee</v>
      </c>
      <c r="C16" s="50" t="str">
        <f>Dashboard!C11</f>
        <v>Ksh</v>
      </c>
      <c r="E16" s="52"/>
      <c r="F16" s="52"/>
      <c r="G16" s="77"/>
      <c r="H16" s="76"/>
      <c r="I16" s="52"/>
      <c r="J16" s="52">
        <v>2500</v>
      </c>
      <c r="K16" s="52"/>
      <c r="L16" s="52"/>
      <c r="M16" s="52"/>
      <c r="N16" s="52"/>
      <c r="O16" s="52">
        <v>2500</v>
      </c>
      <c r="P16" s="52"/>
    </row>
    <row r="17" spans="1:16" ht="14.25" customHeight="1" x14ac:dyDescent="0.35">
      <c r="A17" s="50">
        <f>Dashboard!A16</f>
        <v>11</v>
      </c>
      <c r="B17" s="50" t="str">
        <f>Dashboard!B16</f>
        <v>penalties (water+sewer)</v>
      </c>
      <c r="C17" s="50" t="str">
        <f>Dashboard!C12</f>
        <v>Ksh</v>
      </c>
      <c r="E17" s="52">
        <v>87556</v>
      </c>
      <c r="F17" s="52">
        <v>16152</v>
      </c>
      <c r="G17" s="77">
        <v>55750</v>
      </c>
      <c r="H17" s="76">
        <v>51350</v>
      </c>
      <c r="I17" s="52">
        <v>0</v>
      </c>
      <c r="J17" s="52"/>
      <c r="K17" s="52">
        <v>39580</v>
      </c>
      <c r="L17" s="52">
        <v>7592</v>
      </c>
      <c r="M17" s="52">
        <v>30000</v>
      </c>
      <c r="N17" s="52">
        <v>285362</v>
      </c>
      <c r="O17" s="52">
        <v>40000</v>
      </c>
      <c r="P17" s="52">
        <v>10000</v>
      </c>
    </row>
    <row r="18" spans="1:16" hidden="1" x14ac:dyDescent="0.35">
      <c r="A18" s="50" t="e">
        <f>Dashboard!#REF!</f>
        <v>#REF!</v>
      </c>
      <c r="B18" s="50" t="e">
        <f>Dashboard!#REF!</f>
        <v>#REF!</v>
      </c>
      <c r="C18" s="50" t="str">
        <f>Dashboard!C13</f>
        <v>Ksh</v>
      </c>
      <c r="E18" s="52"/>
      <c r="F18" s="52"/>
      <c r="G18" s="77"/>
      <c r="H18" s="76"/>
      <c r="I18" s="52"/>
      <c r="J18" s="52"/>
      <c r="K18" s="52"/>
      <c r="L18"/>
      <c r="M18" s="52"/>
      <c r="N18" s="52"/>
      <c r="O18" s="52"/>
      <c r="P18"/>
    </row>
    <row r="19" spans="1:16" x14ac:dyDescent="0.35">
      <c r="A19" s="50">
        <f>Dashboard!A17</f>
        <v>12</v>
      </c>
      <c r="B19" s="50" t="str">
        <f>Dashboard!B17</f>
        <v>Company exhauster</v>
      </c>
      <c r="C19" s="50" t="str">
        <f>Dashboard!C14</f>
        <v>Ksh</v>
      </c>
      <c r="E19" s="52">
        <v>0</v>
      </c>
      <c r="F19" s="52">
        <v>0</v>
      </c>
      <c r="G19" s="77">
        <v>0</v>
      </c>
      <c r="H19" s="76"/>
      <c r="I19" s="52"/>
      <c r="J19" s="52"/>
      <c r="K19" s="52"/>
      <c r="L19" s="52"/>
      <c r="M19" s="52"/>
      <c r="N19" s="52"/>
      <c r="O19" s="52"/>
      <c r="P19" s="52"/>
    </row>
    <row r="20" spans="1:16" x14ac:dyDescent="0.35">
      <c r="A20" s="50">
        <f>Dashboard!A18</f>
        <v>12</v>
      </c>
      <c r="B20" s="50" t="str">
        <f>Dashboard!B18</f>
        <v>Customer exhauster</v>
      </c>
      <c r="C20" s="50" t="str">
        <f>Dashboard!C15</f>
        <v>Ksh</v>
      </c>
      <c r="E20" s="52">
        <v>135000</v>
      </c>
      <c r="F20" s="52">
        <v>135000</v>
      </c>
      <c r="G20" s="77">
        <v>135000</v>
      </c>
      <c r="H20" s="76">
        <v>135000</v>
      </c>
      <c r="I20" s="52">
        <v>135000</v>
      </c>
      <c r="J20" s="52">
        <v>135000</v>
      </c>
      <c r="K20" s="52">
        <v>135000</v>
      </c>
      <c r="L20" s="52">
        <v>165000</v>
      </c>
      <c r="M20" s="52">
        <v>217500</v>
      </c>
      <c r="N20" s="52">
        <v>195000</v>
      </c>
      <c r="O20" s="52">
        <v>195000</v>
      </c>
      <c r="P20" s="52">
        <v>225000</v>
      </c>
    </row>
    <row r="21" spans="1:16" x14ac:dyDescent="0.35">
      <c r="A21" s="50">
        <f>Dashboard!A19</f>
        <v>13</v>
      </c>
      <c r="B21" s="50" t="str">
        <f>Dashboard!B19</f>
        <v>Total billed (Ksh)</v>
      </c>
      <c r="C21" s="50" t="str">
        <f>Dashboard!C17</f>
        <v>Ksh</v>
      </c>
      <c r="D21" s="50">
        <v>17945234</v>
      </c>
      <c r="E21" s="67">
        <f>SUM(E6:E20)-(E14+E8)</f>
        <v>17173326.399999999</v>
      </c>
      <c r="F21" s="67">
        <f t="shared" ref="F21:P21" si="0">SUM(F6:F20)-(F14+F8)</f>
        <v>20157513.649999999</v>
      </c>
      <c r="G21" s="67">
        <f t="shared" si="0"/>
        <v>18458776.699999999</v>
      </c>
      <c r="H21" s="67">
        <f t="shared" si="0"/>
        <v>18213051.699999999</v>
      </c>
      <c r="I21" s="67">
        <f t="shared" si="0"/>
        <v>19617287.5</v>
      </c>
      <c r="J21" s="67">
        <f t="shared" si="0"/>
        <v>13786731.699999999</v>
      </c>
      <c r="K21" s="67">
        <f t="shared" si="0"/>
        <v>21674904.199999999</v>
      </c>
      <c r="L21" s="67">
        <f t="shared" si="0"/>
        <v>18959101.199999999</v>
      </c>
      <c r="M21" s="67">
        <f t="shared" si="0"/>
        <v>20347362.449999999</v>
      </c>
      <c r="N21" s="67">
        <f t="shared" si="0"/>
        <v>21739892.25</v>
      </c>
      <c r="O21" s="67">
        <f t="shared" si="0"/>
        <v>27343757.5</v>
      </c>
      <c r="P21" s="67">
        <f t="shared" si="0"/>
        <v>28905831.5</v>
      </c>
    </row>
    <row r="22" spans="1:16" x14ac:dyDescent="0.35">
      <c r="A22" s="50">
        <f>Dashboard!A20</f>
        <v>0</v>
      </c>
      <c r="B22" s="50">
        <f>Dashboard!B20</f>
        <v>0</v>
      </c>
      <c r="C22" s="50" t="str">
        <f>Dashboard!C18</f>
        <v>Ksh</v>
      </c>
      <c r="E22" s="52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</row>
    <row r="23" spans="1:16" x14ac:dyDescent="0.35">
      <c r="A23" s="50" t="str">
        <f>Dashboard!A21</f>
        <v>A</v>
      </c>
      <c r="B23" s="50" t="str">
        <f>Dashboard!B21</f>
        <v>Eastern Region</v>
      </c>
      <c r="C23" s="50" t="e">
        <f>Dashboard!#REF!</f>
        <v>#REF!</v>
      </c>
      <c r="E23" s="57" t="s">
        <v>128</v>
      </c>
      <c r="F23" s="57" t="s">
        <v>98</v>
      </c>
      <c r="G23" s="57" t="s">
        <v>129</v>
      </c>
      <c r="H23" s="52" t="s">
        <v>132</v>
      </c>
      <c r="I23" s="57" t="s">
        <v>98</v>
      </c>
      <c r="J23" s="57" t="s">
        <v>134</v>
      </c>
      <c r="K23" s="52" t="s">
        <v>135</v>
      </c>
      <c r="L23" s="57" t="s">
        <v>132</v>
      </c>
      <c r="M23" s="57" t="s">
        <v>98</v>
      </c>
      <c r="N23" s="57" t="s">
        <v>98</v>
      </c>
      <c r="O23" s="57" t="s">
        <v>138</v>
      </c>
      <c r="P23" s="57" t="s">
        <v>137</v>
      </c>
    </row>
    <row r="24" spans="1:16" x14ac:dyDescent="0.35">
      <c r="A24" s="50" t="str">
        <f>Dashboard!A22</f>
        <v>B</v>
      </c>
      <c r="B24" s="50" t="str">
        <f>Dashboard!B22</f>
        <v>Southern Region</v>
      </c>
      <c r="C24" s="50" t="e">
        <f>Dashboard!#REF!</f>
        <v>#REF!</v>
      </c>
      <c r="E24" s="57" t="s">
        <v>123</v>
      </c>
      <c r="F24" s="52" t="s">
        <v>122</v>
      </c>
      <c r="G24" s="52" t="s">
        <v>100</v>
      </c>
      <c r="H24" s="52" t="s">
        <v>123</v>
      </c>
      <c r="I24" s="52" t="s">
        <v>123</v>
      </c>
      <c r="J24" s="52" t="s">
        <v>134</v>
      </c>
      <c r="K24" s="52" t="s">
        <v>126</v>
      </c>
      <c r="L24" s="52" t="s">
        <v>100</v>
      </c>
      <c r="M24" s="52" t="s">
        <v>126</v>
      </c>
      <c r="N24" s="52" t="s">
        <v>137</v>
      </c>
      <c r="O24" s="52" t="s">
        <v>122</v>
      </c>
      <c r="P24" s="52" t="s">
        <v>139</v>
      </c>
    </row>
    <row r="25" spans="1:16" x14ac:dyDescent="0.35">
      <c r="A25" s="50" t="str">
        <f>Dashboard!A23</f>
        <v>C</v>
      </c>
      <c r="B25" s="50" t="str">
        <f>Dashboard!B23</f>
        <v>Central Region</v>
      </c>
      <c r="C25" s="50" t="str">
        <f>Dashboard!C19</f>
        <v>Ksh</v>
      </c>
      <c r="E25" s="52" t="s">
        <v>103</v>
      </c>
      <c r="F25" s="52" t="s">
        <v>97</v>
      </c>
      <c r="G25" s="52" t="s">
        <v>97</v>
      </c>
      <c r="H25" s="52" t="s">
        <v>103</v>
      </c>
      <c r="I25" s="52" t="s">
        <v>101</v>
      </c>
      <c r="J25" s="52" t="s">
        <v>126</v>
      </c>
      <c r="K25" s="52" t="s">
        <v>101</v>
      </c>
      <c r="L25" s="52" t="s">
        <v>125</v>
      </c>
      <c r="M25" s="52" t="s">
        <v>97</v>
      </c>
      <c r="N25" s="52" t="s">
        <v>97</v>
      </c>
      <c r="O25" s="52" t="s">
        <v>101</v>
      </c>
      <c r="P25" s="52" t="s">
        <v>97</v>
      </c>
    </row>
    <row r="26" spans="1:16" x14ac:dyDescent="0.35">
      <c r="A26" s="50" t="str">
        <f>Dashboard!A24</f>
        <v xml:space="preserve">COLLECTION EFFICIENCY </v>
      </c>
      <c r="B26" s="50">
        <f>Dashboard!B24</f>
        <v>0</v>
      </c>
      <c r="C26" s="50">
        <f>Dashboard!C20</f>
        <v>0</v>
      </c>
      <c r="E26"/>
      <c r="F26" s="52"/>
      <c r="G26"/>
      <c r="H26" s="52"/>
      <c r="I26" s="61"/>
      <c r="J26"/>
      <c r="K26" s="52"/>
      <c r="L26"/>
      <c r="M26"/>
      <c r="N26"/>
      <c r="O26"/>
      <c r="P26"/>
    </row>
    <row r="27" spans="1:16" x14ac:dyDescent="0.35">
      <c r="A27" s="50" t="str">
        <f>Dashboard!A25</f>
        <v>D</v>
      </c>
      <c r="B27" s="50" t="str">
        <f>Dashboard!B25</f>
        <v>Total accounts disconnected-water</v>
      </c>
      <c r="C27" s="50" t="str">
        <f>Dashboard!C21</f>
        <v>DATE</v>
      </c>
      <c r="E27" s="52">
        <v>606</v>
      </c>
      <c r="F27" s="61">
        <v>270</v>
      </c>
      <c r="G27" s="61">
        <v>119</v>
      </c>
      <c r="H27" s="61">
        <v>172</v>
      </c>
      <c r="I27" s="61">
        <v>166</v>
      </c>
      <c r="J27" s="61">
        <v>149</v>
      </c>
      <c r="K27" s="61">
        <v>197</v>
      </c>
      <c r="L27" s="61">
        <v>144</v>
      </c>
      <c r="M27" s="61">
        <v>227</v>
      </c>
      <c r="N27" s="61">
        <v>111</v>
      </c>
      <c r="O27" s="61">
        <v>123</v>
      </c>
      <c r="P27" s="61">
        <v>111</v>
      </c>
    </row>
    <row r="28" spans="1:16" x14ac:dyDescent="0.35">
      <c r="A28" s="50" t="str">
        <f>Dashboard!A26</f>
        <v>E</v>
      </c>
      <c r="B28" s="50" t="str">
        <f>Dashboard!B26</f>
        <v>Total accounts disconnected-sewer</v>
      </c>
      <c r="C28" s="50" t="str">
        <f>Dashboard!C16</f>
        <v>Ksh</v>
      </c>
      <c r="E28" s="52">
        <v>72</v>
      </c>
      <c r="F28" s="52">
        <v>2</v>
      </c>
      <c r="G28" s="52">
        <v>20</v>
      </c>
      <c r="H28" s="52">
        <v>44</v>
      </c>
      <c r="I28" s="52">
        <v>7</v>
      </c>
      <c r="J28" s="52">
        <v>4</v>
      </c>
      <c r="K28" s="52">
        <v>13</v>
      </c>
      <c r="L28" s="52">
        <v>14</v>
      </c>
      <c r="M28" s="52">
        <v>3</v>
      </c>
      <c r="N28" s="52">
        <v>5</v>
      </c>
      <c r="O28" s="52">
        <v>0</v>
      </c>
      <c r="P28" s="52">
        <v>0</v>
      </c>
    </row>
    <row r="29" spans="1:16" x14ac:dyDescent="0.35">
      <c r="A29" s="50">
        <f>Dashboard!A27</f>
        <v>14</v>
      </c>
      <c r="B29" s="50" t="str">
        <f>Dashboard!B27</f>
        <v>Total Collection for the month</v>
      </c>
      <c r="C29" s="50" t="str">
        <f>Dashboard!C17</f>
        <v>Ksh</v>
      </c>
      <c r="E29" s="52">
        <v>22802981.900000006</v>
      </c>
      <c r="F29" s="52">
        <v>15064900.050000001</v>
      </c>
      <c r="G29" s="52">
        <v>17788417.170000002</v>
      </c>
      <c r="H29" s="52">
        <v>18047890.949999999</v>
      </c>
      <c r="I29" s="52">
        <v>20883741</v>
      </c>
      <c r="J29" s="52">
        <v>15030214.25</v>
      </c>
      <c r="K29" s="52">
        <v>21271031.75</v>
      </c>
      <c r="L29" s="52">
        <v>18078019.350000001</v>
      </c>
      <c r="M29" s="52">
        <v>16601929.5</v>
      </c>
      <c r="N29" s="52">
        <v>23335360.739999998</v>
      </c>
      <c r="O29" s="52">
        <v>22039395.399999999</v>
      </c>
      <c r="P29" s="52">
        <v>28927934</v>
      </c>
    </row>
    <row r="30" spans="1:16" hidden="1" x14ac:dyDescent="0.35">
      <c r="A30" s="50">
        <f>Dashboard!A28</f>
        <v>7</v>
      </c>
      <c r="B30" s="50" t="str">
        <f>Dashboard!B28</f>
        <v>Total Collection- Related Sales</v>
      </c>
      <c r="C30" s="50" t="str">
        <f>Dashboard!C18</f>
        <v>Ksh</v>
      </c>
      <c r="E30" s="56"/>
      <c r="F30" s="56"/>
      <c r="G30" s="56"/>
      <c r="H30" s="52"/>
      <c r="I30" s="56"/>
      <c r="J30" s="56"/>
      <c r="K30" s="52"/>
      <c r="L30" s="56"/>
      <c r="M30" s="56"/>
      <c r="N30" s="56"/>
      <c r="O30" s="56"/>
      <c r="P30" s="56"/>
    </row>
    <row r="31" spans="1:16" x14ac:dyDescent="0.35">
      <c r="A31" s="50">
        <f>Dashboard!A29</f>
        <v>15</v>
      </c>
      <c r="B31" s="50" t="str">
        <f>Dashboard!B29</f>
        <v xml:space="preserve">Collection Efficiency - in % of billing </v>
      </c>
      <c r="E31" s="70">
        <f>E29/D21</f>
        <v>1.2706984985539898</v>
      </c>
      <c r="F31" s="70">
        <f>F29/E21</f>
        <v>0.87722667694710577</v>
      </c>
      <c r="G31" s="70">
        <f>G29/F21</f>
        <v>0.88247079867412137</v>
      </c>
      <c r="H31" s="70">
        <f t="shared" ref="H31:P31" si="1">H29/G21</f>
        <v>0.97774035860133679</v>
      </c>
      <c r="I31" s="70">
        <f t="shared" si="1"/>
        <v>1.1466360137768676</v>
      </c>
      <c r="J31" s="70">
        <f t="shared" si="1"/>
        <v>0.76617189048180079</v>
      </c>
      <c r="K31" s="70">
        <f t="shared" si="1"/>
        <v>1.5428625299207064</v>
      </c>
      <c r="L31" s="70">
        <f t="shared" si="1"/>
        <v>0.83405302201981601</v>
      </c>
      <c r="M31" s="70">
        <f t="shared" si="1"/>
        <v>0.87567070426313254</v>
      </c>
      <c r="N31" s="70">
        <f t="shared" si="1"/>
        <v>1.1468494158563534</v>
      </c>
      <c r="O31" s="70">
        <f t="shared" si="1"/>
        <v>1.013776662117541</v>
      </c>
      <c r="P31" s="70">
        <f t="shared" si="1"/>
        <v>1.0579355818233833</v>
      </c>
    </row>
    <row r="32" spans="1:16" x14ac:dyDescent="0.35">
      <c r="A32" s="50" t="str">
        <f>Dashboard!A31</f>
        <v>CENTRAL REGION: CBD,CCCR,KABATI,SITE,KIHOTO,LAKEVIEW,HOPEWELL</v>
      </c>
      <c r="E32"/>
      <c r="F32"/>
      <c r="G32"/>
      <c r="H32" s="52"/>
      <c r="I32"/>
      <c r="J32"/>
      <c r="K32" s="52"/>
      <c r="L32"/>
      <c r="M32" s="57"/>
      <c r="N32"/>
      <c r="O32"/>
      <c r="P32"/>
    </row>
    <row r="33" spans="1:16" x14ac:dyDescent="0.35">
      <c r="A33" s="50" t="str">
        <f>Dashboard!A32</f>
        <v>16a</v>
      </c>
      <c r="B33" s="50" t="str">
        <f>Dashboard!B32</f>
        <v>Amount Billed Water-Central</v>
      </c>
      <c r="C33" s="50" t="str">
        <f>Dashboard!C32</f>
        <v>Ksh.</v>
      </c>
      <c r="E33" s="52">
        <v>5843053</v>
      </c>
      <c r="F33" s="52">
        <v>7922759</v>
      </c>
      <c r="G33" s="52">
        <v>6574586</v>
      </c>
      <c r="H33" s="60">
        <v>6654857</v>
      </c>
      <c r="I33" s="60">
        <v>7074189</v>
      </c>
      <c r="J33" s="60">
        <v>4685457</v>
      </c>
      <c r="K33" s="52">
        <v>8536944</v>
      </c>
      <c r="L33" s="52">
        <v>7146065</v>
      </c>
      <c r="M33" s="52">
        <v>7724897</v>
      </c>
      <c r="N33" s="52">
        <v>9123070</v>
      </c>
      <c r="O33" s="52">
        <v>10708050</v>
      </c>
      <c r="P33" s="52">
        <v>11093770</v>
      </c>
    </row>
    <row r="34" spans="1:16" x14ac:dyDescent="0.35">
      <c r="A34" s="50" t="str">
        <f>Dashboard!A33</f>
        <v>17a</v>
      </c>
      <c r="B34" s="50" t="str">
        <f>Dashboard!B33</f>
        <v>Amount Billed Sewer-Central</v>
      </c>
      <c r="C34" s="50" t="str">
        <f>Dashboard!C33</f>
        <v>Ksh.</v>
      </c>
      <c r="E34" s="52">
        <v>4056872.9</v>
      </c>
      <c r="F34" s="52">
        <f>4997329.65-1417.5</f>
        <v>4995912.1500000004</v>
      </c>
      <c r="G34" s="52">
        <v>4239319.45</v>
      </c>
      <c r="H34" s="60">
        <v>4378066.2</v>
      </c>
      <c r="I34" s="60">
        <v>4413150</v>
      </c>
      <c r="J34" s="60">
        <v>3714209.2</v>
      </c>
      <c r="K34" s="52">
        <f>5355862.7+350</f>
        <v>5356212.7</v>
      </c>
      <c r="L34" s="52">
        <v>4592748.95</v>
      </c>
      <c r="M34" s="52">
        <v>4885076.95</v>
      </c>
      <c r="N34" s="52">
        <v>5635043.5</v>
      </c>
      <c r="O34" s="52">
        <v>6022758.5</v>
      </c>
      <c r="P34" s="52">
        <v>6114211</v>
      </c>
    </row>
    <row r="35" spans="1:16" x14ac:dyDescent="0.35">
      <c r="A35" s="50" t="str">
        <f>Dashboard!A34</f>
        <v>18a</v>
      </c>
      <c r="B35" s="50" t="str">
        <f>Dashboard!B34</f>
        <v>othersales</v>
      </c>
      <c r="C35" s="50" t="str">
        <f>Dashboard!C34</f>
        <v>Ksh.</v>
      </c>
      <c r="E35" s="52">
        <v>794951</v>
      </c>
      <c r="F35" s="52">
        <f>491850+135000</f>
        <v>626850</v>
      </c>
      <c r="G35" s="52">
        <v>607950</v>
      </c>
      <c r="H35" s="60">
        <v>713100</v>
      </c>
      <c r="I35" s="60">
        <v>489600</v>
      </c>
      <c r="J35" s="60">
        <v>523900</v>
      </c>
      <c r="K35" s="52">
        <f>703980+800</f>
        <v>704780</v>
      </c>
      <c r="L35" s="52">
        <v>670850</v>
      </c>
      <c r="M35" s="52">
        <v>755350</v>
      </c>
      <c r="N35" s="52">
        <v>1189107.5</v>
      </c>
      <c r="O35" s="52">
        <v>1026152.5</v>
      </c>
      <c r="P35" s="52">
        <v>1000538.5</v>
      </c>
    </row>
    <row r="36" spans="1:16" x14ac:dyDescent="0.35">
      <c r="A36" s="50" t="str">
        <f>Dashboard!A35</f>
        <v>19a</v>
      </c>
      <c r="B36" s="50" t="str">
        <f>Dashboard!B35</f>
        <v>Amount Billed Water &amp; Sewer-othersales-Central</v>
      </c>
      <c r="C36" s="50" t="str">
        <f>Dashboard!C35</f>
        <v>Ksh.</v>
      </c>
      <c r="D36" s="50">
        <v>12356391</v>
      </c>
      <c r="E36" s="55">
        <f>E33+E34+E35</f>
        <v>10694876.9</v>
      </c>
      <c r="F36" s="55">
        <f>F33+F34+F35</f>
        <v>13545521.15</v>
      </c>
      <c r="G36" s="55">
        <f t="shared" ref="G36:P36" si="2">G33+G34+G35</f>
        <v>11421855.449999999</v>
      </c>
      <c r="H36" s="55">
        <f t="shared" si="2"/>
        <v>11746023.199999999</v>
      </c>
      <c r="I36" s="55">
        <f t="shared" si="2"/>
        <v>11976939</v>
      </c>
      <c r="J36" s="55">
        <f t="shared" si="2"/>
        <v>8923566.1999999993</v>
      </c>
      <c r="K36" s="55">
        <f t="shared" si="2"/>
        <v>14597936.699999999</v>
      </c>
      <c r="L36" s="55">
        <f t="shared" si="2"/>
        <v>12409663.949999999</v>
      </c>
      <c r="M36" s="55">
        <f t="shared" si="2"/>
        <v>13365323.949999999</v>
      </c>
      <c r="N36" s="55">
        <f t="shared" si="2"/>
        <v>15947221</v>
      </c>
      <c r="O36" s="55">
        <f t="shared" si="2"/>
        <v>17756961</v>
      </c>
      <c r="P36" s="55">
        <f t="shared" si="2"/>
        <v>18208519.5</v>
      </c>
    </row>
    <row r="37" spans="1:16" x14ac:dyDescent="0.35">
      <c r="A37" s="50" t="str">
        <f>Dashboard!A36</f>
        <v>14a</v>
      </c>
      <c r="B37" s="50" t="str">
        <f>Dashboard!B36</f>
        <v>Amount Collected-Central</v>
      </c>
      <c r="C37" s="50" t="str">
        <f>Dashboard!C36</f>
        <v>Ksh.</v>
      </c>
      <c r="E37" s="52">
        <v>15577990.9</v>
      </c>
      <c r="F37" s="52">
        <v>8917003.0500000007</v>
      </c>
      <c r="G37" s="52">
        <v>11509367.17</v>
      </c>
      <c r="H37" s="60">
        <v>11550708.949999999</v>
      </c>
      <c r="I37" s="60">
        <v>15277870</v>
      </c>
      <c r="J37" s="52">
        <v>9681321.25</v>
      </c>
      <c r="K37" s="52">
        <v>14304089.75</v>
      </c>
      <c r="L37" s="52">
        <v>12007999.1</v>
      </c>
      <c r="M37" s="52">
        <v>10866767.5</v>
      </c>
      <c r="N37" s="52">
        <v>16977534.75</v>
      </c>
      <c r="O37" s="52">
        <v>15080179.9</v>
      </c>
      <c r="P37" s="52">
        <v>19747968</v>
      </c>
    </row>
    <row r="38" spans="1:16" x14ac:dyDescent="0.35">
      <c r="A38" s="50" t="str">
        <f>Dashboard!A37</f>
        <v>15a</v>
      </c>
      <c r="B38" s="50" t="str">
        <f>Dashboard!B37</f>
        <v>Collection Efficiency-Central</v>
      </c>
      <c r="C38" s="50" t="str">
        <f>Dashboard!C37</f>
        <v>%</v>
      </c>
      <c r="E38" s="70">
        <f>E37/D36</f>
        <v>1.2607233697930083</v>
      </c>
      <c r="F38" s="70">
        <f>F37/E36</f>
        <v>0.8337639725427789</v>
      </c>
      <c r="G38" s="70">
        <f>G37/F36</f>
        <v>0.84968064665418941</v>
      </c>
      <c r="H38" s="70">
        <f t="shared" ref="H38:P38" si="3">H37/G36</f>
        <v>1.0112813106910752</v>
      </c>
      <c r="I38" s="70">
        <f t="shared" si="3"/>
        <v>1.3006844733628655</v>
      </c>
      <c r="J38" s="70">
        <f t="shared" si="3"/>
        <v>0.80833017935550977</v>
      </c>
      <c r="K38" s="70">
        <f t="shared" si="3"/>
        <v>1.6029566464134037</v>
      </c>
      <c r="L38" s="70">
        <f t="shared" si="3"/>
        <v>0.82258194063822732</v>
      </c>
      <c r="M38" s="70">
        <f t="shared" si="3"/>
        <v>0.87566976380532857</v>
      </c>
      <c r="N38" s="70">
        <f t="shared" si="3"/>
        <v>1.2702673585401574</v>
      </c>
      <c r="O38" s="70">
        <f t="shared" si="3"/>
        <v>0.94563058353552631</v>
      </c>
      <c r="P38" s="70">
        <f t="shared" si="3"/>
        <v>1.1121254363288853</v>
      </c>
    </row>
    <row r="39" spans="1:16" x14ac:dyDescent="0.35">
      <c r="A39" s="50" t="str">
        <f>Dashboard!A38</f>
        <v>SOUTHERN REGION: HELLSGATE,KAMERE, MAI MAHIU,LONGONOT</v>
      </c>
      <c r="E39"/>
      <c r="F39" s="57"/>
      <c r="G39"/>
      <c r="H39" s="52"/>
      <c r="I39"/>
      <c r="J39"/>
      <c r="K39" s="52"/>
      <c r="L39"/>
      <c r="M39"/>
      <c r="N39"/>
      <c r="O39"/>
      <c r="P39"/>
    </row>
    <row r="40" spans="1:16" x14ac:dyDescent="0.35">
      <c r="A40" s="50" t="str">
        <f>Dashboard!A39</f>
        <v>16b</v>
      </c>
      <c r="B40" s="50" t="str">
        <f>Dashboard!B39</f>
        <v>Amount Billed Water-Southern</v>
      </c>
      <c r="C40" s="50" t="str">
        <f>Dashboard!C39</f>
        <v>Ksh.</v>
      </c>
      <c r="E40" s="52">
        <v>3209469</v>
      </c>
      <c r="F40" s="52">
        <v>3501347</v>
      </c>
      <c r="G40" s="52">
        <v>3856856</v>
      </c>
      <c r="H40" s="60">
        <v>3641147</v>
      </c>
      <c r="I40" s="60">
        <v>4692660</v>
      </c>
      <c r="J40" s="60">
        <v>2552870</v>
      </c>
      <c r="K40" s="52">
        <v>4084599</v>
      </c>
      <c r="L40" s="52">
        <v>3854228</v>
      </c>
      <c r="M40" s="52">
        <v>4053585</v>
      </c>
      <c r="N40" s="52">
        <v>2884277</v>
      </c>
      <c r="O40" s="52">
        <v>5352660</v>
      </c>
      <c r="P40" s="52">
        <v>5996360</v>
      </c>
    </row>
    <row r="41" spans="1:16" x14ac:dyDescent="0.35">
      <c r="A41" s="50" t="str">
        <f>Dashboard!A40</f>
        <v>17b</v>
      </c>
      <c r="B41" s="50" t="str">
        <f>Dashboard!B40</f>
        <v>Amount Billed Sewer-Southern</v>
      </c>
      <c r="C41" s="50" t="str">
        <f>Dashboard!C40</f>
        <v>Ksh.</v>
      </c>
      <c r="E41" s="52">
        <v>0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x14ac:dyDescent="0.35">
      <c r="A42" s="50" t="str">
        <f>Dashboard!A41</f>
        <v>18b</v>
      </c>
      <c r="B42" s="50" t="str">
        <f>Dashboard!B41</f>
        <v>othersales</v>
      </c>
      <c r="C42" s="50" t="str">
        <f>Dashboard!C41</f>
        <v>Ksh.</v>
      </c>
      <c r="E42" s="52">
        <v>467850</v>
      </c>
      <c r="F42" s="52">
        <v>324100</v>
      </c>
      <c r="G42" s="52">
        <v>254600</v>
      </c>
      <c r="H42" s="60">
        <v>227600</v>
      </c>
      <c r="I42" s="52">
        <v>234950</v>
      </c>
      <c r="J42" s="52">
        <v>338950</v>
      </c>
      <c r="K42" s="52">
        <v>495150</v>
      </c>
      <c r="L42" s="52">
        <v>284992</v>
      </c>
      <c r="M42" s="52">
        <v>370600</v>
      </c>
      <c r="N42" s="52">
        <v>539558</v>
      </c>
      <c r="O42" s="52">
        <v>443033</v>
      </c>
      <c r="P42" s="52">
        <v>469818</v>
      </c>
    </row>
    <row r="43" spans="1:16" x14ac:dyDescent="0.35">
      <c r="A43" s="50" t="str">
        <f>Dashboard!A42</f>
        <v>19b</v>
      </c>
      <c r="B43" s="50" t="str">
        <f>Dashboard!B42</f>
        <v>Amount Billed Water &amp; Sewer-OTHER SALES-Southern</v>
      </c>
      <c r="C43" s="50" t="str">
        <f>Dashboard!C42</f>
        <v>Ksh.</v>
      </c>
      <c r="D43" s="50">
        <v>2754668</v>
      </c>
      <c r="E43" s="55">
        <f>E40+E41+E42</f>
        <v>3677319</v>
      </c>
      <c r="F43" s="55">
        <f>F40+F41+F42</f>
        <v>3825447</v>
      </c>
      <c r="G43" s="55">
        <f t="shared" ref="G43:P43" si="4">G40+G41+G42</f>
        <v>4111456</v>
      </c>
      <c r="H43" s="55">
        <f t="shared" si="4"/>
        <v>3868747</v>
      </c>
      <c r="I43" s="55">
        <f t="shared" si="4"/>
        <v>4927610</v>
      </c>
      <c r="J43" s="55">
        <f t="shared" si="4"/>
        <v>2891820</v>
      </c>
      <c r="K43" s="55">
        <f t="shared" si="4"/>
        <v>4579749</v>
      </c>
      <c r="L43" s="55">
        <f t="shared" si="4"/>
        <v>4139220</v>
      </c>
      <c r="M43" s="55">
        <f t="shared" si="4"/>
        <v>4424185</v>
      </c>
      <c r="N43" s="55">
        <f t="shared" si="4"/>
        <v>3423835</v>
      </c>
      <c r="O43" s="55">
        <f t="shared" si="4"/>
        <v>5795693</v>
      </c>
      <c r="P43" s="55">
        <f t="shared" si="4"/>
        <v>6466178</v>
      </c>
    </row>
    <row r="44" spans="1:16" x14ac:dyDescent="0.35">
      <c r="A44" s="50" t="str">
        <f>Dashboard!A43</f>
        <v>14b</v>
      </c>
      <c r="B44" s="50" t="str">
        <f>Dashboard!B43</f>
        <v>Amount Collected-Southern</v>
      </c>
      <c r="C44" s="50" t="str">
        <f>Dashboard!C43</f>
        <v>Ksh.</v>
      </c>
      <c r="E44" s="52">
        <v>3822073</v>
      </c>
      <c r="F44" s="52">
        <v>3616206</v>
      </c>
      <c r="G44" s="52">
        <v>3523424</v>
      </c>
      <c r="H44" s="60">
        <v>3774178</v>
      </c>
      <c r="I44" s="60">
        <v>3221254</v>
      </c>
      <c r="J44" s="52">
        <v>3119877</v>
      </c>
      <c r="K44" s="52">
        <v>4367599</v>
      </c>
      <c r="L44" s="52">
        <v>3868317.25</v>
      </c>
      <c r="M44" s="52">
        <v>3550532</v>
      </c>
      <c r="N44" s="52">
        <v>3717077.99</v>
      </c>
      <c r="O44" s="52">
        <v>4107749.5</v>
      </c>
      <c r="P44" s="72">
        <v>5385918</v>
      </c>
    </row>
    <row r="45" spans="1:16" x14ac:dyDescent="0.35">
      <c r="A45" s="50" t="str">
        <f>Dashboard!A44</f>
        <v>15b</v>
      </c>
      <c r="B45" s="50" t="str">
        <f>Dashboard!B44</f>
        <v>Collection Efficiency-Southern</v>
      </c>
      <c r="C45" s="50" t="str">
        <f>Dashboard!C44</f>
        <v>%</v>
      </c>
      <c r="E45" s="70">
        <f>E44/D43</f>
        <v>1.3874895268685736</v>
      </c>
      <c r="F45" s="70">
        <f>F44/E43</f>
        <v>0.98338109911052052</v>
      </c>
      <c r="G45" s="70">
        <f>G44/F43</f>
        <v>0.92104896499677036</v>
      </c>
      <c r="H45" s="70">
        <f t="shared" ref="H45:P45" si="5">H44/G43</f>
        <v>0.91796628736875696</v>
      </c>
      <c r="I45" s="70">
        <f t="shared" si="5"/>
        <v>0.8326349590707276</v>
      </c>
      <c r="J45" s="70">
        <f t="shared" si="5"/>
        <v>0.63314203031489913</v>
      </c>
      <c r="K45" s="70">
        <f t="shared" si="5"/>
        <v>1.5103287894820563</v>
      </c>
      <c r="L45" s="70">
        <f t="shared" si="5"/>
        <v>0.84465704343185621</v>
      </c>
      <c r="M45" s="70">
        <f t="shared" si="5"/>
        <v>0.85777803547528275</v>
      </c>
      <c r="N45" s="70">
        <f t="shared" si="5"/>
        <v>0.84017236847012511</v>
      </c>
      <c r="O45" s="70">
        <f t="shared" si="5"/>
        <v>1.1997510101976292</v>
      </c>
      <c r="P45" s="70">
        <f t="shared" si="5"/>
        <v>0.92929663458709766</v>
      </c>
    </row>
    <row r="46" spans="1:16" x14ac:dyDescent="0.35">
      <c r="A46" s="50" t="str">
        <f>Dashboard!A45</f>
        <v>EASTERN REGION: KAYOLE,GONDI,KINUNGI,NJONJORO,IHINDU</v>
      </c>
      <c r="B46" s="50">
        <f>Dashboard!B45</f>
        <v>0</v>
      </c>
      <c r="C46" s="50">
        <f>Dashboard!C45</f>
        <v>0</v>
      </c>
      <c r="E46" s="56"/>
      <c r="F46" s="56"/>
      <c r="G46" s="56"/>
      <c r="H46" s="52"/>
      <c r="I46" s="56"/>
      <c r="J46" s="56"/>
      <c r="K46" s="52"/>
      <c r="L46" s="56"/>
      <c r="M46" s="56"/>
      <c r="N46" s="56"/>
      <c r="O46" s="56"/>
      <c r="P46" s="56"/>
    </row>
    <row r="47" spans="1:16" x14ac:dyDescent="0.35">
      <c r="A47" s="50" t="str">
        <f>Dashboard!A46</f>
        <v>16c</v>
      </c>
      <c r="B47" s="50" t="str">
        <f>Dashboard!B46</f>
        <v>Amount Billed Water-Eastern</v>
      </c>
      <c r="C47" s="50" t="str">
        <f>Dashboard!C46</f>
        <v>Ksh.</v>
      </c>
      <c r="E47">
        <v>2130898</v>
      </c>
      <c r="F47" s="57">
        <v>2494851</v>
      </c>
      <c r="G47" s="52">
        <v>2586807</v>
      </c>
      <c r="H47" s="60">
        <v>2312515</v>
      </c>
      <c r="I47" s="60">
        <v>2408145</v>
      </c>
      <c r="J47" s="60">
        <v>1739352</v>
      </c>
      <c r="K47" s="52">
        <v>2146405</v>
      </c>
      <c r="L47" s="52">
        <v>2060613</v>
      </c>
      <c r="M47" s="52">
        <v>2172698</v>
      </c>
      <c r="N47" s="52">
        <v>1949510</v>
      </c>
      <c r="O47" s="52">
        <v>3454620</v>
      </c>
      <c r="P47" s="52">
        <v>3809030</v>
      </c>
    </row>
    <row r="48" spans="1:16" x14ac:dyDescent="0.35">
      <c r="A48" s="50" t="str">
        <f>Dashboard!A47</f>
        <v>17c</v>
      </c>
      <c r="B48" s="50" t="str">
        <f>Dashboard!B47</f>
        <v>Amount Billed Sewer-Eastern</v>
      </c>
      <c r="C48" s="50" t="str">
        <f>Dashboard!C47</f>
        <v>Ksh.</v>
      </c>
      <c r="E48" s="52">
        <v>52477.5</v>
      </c>
      <c r="F48" s="52">
        <v>64442.5</v>
      </c>
      <c r="G48" s="52">
        <v>60608.25</v>
      </c>
      <c r="H48" s="60">
        <v>59066.5</v>
      </c>
      <c r="I48" s="60">
        <v>69893.5</v>
      </c>
      <c r="J48" s="60">
        <v>49893.5</v>
      </c>
      <c r="K48" s="52">
        <v>68763.5</v>
      </c>
      <c r="L48" s="52">
        <v>74154.25</v>
      </c>
      <c r="M48" s="52">
        <v>78705.5</v>
      </c>
      <c r="N48" s="52">
        <v>75535.25</v>
      </c>
      <c r="O48" s="52">
        <v>110252.5</v>
      </c>
      <c r="P48" s="52">
        <v>110152.5</v>
      </c>
    </row>
    <row r="49" spans="1:16" x14ac:dyDescent="0.35">
      <c r="A49" s="50" t="str">
        <f>Dashboard!A48</f>
        <v>18c</v>
      </c>
      <c r="B49" s="50" t="str">
        <f>Dashboard!B48</f>
        <v>othersales</v>
      </c>
      <c r="C49" s="50" t="str">
        <f>Dashboard!C48</f>
        <v>Ksh.</v>
      </c>
      <c r="E49" s="52">
        <v>603155</v>
      </c>
      <c r="F49" s="52">
        <v>229252</v>
      </c>
      <c r="G49" s="52">
        <v>246550</v>
      </c>
      <c r="H49" s="60">
        <v>226700</v>
      </c>
      <c r="I49" s="60">
        <v>234700</v>
      </c>
      <c r="J49" s="60">
        <v>177600</v>
      </c>
      <c r="K49" s="52">
        <v>282050</v>
      </c>
      <c r="L49" s="52">
        <v>275450</v>
      </c>
      <c r="M49" s="52">
        <f>246400+60050</f>
        <v>306450</v>
      </c>
      <c r="N49" s="52">
        <v>343791</v>
      </c>
      <c r="O49" s="52">
        <v>226231</v>
      </c>
      <c r="P49" s="52">
        <v>311951.5</v>
      </c>
    </row>
    <row r="50" spans="1:16" x14ac:dyDescent="0.35">
      <c r="A50" s="50" t="str">
        <f>Dashboard!A49</f>
        <v>19b</v>
      </c>
      <c r="B50" s="50" t="str">
        <f>Dashboard!B49</f>
        <v>Amount Billed Water &amp; Sewer-othersales-Eastern</v>
      </c>
      <c r="C50" s="50" t="str">
        <f>Dashboard!C49</f>
        <v>Ksh.</v>
      </c>
      <c r="D50" s="50">
        <v>2693115</v>
      </c>
      <c r="E50" s="55">
        <f>E47+E48+E49</f>
        <v>2786530.5</v>
      </c>
      <c r="F50" s="55">
        <f>F47+F48+F49</f>
        <v>2788545.5</v>
      </c>
      <c r="G50" s="55">
        <f t="shared" ref="G50:P50" si="6">G47+G48+G49</f>
        <v>2893965.25</v>
      </c>
      <c r="H50" s="55">
        <f t="shared" si="6"/>
        <v>2598281.5</v>
      </c>
      <c r="I50" s="55">
        <f t="shared" si="6"/>
        <v>2712738.5</v>
      </c>
      <c r="J50" s="55">
        <f t="shared" si="6"/>
        <v>1966845.5</v>
      </c>
      <c r="K50" s="55">
        <f t="shared" si="6"/>
        <v>2497218.5</v>
      </c>
      <c r="L50" s="55">
        <f t="shared" si="6"/>
        <v>2410217.25</v>
      </c>
      <c r="M50" s="55">
        <f t="shared" si="6"/>
        <v>2557853.5</v>
      </c>
      <c r="N50" s="55">
        <f t="shared" si="6"/>
        <v>2368836.25</v>
      </c>
      <c r="O50" s="55">
        <f t="shared" si="6"/>
        <v>3791103.5</v>
      </c>
      <c r="P50" s="55">
        <f t="shared" si="6"/>
        <v>4231134</v>
      </c>
    </row>
    <row r="51" spans="1:16" x14ac:dyDescent="0.35">
      <c r="A51" s="50" t="str">
        <f>Dashboard!A50</f>
        <v>14c</v>
      </c>
      <c r="B51" s="50" t="str">
        <f>Dashboard!B50</f>
        <v>Amount Collected-Eastern</v>
      </c>
      <c r="C51" s="50" t="str">
        <f>Dashboard!C50</f>
        <v>Ksh.</v>
      </c>
      <c r="E51" s="52">
        <v>3402918</v>
      </c>
      <c r="F51" s="52">
        <v>2531691</v>
      </c>
      <c r="G51" s="52">
        <v>2755626</v>
      </c>
      <c r="H51" s="60">
        <v>2723004</v>
      </c>
      <c r="I51" s="60">
        <v>2384617</v>
      </c>
      <c r="J51" s="52">
        <v>2229016</v>
      </c>
      <c r="K51" s="52">
        <v>2599343</v>
      </c>
      <c r="L51" s="52">
        <v>2201703</v>
      </c>
      <c r="M51" s="52">
        <v>2184630</v>
      </c>
      <c r="N51" s="52">
        <v>2640748</v>
      </c>
      <c r="O51" s="52">
        <v>2851466</v>
      </c>
      <c r="P51" s="52">
        <v>3794048</v>
      </c>
    </row>
    <row r="52" spans="1:16" x14ac:dyDescent="0.35">
      <c r="A52" s="50" t="str">
        <f>Dashboard!A51</f>
        <v>15c</v>
      </c>
      <c r="B52" s="50" t="str">
        <f>Dashboard!B51</f>
        <v>Collection Efficiency-Eastern</v>
      </c>
      <c r="C52" s="50" t="str">
        <f>Dashboard!C51</f>
        <v>%</v>
      </c>
      <c r="E52" s="56">
        <f>E51/D50</f>
        <v>1.2635620833124468</v>
      </c>
      <c r="F52" s="56">
        <f>F51/F50</f>
        <v>0.90788943554982338</v>
      </c>
      <c r="G52" s="56">
        <f>G51/F50</f>
        <v>0.98819474166729571</v>
      </c>
      <c r="H52" s="56">
        <f t="shared" ref="H52:P53" si="7">H51/G50</f>
        <v>0.94092491262636968</v>
      </c>
      <c r="I52" s="56">
        <f t="shared" si="7"/>
        <v>0.91776699329922484</v>
      </c>
      <c r="J52" s="56">
        <f>J51/I50</f>
        <v>0.82168480301363367</v>
      </c>
      <c r="K52" s="56">
        <f t="shared" si="7"/>
        <v>1.3215796563583668</v>
      </c>
      <c r="L52" s="56">
        <f t="shared" si="7"/>
        <v>0.88166213729395326</v>
      </c>
      <c r="M52" s="56">
        <f t="shared" si="7"/>
        <v>0.90640376920379273</v>
      </c>
      <c r="N52" s="56">
        <f t="shared" si="7"/>
        <v>1.032407837274496</v>
      </c>
      <c r="O52" s="56">
        <f t="shared" si="7"/>
        <v>1.2037412885757721</v>
      </c>
      <c r="P52" s="56">
        <f t="shared" si="7"/>
        <v>1.0007766867878969</v>
      </c>
    </row>
    <row r="53" spans="1:16" hidden="1" x14ac:dyDescent="0.35">
      <c r="A53" s="50">
        <f>Dashboard!A52</f>
        <v>19</v>
      </c>
      <c r="B53" s="50">
        <f>Dashboard!B59</f>
        <v>0</v>
      </c>
      <c r="C53" s="50">
        <f>Dashboard!C59</f>
        <v>0</v>
      </c>
      <c r="E53" s="56" t="e">
        <f>E52/ACTUAL2122!O47</f>
        <v>#DIV/0!</v>
      </c>
      <c r="F53" s="56">
        <f>F52/E51</f>
        <v>2.6679732968876223E-7</v>
      </c>
      <c r="G53" s="56">
        <f t="shared" ref="G53" si="8">G52/F51</f>
        <v>3.9032991848819453E-7</v>
      </c>
      <c r="H53" s="52">
        <f t="shared" si="7"/>
        <v>3.4145595687744623E-7</v>
      </c>
      <c r="I53" s="56">
        <f t="shared" si="7"/>
        <v>3.3704210250856219E-7</v>
      </c>
      <c r="J53" s="56">
        <f t="shared" si="7"/>
        <v>3.4457726461466715E-7</v>
      </c>
      <c r="K53" s="52">
        <f t="shared" si="7"/>
        <v>5.9289823687150153E-7</v>
      </c>
      <c r="L53" s="56">
        <f t="shared" si="7"/>
        <v>3.3918653186361062E-7</v>
      </c>
      <c r="M53" s="56">
        <f t="shared" si="7"/>
        <v>4.1168303318103882E-7</v>
      </c>
      <c r="N53" s="56">
        <f t="shared" si="7"/>
        <v>4.7257789066088812E-7</v>
      </c>
      <c r="O53" s="56">
        <f t="shared" si="7"/>
        <v>4.5583345649633062E-7</v>
      </c>
      <c r="P53" s="56">
        <f t="shared" si="7"/>
        <v>3.5096918104157541E-7</v>
      </c>
    </row>
    <row r="54" spans="1:16" x14ac:dyDescent="0.35">
      <c r="A54" s="50">
        <f>Dashboard!A53</f>
        <v>0</v>
      </c>
      <c r="B54" s="50" t="str">
        <f>Dashboard!B53</f>
        <v>AMOUNT RECEIVABLES</v>
      </c>
      <c r="C54" s="50">
        <f>Dashboard!C62</f>
        <v>0</v>
      </c>
      <c r="E54"/>
      <c r="F54"/>
      <c r="G54"/>
      <c r="H54" s="52"/>
      <c r="I54"/>
      <c r="J54"/>
      <c r="K54" s="52"/>
      <c r="L54"/>
      <c r="M54"/>
      <c r="N54"/>
      <c r="O54"/>
      <c r="P54"/>
    </row>
    <row r="55" spans="1:16" x14ac:dyDescent="0.35">
      <c r="A55" s="50">
        <f>Dashboard!A54</f>
        <v>20</v>
      </c>
      <c r="B55" s="50" t="str">
        <f>Dashboard!B54</f>
        <v>Amount receivables as at close of the month</v>
      </c>
      <c r="C55" s="50">
        <f>Dashboard!C63</f>
        <v>0</v>
      </c>
      <c r="E55" s="52">
        <v>173130367.5</v>
      </c>
      <c r="F55" s="52">
        <v>178136205.59999999</v>
      </c>
      <c r="G55" s="52">
        <v>178607959.30000001</v>
      </c>
      <c r="H55" s="52">
        <v>178920672.69999999</v>
      </c>
      <c r="I55" s="52">
        <v>178826151.40000001</v>
      </c>
      <c r="J55" s="52">
        <v>176260483.80000001</v>
      </c>
      <c r="K55" s="52">
        <v>176746489.69999999</v>
      </c>
      <c r="L55" s="52">
        <v>176654248.40000001</v>
      </c>
      <c r="M55" s="52">
        <v>183336585.40000001</v>
      </c>
      <c r="N55" s="52">
        <v>177570277.19999999</v>
      </c>
      <c r="O55" s="52">
        <v>187035966.90000001</v>
      </c>
      <c r="P55" s="52">
        <v>187225998.19999999</v>
      </c>
    </row>
    <row r="56" spans="1:16" x14ac:dyDescent="0.35">
      <c r="A56" s="50">
        <f>Dashboard!A55</f>
        <v>21</v>
      </c>
      <c r="B56" s="50" t="str">
        <f>Dashboard!B55</f>
        <v>Adjustment done for the month</v>
      </c>
      <c r="C56" s="50" t="str">
        <f>Dashboard!C55</f>
        <v>Ksh.</v>
      </c>
      <c r="E56" s="60">
        <v>-148115</v>
      </c>
      <c r="F56" s="52">
        <v>-141982</v>
      </c>
      <c r="G56" s="52">
        <v>-89777.5</v>
      </c>
      <c r="H56" s="52">
        <v>-123502</v>
      </c>
      <c r="I56" s="52">
        <v>-140220.70000000001</v>
      </c>
      <c r="J56" s="52">
        <v>-348511</v>
      </c>
      <c r="K56" s="60">
        <v>-198423</v>
      </c>
      <c r="L56" s="52">
        <v>-664.5</v>
      </c>
      <c r="M56" s="60">
        <v>-55634.8</v>
      </c>
      <c r="N56" s="52">
        <v>-986702.55</v>
      </c>
      <c r="O56" s="52">
        <v>-25274.5</v>
      </c>
      <c r="P56" s="52">
        <v>-46950</v>
      </c>
    </row>
    <row r="57" spans="1:16" x14ac:dyDescent="0.35">
      <c r="A57" s="50">
        <f>Dashboard!A56</f>
        <v>0</v>
      </c>
      <c r="B57" s="50">
        <f>Dashboard!B56</f>
        <v>0</v>
      </c>
      <c r="C57" s="50">
        <f>Dashboard!C65</f>
        <v>0</v>
      </c>
      <c r="E57"/>
      <c r="F57" s="52"/>
      <c r="G57"/>
      <c r="H57" s="52"/>
      <c r="I57"/>
      <c r="J57"/>
      <c r="K57" s="52"/>
      <c r="L57" s="57"/>
      <c r="M57"/>
      <c r="N57"/>
      <c r="O57"/>
      <c r="P57"/>
    </row>
    <row r="58" spans="1:16" x14ac:dyDescent="0.35">
      <c r="A58" s="50">
        <f>Dashboard!A57</f>
        <v>0</v>
      </c>
      <c r="B58" s="50">
        <f>Dashboard!B57</f>
        <v>0</v>
      </c>
      <c r="C58" s="50">
        <f>Dashboard!C66</f>
        <v>0</v>
      </c>
      <c r="E58" s="57"/>
      <c r="F58" s="57"/>
      <c r="G58"/>
      <c r="H58" s="52"/>
      <c r="I58"/>
      <c r="J58"/>
      <c r="K58" s="52"/>
      <c r="L58"/>
      <c r="M58" s="57"/>
      <c r="N58"/>
      <c r="O58"/>
      <c r="P58"/>
    </row>
    <row r="59" spans="1:16" x14ac:dyDescent="0.35">
      <c r="A59" s="50">
        <f>Dashboard!A58</f>
        <v>0</v>
      </c>
      <c r="B59" s="50">
        <f>Dashboard!B58</f>
        <v>0</v>
      </c>
      <c r="C59" s="50">
        <f>Dashboard!C67</f>
        <v>0</v>
      </c>
      <c r="E59"/>
      <c r="F59"/>
      <c r="G59"/>
      <c r="H59" s="52"/>
      <c r="I59"/>
      <c r="J59"/>
      <c r="K59" s="52"/>
      <c r="L59"/>
      <c r="M59"/>
      <c r="N59"/>
      <c r="O59"/>
      <c r="P59"/>
    </row>
    <row r="60" spans="1:16" x14ac:dyDescent="0.35">
      <c r="A60" s="50">
        <f>Dashboard!A59</f>
        <v>0</v>
      </c>
      <c r="B60" s="50">
        <f>Dashboard!B68</f>
        <v>0</v>
      </c>
      <c r="C60" s="50">
        <f>Dashboard!C68</f>
        <v>0</v>
      </c>
      <c r="E60"/>
      <c r="F60"/>
      <c r="G60"/>
      <c r="H60" s="52"/>
      <c r="I60"/>
      <c r="J60"/>
      <c r="K60" s="52"/>
      <c r="L60"/>
      <c r="M60"/>
      <c r="N60"/>
      <c r="O60"/>
      <c r="P60"/>
    </row>
    <row r="61" spans="1:16" x14ac:dyDescent="0.35">
      <c r="A61" s="50">
        <f>Dashboard!A69</f>
        <v>0</v>
      </c>
      <c r="B61" s="50">
        <f>Dashboard!B69</f>
        <v>0</v>
      </c>
      <c r="C61" s="50">
        <f>Dashboard!C69</f>
        <v>0</v>
      </c>
      <c r="E61"/>
      <c r="F61"/>
      <c r="G61"/>
      <c r="H61" s="52"/>
      <c r="I61"/>
      <c r="J61"/>
      <c r="K61" s="52"/>
      <c r="L61"/>
      <c r="M61"/>
      <c r="N61"/>
      <c r="O61"/>
      <c r="P61"/>
    </row>
    <row r="62" spans="1:16" x14ac:dyDescent="0.35">
      <c r="A62" s="50">
        <f>Dashboard!A70</f>
        <v>0</v>
      </c>
      <c r="B62" s="50">
        <f>Dashboard!B70</f>
        <v>0</v>
      </c>
      <c r="C62" s="50">
        <f>Dashboard!C70</f>
        <v>0</v>
      </c>
      <c r="E62"/>
      <c r="F62"/>
      <c r="G62"/>
      <c r="H62" s="52"/>
      <c r="I62"/>
      <c r="J62"/>
      <c r="K62" s="52"/>
      <c r="L62"/>
      <c r="M62"/>
      <c r="N62"/>
      <c r="O62"/>
      <c r="P62"/>
    </row>
    <row r="63" spans="1:16" x14ac:dyDescent="0.35">
      <c r="A63" s="50">
        <f>Dashboard!A71</f>
        <v>0</v>
      </c>
      <c r="B63" s="50">
        <f>Dashboard!B71</f>
        <v>0</v>
      </c>
      <c r="C63" s="50">
        <f>Dashboard!C71</f>
        <v>0</v>
      </c>
      <c r="E63"/>
      <c r="F63"/>
      <c r="G63"/>
      <c r="H63" s="52"/>
      <c r="I63"/>
      <c r="J63"/>
      <c r="K63" s="52"/>
      <c r="L63"/>
      <c r="M63"/>
      <c r="N63"/>
      <c r="O63"/>
      <c r="P63"/>
    </row>
    <row r="64" spans="1:16" x14ac:dyDescent="0.35">
      <c r="A64" s="50">
        <f>Dashboard!A72</f>
        <v>0</v>
      </c>
      <c r="B64" s="50">
        <f>Dashboard!B72</f>
        <v>0</v>
      </c>
      <c r="C64" s="50">
        <f>Dashboard!C72</f>
        <v>0</v>
      </c>
      <c r="E64"/>
      <c r="F64"/>
      <c r="G64"/>
      <c r="H64" s="52"/>
      <c r="I64"/>
      <c r="J64"/>
      <c r="K64" s="52"/>
      <c r="L64"/>
      <c r="M64"/>
      <c r="N64"/>
      <c r="O64"/>
      <c r="P6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3"/>
  <sheetViews>
    <sheetView workbookViewId="0">
      <pane xSplit="2" ySplit="5" topLeftCell="L30" activePane="bottomRight" state="frozen"/>
      <selection pane="topRight" activeCell="C1" sqref="C1"/>
      <selection pane="bottomLeft" activeCell="A6" sqref="A6"/>
      <selection pane="bottomRight" activeCell="O49" sqref="O49"/>
    </sheetView>
  </sheetViews>
  <sheetFormatPr defaultColWidth="9.1796875" defaultRowHeight="14.5" x14ac:dyDescent="0.35"/>
  <cols>
    <col min="1" max="1" width="9.1796875" style="50"/>
    <col min="2" max="2" width="32.1796875" style="50" customWidth="1"/>
    <col min="3" max="3" width="5.54296875" style="50" customWidth="1"/>
    <col min="4" max="5" width="18.1796875" style="50" customWidth="1"/>
    <col min="6" max="7" width="18.54296875" style="50" customWidth="1"/>
    <col min="8" max="8" width="16.54296875" style="50" hidden="1" customWidth="1"/>
    <col min="9" max="9" width="17.81640625" style="50" hidden="1" customWidth="1"/>
    <col min="10" max="10" width="15.453125" style="50" hidden="1" customWidth="1"/>
    <col min="11" max="11" width="15.81640625" style="50" hidden="1" customWidth="1"/>
    <col min="12" max="12" width="14.54296875" style="50" customWidth="1"/>
    <col min="13" max="13" width="18.81640625" style="50" customWidth="1"/>
    <col min="14" max="14" width="17.453125" style="50" customWidth="1"/>
    <col min="15" max="15" width="15.453125" style="50" bestFit="1" customWidth="1"/>
    <col min="16" max="16384" width="9.1796875" style="50"/>
  </cols>
  <sheetData>
    <row r="1" spans="1:15" x14ac:dyDescent="0.35">
      <c r="A1" s="50" t="str">
        <f>Dashboard!A1</f>
        <v>FINANCE DASHBOARD</v>
      </c>
    </row>
    <row r="2" spans="1:15" x14ac:dyDescent="0.35">
      <c r="D2" s="67"/>
      <c r="E2" s="67"/>
      <c r="F2" s="67"/>
      <c r="G2" s="67"/>
      <c r="H2" s="67"/>
      <c r="I2" s="67"/>
      <c r="J2" s="67"/>
      <c r="K2" s="67"/>
    </row>
    <row r="4" spans="1:15" x14ac:dyDescent="0.35">
      <c r="B4" s="50" t="s">
        <v>50</v>
      </c>
      <c r="C4" s="50" t="s">
        <v>51</v>
      </c>
      <c r="D4" s="50" t="s">
        <v>52</v>
      </c>
      <c r="E4" s="50" t="s">
        <v>53</v>
      </c>
      <c r="F4" s="50" t="s">
        <v>54</v>
      </c>
      <c r="G4" s="50" t="s">
        <v>55</v>
      </c>
      <c r="H4" s="50" t="s">
        <v>56</v>
      </c>
      <c r="I4" s="50" t="s">
        <v>57</v>
      </c>
      <c r="J4" s="50" t="s">
        <v>58</v>
      </c>
      <c r="K4" s="50" t="s">
        <v>59</v>
      </c>
      <c r="L4" s="50" t="s">
        <v>60</v>
      </c>
      <c r="M4" s="50" t="s">
        <v>61</v>
      </c>
      <c r="N4" s="50" t="s">
        <v>62</v>
      </c>
      <c r="O4" s="50" t="s">
        <v>63</v>
      </c>
    </row>
    <row r="5" spans="1:15" x14ac:dyDescent="0.35">
      <c r="A5" s="50" t="str">
        <f>Dashboard!A5</f>
        <v>BILLING DASHBOARD - SUMMARY</v>
      </c>
    </row>
    <row r="6" spans="1:15" x14ac:dyDescent="0.35">
      <c r="A6" s="50">
        <f>Dashboard!A6</f>
        <v>1</v>
      </c>
      <c r="B6" s="50" t="str">
        <f>Dashboard!B6</f>
        <v>Total Water Sales (Ksh)</v>
      </c>
      <c r="C6" s="50" t="str">
        <f>Dashboard!C6</f>
        <v>Ksh</v>
      </c>
      <c r="D6" s="57">
        <v>12199740</v>
      </c>
      <c r="E6" s="57">
        <v>12735676</v>
      </c>
      <c r="F6" s="57">
        <v>11968928</v>
      </c>
      <c r="G6">
        <v>9537854</v>
      </c>
      <c r="H6" s="60">
        <v>10102428</v>
      </c>
      <c r="I6" s="60">
        <v>10986262</v>
      </c>
      <c r="J6">
        <v>11599157</v>
      </c>
      <c r="K6" s="57">
        <v>12676005</v>
      </c>
      <c r="L6" s="57">
        <v>13715682</v>
      </c>
      <c r="M6" s="57">
        <v>12172674</v>
      </c>
      <c r="N6" s="57">
        <v>10015215</v>
      </c>
      <c r="O6" s="57">
        <v>11728511</v>
      </c>
    </row>
    <row r="7" spans="1:15" x14ac:dyDescent="0.35">
      <c r="A7" s="50">
        <f>Dashboard!A7</f>
        <v>2</v>
      </c>
      <c r="B7" s="50" t="str">
        <f>Dashboard!B7</f>
        <v>Total Sewerage Sales (Ksh)</v>
      </c>
      <c r="C7" s="50" t="str">
        <f>Dashboard!C7</f>
        <v>Ksh</v>
      </c>
      <c r="D7" s="57">
        <v>5163189.5999999996</v>
      </c>
      <c r="E7" s="57">
        <v>5115963.4000000004</v>
      </c>
      <c r="F7" s="57">
        <v>5069596.1500000004</v>
      </c>
      <c r="G7" s="52">
        <v>5067979.4000000004</v>
      </c>
      <c r="H7" s="60">
        <v>5605456.4999999991</v>
      </c>
      <c r="I7" s="60">
        <v>5780301.4000000013</v>
      </c>
      <c r="J7">
        <v>5899284.4000000013</v>
      </c>
      <c r="K7" s="57">
        <v>5160014.6500000013</v>
      </c>
      <c r="L7" s="57">
        <v>5301013.9000000013</v>
      </c>
      <c r="M7" s="57">
        <v>5146079.4000000013</v>
      </c>
      <c r="N7" s="57">
        <v>4942473.3000000017</v>
      </c>
      <c r="O7" s="57">
        <v>5141457.9499999993</v>
      </c>
    </row>
    <row r="8" spans="1:15" x14ac:dyDescent="0.35">
      <c r="A8" s="50">
        <f>Dashboard!A8</f>
        <v>3</v>
      </c>
      <c r="B8" s="50" t="str">
        <f>Dashboard!B8</f>
        <v xml:space="preserve">Bulk water </v>
      </c>
      <c r="D8" s="52">
        <v>24880</v>
      </c>
      <c r="E8" s="52">
        <v>40130</v>
      </c>
      <c r="F8" s="52">
        <v>77090</v>
      </c>
      <c r="G8" s="60">
        <v>22080</v>
      </c>
      <c r="H8" s="60">
        <v>14000</v>
      </c>
      <c r="I8" s="52">
        <v>6240</v>
      </c>
      <c r="J8" s="52">
        <v>16480</v>
      </c>
      <c r="K8" s="52">
        <v>41840</v>
      </c>
      <c r="L8" s="52">
        <v>92880</v>
      </c>
      <c r="M8" s="52">
        <v>37120</v>
      </c>
      <c r="N8" s="52">
        <v>5040</v>
      </c>
      <c r="O8" s="52">
        <v>32560</v>
      </c>
    </row>
    <row r="9" spans="1:15" x14ac:dyDescent="0.35">
      <c r="A9" s="50" t="e">
        <f>Dashboard!#REF!</f>
        <v>#REF!</v>
      </c>
      <c r="B9" s="50" t="e">
        <f>Dashboard!#REF!</f>
        <v>#REF!</v>
      </c>
      <c r="D9" s="52">
        <v>392600</v>
      </c>
      <c r="E9" s="52">
        <v>394950</v>
      </c>
      <c r="F9" s="52">
        <v>409650</v>
      </c>
      <c r="G9" s="60">
        <v>414850</v>
      </c>
      <c r="H9" s="60">
        <v>417300</v>
      </c>
      <c r="I9" s="60">
        <v>422000</v>
      </c>
      <c r="J9">
        <v>424700</v>
      </c>
      <c r="K9">
        <v>428050</v>
      </c>
      <c r="L9" s="52">
        <v>434200</v>
      </c>
      <c r="M9" s="52">
        <v>439000</v>
      </c>
      <c r="N9" s="52">
        <v>442900</v>
      </c>
      <c r="O9">
        <v>445100</v>
      </c>
    </row>
    <row r="10" spans="1:15" x14ac:dyDescent="0.35">
      <c r="A10" s="50">
        <f>Dashboard!A10</f>
        <v>5</v>
      </c>
      <c r="B10" s="50" t="str">
        <f>Dashboard!B10</f>
        <v>new connection fee water</v>
      </c>
      <c r="D10" s="52">
        <v>130000</v>
      </c>
      <c r="E10" s="52">
        <v>276000</v>
      </c>
      <c r="F10" s="52">
        <v>307500</v>
      </c>
      <c r="G10" s="60">
        <v>199000</v>
      </c>
      <c r="H10" s="60">
        <v>209000</v>
      </c>
      <c r="I10" s="60">
        <v>140000</v>
      </c>
      <c r="J10">
        <v>207500</v>
      </c>
      <c r="K10" s="52">
        <v>430000</v>
      </c>
      <c r="L10" s="52">
        <v>588500</v>
      </c>
      <c r="M10" s="52">
        <v>305000</v>
      </c>
      <c r="N10" s="52">
        <v>175000</v>
      </c>
      <c r="O10">
        <v>232500</v>
      </c>
    </row>
    <row r="11" spans="1:15" x14ac:dyDescent="0.35">
      <c r="A11" s="50">
        <f>Dashboard!A11</f>
        <v>6</v>
      </c>
      <c r="B11" s="50" t="str">
        <f>Dashboard!B11</f>
        <v>new connection fee sewer</v>
      </c>
      <c r="D11" s="52">
        <v>0</v>
      </c>
      <c r="E11" s="52">
        <v>0</v>
      </c>
      <c r="F11" s="52">
        <v>22500</v>
      </c>
      <c r="G11" s="52">
        <v>20000</v>
      </c>
      <c r="H11" s="60">
        <v>30000</v>
      </c>
      <c r="I11" s="60">
        <v>30000</v>
      </c>
      <c r="J11">
        <v>25000</v>
      </c>
      <c r="K11" s="52">
        <v>5000</v>
      </c>
      <c r="L11" s="52">
        <v>45000</v>
      </c>
      <c r="M11" s="52">
        <v>80000</v>
      </c>
      <c r="N11" s="52">
        <v>27500</v>
      </c>
      <c r="O11">
        <v>5000</v>
      </c>
    </row>
    <row r="12" spans="1:15" x14ac:dyDescent="0.35">
      <c r="A12" s="50">
        <f>Dashboard!A12</f>
        <v>7</v>
      </c>
      <c r="B12" s="50" t="str">
        <f>Dashboard!B12</f>
        <v>reconnection fee (water+sewer)</v>
      </c>
      <c r="D12" s="52">
        <v>385000</v>
      </c>
      <c r="E12" s="52">
        <v>423000</v>
      </c>
      <c r="F12" s="52">
        <v>393500</v>
      </c>
      <c r="G12" s="60">
        <v>328000</v>
      </c>
      <c r="H12" s="52">
        <v>287500</v>
      </c>
      <c r="I12" s="60">
        <v>256000</v>
      </c>
      <c r="J12">
        <v>374500</v>
      </c>
      <c r="K12">
        <v>266500</v>
      </c>
      <c r="L12" s="52">
        <v>350500</v>
      </c>
      <c r="M12" s="52">
        <v>183500</v>
      </c>
      <c r="N12" s="52">
        <v>295800</v>
      </c>
      <c r="O12">
        <v>254500</v>
      </c>
    </row>
    <row r="13" spans="1:15" x14ac:dyDescent="0.35">
      <c r="A13" s="50">
        <f>Dashboard!A13</f>
        <v>8</v>
      </c>
      <c r="B13" s="50" t="str">
        <f>Dashboard!B13</f>
        <v>Prepaid kiosk</v>
      </c>
      <c r="C13" s="50" t="str">
        <f>Dashboard!C8</f>
        <v>Ksh</v>
      </c>
      <c r="D13" s="52">
        <v>86850</v>
      </c>
      <c r="E13" s="52">
        <v>84450</v>
      </c>
      <c r="F13" s="52">
        <v>56450</v>
      </c>
      <c r="G13" s="52">
        <v>97020</v>
      </c>
      <c r="H13" s="52">
        <v>61350</v>
      </c>
      <c r="I13" s="52">
        <v>68250</v>
      </c>
      <c r="J13" s="52">
        <v>83100</v>
      </c>
      <c r="K13" s="52">
        <v>90450</v>
      </c>
      <c r="L13" s="52">
        <v>76200</v>
      </c>
      <c r="M13" s="52">
        <v>61950</v>
      </c>
      <c r="N13" s="52">
        <v>26000</v>
      </c>
      <c r="O13" s="52">
        <v>28100</v>
      </c>
    </row>
    <row r="14" spans="1:15" x14ac:dyDescent="0.35">
      <c r="A14" s="50">
        <f>Dashboard!A14</f>
        <v>9</v>
      </c>
      <c r="B14" s="50" t="str">
        <f>Dashboard!B14</f>
        <v>misc income-printing fee,CA,meter replacement fee,meter testing</v>
      </c>
      <c r="C14" s="50" t="str">
        <f>Dashboard!C10</f>
        <v>Ksh</v>
      </c>
      <c r="D14" s="52">
        <v>4900</v>
      </c>
      <c r="E14" s="52">
        <v>8300</v>
      </c>
      <c r="F14" s="52">
        <v>12500</v>
      </c>
      <c r="G14" s="52">
        <v>19100</v>
      </c>
      <c r="H14" s="52">
        <v>292967.34999999998</v>
      </c>
      <c r="I14" s="52">
        <v>7000</v>
      </c>
      <c r="J14">
        <v>19300</v>
      </c>
      <c r="K14" s="52">
        <v>21200</v>
      </c>
      <c r="L14" s="52">
        <v>136300</v>
      </c>
      <c r="M14" s="52">
        <v>759310</v>
      </c>
      <c r="N14" s="52">
        <v>253900</v>
      </c>
      <c r="O14">
        <v>99600</v>
      </c>
    </row>
    <row r="15" spans="1:15" x14ac:dyDescent="0.35">
      <c r="A15" s="50">
        <f>Dashboard!A15</f>
        <v>10</v>
      </c>
      <c r="B15" s="50" t="str">
        <f>Dashboard!B15</f>
        <v>sewer unblocking fee</v>
      </c>
      <c r="C15" s="50" t="str">
        <f>Dashboard!C11</f>
        <v>Ksh</v>
      </c>
      <c r="D15" s="52">
        <v>2500</v>
      </c>
      <c r="E15" s="52">
        <v>2500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2500</v>
      </c>
      <c r="M15" s="52">
        <v>0</v>
      </c>
      <c r="N15" s="52">
        <v>0</v>
      </c>
      <c r="O15"/>
    </row>
    <row r="16" spans="1:15" ht="14.25" customHeight="1" x14ac:dyDescent="0.35">
      <c r="A16" s="50">
        <f>Dashboard!A16</f>
        <v>11</v>
      </c>
      <c r="B16" s="50" t="str">
        <f>Dashboard!B16</f>
        <v>penalties (water+sewer)</v>
      </c>
      <c r="C16" s="50" t="str">
        <f>Dashboard!C12</f>
        <v>Ksh</v>
      </c>
      <c r="D16" s="52">
        <v>38033</v>
      </c>
      <c r="E16" s="52">
        <v>0</v>
      </c>
      <c r="F16" s="52">
        <v>169318</v>
      </c>
      <c r="G16" s="52">
        <v>0</v>
      </c>
      <c r="H16" s="52">
        <v>0</v>
      </c>
      <c r="I16" s="52">
        <v>0</v>
      </c>
      <c r="J16" s="52">
        <v>40000</v>
      </c>
      <c r="K16">
        <v>69783</v>
      </c>
      <c r="L16" s="52">
        <v>315642</v>
      </c>
      <c r="M16" s="52">
        <v>87169</v>
      </c>
      <c r="N16" s="52">
        <v>0</v>
      </c>
      <c r="O16">
        <v>13000</v>
      </c>
    </row>
    <row r="17" spans="1:15" hidden="1" x14ac:dyDescent="0.35">
      <c r="A17" s="50" t="e">
        <f>Dashboard!#REF!</f>
        <v>#REF!</v>
      </c>
      <c r="B17" s="50" t="e">
        <f>Dashboard!#REF!</f>
        <v>#REF!</v>
      </c>
      <c r="C17" s="50" t="str">
        <f>Dashboard!C13</f>
        <v>Ksh</v>
      </c>
      <c r="D17" s="52"/>
      <c r="E17" s="52"/>
      <c r="F17" s="52"/>
      <c r="G17" s="52"/>
      <c r="H17" s="52"/>
      <c r="I17" s="52"/>
      <c r="J17"/>
      <c r="K17"/>
      <c r="L17" s="52"/>
      <c r="M17" s="52"/>
      <c r="N17" s="52"/>
      <c r="O17"/>
    </row>
    <row r="18" spans="1:15" x14ac:dyDescent="0.35">
      <c r="A18" s="50">
        <f>Dashboard!A17</f>
        <v>12</v>
      </c>
      <c r="B18" s="50" t="str">
        <f>Dashboard!B17</f>
        <v>Company exhauster</v>
      </c>
      <c r="C18" s="50" t="str">
        <f>Dashboard!C14</f>
        <v>Ksh</v>
      </c>
      <c r="D18" s="52">
        <v>155500</v>
      </c>
      <c r="E18" s="52">
        <v>121000</v>
      </c>
      <c r="F18" s="52">
        <v>115000</v>
      </c>
      <c r="G18" s="52">
        <v>112500</v>
      </c>
      <c r="H18" s="52">
        <v>173050</v>
      </c>
      <c r="I18" s="52">
        <v>140500</v>
      </c>
      <c r="J18" s="52">
        <v>288000</v>
      </c>
      <c r="K18" s="52">
        <v>253000</v>
      </c>
      <c r="L18" s="52">
        <v>78000</v>
      </c>
      <c r="M18" s="52">
        <v>107500</v>
      </c>
      <c r="N18" s="52">
        <v>130000</v>
      </c>
      <c r="O18" s="52">
        <v>148500</v>
      </c>
    </row>
    <row r="19" spans="1:15" x14ac:dyDescent="0.35">
      <c r="A19" s="50">
        <f>Dashboard!A18</f>
        <v>12</v>
      </c>
      <c r="B19" s="50" t="str">
        <f>Dashboard!B18</f>
        <v>Customer exhauster</v>
      </c>
      <c r="C19" s="50" t="str">
        <f>Dashboard!C15</f>
        <v>Ksh</v>
      </c>
      <c r="D19" s="52">
        <v>165000</v>
      </c>
      <c r="E19" s="52">
        <v>150000</v>
      </c>
      <c r="F19" s="52">
        <v>165000</v>
      </c>
      <c r="G19" s="52">
        <v>165000</v>
      </c>
      <c r="H19" s="52">
        <v>165000</v>
      </c>
      <c r="I19" s="52">
        <v>150000</v>
      </c>
      <c r="J19" s="57">
        <v>150000</v>
      </c>
      <c r="K19" s="52">
        <v>150000</v>
      </c>
      <c r="L19" s="52">
        <v>135000</v>
      </c>
      <c r="M19" s="52">
        <v>135000</v>
      </c>
      <c r="N19" s="52">
        <v>135000</v>
      </c>
      <c r="O19" s="52">
        <v>135000</v>
      </c>
    </row>
    <row r="20" spans="1:15" x14ac:dyDescent="0.35">
      <c r="A20" s="50">
        <f>Dashboard!A19</f>
        <v>13</v>
      </c>
      <c r="B20" s="50" t="str">
        <f>Dashboard!B19</f>
        <v>Total billed (Ksh)</v>
      </c>
      <c r="C20" s="50" t="str">
        <f>Dashboard!C17</f>
        <v>Ksh</v>
      </c>
      <c r="D20" s="67">
        <f>SUM(D6:D19)-(D13+D8)</f>
        <v>18636462.600000001</v>
      </c>
      <c r="E20" s="67">
        <f>SUM(E6:E19)-(E13+E8)</f>
        <v>19227389.399999999</v>
      </c>
      <c r="F20" s="67">
        <f t="shared" ref="F20:O20" si="0">SUM(F6:F19)-(F13+F8)</f>
        <v>18633492.149999999</v>
      </c>
      <c r="G20" s="67">
        <f t="shared" si="0"/>
        <v>15864283.4</v>
      </c>
      <c r="H20" s="67">
        <f>SUM(H6:H19)-(H13+H8)</f>
        <v>17282701.850000001</v>
      </c>
      <c r="I20" s="67">
        <f t="shared" si="0"/>
        <v>17912063.400000002</v>
      </c>
      <c r="J20" s="67">
        <f t="shared" si="0"/>
        <v>19027441.400000002</v>
      </c>
      <c r="K20" s="67">
        <f t="shared" si="0"/>
        <v>19459552.650000002</v>
      </c>
      <c r="L20" s="67">
        <f t="shared" si="0"/>
        <v>21102337.900000002</v>
      </c>
      <c r="M20" s="67">
        <f t="shared" si="0"/>
        <v>19415232.400000002</v>
      </c>
      <c r="N20" s="67">
        <f t="shared" si="0"/>
        <v>16417788.300000001</v>
      </c>
      <c r="O20" s="67">
        <f t="shared" si="0"/>
        <v>18203168.949999999</v>
      </c>
    </row>
    <row r="21" spans="1:15" x14ac:dyDescent="0.35">
      <c r="A21" s="50">
        <f>Dashboard!A20</f>
        <v>0</v>
      </c>
      <c r="B21" s="50">
        <f>Dashboard!B20</f>
        <v>0</v>
      </c>
      <c r="C21" s="50" t="str">
        <f>Dashboard!C18</f>
        <v>Ksh</v>
      </c>
      <c r="D21" s="52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</row>
    <row r="22" spans="1:15" x14ac:dyDescent="0.35">
      <c r="A22" s="50" t="str">
        <f>Dashboard!A21</f>
        <v>A</v>
      </c>
      <c r="B22" s="50" t="str">
        <f>Dashboard!B21</f>
        <v>Eastern Region</v>
      </c>
      <c r="C22" s="50" t="e">
        <f>Dashboard!#REF!</f>
        <v>#REF!</v>
      </c>
      <c r="D22" s="57" t="s">
        <v>100</v>
      </c>
      <c r="E22" s="57" t="s">
        <v>102</v>
      </c>
      <c r="F22" s="57" t="s">
        <v>122</v>
      </c>
      <c r="G22" s="57" t="s">
        <v>98</v>
      </c>
      <c r="H22" s="57" t="s">
        <v>123</v>
      </c>
      <c r="I22" s="57" t="s">
        <v>122</v>
      </c>
      <c r="J22" s="57" t="s">
        <v>98</v>
      </c>
      <c r="K22" s="57" t="s">
        <v>98</v>
      </c>
      <c r="L22" s="57" t="s">
        <v>122</v>
      </c>
      <c r="M22" s="57" t="s">
        <v>98</v>
      </c>
      <c r="N22" s="57" t="s">
        <v>123</v>
      </c>
      <c r="O22" s="57" t="s">
        <v>123</v>
      </c>
    </row>
    <row r="23" spans="1:15" x14ac:dyDescent="0.35">
      <c r="A23" s="50" t="str">
        <f>Dashboard!A22</f>
        <v>B</v>
      </c>
      <c r="B23" s="50" t="str">
        <f>Dashboard!B22</f>
        <v>Southern Region</v>
      </c>
      <c r="C23" s="50" t="e">
        <f>Dashboard!#REF!</f>
        <v>#REF!</v>
      </c>
      <c r="D23" s="57" t="s">
        <v>100</v>
      </c>
      <c r="E23" s="52" t="s">
        <v>102</v>
      </c>
      <c r="F23" s="52" t="s">
        <v>122</v>
      </c>
      <c r="G23" s="52" t="s">
        <v>98</v>
      </c>
      <c r="H23" s="52" t="s">
        <v>123</v>
      </c>
      <c r="I23" s="52" t="s">
        <v>124</v>
      </c>
      <c r="J23" s="52" t="s">
        <v>102</v>
      </c>
      <c r="K23" s="52" t="s">
        <v>98</v>
      </c>
      <c r="L23" s="52" t="s">
        <v>122</v>
      </c>
      <c r="M23" s="52" t="s">
        <v>126</v>
      </c>
      <c r="N23" s="52" t="s">
        <v>123</v>
      </c>
      <c r="O23" s="52" t="s">
        <v>123</v>
      </c>
    </row>
    <row r="24" spans="1:15" x14ac:dyDescent="0.35">
      <c r="A24" s="50" t="str">
        <f>Dashboard!A23</f>
        <v>C</v>
      </c>
      <c r="B24" s="50" t="str">
        <f>Dashboard!B23</f>
        <v>Central Region</v>
      </c>
      <c r="C24" s="50" t="str">
        <f>Dashboard!C19</f>
        <v>Ksh</v>
      </c>
      <c r="D24" s="52" t="s">
        <v>101</v>
      </c>
      <c r="E24" s="52" t="s">
        <v>103</v>
      </c>
      <c r="F24" s="52" t="s">
        <v>97</v>
      </c>
      <c r="G24" s="52" t="s">
        <v>103</v>
      </c>
      <c r="H24" s="52" t="s">
        <v>97</v>
      </c>
      <c r="I24" s="52" t="s">
        <v>97</v>
      </c>
      <c r="J24" s="52" t="s">
        <v>103</v>
      </c>
      <c r="K24" s="52" t="s">
        <v>125</v>
      </c>
      <c r="L24" s="52" t="s">
        <v>103</v>
      </c>
      <c r="M24" s="52" t="s">
        <v>125</v>
      </c>
      <c r="N24" s="52" t="s">
        <v>103</v>
      </c>
      <c r="O24" s="52" t="s">
        <v>97</v>
      </c>
    </row>
    <row r="25" spans="1:15" x14ac:dyDescent="0.35">
      <c r="A25" s="50" t="str">
        <f>Dashboard!A24</f>
        <v xml:space="preserve">COLLECTION EFFICIENCY </v>
      </c>
      <c r="B25" s="50">
        <f>Dashboard!B24</f>
        <v>0</v>
      </c>
      <c r="C25" s="50">
        <f>Dashboard!C20</f>
        <v>0</v>
      </c>
      <c r="D25"/>
      <c r="E25" s="52"/>
      <c r="F25"/>
      <c r="G25" s="57"/>
      <c r="H25" s="61"/>
      <c r="I25"/>
      <c r="J25"/>
      <c r="K25"/>
      <c r="L25"/>
      <c r="M25"/>
      <c r="N25"/>
      <c r="O25"/>
    </row>
    <row r="26" spans="1:15" x14ac:dyDescent="0.35">
      <c r="A26" s="50" t="str">
        <f>Dashboard!A25</f>
        <v>D</v>
      </c>
      <c r="B26" s="50" t="str">
        <f>Dashboard!B25</f>
        <v>Total accounts disconnected-water</v>
      </c>
      <c r="C26" s="50" t="str">
        <f>Dashboard!C21</f>
        <v>DATE</v>
      </c>
      <c r="D26" s="52">
        <v>364</v>
      </c>
      <c r="E26" s="61">
        <v>344</v>
      </c>
      <c r="F26" s="61">
        <v>323</v>
      </c>
      <c r="G26" s="61">
        <v>240</v>
      </c>
      <c r="H26" s="61">
        <v>241</v>
      </c>
      <c r="I26" s="61">
        <v>186</v>
      </c>
      <c r="J26" s="61">
        <v>305</v>
      </c>
      <c r="K26" s="61">
        <v>184</v>
      </c>
      <c r="L26" s="61">
        <v>313</v>
      </c>
      <c r="M26" s="61">
        <v>149</v>
      </c>
      <c r="N26" s="61">
        <v>210</v>
      </c>
      <c r="O26" s="61">
        <v>176</v>
      </c>
    </row>
    <row r="27" spans="1:15" x14ac:dyDescent="0.35">
      <c r="A27" s="50" t="str">
        <f>Dashboard!A26</f>
        <v>E</v>
      </c>
      <c r="B27" s="50" t="str">
        <f>Dashboard!B26</f>
        <v>Total accounts disconnected-sewer</v>
      </c>
      <c r="C27" s="50" t="str">
        <f>Dashboard!C16</f>
        <v>Ksh</v>
      </c>
      <c r="D27" s="52">
        <v>10</v>
      </c>
      <c r="E27" s="52">
        <v>54</v>
      </c>
      <c r="F27" s="52">
        <v>46</v>
      </c>
      <c r="G27" s="52">
        <v>58</v>
      </c>
      <c r="H27" s="52">
        <v>31</v>
      </c>
      <c r="I27" s="52">
        <v>48</v>
      </c>
      <c r="J27" s="52">
        <v>39</v>
      </c>
      <c r="K27" s="52">
        <v>47</v>
      </c>
      <c r="L27" s="52">
        <v>25</v>
      </c>
      <c r="M27" s="52">
        <v>23</v>
      </c>
      <c r="N27" s="52">
        <v>55</v>
      </c>
      <c r="O27" s="52">
        <v>49</v>
      </c>
    </row>
    <row r="28" spans="1:15" x14ac:dyDescent="0.35">
      <c r="A28" s="50">
        <f>Dashboard!A27</f>
        <v>14</v>
      </c>
      <c r="B28" s="50" t="str">
        <f>Dashboard!B27</f>
        <v>Total Collection for the month</v>
      </c>
      <c r="C28" s="50" t="str">
        <f>Dashboard!C17</f>
        <v>Ksh</v>
      </c>
      <c r="D28" s="52">
        <v>17553945.800000001</v>
      </c>
      <c r="E28" s="52">
        <v>14640444</v>
      </c>
      <c r="F28" s="52">
        <v>13485525.25</v>
      </c>
      <c r="G28" s="52">
        <v>13714991.749999996</v>
      </c>
      <c r="H28" s="52">
        <v>18534525</v>
      </c>
      <c r="I28" s="52">
        <v>12470759</v>
      </c>
      <c r="J28" s="52">
        <v>17312880.75</v>
      </c>
      <c r="K28" s="52">
        <v>14901865</v>
      </c>
      <c r="L28" s="52">
        <v>15605609</v>
      </c>
      <c r="M28" s="52">
        <v>15079990.5</v>
      </c>
      <c r="N28" s="52">
        <v>15346663.25</v>
      </c>
      <c r="O28" s="52">
        <v>17393617.020000003</v>
      </c>
    </row>
    <row r="29" spans="1:15" hidden="1" x14ac:dyDescent="0.35">
      <c r="A29" s="50">
        <f>Dashboard!A28</f>
        <v>7</v>
      </c>
      <c r="B29" s="50" t="str">
        <f>Dashboard!B28</f>
        <v>Total Collection- Related Sales</v>
      </c>
      <c r="C29" s="50" t="str">
        <f>Dashboard!C18</f>
        <v>Ksh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</row>
    <row r="30" spans="1:15" x14ac:dyDescent="0.35">
      <c r="A30" s="50">
        <f>Dashboard!A29</f>
        <v>15</v>
      </c>
      <c r="B30" s="50" t="str">
        <f>Dashboard!B29</f>
        <v xml:space="preserve">Collection Efficiency - in % of billing </v>
      </c>
      <c r="D30" s="56">
        <f>D28/ACTUAL2122!O22</f>
        <v>1.1308867381545111</v>
      </c>
      <c r="E30" s="56">
        <f>E28/D20</f>
        <v>0.78558062837525822</v>
      </c>
      <c r="F30" s="56">
        <f>F28/E20</f>
        <v>0.70137057972103067</v>
      </c>
      <c r="G30" s="56">
        <f t="shared" ref="G30:O30" si="1">G28/F20</f>
        <v>0.73603979541752174</v>
      </c>
      <c r="H30" s="56">
        <f t="shared" si="1"/>
        <v>1.1683178201418161</v>
      </c>
      <c r="I30" s="56">
        <f t="shared" si="1"/>
        <v>0.72157461884352292</v>
      </c>
      <c r="J30" s="56">
        <f t="shared" si="1"/>
        <v>0.96654865290394165</v>
      </c>
      <c r="K30" s="56">
        <f t="shared" si="1"/>
        <v>0.7831775532363483</v>
      </c>
      <c r="L30" s="56">
        <f t="shared" si="1"/>
        <v>0.80195106643420178</v>
      </c>
      <c r="M30" s="56">
        <f t="shared" si="1"/>
        <v>0.71461231316933838</v>
      </c>
      <c r="N30" s="56">
        <f t="shared" si="1"/>
        <v>0.79044447853222699</v>
      </c>
      <c r="O30" s="56">
        <f t="shared" si="1"/>
        <v>1.0594372824261598</v>
      </c>
    </row>
    <row r="31" spans="1:15" x14ac:dyDescent="0.35">
      <c r="A31" s="50" t="str">
        <f>Dashboard!A31</f>
        <v>CENTRAL REGION: CBD,CCCR,KABATI,SITE,KIHOTO,LAKEVIEW,HOPEWELL</v>
      </c>
      <c r="D31"/>
      <c r="E31"/>
      <c r="F31"/>
      <c r="G31"/>
      <c r="H31"/>
      <c r="I31"/>
      <c r="J31" s="57"/>
      <c r="K31"/>
      <c r="L31" s="57"/>
      <c r="M31"/>
      <c r="N31"/>
      <c r="O31"/>
    </row>
    <row r="32" spans="1:15" x14ac:dyDescent="0.35">
      <c r="A32" s="50" t="str">
        <f>Dashboard!A32</f>
        <v>16a</v>
      </c>
      <c r="B32" s="50" t="str">
        <f>Dashboard!B32</f>
        <v>Amount Billed Water-Central</v>
      </c>
      <c r="C32" s="50" t="str">
        <f>Dashboard!C32</f>
        <v>Ksh.</v>
      </c>
      <c r="D32" s="52">
        <v>7447916</v>
      </c>
      <c r="E32" s="52">
        <v>8369605</v>
      </c>
      <c r="F32" s="52">
        <v>8367806</v>
      </c>
      <c r="G32" s="60">
        <v>5890041</v>
      </c>
      <c r="H32">
        <v>6272475</v>
      </c>
      <c r="I32">
        <v>7265076</v>
      </c>
      <c r="J32" s="52">
        <v>7408161</v>
      </c>
      <c r="K32" s="52">
        <v>8041476</v>
      </c>
      <c r="L32" s="52">
        <v>8363946</v>
      </c>
      <c r="M32" s="52">
        <v>7639624</v>
      </c>
      <c r="N32" s="52">
        <v>6614595</v>
      </c>
      <c r="O32">
        <v>7133367</v>
      </c>
    </row>
    <row r="33" spans="1:15" x14ac:dyDescent="0.35">
      <c r="A33" s="50" t="str">
        <f>Dashboard!A33</f>
        <v>17a</v>
      </c>
      <c r="B33" s="50" t="str">
        <f>Dashboard!B33</f>
        <v>Amount Billed Sewer-Central</v>
      </c>
      <c r="C33" s="50" t="str">
        <f>Dashboard!C33</f>
        <v>Ksh.</v>
      </c>
      <c r="D33" s="52">
        <v>4699648.5500000007</v>
      </c>
      <c r="E33" s="52">
        <v>5075106.4000000004</v>
      </c>
      <c r="F33" s="52">
        <v>4844721.9000000004</v>
      </c>
      <c r="G33" s="60">
        <v>4846991.4000000004</v>
      </c>
      <c r="H33">
        <v>5367743.75</v>
      </c>
      <c r="I33">
        <v>5547386.9000000004</v>
      </c>
      <c r="J33" s="52">
        <v>5661177.4000000004</v>
      </c>
      <c r="K33" s="52">
        <v>5114256.4000000004</v>
      </c>
      <c r="L33" s="52">
        <v>5275456.9000000004</v>
      </c>
      <c r="M33" s="52">
        <v>5122146.4000000004</v>
      </c>
      <c r="N33" s="52">
        <v>4916428.8000000007</v>
      </c>
      <c r="O33" s="52">
        <v>5107057.7</v>
      </c>
    </row>
    <row r="34" spans="1:15" x14ac:dyDescent="0.35">
      <c r="A34" s="50" t="str">
        <f>Dashboard!A34</f>
        <v>18a</v>
      </c>
      <c r="B34" s="50" t="str">
        <f>Dashboard!B34</f>
        <v>othersales</v>
      </c>
      <c r="C34" s="50" t="str">
        <f>Dashboard!C34</f>
        <v>Ksh.</v>
      </c>
      <c r="D34" s="52">
        <v>600350</v>
      </c>
      <c r="E34" s="52">
        <v>778951</v>
      </c>
      <c r="F34" s="52">
        <v>987568</v>
      </c>
      <c r="G34" s="60">
        <v>779550</v>
      </c>
      <c r="H34">
        <v>1085517.3500000001</v>
      </c>
      <c r="I34">
        <v>721900</v>
      </c>
      <c r="J34" s="52">
        <v>987050</v>
      </c>
      <c r="K34" s="52">
        <v>908200</v>
      </c>
      <c r="L34" s="52">
        <v>1050852</v>
      </c>
      <c r="M34" s="52">
        <v>1456946</v>
      </c>
      <c r="N34" s="52">
        <v>914650</v>
      </c>
      <c r="O34" s="52">
        <v>784150</v>
      </c>
    </row>
    <row r="35" spans="1:15" x14ac:dyDescent="0.35">
      <c r="A35" s="50" t="str">
        <f>Dashboard!A35</f>
        <v>19a</v>
      </c>
      <c r="B35" s="50" t="str">
        <f>Dashboard!B35</f>
        <v>Amount Billed Water &amp; Sewer-othersales-Central</v>
      </c>
      <c r="C35" s="50" t="str">
        <f>Dashboard!C35</f>
        <v>Ksh.</v>
      </c>
      <c r="D35" s="55">
        <f>D32+D33+D34</f>
        <v>12747914.550000001</v>
      </c>
      <c r="E35" s="55">
        <f>E32+E33+E34</f>
        <v>14223662.4</v>
      </c>
      <c r="F35" s="55">
        <f t="shared" ref="F35:O35" si="2">F32+F33+F34</f>
        <v>14200095.9</v>
      </c>
      <c r="G35" s="55">
        <f t="shared" si="2"/>
        <v>11516582.4</v>
      </c>
      <c r="H35" s="55">
        <f t="shared" si="2"/>
        <v>12725736.1</v>
      </c>
      <c r="I35" s="55">
        <f t="shared" si="2"/>
        <v>13534362.9</v>
      </c>
      <c r="J35" s="55">
        <f t="shared" si="2"/>
        <v>14056388.4</v>
      </c>
      <c r="K35" s="55">
        <f t="shared" si="2"/>
        <v>14063932.4</v>
      </c>
      <c r="L35" s="55">
        <f t="shared" si="2"/>
        <v>14690254.9</v>
      </c>
      <c r="M35" s="55">
        <f t="shared" si="2"/>
        <v>14218716.4</v>
      </c>
      <c r="N35" s="55">
        <f t="shared" si="2"/>
        <v>12445673.800000001</v>
      </c>
      <c r="O35" s="55">
        <f t="shared" si="2"/>
        <v>13024574.699999999</v>
      </c>
    </row>
    <row r="36" spans="1:15" x14ac:dyDescent="0.35">
      <c r="A36" s="50" t="str">
        <f>Dashboard!A36</f>
        <v>14a</v>
      </c>
      <c r="B36" s="50" t="str">
        <f>Dashboard!B36</f>
        <v>Amount Collected-Central</v>
      </c>
      <c r="C36" s="50" t="str">
        <f>Dashboard!C36</f>
        <v>Ksh.</v>
      </c>
      <c r="D36" s="52">
        <v>13369387.799999997</v>
      </c>
      <c r="E36" s="52">
        <v>10007079.999999998</v>
      </c>
      <c r="F36" s="52">
        <v>9399206.25</v>
      </c>
      <c r="G36" s="60">
        <v>9447431.7500000019</v>
      </c>
      <c r="H36">
        <v>14164923.689999998</v>
      </c>
      <c r="I36" s="52">
        <v>8428642</v>
      </c>
      <c r="J36" s="52">
        <v>12701452.250000002</v>
      </c>
      <c r="K36" s="52">
        <v>10226755</v>
      </c>
      <c r="L36" s="52">
        <v>10461452.760000002</v>
      </c>
      <c r="M36" s="52">
        <v>10578929.490000002</v>
      </c>
      <c r="N36" s="52">
        <v>10173619.91</v>
      </c>
      <c r="O36" s="52">
        <v>13145366.810000001</v>
      </c>
    </row>
    <row r="37" spans="1:15" x14ac:dyDescent="0.35">
      <c r="A37" s="50" t="str">
        <f>Dashboard!A37</f>
        <v>15a</v>
      </c>
      <c r="B37" s="50" t="str">
        <f>Dashboard!B37</f>
        <v>Collection Efficiency-Central</v>
      </c>
      <c r="C37" s="50" t="str">
        <f>Dashboard!C37</f>
        <v>%</v>
      </c>
      <c r="D37" s="70">
        <f>D36/ACTUAL2122!O33</f>
        <v>1.426949742343194</v>
      </c>
      <c r="E37" s="70">
        <f>E36/D35</f>
        <v>0.78499741747955143</v>
      </c>
      <c r="F37" s="70">
        <f>F36/E35</f>
        <v>0.66081477369710351</v>
      </c>
      <c r="G37" s="70">
        <f t="shared" ref="G37:O37" si="3">G36/F35</f>
        <v>0.66530760190147742</v>
      </c>
      <c r="H37" s="70">
        <f t="shared" si="3"/>
        <v>1.2299589581367469</v>
      </c>
      <c r="I37" s="70">
        <f t="shared" si="3"/>
        <v>0.66233040931911202</v>
      </c>
      <c r="J37" s="70">
        <f t="shared" si="3"/>
        <v>0.9384595598511698</v>
      </c>
      <c r="K37" s="70">
        <f t="shared" si="3"/>
        <v>0.72755210719703789</v>
      </c>
      <c r="L37" s="70">
        <f t="shared" si="3"/>
        <v>0.74384976139390446</v>
      </c>
      <c r="M37" s="70">
        <f t="shared" si="3"/>
        <v>0.72013246618341531</v>
      </c>
      <c r="N37" s="70">
        <f t="shared" si="3"/>
        <v>0.71550902513253589</v>
      </c>
      <c r="O37" s="70">
        <f t="shared" si="3"/>
        <v>1.0562197773494593</v>
      </c>
    </row>
    <row r="38" spans="1:15" x14ac:dyDescent="0.35">
      <c r="A38" s="50" t="str">
        <f>Dashboard!A38</f>
        <v>SOUTHERN REGION: HELLSGATE,KAMERE, MAI MAHIU,LONGONOT</v>
      </c>
      <c r="D38"/>
      <c r="E38" s="57"/>
      <c r="F38"/>
      <c r="G38"/>
      <c r="H38"/>
      <c r="I38"/>
      <c r="J38"/>
      <c r="K38"/>
      <c r="L38"/>
      <c r="M38"/>
      <c r="N38"/>
      <c r="O38"/>
    </row>
    <row r="39" spans="1:15" x14ac:dyDescent="0.35">
      <c r="A39" s="50" t="str">
        <f>Dashboard!A39</f>
        <v>16b</v>
      </c>
      <c r="B39" s="50" t="str">
        <f>Dashboard!B39</f>
        <v>Amount Billed Water-Southern</v>
      </c>
      <c r="C39" s="50" t="str">
        <f>Dashboard!C39</f>
        <v>Ksh.</v>
      </c>
      <c r="D39" s="52">
        <v>2236041</v>
      </c>
      <c r="E39" s="52">
        <v>2367557</v>
      </c>
      <c r="F39" s="52">
        <v>2476585</v>
      </c>
      <c r="G39" s="60">
        <v>2221226</v>
      </c>
      <c r="H39">
        <v>2275040</v>
      </c>
      <c r="I39">
        <v>2238025</v>
      </c>
      <c r="J39" s="52">
        <v>2440191</v>
      </c>
      <c r="K39" s="52">
        <v>2770961</v>
      </c>
      <c r="L39" s="52">
        <v>3105853</v>
      </c>
      <c r="M39" s="52">
        <v>2709503</v>
      </c>
      <c r="N39" s="52">
        <v>1569252</v>
      </c>
      <c r="O39" s="52">
        <v>2754587</v>
      </c>
    </row>
    <row r="40" spans="1:15" x14ac:dyDescent="0.35">
      <c r="A40" s="50" t="str">
        <f>Dashboard!A40</f>
        <v>17b</v>
      </c>
      <c r="B40" s="50" t="str">
        <f>Dashboard!B40</f>
        <v>Amount Billed Sewer-Southern</v>
      </c>
      <c r="C40" s="50" t="str">
        <f>Dashboard!C40</f>
        <v>Ksh.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</row>
    <row r="41" spans="1:15" x14ac:dyDescent="0.35">
      <c r="A41" s="50" t="str">
        <f>Dashboard!A41</f>
        <v>18b</v>
      </c>
      <c r="B41" s="50" t="str">
        <f>Dashboard!B41</f>
        <v>othersales</v>
      </c>
      <c r="C41" s="50" t="str">
        <f>Dashboard!C41</f>
        <v>Ksh.</v>
      </c>
      <c r="D41" s="52">
        <v>207933</v>
      </c>
      <c r="E41" s="52">
        <v>309550</v>
      </c>
      <c r="F41" s="52">
        <v>359250</v>
      </c>
      <c r="G41" s="60">
        <v>260500</v>
      </c>
      <c r="H41">
        <v>288650</v>
      </c>
      <c r="I41">
        <v>181250</v>
      </c>
      <c r="J41" s="52">
        <v>243100</v>
      </c>
      <c r="K41" s="52">
        <v>491183</v>
      </c>
      <c r="L41" s="52">
        <v>598700</v>
      </c>
      <c r="M41" s="52">
        <v>368550</v>
      </c>
      <c r="N41" s="52">
        <v>280550</v>
      </c>
      <c r="O41" s="52">
        <v>281550</v>
      </c>
    </row>
    <row r="42" spans="1:15" x14ac:dyDescent="0.35">
      <c r="A42" s="50" t="str">
        <f>Dashboard!A42</f>
        <v>19b</v>
      </c>
      <c r="B42" s="50" t="str">
        <f>Dashboard!B42</f>
        <v>Amount Billed Water &amp; Sewer-OTHER SALES-Southern</v>
      </c>
      <c r="C42" s="50" t="str">
        <f>Dashboard!C42</f>
        <v>Ksh.</v>
      </c>
      <c r="D42" s="55">
        <f>D39+D40+D41</f>
        <v>2443974</v>
      </c>
      <c r="E42" s="55">
        <f>E39+E40+E41</f>
        <v>2677107</v>
      </c>
      <c r="F42" s="55">
        <f t="shared" ref="F42:O42" si="4">F39+F40+F41</f>
        <v>2835835</v>
      </c>
      <c r="G42" s="55">
        <f t="shared" si="4"/>
        <v>2481726</v>
      </c>
      <c r="H42" s="55">
        <f t="shared" si="4"/>
        <v>2563690</v>
      </c>
      <c r="I42" s="55">
        <f t="shared" si="4"/>
        <v>2419275</v>
      </c>
      <c r="J42" s="55">
        <f t="shared" si="4"/>
        <v>2683291</v>
      </c>
      <c r="K42" s="55">
        <f t="shared" si="4"/>
        <v>3262144</v>
      </c>
      <c r="L42" s="55">
        <f t="shared" si="4"/>
        <v>3704553</v>
      </c>
      <c r="M42" s="55">
        <f t="shared" si="4"/>
        <v>3078053</v>
      </c>
      <c r="N42" s="55">
        <f t="shared" si="4"/>
        <v>1849802</v>
      </c>
      <c r="O42" s="55">
        <f t="shared" si="4"/>
        <v>3036137</v>
      </c>
    </row>
    <row r="43" spans="1:15" x14ac:dyDescent="0.35">
      <c r="A43" s="50" t="str">
        <f>Dashboard!A43</f>
        <v>14b</v>
      </c>
      <c r="B43" s="50" t="str">
        <f>Dashboard!B43</f>
        <v>Amount Collected-Southern</v>
      </c>
      <c r="C43" s="50" t="str">
        <f>Dashboard!C43</f>
        <v>Ksh.</v>
      </c>
      <c r="D43" s="52">
        <v>2324233</v>
      </c>
      <c r="E43" s="52">
        <v>2774831</v>
      </c>
      <c r="F43" s="52">
        <v>2446763</v>
      </c>
      <c r="G43" s="60">
        <v>2615808</v>
      </c>
      <c r="H43">
        <v>2791158.31</v>
      </c>
      <c r="I43">
        <v>2222516</v>
      </c>
      <c r="J43">
        <v>2666500</v>
      </c>
      <c r="K43">
        <v>2766283</v>
      </c>
      <c r="L43">
        <v>3120247.24</v>
      </c>
      <c r="M43">
        <v>2628094.0099999998</v>
      </c>
      <c r="N43">
        <v>2470200.84</v>
      </c>
      <c r="O43" s="72">
        <v>2464320.21</v>
      </c>
    </row>
    <row r="44" spans="1:15" x14ac:dyDescent="0.35">
      <c r="A44" s="50" t="str">
        <f>Dashboard!A44</f>
        <v>15b</v>
      </c>
      <c r="B44" s="50" t="str">
        <f>Dashboard!B44</f>
        <v>Collection Efficiency-Southern</v>
      </c>
      <c r="C44" s="50" t="str">
        <f>Dashboard!C44</f>
        <v>%</v>
      </c>
      <c r="D44" s="70">
        <f>D43/ACTUAL2122!O40</f>
        <v>0.37773505010679692</v>
      </c>
      <c r="E44" s="70">
        <f>E43/D42</f>
        <v>1.1353766447597233</v>
      </c>
      <c r="F44" s="70">
        <f>F43/E42</f>
        <v>0.91395786571100823</v>
      </c>
      <c r="G44" s="70">
        <f t="shared" ref="G44" si="5">G43/F42</f>
        <v>0.92241191747756834</v>
      </c>
      <c r="H44" s="70">
        <f t="shared" ref="H44" si="6">H43/G42</f>
        <v>1.1246843164797404</v>
      </c>
      <c r="I44" s="70">
        <f t="shared" ref="I44" si="7">I43/H42</f>
        <v>0.866920727545062</v>
      </c>
      <c r="J44" s="70">
        <f t="shared" ref="J44" si="8">J43/I42</f>
        <v>1.1021897055936178</v>
      </c>
      <c r="K44" s="70">
        <f t="shared" ref="K44" si="9">K43/J42</f>
        <v>1.0309291836032692</v>
      </c>
      <c r="L44" s="70">
        <f t="shared" ref="L44" si="10">L43/K42</f>
        <v>0.95650199378077738</v>
      </c>
      <c r="M44" s="70">
        <f t="shared" ref="M44" si="11">M43/L42</f>
        <v>0.70942270497952109</v>
      </c>
      <c r="N44" s="70">
        <f t="shared" ref="N44" si="12">N43/M42</f>
        <v>0.80252056738464217</v>
      </c>
      <c r="O44" s="70">
        <f t="shared" ref="O44" si="13">O43/N42</f>
        <v>1.3322075605929715</v>
      </c>
    </row>
    <row r="45" spans="1:15" x14ac:dyDescent="0.35">
      <c r="A45" s="50" t="str">
        <f>Dashboard!A45</f>
        <v>EASTERN REGION: KAYOLE,GONDI,KINUNGI,NJONJORO,IHINDU</v>
      </c>
      <c r="B45" s="50">
        <f>Dashboard!B45</f>
        <v>0</v>
      </c>
      <c r="C45" s="50">
        <f>Dashboard!C45</f>
        <v>0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 x14ac:dyDescent="0.35">
      <c r="A46" s="50" t="str">
        <f>Dashboard!A46</f>
        <v>16c</v>
      </c>
      <c r="B46" s="50" t="str">
        <f>Dashboard!B46</f>
        <v>Amount Billed Water-Eastern</v>
      </c>
      <c r="C46" s="50" t="str">
        <f>Dashboard!C46</f>
        <v>Ksh.</v>
      </c>
      <c r="D46">
        <v>1753336</v>
      </c>
      <c r="E46" s="57">
        <v>1998514</v>
      </c>
      <c r="F46">
        <v>1124537</v>
      </c>
      <c r="G46" s="60">
        <v>1426587</v>
      </c>
      <c r="H46">
        <v>1554913</v>
      </c>
      <c r="I46">
        <v>1483161</v>
      </c>
      <c r="J46">
        <v>1750805</v>
      </c>
      <c r="K46">
        <v>1863568</v>
      </c>
      <c r="L46">
        <v>2245883</v>
      </c>
      <c r="M46">
        <v>1823547</v>
      </c>
      <c r="N46">
        <v>1831368</v>
      </c>
      <c r="O46">
        <v>1840557</v>
      </c>
    </row>
    <row r="47" spans="1:15" x14ac:dyDescent="0.35">
      <c r="A47" s="50" t="str">
        <f>Dashboard!A47</f>
        <v>17c</v>
      </c>
      <c r="B47" s="50" t="str">
        <f>Dashboard!B47</f>
        <v>Amount Billed Sewer-Eastern</v>
      </c>
      <c r="C47" s="50" t="str">
        <f>Dashboard!C47</f>
        <v>Ksh.</v>
      </c>
      <c r="D47" s="52">
        <v>54327.75</v>
      </c>
      <c r="E47" s="52">
        <v>40857</v>
      </c>
      <c r="F47" s="52">
        <v>224874.25</v>
      </c>
      <c r="G47" s="60">
        <v>220988</v>
      </c>
      <c r="H47">
        <v>237712.75</v>
      </c>
      <c r="I47">
        <v>232914.5</v>
      </c>
      <c r="J47" s="52">
        <v>238107</v>
      </c>
      <c r="K47" s="52">
        <v>45758.25</v>
      </c>
      <c r="L47" s="52">
        <v>25557</v>
      </c>
      <c r="M47" s="52">
        <v>23933</v>
      </c>
      <c r="N47" s="52">
        <v>26044.5</v>
      </c>
      <c r="O47" s="52">
        <v>34400.25</v>
      </c>
    </row>
    <row r="48" spans="1:15" x14ac:dyDescent="0.35">
      <c r="A48" s="50" t="str">
        <f>Dashboard!A48</f>
        <v>18c</v>
      </c>
      <c r="B48" s="50" t="str">
        <f>Dashboard!B48</f>
        <v>othersales</v>
      </c>
      <c r="C48" s="50" t="str">
        <f>Dashboard!C48</f>
        <v>Ksh.</v>
      </c>
      <c r="D48" s="52">
        <v>203900</v>
      </c>
      <c r="E48" s="52">
        <v>289750</v>
      </c>
      <c r="F48" s="52">
        <v>248150</v>
      </c>
      <c r="G48" s="60">
        <v>218400</v>
      </c>
      <c r="H48">
        <v>200650</v>
      </c>
      <c r="I48">
        <v>242350</v>
      </c>
      <c r="J48" s="52">
        <v>298850</v>
      </c>
      <c r="K48" s="52">
        <v>224150</v>
      </c>
      <c r="L48" s="52">
        <v>436090</v>
      </c>
      <c r="M48" s="52">
        <v>270983</v>
      </c>
      <c r="N48" s="52">
        <v>264900</v>
      </c>
      <c r="O48" s="52">
        <v>267500</v>
      </c>
    </row>
    <row r="49" spans="1:15" x14ac:dyDescent="0.35">
      <c r="A49" s="50" t="str">
        <f>Dashboard!A49</f>
        <v>19b</v>
      </c>
      <c r="B49" s="50" t="str">
        <f>Dashboard!B49</f>
        <v>Amount Billed Water &amp; Sewer-othersales-Eastern</v>
      </c>
      <c r="C49" s="50" t="str">
        <f>Dashboard!C49</f>
        <v>Ksh.</v>
      </c>
      <c r="D49" s="55">
        <f>D46+D47+D48</f>
        <v>2011563.75</v>
      </c>
      <c r="E49" s="55">
        <f t="shared" ref="E49:N49" si="14">E46+E47+E48</f>
        <v>2329121</v>
      </c>
      <c r="F49" s="55">
        <f t="shared" si="14"/>
        <v>1597561.25</v>
      </c>
      <c r="G49" s="55">
        <f t="shared" si="14"/>
        <v>1865975</v>
      </c>
      <c r="H49" s="55">
        <f t="shared" si="14"/>
        <v>1993275.75</v>
      </c>
      <c r="I49" s="55">
        <f t="shared" si="14"/>
        <v>1958425.5</v>
      </c>
      <c r="J49" s="55">
        <f t="shared" si="14"/>
        <v>2287762</v>
      </c>
      <c r="K49" s="55">
        <f t="shared" si="14"/>
        <v>2133476.25</v>
      </c>
      <c r="L49" s="55">
        <f t="shared" si="14"/>
        <v>2707530</v>
      </c>
      <c r="M49" s="55">
        <f t="shared" si="14"/>
        <v>2118463</v>
      </c>
      <c r="N49" s="55">
        <f t="shared" si="14"/>
        <v>2122312.5</v>
      </c>
      <c r="O49" s="55">
        <v>2142457.23</v>
      </c>
    </row>
    <row r="50" spans="1:15" x14ac:dyDescent="0.35">
      <c r="A50" s="50" t="str">
        <f>Dashboard!A50</f>
        <v>14c</v>
      </c>
      <c r="B50" s="50" t="str">
        <f>Dashboard!B50</f>
        <v>Amount Collected-Eastern</v>
      </c>
      <c r="C50" s="50" t="str">
        <f>Dashboard!C50</f>
        <v>Ksh.</v>
      </c>
      <c r="D50" s="52">
        <v>1860325</v>
      </c>
      <c r="E50" s="52">
        <v>2099889</v>
      </c>
      <c r="F50" s="52">
        <v>1639556</v>
      </c>
      <c r="G50" s="60">
        <v>1651752</v>
      </c>
      <c r="H50">
        <v>1578443</v>
      </c>
      <c r="I50" s="52">
        <v>1819601</v>
      </c>
      <c r="J50" s="52">
        <v>1944928.5</v>
      </c>
      <c r="K50" s="52">
        <v>1908827</v>
      </c>
      <c r="L50" s="52">
        <v>2023909</v>
      </c>
      <c r="M50" s="52">
        <v>1872967</v>
      </c>
      <c r="N50" s="52">
        <v>2702842.5</v>
      </c>
      <c r="O50" s="52">
        <v>1783930</v>
      </c>
    </row>
    <row r="51" spans="1:15" x14ac:dyDescent="0.35">
      <c r="A51" s="50" t="str">
        <f>Dashboard!A51</f>
        <v>15c</v>
      </c>
      <c r="B51" s="50" t="str">
        <f>Dashboard!B51</f>
        <v>Collection Efficiency-Eastern</v>
      </c>
      <c r="C51" s="50" t="str">
        <f>Dashboard!C51</f>
        <v>%</v>
      </c>
      <c r="D51" s="56">
        <f>D50/D49</f>
        <v>0.92481533334451871</v>
      </c>
      <c r="E51" s="56">
        <f>E50/E49</f>
        <v>0.901580038134558</v>
      </c>
      <c r="F51" s="56">
        <f>F50/E49</f>
        <v>0.70393766575459149</v>
      </c>
      <c r="G51" s="56">
        <f t="shared" ref="G51:O51" si="15">G50/F49</f>
        <v>1.0339209216548035</v>
      </c>
      <c r="H51" s="56">
        <f t="shared" si="15"/>
        <v>0.84590790337491129</v>
      </c>
      <c r="I51" s="56">
        <f>I50/H49</f>
        <v>0.91286968197952545</v>
      </c>
      <c r="J51" s="56">
        <f t="shared" si="15"/>
        <v>0.99310823924627212</v>
      </c>
      <c r="K51" s="56">
        <f t="shared" si="15"/>
        <v>0.83436432635912305</v>
      </c>
      <c r="L51" s="56">
        <f t="shared" si="15"/>
        <v>0.94864379202721383</v>
      </c>
      <c r="M51" s="56">
        <f t="shared" si="15"/>
        <v>0.69176223347479071</v>
      </c>
      <c r="N51" s="56">
        <f t="shared" si="15"/>
        <v>1.2758506993041654</v>
      </c>
      <c r="O51" s="56">
        <f t="shared" si="15"/>
        <v>0.84055953117177606</v>
      </c>
    </row>
    <row r="52" spans="1:15" hidden="1" x14ac:dyDescent="0.35">
      <c r="A52" s="50">
        <f>Dashboard!A52</f>
        <v>19</v>
      </c>
      <c r="B52" s="50">
        <f>Dashboard!B59</f>
        <v>0</v>
      </c>
      <c r="C52" s="50">
        <f>Dashboard!C59</f>
        <v>0</v>
      </c>
      <c r="D52" s="56" t="e">
        <f>D51/ACTUAL2122!O47</f>
        <v>#DIV/0!</v>
      </c>
      <c r="E52" s="56">
        <f>E51/D50</f>
        <v>4.8463576962872506E-7</v>
      </c>
      <c r="F52" s="56">
        <f t="shared" ref="F52" si="16">F51/E50</f>
        <v>3.3522613135960589E-7</v>
      </c>
      <c r="G52" s="56">
        <f t="shared" ref="G52" si="17">G51/F50</f>
        <v>6.3061031258145718E-7</v>
      </c>
      <c r="H52" s="56">
        <f t="shared" ref="H52" si="18">H51/G50</f>
        <v>5.1212767011931045E-7</v>
      </c>
      <c r="I52" s="56">
        <f t="shared" ref="I52" si="19">I51/H50</f>
        <v>5.783355382357966E-7</v>
      </c>
      <c r="J52" s="56">
        <f t="shared" ref="J52" si="20">J51/I50</f>
        <v>5.4578352025871178E-7</v>
      </c>
      <c r="K52" s="56">
        <f t="shared" ref="K52" si="21">K51/J50</f>
        <v>4.2899485835038309E-7</v>
      </c>
      <c r="L52" s="56">
        <f t="shared" ref="L52" si="22">L51/K50</f>
        <v>4.9697735416945262E-7</v>
      </c>
      <c r="M52" s="56">
        <f t="shared" ref="M52" si="23">M51/L50</f>
        <v>3.4179512689295352E-7</v>
      </c>
      <c r="N52" s="56">
        <f t="shared" ref="N52" si="24">N51/M50</f>
        <v>6.8119230040046908E-7</v>
      </c>
      <c r="O52" s="56">
        <f t="shared" ref="O52" si="25">O51/N50</f>
        <v>3.109909405271584E-7</v>
      </c>
    </row>
    <row r="53" spans="1:15" x14ac:dyDescent="0.35">
      <c r="A53" s="50">
        <f>Dashboard!A53</f>
        <v>0</v>
      </c>
      <c r="B53" s="50" t="str">
        <f>Dashboard!B53</f>
        <v>AMOUNT RECEIVABLES</v>
      </c>
      <c r="C53" s="50">
        <f>Dashboard!C62</f>
        <v>0</v>
      </c>
      <c r="D53"/>
      <c r="E53"/>
      <c r="F53"/>
      <c r="G53"/>
      <c r="H53"/>
      <c r="I53"/>
      <c r="J53"/>
      <c r="K53"/>
      <c r="L53"/>
      <c r="M53"/>
      <c r="N53"/>
      <c r="O53"/>
    </row>
    <row r="54" spans="1:15" x14ac:dyDescent="0.35">
      <c r="A54" s="50">
        <f>Dashboard!A54</f>
        <v>20</v>
      </c>
      <c r="B54" s="50" t="str">
        <f>Dashboard!B54</f>
        <v>Amount receivables as at close of the month</v>
      </c>
      <c r="C54" s="50">
        <f>Dashboard!C63</f>
        <v>0</v>
      </c>
      <c r="D54" s="52">
        <v>138749018</v>
      </c>
      <c r="E54" s="52">
        <v>143848526.69999999</v>
      </c>
      <c r="F54" s="52">
        <v>148890867.59999999</v>
      </c>
      <c r="G54" s="52">
        <v>150784798.69999999</v>
      </c>
      <c r="H54" s="52">
        <v>149166788</v>
      </c>
      <c r="I54" s="52">
        <v>154099689.68000001</v>
      </c>
      <c r="J54" s="66">
        <v>156094062.5</v>
      </c>
      <c r="K54" s="52">
        <v>159348260.56</v>
      </c>
      <c r="L54" s="52">
        <v>165251243.46000001</v>
      </c>
      <c r="M54" s="52">
        <v>169971070.22999999</v>
      </c>
      <c r="N54" s="52">
        <v>168697086.5</v>
      </c>
      <c r="O54" s="52">
        <v>169031968.81999999</v>
      </c>
    </row>
    <row r="55" spans="1:15" x14ac:dyDescent="0.35">
      <c r="A55" s="50">
        <f>Dashboard!A55</f>
        <v>21</v>
      </c>
      <c r="B55" s="50" t="str">
        <f>Dashboard!B55</f>
        <v>Adjustment done for the month</v>
      </c>
      <c r="C55" s="50" t="str">
        <f>Dashboard!C55</f>
        <v>Ksh.</v>
      </c>
      <c r="D55" s="52">
        <v>-4997</v>
      </c>
      <c r="E55" s="52">
        <v>-5317</v>
      </c>
      <c r="F55" s="52">
        <v>-298109.02</v>
      </c>
      <c r="G55" s="52">
        <v>-218802</v>
      </c>
      <c r="H55" s="52">
        <v>-444757</v>
      </c>
      <c r="I55" s="52">
        <v>-599234</v>
      </c>
      <c r="J55" s="52">
        <v>-142611</v>
      </c>
      <c r="K55" s="52">
        <v>-1460174.9</v>
      </c>
      <c r="L55">
        <v>-26367</v>
      </c>
      <c r="M55" s="52">
        <v>-217707</v>
      </c>
      <c r="N55" s="52">
        <v>-2385650</v>
      </c>
      <c r="O55" s="52">
        <v>-559424.5</v>
      </c>
    </row>
    <row r="56" spans="1:15" x14ac:dyDescent="0.35">
      <c r="A56" s="50">
        <f>Dashboard!A56</f>
        <v>0</v>
      </c>
      <c r="B56" s="50">
        <f>Dashboard!B56</f>
        <v>0</v>
      </c>
      <c r="C56" s="50">
        <f>Dashboard!C65</f>
        <v>0</v>
      </c>
      <c r="D56"/>
      <c r="E56" s="52"/>
      <c r="F56"/>
      <c r="G56"/>
      <c r="H56"/>
      <c r="I56"/>
      <c r="J56"/>
      <c r="K56"/>
      <c r="L56"/>
      <c r="M56"/>
      <c r="N56"/>
      <c r="O56"/>
    </row>
    <row r="57" spans="1:15" x14ac:dyDescent="0.35">
      <c r="A57" s="50">
        <f>Dashboard!A57</f>
        <v>0</v>
      </c>
      <c r="B57" s="50">
        <f>Dashboard!B57</f>
        <v>0</v>
      </c>
      <c r="C57" s="50">
        <f>Dashboard!C66</f>
        <v>0</v>
      </c>
      <c r="D57"/>
      <c r="E57"/>
      <c r="F57"/>
      <c r="G57"/>
      <c r="H57"/>
      <c r="I57"/>
      <c r="J57"/>
      <c r="K57"/>
      <c r="L57" s="57"/>
      <c r="M57"/>
      <c r="N57"/>
      <c r="O57"/>
    </row>
    <row r="58" spans="1:15" x14ac:dyDescent="0.35">
      <c r="A58" s="50">
        <f>Dashboard!A58</f>
        <v>0</v>
      </c>
      <c r="B58" s="50">
        <f>Dashboard!B58</f>
        <v>0</v>
      </c>
      <c r="C58" s="50">
        <f>Dashboard!C67</f>
        <v>0</v>
      </c>
      <c r="D58"/>
      <c r="E58"/>
      <c r="F58"/>
      <c r="G58"/>
      <c r="H58"/>
      <c r="I58"/>
      <c r="J58"/>
      <c r="K58"/>
      <c r="L58"/>
      <c r="M58"/>
      <c r="N58"/>
      <c r="O58"/>
    </row>
    <row r="59" spans="1:15" x14ac:dyDescent="0.35">
      <c r="A59" s="50">
        <f>Dashboard!A59</f>
        <v>0</v>
      </c>
      <c r="B59" s="50">
        <f>Dashboard!B68</f>
        <v>0</v>
      </c>
      <c r="C59" s="50">
        <f>Dashboard!C68</f>
        <v>0</v>
      </c>
      <c r="D59"/>
      <c r="E59"/>
      <c r="F59"/>
      <c r="G59"/>
      <c r="H59"/>
      <c r="I59"/>
      <c r="J59"/>
      <c r="K59"/>
      <c r="L59"/>
      <c r="M59"/>
      <c r="N59"/>
      <c r="O59"/>
    </row>
    <row r="60" spans="1:15" x14ac:dyDescent="0.35">
      <c r="A60" s="50">
        <f>Dashboard!A69</f>
        <v>0</v>
      </c>
      <c r="B60" s="50">
        <f>Dashboard!B69</f>
        <v>0</v>
      </c>
      <c r="C60" s="50">
        <f>Dashboard!C69</f>
        <v>0</v>
      </c>
      <c r="D60"/>
      <c r="E60"/>
      <c r="F60"/>
      <c r="G60"/>
      <c r="H60"/>
      <c r="I60"/>
      <c r="J60"/>
      <c r="K60"/>
      <c r="L60"/>
      <c r="M60"/>
      <c r="N60"/>
      <c r="O60"/>
    </row>
    <row r="61" spans="1:15" x14ac:dyDescent="0.35">
      <c r="A61" s="50">
        <f>Dashboard!A70</f>
        <v>0</v>
      </c>
      <c r="B61" s="50">
        <f>Dashboard!B70</f>
        <v>0</v>
      </c>
      <c r="C61" s="50">
        <f>Dashboard!C70</f>
        <v>0</v>
      </c>
      <c r="D61"/>
      <c r="E61"/>
      <c r="F61"/>
      <c r="G61"/>
      <c r="H61"/>
      <c r="I61"/>
      <c r="J61"/>
      <c r="K61"/>
      <c r="L61"/>
      <c r="M61"/>
      <c r="N61"/>
      <c r="O61"/>
    </row>
    <row r="62" spans="1:15" x14ac:dyDescent="0.35">
      <c r="A62" s="50">
        <f>Dashboard!A71</f>
        <v>0</v>
      </c>
      <c r="B62" s="50">
        <f>Dashboard!B71</f>
        <v>0</v>
      </c>
      <c r="C62" s="50">
        <f>Dashboard!C71</f>
        <v>0</v>
      </c>
      <c r="D62"/>
      <c r="E62"/>
      <c r="F62"/>
      <c r="G62"/>
      <c r="H62"/>
      <c r="I62"/>
      <c r="J62"/>
      <c r="K62"/>
      <c r="L62"/>
      <c r="M62"/>
      <c r="N62"/>
      <c r="O62"/>
    </row>
    <row r="63" spans="1:15" x14ac:dyDescent="0.35">
      <c r="A63" s="50">
        <f>Dashboard!A72</f>
        <v>0</v>
      </c>
      <c r="B63" s="50">
        <f>Dashboard!B72</f>
        <v>0</v>
      </c>
      <c r="C63" s="50">
        <f>Dashboard!C72</f>
        <v>0</v>
      </c>
      <c r="D63"/>
      <c r="E63"/>
      <c r="F63"/>
      <c r="G63"/>
      <c r="H63"/>
      <c r="I63"/>
      <c r="J63"/>
      <c r="K63"/>
      <c r="L63"/>
      <c r="M63"/>
      <c r="N63"/>
      <c r="O6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3"/>
  <sheetViews>
    <sheetView topLeftCell="D4" workbookViewId="0">
      <selection activeCell="K6" sqref="K6"/>
    </sheetView>
  </sheetViews>
  <sheetFormatPr defaultColWidth="9.1796875" defaultRowHeight="14.5" x14ac:dyDescent="0.35"/>
  <cols>
    <col min="1" max="1" width="9.1796875" style="50"/>
    <col min="2" max="2" width="69" style="50" bestFit="1" customWidth="1"/>
    <col min="3" max="3" width="9.1796875" style="50" customWidth="1"/>
    <col min="4" max="4" width="15.1796875" style="50" customWidth="1"/>
    <col min="5" max="5" width="15.54296875" style="50" customWidth="1"/>
    <col min="6" max="6" width="14.54296875" style="50" customWidth="1"/>
    <col min="7" max="7" width="15.1796875" style="50" customWidth="1"/>
    <col min="8" max="8" width="18" style="50" customWidth="1"/>
    <col min="9" max="9" width="19.453125" style="50" customWidth="1"/>
    <col min="10" max="10" width="17.453125" style="50" customWidth="1"/>
    <col min="11" max="11" width="15.54296875" style="50" customWidth="1"/>
    <col min="12" max="12" width="19.453125" style="50" customWidth="1"/>
    <col min="13" max="13" width="18.81640625" style="50" customWidth="1"/>
    <col min="14" max="14" width="17.453125" style="50" customWidth="1"/>
    <col min="15" max="15" width="18.1796875" style="50" customWidth="1"/>
    <col min="16" max="16384" width="9.1796875" style="50"/>
  </cols>
  <sheetData>
    <row r="1" spans="1:15" x14ac:dyDescent="0.35">
      <c r="A1" s="50" t="str">
        <f>[1]Dashboard!A1</f>
        <v>FINANCE DASHBOARD</v>
      </c>
    </row>
    <row r="2" spans="1:15" x14ac:dyDescent="0.35">
      <c r="D2" s="67"/>
      <c r="E2" s="67"/>
      <c r="F2" s="67"/>
      <c r="G2" s="67"/>
      <c r="H2" s="67"/>
      <c r="I2" s="67"/>
      <c r="J2" s="67"/>
      <c r="K2" s="67"/>
    </row>
    <row r="4" spans="1:15" x14ac:dyDescent="0.35">
      <c r="B4" s="50" t="s">
        <v>50</v>
      </c>
      <c r="C4" s="50" t="s">
        <v>51</v>
      </c>
      <c r="D4" s="50" t="s">
        <v>52</v>
      </c>
      <c r="E4" s="50" t="s">
        <v>53</v>
      </c>
      <c r="F4" s="50" t="s">
        <v>54</v>
      </c>
      <c r="G4" s="50" t="s">
        <v>55</v>
      </c>
      <c r="H4" s="50" t="s">
        <v>56</v>
      </c>
      <c r="I4" s="50" t="s">
        <v>57</v>
      </c>
      <c r="J4" s="50" t="s">
        <v>58</v>
      </c>
      <c r="K4" s="50" t="s">
        <v>59</v>
      </c>
      <c r="L4" s="50" t="s">
        <v>60</v>
      </c>
      <c r="M4" s="50" t="s">
        <v>61</v>
      </c>
      <c r="N4" s="50" t="s">
        <v>62</v>
      </c>
      <c r="O4" s="50" t="s">
        <v>63</v>
      </c>
    </row>
    <row r="5" spans="1:15" x14ac:dyDescent="0.35">
      <c r="A5" s="50" t="str">
        <f>[1]Dashboard!A5</f>
        <v>SALES DASHBOARD - SUMMARY</v>
      </c>
    </row>
    <row r="6" spans="1:15" x14ac:dyDescent="0.35">
      <c r="A6" s="50">
        <f>[1]Dashboard!A6</f>
        <v>1</v>
      </c>
      <c r="B6" s="50" t="str">
        <f>[1]Dashboard!B6</f>
        <v>Total Water Sales (Ksh)</v>
      </c>
      <c r="C6" s="50" t="str">
        <f>[1]Dashboard!C6</f>
        <v>Ksh</v>
      </c>
      <c r="D6" s="57">
        <v>9816920</v>
      </c>
      <c r="E6" s="57">
        <v>9629542</v>
      </c>
      <c r="F6" s="57">
        <v>9990578.3000000007</v>
      </c>
      <c r="G6" s="52">
        <v>10323025</v>
      </c>
      <c r="H6" s="57">
        <v>10434355</v>
      </c>
      <c r="I6" s="57">
        <v>10257770</v>
      </c>
      <c r="J6" s="57">
        <v>11956646</v>
      </c>
      <c r="K6" s="57">
        <v>12122204</v>
      </c>
      <c r="L6" s="57">
        <v>10549503</v>
      </c>
      <c r="M6" s="57">
        <v>12370653</v>
      </c>
      <c r="N6" s="57">
        <v>9949935</v>
      </c>
      <c r="O6" s="57">
        <v>9227442</v>
      </c>
    </row>
    <row r="7" spans="1:15" x14ac:dyDescent="0.35">
      <c r="A7" s="50">
        <f>[1]Dashboard!A7</f>
        <v>2</v>
      </c>
      <c r="B7" s="50" t="str">
        <f>[1]Dashboard!B7</f>
        <v>Total Sewerage Sales (Ksh)</v>
      </c>
      <c r="C7" s="50" t="str">
        <f>[1]Dashboard!C7</f>
        <v>Ksh</v>
      </c>
      <c r="D7" s="57">
        <v>4382887.1500000004</v>
      </c>
      <c r="E7" s="57">
        <v>4351383.3000000007</v>
      </c>
      <c r="F7" s="57">
        <v>4538576.45</v>
      </c>
      <c r="G7" s="52">
        <v>4545154.25</v>
      </c>
      <c r="H7" s="57">
        <v>5077368.5500000007</v>
      </c>
      <c r="I7" s="57">
        <v>4348278.95</v>
      </c>
      <c r="J7" s="57">
        <v>4560939.47</v>
      </c>
      <c r="K7" s="57">
        <v>4812019.1000000006</v>
      </c>
      <c r="L7" s="57">
        <v>4291621</v>
      </c>
      <c r="M7" s="57">
        <v>4771105.8999999994</v>
      </c>
      <c r="N7" s="57">
        <v>4515160.5</v>
      </c>
      <c r="O7" s="57">
        <v>4714692.5999999996</v>
      </c>
    </row>
    <row r="8" spans="1:15" x14ac:dyDescent="0.35">
      <c r="B8" s="50" t="s">
        <v>90</v>
      </c>
      <c r="D8" s="57"/>
      <c r="E8" s="57"/>
      <c r="F8" s="57"/>
      <c r="G8" s="52"/>
      <c r="H8" s="57"/>
      <c r="I8" s="57"/>
      <c r="J8" s="57"/>
      <c r="K8" s="57"/>
      <c r="L8" s="57"/>
      <c r="M8" s="57"/>
      <c r="N8" s="57"/>
      <c r="O8" s="57"/>
    </row>
    <row r="9" spans="1:15" x14ac:dyDescent="0.35">
      <c r="B9" s="50" t="s">
        <v>66</v>
      </c>
      <c r="D9" s="52">
        <v>331100</v>
      </c>
      <c r="E9" s="52">
        <v>336400</v>
      </c>
      <c r="F9" s="52">
        <v>340300</v>
      </c>
      <c r="G9" s="60">
        <v>343400</v>
      </c>
      <c r="H9" s="52">
        <v>349350</v>
      </c>
      <c r="I9" s="52">
        <v>355250</v>
      </c>
      <c r="J9">
        <v>361150</v>
      </c>
      <c r="K9" s="52">
        <v>365900</v>
      </c>
      <c r="L9" s="52">
        <v>369600</v>
      </c>
      <c r="M9" s="52">
        <v>380850</v>
      </c>
      <c r="N9" s="52">
        <v>383800</v>
      </c>
      <c r="O9">
        <v>387050</v>
      </c>
    </row>
    <row r="10" spans="1:15" x14ac:dyDescent="0.35">
      <c r="B10" s="50" t="s">
        <v>67</v>
      </c>
      <c r="D10" s="52">
        <v>120000</v>
      </c>
      <c r="E10" s="52">
        <v>108000</v>
      </c>
      <c r="F10" s="52">
        <v>164000</v>
      </c>
      <c r="G10" s="60">
        <v>334500</v>
      </c>
      <c r="H10" s="52">
        <v>192000</v>
      </c>
      <c r="I10" s="52">
        <v>234000</v>
      </c>
      <c r="J10">
        <v>128500</v>
      </c>
      <c r="K10">
        <v>264500</v>
      </c>
      <c r="L10" s="52">
        <v>319000</v>
      </c>
      <c r="M10" s="52">
        <v>202000</v>
      </c>
      <c r="N10" s="52">
        <v>143500</v>
      </c>
      <c r="O10">
        <v>310000</v>
      </c>
    </row>
    <row r="11" spans="1:15" x14ac:dyDescent="0.35">
      <c r="B11" s="50" t="s">
        <v>68</v>
      </c>
      <c r="D11" s="52">
        <v>91500</v>
      </c>
      <c r="E11" s="52">
        <v>77000</v>
      </c>
      <c r="F11" s="52">
        <v>68000</v>
      </c>
      <c r="G11" s="60">
        <v>65500</v>
      </c>
      <c r="H11" s="52">
        <v>64000</v>
      </c>
      <c r="I11" s="52">
        <v>66000</v>
      </c>
      <c r="J11">
        <v>45500</v>
      </c>
      <c r="K11" s="52">
        <v>40500</v>
      </c>
      <c r="L11" s="52">
        <v>279000</v>
      </c>
      <c r="M11" s="52">
        <v>199000</v>
      </c>
      <c r="N11" s="52">
        <v>509500</v>
      </c>
      <c r="O11">
        <v>457000</v>
      </c>
    </row>
    <row r="12" spans="1:15" x14ac:dyDescent="0.35">
      <c r="B12" s="50" t="s">
        <v>77</v>
      </c>
      <c r="D12" s="52">
        <v>7000</v>
      </c>
      <c r="E12" s="52">
        <v>5800</v>
      </c>
      <c r="F12" s="52">
        <v>12500</v>
      </c>
      <c r="G12" s="52">
        <v>5100</v>
      </c>
      <c r="H12" s="52">
        <v>4800</v>
      </c>
      <c r="I12" s="52">
        <v>3900</v>
      </c>
      <c r="J12">
        <v>7600</v>
      </c>
      <c r="K12" s="52">
        <v>7200</v>
      </c>
      <c r="L12" s="52">
        <v>8300</v>
      </c>
      <c r="M12" s="52">
        <v>22300</v>
      </c>
      <c r="N12" s="52">
        <v>20200</v>
      </c>
      <c r="O12">
        <v>9600</v>
      </c>
    </row>
    <row r="13" spans="1:15" x14ac:dyDescent="0.35">
      <c r="B13" s="50" t="s">
        <v>69</v>
      </c>
      <c r="D13" s="52">
        <v>178060</v>
      </c>
      <c r="E13" s="52">
        <v>147985</v>
      </c>
      <c r="F13" s="52">
        <v>169420</v>
      </c>
      <c r="G13" s="60">
        <v>76210</v>
      </c>
      <c r="H13" s="52">
        <v>8000</v>
      </c>
      <c r="I13" s="52">
        <v>17495</v>
      </c>
      <c r="J13">
        <v>16000</v>
      </c>
      <c r="K13">
        <v>39884</v>
      </c>
      <c r="L13" s="52">
        <v>233517</v>
      </c>
      <c r="M13" s="52">
        <v>12000</v>
      </c>
      <c r="N13" s="52">
        <v>8400</v>
      </c>
      <c r="O13"/>
    </row>
    <row r="14" spans="1:15" x14ac:dyDescent="0.35">
      <c r="A14" s="50">
        <f>[1]Dashboard!A8</f>
        <v>3</v>
      </c>
      <c r="B14" s="50" t="str">
        <f>[1]Dashboard!B8</f>
        <v xml:space="preserve">Total Water Related Sales </v>
      </c>
      <c r="C14" s="50" t="str">
        <f>[1]Dashboard!C8</f>
        <v>Ksh</v>
      </c>
      <c r="D14" s="55">
        <f t="shared" ref="D14:N14" si="0">SUM(D9:D13)</f>
        <v>727660</v>
      </c>
      <c r="E14" s="55">
        <f>SUM(E9:E13)</f>
        <v>675185</v>
      </c>
      <c r="F14" s="55">
        <f t="shared" si="0"/>
        <v>754220</v>
      </c>
      <c r="G14" s="55">
        <f t="shared" si="0"/>
        <v>824710</v>
      </c>
      <c r="H14" s="55">
        <f t="shared" si="0"/>
        <v>618150</v>
      </c>
      <c r="I14" s="55">
        <f>SUM(I9:I13)</f>
        <v>676645</v>
      </c>
      <c r="J14" s="55">
        <f t="shared" ref="J14" si="1">SUM(J9:J13)</f>
        <v>558750</v>
      </c>
      <c r="K14" s="55">
        <f t="shared" si="0"/>
        <v>717984</v>
      </c>
      <c r="L14" s="55">
        <f t="shared" si="0"/>
        <v>1209417</v>
      </c>
      <c r="M14" s="55">
        <f t="shared" si="0"/>
        <v>816150</v>
      </c>
      <c r="N14" s="55">
        <f t="shared" si="0"/>
        <v>1065400</v>
      </c>
      <c r="O14" s="55">
        <f>SUM(O9:O13)</f>
        <v>1163650</v>
      </c>
    </row>
    <row r="15" spans="1:15" x14ac:dyDescent="0.35">
      <c r="A15" s="50" t="str">
        <f>[1]Dashboard!A9</f>
        <v>4(i)</v>
      </c>
      <c r="B15" s="50" t="str">
        <f>[1]Dashboard!B9</f>
        <v>Company exhauster</v>
      </c>
      <c r="C15" s="50" t="str">
        <f>[1]Dashboard!C9</f>
        <v>Ksh</v>
      </c>
      <c r="D15" s="52">
        <v>140000</v>
      </c>
      <c r="E15" s="52">
        <v>130000</v>
      </c>
      <c r="F15" s="52">
        <v>150500</v>
      </c>
      <c r="G15" s="52">
        <v>142500</v>
      </c>
      <c r="H15" s="52">
        <v>147500</v>
      </c>
      <c r="I15" s="52">
        <v>114000</v>
      </c>
      <c r="J15">
        <v>150000</v>
      </c>
      <c r="K15" s="52">
        <v>142500</v>
      </c>
      <c r="L15" s="52">
        <v>15000</v>
      </c>
      <c r="M15" s="52">
        <v>152500</v>
      </c>
      <c r="N15" s="52">
        <v>149000</v>
      </c>
      <c r="O15">
        <v>193000</v>
      </c>
    </row>
    <row r="16" spans="1:15" x14ac:dyDescent="0.35">
      <c r="A16" s="50" t="str">
        <f>[1]Dashboard!A10</f>
        <v>4(ii)</v>
      </c>
      <c r="B16" s="50" t="str">
        <f>[1]Dashboard!B10</f>
        <v>Customer exhauster</v>
      </c>
      <c r="C16" s="50" t="str">
        <f>[1]Dashboard!C10</f>
        <v>Ksh</v>
      </c>
      <c r="D16" s="52">
        <v>180000</v>
      </c>
      <c r="E16" s="52">
        <v>180000</v>
      </c>
      <c r="F16" s="52">
        <v>165000</v>
      </c>
      <c r="G16" s="52">
        <v>150000</v>
      </c>
      <c r="H16" s="52">
        <v>150000</v>
      </c>
      <c r="I16" s="52">
        <v>150000</v>
      </c>
      <c r="J16">
        <v>165000</v>
      </c>
      <c r="K16" s="52">
        <v>150000</v>
      </c>
      <c r="L16" s="52">
        <v>158500</v>
      </c>
      <c r="M16" s="52">
        <v>150000</v>
      </c>
      <c r="N16" s="52">
        <v>150000</v>
      </c>
      <c r="O16">
        <v>150000</v>
      </c>
    </row>
    <row r="17" spans="1:15" ht="14.25" customHeight="1" x14ac:dyDescent="0.35">
      <c r="B17" s="50" t="s">
        <v>70</v>
      </c>
      <c r="D17" s="52"/>
      <c r="E17" s="52"/>
      <c r="F17" s="52"/>
      <c r="G17" s="52">
        <v>0</v>
      </c>
      <c r="H17" s="52">
        <v>0</v>
      </c>
      <c r="I17" s="52">
        <v>0</v>
      </c>
      <c r="J17">
        <v>0</v>
      </c>
      <c r="K17"/>
      <c r="L17" s="52">
        <v>7500</v>
      </c>
      <c r="M17" s="52">
        <v>2500</v>
      </c>
      <c r="N17" s="52">
        <v>0</v>
      </c>
      <c r="O17">
        <v>5000</v>
      </c>
    </row>
    <row r="18" spans="1:15" x14ac:dyDescent="0.35">
      <c r="B18" s="50" t="s">
        <v>71</v>
      </c>
      <c r="D18" s="52">
        <v>27500</v>
      </c>
      <c r="E18" s="52">
        <v>38000</v>
      </c>
      <c r="F18" s="52">
        <v>10500</v>
      </c>
      <c r="G18" s="52">
        <v>19000</v>
      </c>
      <c r="H18" s="52">
        <v>87500</v>
      </c>
      <c r="I18" s="52">
        <v>27500</v>
      </c>
      <c r="J18">
        <v>28000</v>
      </c>
      <c r="K18">
        <v>60000</v>
      </c>
      <c r="L18" s="52">
        <v>25000</v>
      </c>
      <c r="M18" s="52">
        <v>15000</v>
      </c>
      <c r="N18" s="52">
        <v>44500</v>
      </c>
      <c r="O18">
        <v>55000</v>
      </c>
    </row>
    <row r="19" spans="1:15" x14ac:dyDescent="0.35">
      <c r="B19" s="50" t="s">
        <v>72</v>
      </c>
      <c r="D19" s="52">
        <f>0+D13</f>
        <v>178060</v>
      </c>
      <c r="E19" s="52">
        <f>3000+E13</f>
        <v>150985</v>
      </c>
      <c r="F19" s="52">
        <f>3000+F13</f>
        <v>172420</v>
      </c>
      <c r="G19" s="52">
        <v>9000</v>
      </c>
      <c r="H19" s="52">
        <v>3000</v>
      </c>
      <c r="I19" s="52">
        <v>1500</v>
      </c>
      <c r="J19">
        <v>13500</v>
      </c>
      <c r="K19">
        <v>96000</v>
      </c>
      <c r="L19" s="52">
        <v>34500</v>
      </c>
      <c r="M19" s="52">
        <v>9000</v>
      </c>
      <c r="N19" s="52">
        <v>19500</v>
      </c>
      <c r="O19">
        <v>13500</v>
      </c>
    </row>
    <row r="20" spans="1:15" x14ac:dyDescent="0.35">
      <c r="B20" s="50" t="s">
        <v>73</v>
      </c>
      <c r="D20" s="52">
        <v>48000</v>
      </c>
      <c r="E20" s="52"/>
      <c r="F20" s="52"/>
      <c r="G20" s="52">
        <v>0</v>
      </c>
      <c r="H20" s="52">
        <v>0</v>
      </c>
      <c r="I20" s="52">
        <v>0</v>
      </c>
      <c r="J20"/>
      <c r="K20"/>
      <c r="L20" s="52">
        <v>35000</v>
      </c>
      <c r="M20" s="52">
        <v>0</v>
      </c>
      <c r="N20" s="52">
        <v>0</v>
      </c>
      <c r="O20"/>
    </row>
    <row r="21" spans="1:15" x14ac:dyDescent="0.35">
      <c r="A21" s="50">
        <f>[1]Dashboard!A11</f>
        <v>4</v>
      </c>
      <c r="B21" s="50" t="str">
        <f>[1]Dashboard!B11</f>
        <v>Total Sewerage Related Sales</v>
      </c>
      <c r="C21" s="50" t="str">
        <f>[1]Dashboard!C11</f>
        <v>Ksh</v>
      </c>
      <c r="D21" s="50">
        <f>SUM(D15:D20)</f>
        <v>573560</v>
      </c>
      <c r="E21" s="55">
        <f>SUM(E15:E20)</f>
        <v>498985</v>
      </c>
      <c r="F21" s="55">
        <f t="shared" ref="F21" si="2">SUM(F15:F20)</f>
        <v>498420</v>
      </c>
      <c r="G21" s="55">
        <f>SUM(G15:G20)</f>
        <v>320500</v>
      </c>
      <c r="H21" s="55">
        <f t="shared" ref="H21:N21" si="3">SUM(H15:H20)</f>
        <v>388000</v>
      </c>
      <c r="I21" s="55">
        <f>SUM(I15:I20)</f>
        <v>293000</v>
      </c>
      <c r="J21" s="55">
        <f>SUM(J15:J20)</f>
        <v>356500</v>
      </c>
      <c r="K21" s="55">
        <f t="shared" si="3"/>
        <v>448500</v>
      </c>
      <c r="L21" s="55">
        <f t="shared" si="3"/>
        <v>275500</v>
      </c>
      <c r="M21" s="55">
        <f>SUM(M15:M20)</f>
        <v>329000</v>
      </c>
      <c r="N21" s="55">
        <f t="shared" si="3"/>
        <v>363000</v>
      </c>
      <c r="O21" s="55">
        <f>SUM(O15:O20)</f>
        <v>416500</v>
      </c>
    </row>
    <row r="22" spans="1:15" x14ac:dyDescent="0.35">
      <c r="A22" s="50">
        <f>[1]Dashboard!A12</f>
        <v>5</v>
      </c>
      <c r="B22" s="50" t="str">
        <f>[1]Dashboard!B12</f>
        <v>Total Water/Sewerage and Related Sales (Ksh)</v>
      </c>
      <c r="C22" s="50" t="str">
        <f>[1]Dashboard!C12</f>
        <v>Ksh</v>
      </c>
      <c r="D22" s="55">
        <f>D6+D7+D14+D21</f>
        <v>15501027.15</v>
      </c>
      <c r="E22" s="55">
        <f>E6+E7+E14+E21</f>
        <v>15155095.300000001</v>
      </c>
      <c r="F22" s="55">
        <f t="shared" ref="F22:N22" si="4">F6+F7+F14+F21</f>
        <v>15781794.75</v>
      </c>
      <c r="G22" s="55">
        <f>G6+G7+G14+G21</f>
        <v>16013389.25</v>
      </c>
      <c r="H22" s="55">
        <f t="shared" si="4"/>
        <v>16517873.550000001</v>
      </c>
      <c r="I22" s="55">
        <f>I6+I7+I14+I21</f>
        <v>15575693.949999999</v>
      </c>
      <c r="J22" s="55">
        <f>J6+J7+J14+J21</f>
        <v>17432835.469999999</v>
      </c>
      <c r="K22" s="55">
        <f t="shared" si="4"/>
        <v>18100707.100000001</v>
      </c>
      <c r="L22" s="55">
        <f t="shared" si="4"/>
        <v>16326041</v>
      </c>
      <c r="M22" s="55">
        <f>M6+M7+M14+M21</f>
        <v>18286908.899999999</v>
      </c>
      <c r="N22" s="55">
        <f t="shared" si="4"/>
        <v>15893495.5</v>
      </c>
      <c r="O22" s="55">
        <f>O6+O7+O14+O21</f>
        <v>15522284.6</v>
      </c>
    </row>
    <row r="23" spans="1:15" x14ac:dyDescent="0.35">
      <c r="A23" s="50" t="str">
        <f>[1]Dashboard!A13</f>
        <v xml:space="preserve">COLLECTION EFFICIENCY </v>
      </c>
      <c r="D23"/>
      <c r="E23" s="52"/>
      <c r="F23"/>
      <c r="G23" s="57"/>
      <c r="H23" s="61"/>
      <c r="I23"/>
      <c r="J23"/>
      <c r="K23"/>
      <c r="L23"/>
      <c r="M23"/>
      <c r="N23"/>
      <c r="O23"/>
    </row>
    <row r="24" spans="1:15" x14ac:dyDescent="0.35">
      <c r="A24" s="50">
        <f>[1]Dashboard!A14</f>
        <v>6</v>
      </c>
      <c r="B24" s="50" t="str">
        <f>[1]Dashboard!B14</f>
        <v>Total Collection, Water and Sewer Revenues and other sales</v>
      </c>
      <c r="C24" s="50" t="str">
        <f>[1]Dashboard!C14</f>
        <v>Ksh</v>
      </c>
      <c r="D24" s="52">
        <v>15131038.33</v>
      </c>
      <c r="E24" s="61">
        <v>12356990.449999999</v>
      </c>
      <c r="F24" s="61">
        <v>12415042.449999999</v>
      </c>
      <c r="G24" s="61">
        <v>13167327.800000001</v>
      </c>
      <c r="H24" s="61">
        <v>18704965.75</v>
      </c>
      <c r="I24" s="61">
        <v>11339412</v>
      </c>
      <c r="J24" s="61">
        <v>19291963</v>
      </c>
      <c r="K24" s="61">
        <v>11507178</v>
      </c>
      <c r="L24" s="61">
        <v>13785469.57</v>
      </c>
      <c r="M24" s="61">
        <v>11337951.25</v>
      </c>
      <c r="N24" s="61">
        <v>19240362.850000001</v>
      </c>
      <c r="O24" s="61">
        <v>14508154.75</v>
      </c>
    </row>
    <row r="25" spans="1:15" x14ac:dyDescent="0.35">
      <c r="A25" s="50">
        <f>[1]Dashboard!A15</f>
        <v>7</v>
      </c>
      <c r="B25" s="50" t="str">
        <f>[1]Dashboard!B15</f>
        <v>Total Collection- Related Sales</v>
      </c>
      <c r="C25" s="50" t="str">
        <f>[1]Dashboard!C15</f>
        <v>Ksh</v>
      </c>
      <c r="D25" s="52">
        <v>729278.67</v>
      </c>
      <c r="E25" s="52">
        <v>957093.79</v>
      </c>
      <c r="F25" s="52">
        <v>900865.9</v>
      </c>
      <c r="G25">
        <v>817252.59000000008</v>
      </c>
      <c r="H25" s="52">
        <v>852098.27</v>
      </c>
      <c r="I25">
        <v>837820.69000000006</v>
      </c>
      <c r="J25">
        <v>954038.29999999993</v>
      </c>
      <c r="K25">
        <v>808090.65</v>
      </c>
      <c r="L25">
        <v>970913.67</v>
      </c>
      <c r="M25" s="57">
        <v>852667.86</v>
      </c>
      <c r="N25">
        <v>1017770.79</v>
      </c>
      <c r="O25">
        <v>1299989.5099999998</v>
      </c>
    </row>
    <row r="26" spans="1:15" x14ac:dyDescent="0.35">
      <c r="A26" s="50">
        <f>[1]Dashboard!A16</f>
        <v>8</v>
      </c>
      <c r="B26" s="50" t="str">
        <f>[1]Dashboard!B16</f>
        <v xml:space="preserve">Collection Efficiency - in % of budget </v>
      </c>
      <c r="C26" s="50" t="str">
        <f>[1]Dashboard!C16</f>
        <v>%</v>
      </c>
      <c r="D26" s="58">
        <f>D24/[1]BUDGET!D23</f>
        <v>1</v>
      </c>
      <c r="E26" s="58">
        <f>E24/[1]BUDGET!E23</f>
        <v>1</v>
      </c>
      <c r="F26" s="58">
        <f>F24/[1]BUDGET!F23</f>
        <v>1</v>
      </c>
      <c r="G26" s="58">
        <f>G24/[1]BUDGET!G23</f>
        <v>1</v>
      </c>
      <c r="H26" s="58">
        <f>H24/[1]BUDGET!H23</f>
        <v>1</v>
      </c>
      <c r="I26" s="58">
        <f>I24/[1]BUDGET!I23</f>
        <v>1</v>
      </c>
      <c r="J26" s="58">
        <f>J24/[2]BUDGET!J23</f>
        <v>0.94795961899630277</v>
      </c>
      <c r="K26" s="58">
        <f>K24/[1]BUDGET!K23</f>
        <v>1</v>
      </c>
      <c r="L26" s="58">
        <f>L24/[1]BUDGET!L23</f>
        <v>1</v>
      </c>
      <c r="M26" s="58">
        <f>M24/[1]BUDGET!M23</f>
        <v>1</v>
      </c>
      <c r="N26" s="58">
        <f>N24/[1]BUDGET!N23</f>
        <v>1</v>
      </c>
      <c r="O26" s="58">
        <f>O24/[1]BUDGET!O23</f>
        <v>1</v>
      </c>
    </row>
    <row r="27" spans="1:15" x14ac:dyDescent="0.35">
      <c r="A27" s="50">
        <f>[1]Dashboard!A17</f>
        <v>9</v>
      </c>
      <c r="B27" s="50" t="str">
        <f>[1]Dashboard!B17</f>
        <v xml:space="preserve">Collection Efficiency - in % of billing </v>
      </c>
      <c r="C27" s="50" t="str">
        <f>[1]Dashboard!C17</f>
        <v>%</v>
      </c>
      <c r="D27" s="56">
        <f>(D24+D25)/[1]ACTUAL2021!O21</f>
        <v>1.0130564008452989</v>
      </c>
      <c r="E27" s="56">
        <f>E24/D22</f>
        <v>0.79717236351011744</v>
      </c>
      <c r="F27" s="56">
        <f t="shared" ref="F27:O27" si="5">F24/E22</f>
        <v>0.81919923327700872</v>
      </c>
      <c r="G27" s="56">
        <f t="shared" si="5"/>
        <v>0.83433652563502014</v>
      </c>
      <c r="H27" s="56">
        <f t="shared" si="5"/>
        <v>1.1680828747730589</v>
      </c>
      <c r="I27" s="56">
        <f t="shared" si="5"/>
        <v>0.68649344999980333</v>
      </c>
      <c r="J27" s="56">
        <f t="shared" si="5"/>
        <v>1.2385941237629416</v>
      </c>
      <c r="K27" s="56">
        <f t="shared" si="5"/>
        <v>0.66008642253307526</v>
      </c>
      <c r="L27" s="56">
        <f t="shared" si="5"/>
        <v>0.76159840020835423</v>
      </c>
      <c r="M27" s="56">
        <f t="shared" si="5"/>
        <v>0.6944703403599195</v>
      </c>
      <c r="N27" s="56">
        <f t="shared" si="5"/>
        <v>1.0521386066510128</v>
      </c>
      <c r="O27" s="56">
        <f t="shared" si="5"/>
        <v>0.91283599318979269</v>
      </c>
    </row>
    <row r="28" spans="1:15" x14ac:dyDescent="0.35">
      <c r="A28" s="50" t="str">
        <f>[1]Dashboard!A18</f>
        <v>REGIONAL PERFORMANCE</v>
      </c>
      <c r="D28"/>
      <c r="E28"/>
      <c r="F28"/>
      <c r="G28"/>
      <c r="H28"/>
      <c r="I28"/>
      <c r="J28"/>
      <c r="K28"/>
      <c r="L28"/>
      <c r="M28"/>
      <c r="N28"/>
      <c r="O28"/>
    </row>
    <row r="29" spans="1:15" x14ac:dyDescent="0.35">
      <c r="A29" s="50" t="str">
        <f>[1]Dashboard!A19</f>
        <v>DTI REGION: CBD,CCCR,KABATI,SITE,KIHOTO</v>
      </c>
      <c r="D29"/>
      <c r="E29"/>
      <c r="F29"/>
      <c r="G29"/>
      <c r="H29"/>
      <c r="I29"/>
      <c r="J29"/>
      <c r="K29"/>
      <c r="L29" s="57"/>
      <c r="M29"/>
      <c r="N29"/>
      <c r="O29"/>
    </row>
    <row r="30" spans="1:15" x14ac:dyDescent="0.35">
      <c r="A30" s="50">
        <f>[1]Dashboard!A20</f>
        <v>10</v>
      </c>
      <c r="B30" s="50" t="str">
        <f>[1]Dashboard!B20</f>
        <v>Amount Billed Water-DTI</v>
      </c>
      <c r="C30" s="50" t="str">
        <f>[1]Dashboard!C20</f>
        <v>Ksh.</v>
      </c>
      <c r="D30" s="52">
        <v>5277990</v>
      </c>
      <c r="E30" s="52">
        <v>4887807</v>
      </c>
      <c r="F30" s="52">
        <v>5455618.2999999998</v>
      </c>
      <c r="G30" s="52">
        <v>5416695</v>
      </c>
      <c r="H30" s="52">
        <v>5791785</v>
      </c>
      <c r="I30" s="52">
        <v>5819845</v>
      </c>
      <c r="J30" s="52">
        <v>6294944</v>
      </c>
      <c r="K30" s="52">
        <v>6986878</v>
      </c>
      <c r="L30" s="52">
        <v>5892852</v>
      </c>
      <c r="M30" s="52">
        <v>6078802</v>
      </c>
      <c r="N30" s="52">
        <v>5301001</v>
      </c>
      <c r="O30">
        <v>4569022</v>
      </c>
    </row>
    <row r="31" spans="1:15" x14ac:dyDescent="0.35">
      <c r="A31" s="50">
        <f>[1]Dashboard!A21</f>
        <v>11</v>
      </c>
      <c r="B31" s="50" t="str">
        <f>[1]Dashboard!B21</f>
        <v>Amount Billed Sewer-DTI</v>
      </c>
      <c r="C31" s="50" t="str">
        <f>[1]Dashboard!C21</f>
        <v>Ksh.</v>
      </c>
      <c r="D31" s="52">
        <v>3270777.8</v>
      </c>
      <c r="E31" s="52">
        <v>3201537.7</v>
      </c>
      <c r="F31" s="52">
        <v>3456698.35</v>
      </c>
      <c r="G31" s="52">
        <v>3443299.15</v>
      </c>
      <c r="H31" s="52">
        <v>3601247.2</v>
      </c>
      <c r="I31" s="52">
        <v>3830623.7</v>
      </c>
      <c r="J31" s="52">
        <v>4098101.7199999997</v>
      </c>
      <c r="K31" s="52">
        <v>4386863.2</v>
      </c>
      <c r="L31" s="52">
        <v>3916586.5999999996</v>
      </c>
      <c r="M31" s="52">
        <v>4089032.2499999995</v>
      </c>
      <c r="N31" s="52">
        <v>3907537.3499999996</v>
      </c>
      <c r="O31" s="52">
        <v>4054135.1999999997</v>
      </c>
    </row>
    <row r="32" spans="1:15" x14ac:dyDescent="0.35">
      <c r="A32" s="50" t="str">
        <f>[1]Dashboard!A22</f>
        <v>11a</v>
      </c>
      <c r="B32" s="50" t="str">
        <f>[1]Dashboard!B22</f>
        <v>othersales</v>
      </c>
      <c r="C32" s="50" t="str">
        <f>[1]Dashboard!C22</f>
        <v>Ksh.</v>
      </c>
      <c r="D32" s="52">
        <v>682500</v>
      </c>
      <c r="E32" s="52">
        <v>293235</v>
      </c>
      <c r="F32" s="52">
        <v>389800</v>
      </c>
      <c r="G32" s="52">
        <v>585810</v>
      </c>
      <c r="H32" s="52">
        <v>545200</v>
      </c>
      <c r="I32" s="52">
        <v>353296</v>
      </c>
      <c r="J32" s="52">
        <v>540100</v>
      </c>
      <c r="K32" s="52">
        <v>716700</v>
      </c>
      <c r="L32" s="52">
        <v>698850</v>
      </c>
      <c r="M32" s="52">
        <v>599500</v>
      </c>
      <c r="N32" s="52">
        <v>712900</v>
      </c>
      <c r="O32" s="52">
        <v>746050</v>
      </c>
    </row>
    <row r="33" spans="1:15" x14ac:dyDescent="0.35">
      <c r="A33" s="50">
        <f>[1]Dashboard!A23</f>
        <v>12</v>
      </c>
      <c r="B33" s="50" t="str">
        <f>[1]Dashboard!B23</f>
        <v>Amount Billed Water &amp; Sewer-othersales-DTI</v>
      </c>
      <c r="C33" s="50" t="str">
        <f>[1]Dashboard!C23</f>
        <v>Ksh.</v>
      </c>
      <c r="D33" s="55">
        <f>D30+D31+D32</f>
        <v>9231267.8000000007</v>
      </c>
      <c r="E33" s="55">
        <f t="shared" ref="E33:O33" si="6">E30+E31+E32</f>
        <v>8382579.7000000002</v>
      </c>
      <c r="F33" s="55">
        <f t="shared" si="6"/>
        <v>9302116.6500000004</v>
      </c>
      <c r="G33" s="55">
        <f t="shared" si="6"/>
        <v>9445804.1500000004</v>
      </c>
      <c r="H33" s="55">
        <f t="shared" si="6"/>
        <v>9938232.1999999993</v>
      </c>
      <c r="I33" s="55">
        <f t="shared" si="6"/>
        <v>10003764.699999999</v>
      </c>
      <c r="J33" s="55">
        <f t="shared" si="6"/>
        <v>10933145.719999999</v>
      </c>
      <c r="K33" s="55">
        <f t="shared" si="6"/>
        <v>12090441.199999999</v>
      </c>
      <c r="L33" s="55">
        <f t="shared" si="6"/>
        <v>10508288.6</v>
      </c>
      <c r="M33" s="55">
        <f t="shared" si="6"/>
        <v>10767334.25</v>
      </c>
      <c r="N33" s="55">
        <f t="shared" si="6"/>
        <v>9921438.3499999996</v>
      </c>
      <c r="O33" s="55">
        <f t="shared" si="6"/>
        <v>9369207.1999999993</v>
      </c>
    </row>
    <row r="34" spans="1:15" x14ac:dyDescent="0.35">
      <c r="A34" s="50">
        <f>[1]Dashboard!A24</f>
        <v>13</v>
      </c>
      <c r="B34" s="50" t="str">
        <f>[1]Dashboard!B24</f>
        <v>Amount Collected-DTI</v>
      </c>
      <c r="C34" s="50" t="str">
        <f>[1]Dashboard!C24</f>
        <v>Ksh.</v>
      </c>
      <c r="D34" s="52">
        <v>11065270</v>
      </c>
      <c r="E34">
        <v>7201345.4500000002</v>
      </c>
      <c r="F34" s="52">
        <v>5950234.7000000002</v>
      </c>
      <c r="G34" s="52">
        <v>5524967.7999999998</v>
      </c>
      <c r="H34" s="52">
        <v>12019340.75</v>
      </c>
      <c r="I34" s="52">
        <v>5948255</v>
      </c>
      <c r="J34" s="52">
        <v>11407830.499999998</v>
      </c>
      <c r="K34" s="52">
        <v>6542782</v>
      </c>
      <c r="L34" s="52">
        <v>7447185.8200000003</v>
      </c>
      <c r="M34" s="52">
        <v>6330920.25</v>
      </c>
      <c r="N34" s="52">
        <v>12864394.85</v>
      </c>
      <c r="O34" s="52">
        <v>7682751.75</v>
      </c>
    </row>
    <row r="35" spans="1:15" x14ac:dyDescent="0.35">
      <c r="A35" s="50">
        <f>[1]Dashboard!A25</f>
        <v>14</v>
      </c>
      <c r="B35" s="50" t="str">
        <f>[1]Dashboard!B25</f>
        <v>Collection Efficiency-DTI</v>
      </c>
      <c r="C35" s="50" t="str">
        <f>[1]Dashboard!C25</f>
        <v>%</v>
      </c>
      <c r="D35" s="56">
        <v>1.1634411935990825</v>
      </c>
      <c r="E35" s="56">
        <v>0.78010362238651598</v>
      </c>
      <c r="F35" s="56">
        <v>0.70983335833955741</v>
      </c>
      <c r="G35" s="56">
        <v>0.59394737863236702</v>
      </c>
      <c r="H35" s="56">
        <v>1.2724528858667898</v>
      </c>
      <c r="I35" s="56">
        <v>0.59852244144587408</v>
      </c>
      <c r="J35" s="56">
        <v>1.1403537410271154</v>
      </c>
      <c r="K35" s="56">
        <v>0.59843545193322467</v>
      </c>
      <c r="L35" s="56">
        <v>0.61595649793160578</v>
      </c>
      <c r="M35" s="56">
        <v>0.60246920226382061</v>
      </c>
      <c r="N35" s="56">
        <v>1.1947613542321303</v>
      </c>
      <c r="O35" s="56">
        <v>0.77435866443699675</v>
      </c>
    </row>
    <row r="36" spans="1:15" x14ac:dyDescent="0.35">
      <c r="A36" s="50" t="str">
        <f>[1]Dashboard!A26</f>
        <v>KARATI REGION: KAYOLE,HELLSGATE,KAMERE</v>
      </c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35">
      <c r="A37" s="50">
        <f>[1]Dashboard!A27</f>
        <v>15</v>
      </c>
      <c r="B37" s="50" t="str">
        <f>[1]Dashboard!B27</f>
        <v>Amount Billed Water-KARATE</v>
      </c>
      <c r="C37" s="50" t="str">
        <f>[1]Dashboard!C27</f>
        <v>Ksh.</v>
      </c>
      <c r="D37" s="52">
        <v>4538930</v>
      </c>
      <c r="E37" s="52">
        <v>4741735</v>
      </c>
      <c r="F37" s="52">
        <v>4534960</v>
      </c>
      <c r="G37" s="52">
        <v>4906330</v>
      </c>
      <c r="H37" s="52">
        <v>4642570</v>
      </c>
      <c r="I37" s="52">
        <v>4437925</v>
      </c>
      <c r="J37" s="52">
        <v>5661702</v>
      </c>
      <c r="K37" s="52">
        <v>5135326</v>
      </c>
      <c r="L37" s="52">
        <v>4656651</v>
      </c>
      <c r="M37" s="52">
        <v>6291851</v>
      </c>
      <c r="N37" s="52">
        <v>4648934</v>
      </c>
      <c r="O37" s="52">
        <v>4658420</v>
      </c>
    </row>
    <row r="38" spans="1:15" x14ac:dyDescent="0.35">
      <c r="A38" s="50">
        <f>[1]Dashboard!A28</f>
        <v>16</v>
      </c>
      <c r="B38" s="50" t="str">
        <f>[1]Dashboard!B28</f>
        <v>Amount Billed Sewer-KARATE</v>
      </c>
      <c r="C38" s="50" t="str">
        <f>[1]Dashboard!C28</f>
        <v>Ksh.</v>
      </c>
      <c r="D38" s="52">
        <v>1112109.3500000001</v>
      </c>
      <c r="E38" s="52">
        <v>1149845.6000000001</v>
      </c>
      <c r="F38" s="52">
        <v>1081878.1000000001</v>
      </c>
      <c r="G38" s="52">
        <v>1101855.1000000001</v>
      </c>
      <c r="H38" s="52">
        <v>1476121.35</v>
      </c>
      <c r="I38" s="52">
        <v>517655.25</v>
      </c>
      <c r="J38" s="52">
        <v>462837.75</v>
      </c>
      <c r="K38" s="52">
        <v>425155.9</v>
      </c>
      <c r="L38" s="52">
        <v>375034.4</v>
      </c>
      <c r="M38" s="52">
        <v>682073.65</v>
      </c>
      <c r="N38" s="52">
        <v>607623.15</v>
      </c>
      <c r="O38" s="52">
        <v>660557.4</v>
      </c>
    </row>
    <row r="39" spans="1:15" x14ac:dyDescent="0.35">
      <c r="A39" s="50" t="str">
        <f>[1]Dashboard!A29</f>
        <v>16A</v>
      </c>
      <c r="B39" s="50" t="str">
        <f>[1]Dashboard!B29</f>
        <v>othersales</v>
      </c>
      <c r="C39" s="50" t="str">
        <f>[1]Dashboard!C29</f>
        <v>Ksh.</v>
      </c>
      <c r="D39" s="52">
        <v>252410</v>
      </c>
      <c r="E39" s="52">
        <v>216553</v>
      </c>
      <c r="F39" s="52">
        <v>537220</v>
      </c>
      <c r="G39" s="52">
        <v>559400</v>
      </c>
      <c r="H39" s="52">
        <v>460950</v>
      </c>
      <c r="I39" s="52">
        <v>466350</v>
      </c>
      <c r="J39" s="52">
        <v>375150</v>
      </c>
      <c r="K39" s="52">
        <v>449784</v>
      </c>
      <c r="L39" s="52">
        <v>946067</v>
      </c>
      <c r="M39" s="52">
        <v>545650</v>
      </c>
      <c r="N39" s="52">
        <v>700500</v>
      </c>
      <c r="O39" s="52">
        <v>834100</v>
      </c>
    </row>
    <row r="40" spans="1:15" x14ac:dyDescent="0.35">
      <c r="A40" s="50">
        <f>[1]Dashboard!A30</f>
        <v>17</v>
      </c>
      <c r="B40" s="50" t="str">
        <f>[1]Dashboard!B30</f>
        <v>Amount Billed Water &amp; Sewer-OTHER SALES-KARATE</v>
      </c>
      <c r="C40" s="50" t="str">
        <f>[1]Dashboard!C30</f>
        <v>Ksh.</v>
      </c>
      <c r="D40" s="55">
        <v>5903449.3499999996</v>
      </c>
      <c r="E40" s="55">
        <v>6108133.5999999996</v>
      </c>
      <c r="F40" s="55">
        <v>6154058.0999999996</v>
      </c>
      <c r="G40" s="55">
        <v>6567585.0999999996</v>
      </c>
      <c r="H40" s="55">
        <v>6579641.3499999996</v>
      </c>
      <c r="I40" s="55">
        <v>5421930.25</v>
      </c>
      <c r="J40" s="55">
        <v>6499689.75</v>
      </c>
      <c r="K40" s="55">
        <v>6010265.9000000004</v>
      </c>
      <c r="L40" s="55">
        <v>5977752.4000000004</v>
      </c>
      <c r="M40" s="55">
        <v>7519574.6500000004</v>
      </c>
      <c r="N40" s="55">
        <v>5957057.1500000004</v>
      </c>
      <c r="O40" s="55">
        <v>6153077.4000000004</v>
      </c>
    </row>
    <row r="41" spans="1:15" x14ac:dyDescent="0.35">
      <c r="A41" s="50">
        <f>[1]Dashboard!A31</f>
        <v>18</v>
      </c>
      <c r="B41" s="50" t="str">
        <f>[1]Dashboard!B31</f>
        <v>Amount Collected-KARATE</v>
      </c>
      <c r="C41" s="50" t="str">
        <f>[1]Dashboard!C31</f>
        <v>Ksh.</v>
      </c>
      <c r="D41" s="52">
        <v>4795147</v>
      </c>
      <c r="E41">
        <v>5155645</v>
      </c>
      <c r="F41">
        <v>6464807.75</v>
      </c>
      <c r="G41">
        <v>7642360</v>
      </c>
      <c r="H41">
        <v>6685625</v>
      </c>
      <c r="I41">
        <v>5391157</v>
      </c>
      <c r="J41">
        <v>7884132.5</v>
      </c>
      <c r="K41">
        <v>4964396</v>
      </c>
      <c r="L41">
        <v>6338283.75</v>
      </c>
      <c r="M41">
        <v>5007031</v>
      </c>
      <c r="N41">
        <v>6375968</v>
      </c>
      <c r="O41">
        <v>6825403</v>
      </c>
    </row>
    <row r="42" spans="1:15" x14ac:dyDescent="0.35">
      <c r="A42" s="50" t="str">
        <f>[1]Dashboard!A109</f>
        <v>se</v>
      </c>
      <c r="B42" s="50" t="str">
        <f>[1]Dashboard!B109</f>
        <v>Money in the bank</v>
      </c>
      <c r="C42" s="50">
        <f>[1]Dashboard!C115</f>
        <v>0</v>
      </c>
      <c r="D42">
        <v>0.88333702745404696</v>
      </c>
      <c r="E42">
        <v>0.87332755721873012</v>
      </c>
      <c r="F42">
        <v>1.0583933118293287</v>
      </c>
      <c r="G42">
        <v>1.2418407294529767</v>
      </c>
      <c r="H42">
        <v>1.0179731055178867</v>
      </c>
      <c r="I42">
        <v>0.81936943265152296</v>
      </c>
      <c r="J42">
        <v>1.4541191303595247</v>
      </c>
      <c r="K42" s="66">
        <v>0.76378968703852368</v>
      </c>
      <c r="L42">
        <v>1.0545762625909778</v>
      </c>
      <c r="M42">
        <v>0.83761097231126524</v>
      </c>
      <c r="N42">
        <v>0.84791604535769849</v>
      </c>
      <c r="O42">
        <v>1.1457675876082538</v>
      </c>
    </row>
    <row r="43" spans="1:15" x14ac:dyDescent="0.35">
      <c r="A43" s="50">
        <f>[1]Dashboard!A110</f>
        <v>0</v>
      </c>
      <c r="B43" s="50">
        <f>[1]Dashboard!B110</f>
        <v>0</v>
      </c>
      <c r="C43" s="50">
        <f>[1]Dashboard!C116</f>
        <v>0</v>
      </c>
      <c r="D43"/>
      <c r="E43"/>
      <c r="F43"/>
      <c r="G43"/>
      <c r="H43"/>
      <c r="I43"/>
      <c r="J43"/>
      <c r="K43"/>
      <c r="L43"/>
      <c r="M43"/>
      <c r="N43"/>
      <c r="O43"/>
    </row>
    <row r="44" spans="1:15" x14ac:dyDescent="0.35">
      <c r="A44" s="50">
        <f>[1]Dashboard!A111</f>
        <v>0</v>
      </c>
      <c r="B44" s="50">
        <f>[1]Dashboard!B111</f>
        <v>0</v>
      </c>
      <c r="C44" s="50">
        <f>[1]Dashboard!C117</f>
        <v>0</v>
      </c>
      <c r="D44"/>
      <c r="E44"/>
      <c r="F44"/>
      <c r="G44"/>
      <c r="H44"/>
      <c r="I44"/>
      <c r="J44"/>
      <c r="K44"/>
      <c r="L44"/>
      <c r="M44"/>
      <c r="N44"/>
      <c r="O44"/>
    </row>
    <row r="45" spans="1:15" x14ac:dyDescent="0.35">
      <c r="A45" s="50">
        <f>[1]Dashboard!A118</f>
        <v>0</v>
      </c>
      <c r="B45" s="50">
        <f>[1]Dashboard!B112</f>
        <v>0</v>
      </c>
      <c r="C45" s="50">
        <f>[1]Dashboard!C118</f>
        <v>0</v>
      </c>
      <c r="D45"/>
      <c r="E45"/>
      <c r="F45"/>
      <c r="G45"/>
      <c r="H45"/>
      <c r="I45"/>
      <c r="J45"/>
      <c r="K45"/>
      <c r="L45"/>
      <c r="M45"/>
      <c r="N45"/>
      <c r="O45"/>
    </row>
    <row r="46" spans="1:15" x14ac:dyDescent="0.35">
      <c r="A46" s="50">
        <f>[1]Dashboard!A119</f>
        <v>0</v>
      </c>
      <c r="B46" s="50">
        <f>[1]Dashboard!B119</f>
        <v>0</v>
      </c>
      <c r="C46" s="50">
        <f>[1]Dashboard!C119</f>
        <v>0</v>
      </c>
      <c r="D46"/>
      <c r="E46"/>
      <c r="F46"/>
      <c r="G46"/>
      <c r="H46"/>
      <c r="I46"/>
      <c r="J46"/>
      <c r="K46"/>
      <c r="L46"/>
      <c r="M46"/>
      <c r="N46"/>
      <c r="O46"/>
    </row>
    <row r="47" spans="1:15" x14ac:dyDescent="0.35">
      <c r="A47" s="50">
        <f>[1]Dashboard!A120</f>
        <v>0</v>
      </c>
      <c r="B47" s="50">
        <f>[1]Dashboard!B120</f>
        <v>0</v>
      </c>
      <c r="C47" s="50">
        <f>[1]Dashboard!C120</f>
        <v>0</v>
      </c>
      <c r="D47"/>
      <c r="E47"/>
      <c r="F47"/>
      <c r="G47"/>
      <c r="H47"/>
      <c r="I47"/>
      <c r="J47"/>
      <c r="K47"/>
      <c r="L47"/>
      <c r="M47"/>
      <c r="N47"/>
      <c r="O47"/>
    </row>
    <row r="48" spans="1:15" x14ac:dyDescent="0.35">
      <c r="A48" s="50">
        <f>[1]Dashboard!A121</f>
        <v>0</v>
      </c>
      <c r="B48" s="50">
        <f>[1]Dashboard!B121</f>
        <v>0</v>
      </c>
      <c r="C48" s="50">
        <f>[1]Dashboard!C121</f>
        <v>0</v>
      </c>
      <c r="D48"/>
      <c r="E48"/>
      <c r="F48"/>
      <c r="G48"/>
      <c r="H48"/>
      <c r="I48"/>
      <c r="J48"/>
      <c r="K48"/>
      <c r="L48"/>
      <c r="M48"/>
      <c r="N48"/>
      <c r="O48"/>
    </row>
    <row r="49" spans="1:15" x14ac:dyDescent="0.35">
      <c r="A49" s="50">
        <f>[1]Dashboard!A122</f>
        <v>0</v>
      </c>
      <c r="B49" s="50">
        <f>[1]Dashboard!B122</f>
        <v>0</v>
      </c>
      <c r="C49" s="50">
        <f>[1]Dashboard!C122</f>
        <v>0</v>
      </c>
      <c r="D49"/>
      <c r="E49"/>
      <c r="F49"/>
      <c r="G49"/>
      <c r="H49"/>
      <c r="I49"/>
      <c r="J49"/>
      <c r="K49"/>
      <c r="L49"/>
      <c r="M49"/>
      <c r="N49"/>
      <c r="O49"/>
    </row>
    <row r="50" spans="1:15" x14ac:dyDescent="0.35">
      <c r="A50" s="50">
        <f>[1]Dashboard!A123</f>
        <v>0</v>
      </c>
      <c r="B50" s="50">
        <f>[1]Dashboard!B123</f>
        <v>0</v>
      </c>
      <c r="C50" s="50">
        <f>[1]Dashboard!C123</f>
        <v>0</v>
      </c>
      <c r="D50"/>
      <c r="E50"/>
      <c r="F50"/>
      <c r="G50"/>
      <c r="H50"/>
      <c r="I50"/>
      <c r="J50"/>
      <c r="K50"/>
      <c r="L50"/>
      <c r="M50"/>
      <c r="N50"/>
      <c r="O50"/>
    </row>
    <row r="51" spans="1:15" x14ac:dyDescent="0.35">
      <c r="A51" s="50">
        <f>[1]Dashboard!A124</f>
        <v>0</v>
      </c>
      <c r="B51" s="50">
        <f>[1]Dashboard!B124</f>
        <v>0</v>
      </c>
      <c r="C51" s="50">
        <f>[1]Dashboard!C124</f>
        <v>0</v>
      </c>
      <c r="D51"/>
      <c r="E51"/>
      <c r="F51"/>
      <c r="G51"/>
      <c r="H51"/>
      <c r="I51"/>
      <c r="J51"/>
      <c r="K51"/>
      <c r="L51"/>
      <c r="M51"/>
      <c r="N51"/>
      <c r="O51"/>
    </row>
    <row r="52" spans="1:15" x14ac:dyDescent="0.35">
      <c r="A52" s="50">
        <f>[1]Dashboard!A125</f>
        <v>0</v>
      </c>
      <c r="B52" s="50">
        <f>[1]Dashboard!B125</f>
        <v>0</v>
      </c>
      <c r="C52" s="50">
        <f>[1]Dashboard!C125</f>
        <v>0</v>
      </c>
      <c r="D52"/>
      <c r="E52"/>
      <c r="F52"/>
      <c r="G52"/>
      <c r="H52"/>
      <c r="I52"/>
      <c r="J52"/>
      <c r="K52"/>
      <c r="L52"/>
      <c r="M52"/>
      <c r="N52"/>
      <c r="O52"/>
    </row>
    <row r="53" spans="1:15" x14ac:dyDescent="0.35">
      <c r="A53" s="50">
        <f>[1]Dashboard!A126</f>
        <v>0</v>
      </c>
      <c r="B53" s="50">
        <f>[1]Dashboard!B126</f>
        <v>0</v>
      </c>
      <c r="C53" s="50">
        <f>[1]Dashboard!C126</f>
        <v>0</v>
      </c>
      <c r="D53"/>
      <c r="E53"/>
      <c r="F53"/>
      <c r="G53"/>
      <c r="H53"/>
      <c r="I53"/>
      <c r="J53"/>
      <c r="K53"/>
      <c r="L53"/>
      <c r="M53"/>
      <c r="N53"/>
      <c r="O5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9"/>
  <sheetViews>
    <sheetView topLeftCell="I1" workbookViewId="0"/>
  </sheetViews>
  <sheetFormatPr defaultColWidth="9.1796875" defaultRowHeight="14.5" x14ac:dyDescent="0.35"/>
  <cols>
    <col min="1" max="1" width="9.1796875" style="50"/>
    <col min="2" max="2" width="69" style="50" bestFit="1" customWidth="1"/>
    <col min="3" max="3" width="9.1796875" style="50"/>
    <col min="4" max="15" width="15.1796875" style="50" bestFit="1" customWidth="1"/>
    <col min="16" max="16384" width="9.1796875" style="50"/>
  </cols>
  <sheetData>
    <row r="1" spans="1:15" x14ac:dyDescent="0.35">
      <c r="A1" s="50" t="str">
        <f>Dashboard!A1</f>
        <v>FINANCE DASHBOARD</v>
      </c>
    </row>
    <row r="4" spans="1:15" x14ac:dyDescent="0.35">
      <c r="B4" s="50" t="s">
        <v>50</v>
      </c>
      <c r="C4" s="50" t="s">
        <v>51</v>
      </c>
      <c r="D4" s="50" t="s">
        <v>52</v>
      </c>
      <c r="E4" s="50" t="s">
        <v>53</v>
      </c>
      <c r="F4" s="50" t="s">
        <v>54</v>
      </c>
      <c r="G4" s="50" t="s">
        <v>55</v>
      </c>
      <c r="H4" s="50" t="s">
        <v>56</v>
      </c>
      <c r="I4" s="50" t="s">
        <v>57</v>
      </c>
      <c r="J4" s="50" t="s">
        <v>58</v>
      </c>
      <c r="K4" s="50" t="s">
        <v>59</v>
      </c>
      <c r="L4" s="50" t="s">
        <v>60</v>
      </c>
      <c r="M4" s="50" t="s">
        <v>61</v>
      </c>
      <c r="N4" s="50" t="s">
        <v>62</v>
      </c>
      <c r="O4" s="50" t="s">
        <v>63</v>
      </c>
    </row>
    <row r="5" spans="1:15" x14ac:dyDescent="0.35">
      <c r="A5" s="50" t="str">
        <f>Dashboard!A5</f>
        <v>BILLING DASHBOARD - SUMMARY</v>
      </c>
    </row>
    <row r="6" spans="1:15" x14ac:dyDescent="0.35">
      <c r="A6" s="50">
        <f>Dashboard!A6</f>
        <v>1</v>
      </c>
      <c r="B6" s="50" t="str">
        <f>Dashboard!B6</f>
        <v>Total Water Sales (Ksh)</v>
      </c>
      <c r="C6" s="50" t="str">
        <f>Dashboard!C6</f>
        <v>Ksh</v>
      </c>
      <c r="D6" s="52">
        <v>8033080</v>
      </c>
      <c r="E6" s="52">
        <v>10480450</v>
      </c>
      <c r="F6" s="52">
        <v>10563035</v>
      </c>
      <c r="G6" s="52">
        <v>8803530</v>
      </c>
      <c r="H6" s="52">
        <v>8319130</v>
      </c>
      <c r="I6" s="52">
        <v>8933605</v>
      </c>
      <c r="J6" s="52">
        <v>10666780</v>
      </c>
      <c r="K6" s="52">
        <v>9484535</v>
      </c>
      <c r="L6" s="52">
        <v>9231735</v>
      </c>
      <c r="M6" s="52">
        <v>10740380</v>
      </c>
      <c r="N6" s="52">
        <v>8398845</v>
      </c>
      <c r="O6" s="52">
        <v>10066755</v>
      </c>
    </row>
    <row r="7" spans="1:15" x14ac:dyDescent="0.35">
      <c r="A7" s="50">
        <f>Dashboard!A7</f>
        <v>2</v>
      </c>
      <c r="B7" s="50" t="str">
        <f>Dashboard!B7</f>
        <v>Total Sewerage Sales (Ksh)</v>
      </c>
      <c r="C7" s="50" t="str">
        <f>Dashboard!C7</f>
        <v>Ksh</v>
      </c>
      <c r="D7" s="52">
        <v>3963417</v>
      </c>
      <c r="E7" s="52">
        <v>4025381</v>
      </c>
      <c r="F7" s="52">
        <v>4547362</v>
      </c>
      <c r="G7" s="52">
        <v>3846273</v>
      </c>
      <c r="H7" s="52">
        <v>3738059</v>
      </c>
      <c r="I7" s="52">
        <v>4422040.1500000004</v>
      </c>
      <c r="J7" s="52">
        <v>4751034.5</v>
      </c>
      <c r="K7" s="52">
        <v>4819908.3499999996</v>
      </c>
      <c r="L7" s="52">
        <v>4820424.6500000004</v>
      </c>
      <c r="M7" s="52">
        <v>4626475.95</v>
      </c>
      <c r="N7" s="52">
        <v>4126125.95</v>
      </c>
      <c r="O7" s="52">
        <v>4586502.2</v>
      </c>
    </row>
    <row r="8" spans="1:15" x14ac:dyDescent="0.35">
      <c r="B8" s="50" t="s">
        <v>66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</row>
    <row r="9" spans="1:15" x14ac:dyDescent="0.35">
      <c r="B9" s="50" t="s">
        <v>67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</row>
    <row r="10" spans="1:15" x14ac:dyDescent="0.35">
      <c r="B10" s="50" t="s">
        <v>68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spans="1:15" x14ac:dyDescent="0.35">
      <c r="B11" s="50" t="s">
        <v>77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spans="1:15" x14ac:dyDescent="0.35">
      <c r="B12" s="50" t="s">
        <v>69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spans="1:15" x14ac:dyDescent="0.35">
      <c r="A13" s="50">
        <f>Dashboard!A8</f>
        <v>3</v>
      </c>
      <c r="B13" s="50" t="str">
        <f>Dashboard!B8</f>
        <v xml:space="preserve">Bulk water </v>
      </c>
      <c r="C13" s="50" t="str">
        <f>Dashboard!C8</f>
        <v>Ksh</v>
      </c>
      <c r="D13" s="55">
        <v>652095</v>
      </c>
      <c r="E13" s="55">
        <v>1021202</v>
      </c>
      <c r="F13" s="55">
        <v>994085</v>
      </c>
      <c r="G13" s="55">
        <v>638710</v>
      </c>
      <c r="H13" s="55">
        <v>581155</v>
      </c>
      <c r="I13" s="55">
        <v>584551</v>
      </c>
      <c r="J13" s="55">
        <v>587991</v>
      </c>
      <c r="K13" s="55">
        <v>571550</v>
      </c>
      <c r="L13" s="55">
        <v>833292</v>
      </c>
      <c r="M13" s="55">
        <v>581900</v>
      </c>
      <c r="N13" s="55">
        <v>897358.75</v>
      </c>
      <c r="O13" s="55">
        <v>617650</v>
      </c>
    </row>
    <row r="14" spans="1:15" x14ac:dyDescent="0.35">
      <c r="A14" s="50">
        <f>Dashboard!A10</f>
        <v>5</v>
      </c>
      <c r="B14" s="50" t="str">
        <f>Dashboard!B10</f>
        <v>new connection fee water</v>
      </c>
      <c r="C14" s="50" t="str">
        <f>Dashboard!C10</f>
        <v>Ksh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87500</v>
      </c>
      <c r="N14" s="52">
        <v>88000</v>
      </c>
      <c r="O14" s="52">
        <v>106000</v>
      </c>
    </row>
    <row r="15" spans="1:15" x14ac:dyDescent="0.35">
      <c r="A15" s="50">
        <f>Dashboard!A11</f>
        <v>6</v>
      </c>
      <c r="B15" s="50" t="str">
        <f>Dashboard!B11</f>
        <v>new connection fee sewer</v>
      </c>
      <c r="C15" s="50" t="str">
        <f>Dashboard!C11</f>
        <v>Ksh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180000</v>
      </c>
      <c r="N15" s="52">
        <v>180000</v>
      </c>
      <c r="O15" s="52">
        <v>180000</v>
      </c>
    </row>
    <row r="16" spans="1:15" ht="14.25" customHeight="1" x14ac:dyDescent="0.35">
      <c r="B16" s="50" t="s">
        <v>70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spans="1:15" x14ac:dyDescent="0.35">
      <c r="B17" s="50" t="s">
        <v>71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</row>
    <row r="18" spans="1:15" x14ac:dyDescent="0.35">
      <c r="B18" s="50" t="s">
        <v>72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spans="1:15" x14ac:dyDescent="0.35">
      <c r="B19" s="50" t="s">
        <v>73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spans="1:15" x14ac:dyDescent="0.35">
      <c r="A20" s="50">
        <f>Dashboard!A12</f>
        <v>7</v>
      </c>
      <c r="B20" s="50" t="str">
        <f>Dashboard!B12</f>
        <v>reconnection fee (water+sewer)</v>
      </c>
      <c r="C20" s="50" t="str">
        <f>Dashboard!C12</f>
        <v>Ksh</v>
      </c>
      <c r="D20" s="55">
        <v>40871</v>
      </c>
      <c r="E20" s="55">
        <v>26492</v>
      </c>
      <c r="F20" s="55">
        <v>30921</v>
      </c>
      <c r="G20" s="55">
        <v>46637</v>
      </c>
      <c r="H20" s="55">
        <v>8500</v>
      </c>
      <c r="I20" s="55">
        <v>388500</v>
      </c>
      <c r="J20" s="55">
        <v>29000</v>
      </c>
      <c r="K20" s="55">
        <v>134000</v>
      </c>
      <c r="L20" s="55">
        <v>74000</v>
      </c>
      <c r="M20" s="55">
        <v>91500</v>
      </c>
      <c r="N20" s="55">
        <v>96200</v>
      </c>
      <c r="O20" s="55">
        <v>99000</v>
      </c>
    </row>
    <row r="21" spans="1:15" x14ac:dyDescent="0.35">
      <c r="A21" s="50">
        <f>Dashboard!A19</f>
        <v>13</v>
      </c>
      <c r="B21" s="50" t="str">
        <f>Dashboard!B19</f>
        <v>Total billed (Ksh)</v>
      </c>
      <c r="C21" s="50" t="str">
        <f>Dashboard!C19</f>
        <v>Ksh</v>
      </c>
      <c r="D21" s="55">
        <f t="shared" ref="D21:N21" si="0">D6+D7+D13+D20</f>
        <v>12689463</v>
      </c>
      <c r="E21" s="55">
        <f t="shared" si="0"/>
        <v>15553525</v>
      </c>
      <c r="F21" s="55">
        <f t="shared" si="0"/>
        <v>16135403</v>
      </c>
      <c r="G21" s="55">
        <f t="shared" si="0"/>
        <v>13335150</v>
      </c>
      <c r="H21" s="55">
        <f t="shared" si="0"/>
        <v>12646844</v>
      </c>
      <c r="I21" s="55">
        <f t="shared" si="0"/>
        <v>14328696.15</v>
      </c>
      <c r="J21" s="55">
        <f t="shared" si="0"/>
        <v>16034805.5</v>
      </c>
      <c r="K21" s="55">
        <f t="shared" si="0"/>
        <v>15009993.35</v>
      </c>
      <c r="L21" s="55">
        <f t="shared" si="0"/>
        <v>14959451.65</v>
      </c>
      <c r="M21" s="55">
        <f t="shared" si="0"/>
        <v>16040255.949999999</v>
      </c>
      <c r="N21" s="55">
        <f t="shared" si="0"/>
        <v>13518529.699999999</v>
      </c>
      <c r="O21" s="55">
        <f>O6+O7+O13+O20+O14+O15</f>
        <v>15655907.199999999</v>
      </c>
    </row>
    <row r="22" spans="1:15" x14ac:dyDescent="0.35">
      <c r="A22" s="50" t="str">
        <f>Dashboard!A24</f>
        <v xml:space="preserve">COLLECTION EFFICIENCY 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spans="1:15" x14ac:dyDescent="0.35">
      <c r="A23" s="50" t="str">
        <f>Dashboard!A25</f>
        <v>D</v>
      </c>
      <c r="B23" s="50" t="str">
        <f>Dashboard!B25</f>
        <v>Total accounts disconnected-water</v>
      </c>
      <c r="C23" s="50" t="str">
        <f>Dashboard!C25</f>
        <v>NO</v>
      </c>
      <c r="D23" s="52">
        <v>18904165</v>
      </c>
      <c r="E23" s="52">
        <v>8241524</v>
      </c>
      <c r="F23" s="52">
        <v>11025250</v>
      </c>
      <c r="G23" s="52">
        <v>15698553</v>
      </c>
      <c r="H23" s="52">
        <v>8486541</v>
      </c>
      <c r="I23" s="52">
        <v>11994611.25</v>
      </c>
      <c r="J23" s="52">
        <v>10908165</v>
      </c>
      <c r="K23" s="52">
        <v>16454520.550000001</v>
      </c>
      <c r="L23" s="52">
        <v>13196644.15</v>
      </c>
      <c r="M23" s="52">
        <v>12174965.98</v>
      </c>
      <c r="N23" s="52">
        <v>15916704.869999999</v>
      </c>
      <c r="O23" s="52">
        <v>11719504.640000001</v>
      </c>
    </row>
    <row r="24" spans="1:15" x14ac:dyDescent="0.35">
      <c r="A24" s="50" t="str">
        <f>Dashboard!A26</f>
        <v>E</v>
      </c>
      <c r="B24" s="50" t="str">
        <f>Dashboard!B26</f>
        <v>Total accounts disconnected-sewer</v>
      </c>
      <c r="C24" s="50" t="str">
        <f>Dashboard!C26</f>
        <v>NO</v>
      </c>
      <c r="D24" s="52">
        <v>595166</v>
      </c>
      <c r="E24" s="52">
        <v>624092</v>
      </c>
      <c r="F24" s="52">
        <v>774506</v>
      </c>
      <c r="G24" s="52">
        <v>570747</v>
      </c>
      <c r="H24" s="52">
        <v>451705</v>
      </c>
      <c r="I24" s="52">
        <v>411895.5</v>
      </c>
      <c r="J24" s="52">
        <v>509050</v>
      </c>
      <c r="K24" s="52">
        <v>368468</v>
      </c>
      <c r="L24" s="52">
        <v>459098.05</v>
      </c>
      <c r="M24" s="52">
        <v>696391.51999999955</v>
      </c>
      <c r="N24" s="52">
        <v>779005.18</v>
      </c>
      <c r="O24" s="52">
        <v>558058.41</v>
      </c>
    </row>
    <row r="25" spans="1:15" x14ac:dyDescent="0.35">
      <c r="A25" s="50" t="e">
        <f>Dashboard!#REF!</f>
        <v>#REF!</v>
      </c>
      <c r="B25" s="50" t="e">
        <f>Dashboard!#REF!</f>
        <v>#REF!</v>
      </c>
      <c r="C25" s="50" t="e">
        <f>Dashboard!#REF!</f>
        <v>#REF!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5" x14ac:dyDescent="0.35">
      <c r="A26" s="50">
        <f>Dashboard!A29</f>
        <v>15</v>
      </c>
      <c r="B26" s="50" t="str">
        <f>Dashboard!B29</f>
        <v xml:space="preserve">Collection Efficiency - in % of billing </v>
      </c>
      <c r="C26" s="50" t="str">
        <f>Dashboard!C29</f>
        <v>%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 spans="1:15" x14ac:dyDescent="0.35">
      <c r="A27" s="50" t="str">
        <f>Dashboard!A30</f>
        <v>REGIONAL PERFORMANCE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>
        <f>[3]SUMMARY!$C$262-O32</f>
        <v>326450.04999999888</v>
      </c>
    </row>
    <row r="28" spans="1:15" x14ac:dyDescent="0.35">
      <c r="A28" s="50" t="str">
        <f>Dashboard!A31</f>
        <v>CENTRAL REGION: CBD,CCCR,KABATI,SITE,KIHOTO,LAKEVIEW,HOPEWELL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>
        <v>326450.05</v>
      </c>
    </row>
    <row r="29" spans="1:15" x14ac:dyDescent="0.35">
      <c r="A29" s="50" t="str">
        <f>Dashboard!A32</f>
        <v>16a</v>
      </c>
      <c r="B29" s="50" t="str">
        <f>Dashboard!B32</f>
        <v>Amount Billed Water-Central</v>
      </c>
      <c r="C29" s="50" t="str">
        <f>Dashboard!C32</f>
        <v>Ksh.</v>
      </c>
      <c r="D29" s="52">
        <v>5721035</v>
      </c>
      <c r="E29" s="52">
        <v>6734605</v>
      </c>
      <c r="F29" s="52">
        <v>7621450</v>
      </c>
      <c r="G29" s="52">
        <v>5605755</v>
      </c>
      <c r="H29" s="52">
        <v>5415485</v>
      </c>
      <c r="I29" s="52">
        <v>5122305</v>
      </c>
      <c r="J29" s="52">
        <v>5499295</v>
      </c>
      <c r="K29" s="52">
        <v>5141690</v>
      </c>
      <c r="L29" s="52">
        <v>5494275</v>
      </c>
      <c r="M29" s="52">
        <v>7399560</v>
      </c>
      <c r="N29" s="52">
        <v>4902855</v>
      </c>
      <c r="O29" s="52">
        <v>5571390</v>
      </c>
    </row>
    <row r="30" spans="1:15" x14ac:dyDescent="0.35">
      <c r="A30" s="50" t="str">
        <f>Dashboard!A33</f>
        <v>17a</v>
      </c>
      <c r="B30" s="50" t="str">
        <f>Dashboard!B33</f>
        <v>Amount Billed Sewer-Central</v>
      </c>
      <c r="C30" s="50" t="str">
        <f>Dashboard!C33</f>
        <v>Ksh.</v>
      </c>
      <c r="D30" s="52">
        <v>3456061</v>
      </c>
      <c r="E30" s="52">
        <v>3516948</v>
      </c>
      <c r="F30" s="52">
        <v>4046923</v>
      </c>
      <c r="G30" s="52">
        <v>3326350</v>
      </c>
      <c r="H30" s="52">
        <v>3247600</v>
      </c>
      <c r="I30" s="52">
        <v>2167577.0999999996</v>
      </c>
      <c r="J30" s="52">
        <v>3642577.1500000069</v>
      </c>
      <c r="K30" s="52">
        <v>3510500.350000001</v>
      </c>
      <c r="L30" s="52">
        <v>3965142.8</v>
      </c>
      <c r="M30" s="52">
        <v>4102307.7</v>
      </c>
      <c r="N30" s="52">
        <v>3237807.85</v>
      </c>
      <c r="O30" s="52">
        <v>3939421.6</v>
      </c>
    </row>
    <row r="31" spans="1:15" x14ac:dyDescent="0.35">
      <c r="A31" s="50" t="str">
        <f>Dashboard!A34</f>
        <v>18a</v>
      </c>
      <c r="B31" s="50" t="str">
        <f>Dashboard!B34</f>
        <v>othersales</v>
      </c>
      <c r="C31" s="50" t="str">
        <f>Dashboard!C34</f>
        <v>Ksh.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 spans="1:15" x14ac:dyDescent="0.35">
      <c r="A32" s="50" t="str">
        <f>Dashboard!A35</f>
        <v>19a</v>
      </c>
      <c r="B32" s="50" t="str">
        <f>Dashboard!B35</f>
        <v>Amount Billed Water &amp; Sewer-othersales-Central</v>
      </c>
      <c r="C32" s="50" t="str">
        <f>Dashboard!C35</f>
        <v>Ksh.</v>
      </c>
      <c r="D32" s="55">
        <f>D29+D30+D31</f>
        <v>9177096</v>
      </c>
      <c r="E32" s="55">
        <f t="shared" ref="E32:O32" si="1">E29+E30+E31</f>
        <v>10251553</v>
      </c>
      <c r="F32" s="55">
        <f t="shared" si="1"/>
        <v>11668373</v>
      </c>
      <c r="G32" s="55">
        <f t="shared" si="1"/>
        <v>8932105</v>
      </c>
      <c r="H32" s="55">
        <f t="shared" si="1"/>
        <v>8663085</v>
      </c>
      <c r="I32" s="55">
        <f t="shared" si="1"/>
        <v>7289882.0999999996</v>
      </c>
      <c r="J32" s="55">
        <f t="shared" si="1"/>
        <v>9141872.150000006</v>
      </c>
      <c r="K32" s="55">
        <f t="shared" si="1"/>
        <v>8652190.3500000015</v>
      </c>
      <c r="L32" s="55">
        <f t="shared" si="1"/>
        <v>9459417.8000000007</v>
      </c>
      <c r="M32" s="55">
        <f t="shared" si="1"/>
        <v>11501867.699999999</v>
      </c>
      <c r="N32" s="55">
        <f t="shared" si="1"/>
        <v>8140662.8499999996</v>
      </c>
      <c r="O32" s="55">
        <f t="shared" si="1"/>
        <v>9510811.5999999996</v>
      </c>
    </row>
    <row r="33" spans="1:16" x14ac:dyDescent="0.35">
      <c r="A33" s="50" t="str">
        <f>Dashboard!A36</f>
        <v>14a</v>
      </c>
      <c r="B33" s="50" t="str">
        <f>Dashboard!B36</f>
        <v>Amount Collected-Central</v>
      </c>
      <c r="C33" s="50" t="str">
        <f>Dashboard!C36</f>
        <v>Ksh.</v>
      </c>
      <c r="D33" s="52">
        <v>15948729</v>
      </c>
      <c r="E33" s="52">
        <v>5334326</v>
      </c>
      <c r="F33" s="52">
        <v>7406833</v>
      </c>
      <c r="G33" s="52">
        <v>12126115</v>
      </c>
      <c r="H33" s="52">
        <v>5868908</v>
      </c>
      <c r="I33" s="52">
        <v>7723477</v>
      </c>
      <c r="J33" s="52">
        <v>7243732.4500000002</v>
      </c>
      <c r="K33" s="52">
        <v>12466621</v>
      </c>
      <c r="L33" s="52">
        <v>8511496.1999999993</v>
      </c>
      <c r="M33" s="52">
        <v>8775903.5</v>
      </c>
      <c r="N33" s="52">
        <v>10061637</v>
      </c>
      <c r="O33" s="52">
        <v>7500516.0999999996</v>
      </c>
    </row>
    <row r="34" spans="1:16" x14ac:dyDescent="0.35">
      <c r="A34" s="50" t="str">
        <f>Dashboard!A37</f>
        <v>15a</v>
      </c>
      <c r="B34" s="50" t="str">
        <f>Dashboard!B37</f>
        <v>Collection Efficiency-Central</v>
      </c>
      <c r="C34" s="50" t="str">
        <f>Dashboard!C37</f>
        <v>%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1:16" x14ac:dyDescent="0.35">
      <c r="A35" s="50" t="str">
        <f>Dashboard!A38</f>
        <v>SOUTHERN REGION: HELLSGATE,KAMERE, MAI MAHIU,LONGONOT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>
        <v>390200</v>
      </c>
    </row>
    <row r="36" spans="1:16" x14ac:dyDescent="0.35">
      <c r="A36" s="50" t="str">
        <f>Dashboard!A39</f>
        <v>16b</v>
      </c>
      <c r="B36" s="50" t="str">
        <f>Dashboard!B39</f>
        <v>Amount Billed Water-Southern</v>
      </c>
      <c r="C36" s="50" t="str">
        <f>Dashboard!C39</f>
        <v>Ksh.</v>
      </c>
      <c r="D36" s="52">
        <v>2312045</v>
      </c>
      <c r="E36" s="52">
        <v>3745845</v>
      </c>
      <c r="F36" s="52">
        <v>2941585</v>
      </c>
      <c r="G36" s="52">
        <v>3197775</v>
      </c>
      <c r="H36" s="52">
        <v>2903645</v>
      </c>
      <c r="I36" s="52">
        <v>3811300</v>
      </c>
      <c r="J36" s="52">
        <v>4864585</v>
      </c>
      <c r="K36" s="52">
        <v>4342845</v>
      </c>
      <c r="L36" s="52">
        <v>3737460</v>
      </c>
      <c r="M36" s="52">
        <v>3608320</v>
      </c>
      <c r="N36" s="52">
        <v>3495990</v>
      </c>
      <c r="O36" s="52">
        <v>4495365</v>
      </c>
    </row>
    <row r="37" spans="1:16" x14ac:dyDescent="0.35">
      <c r="A37" s="50" t="str">
        <f>Dashboard!A40</f>
        <v>17b</v>
      </c>
      <c r="B37" s="50" t="str">
        <f>Dashboard!B40</f>
        <v>Amount Billed Sewer-Southern</v>
      </c>
      <c r="C37" s="50" t="str">
        <f>Dashboard!C40</f>
        <v>Ksh.</v>
      </c>
      <c r="D37" s="52">
        <v>327356</v>
      </c>
      <c r="E37" s="52">
        <v>328433</v>
      </c>
      <c r="F37" s="52">
        <v>320439</v>
      </c>
      <c r="G37" s="52">
        <v>339923</v>
      </c>
      <c r="H37" s="52">
        <v>310459</v>
      </c>
      <c r="I37" s="52">
        <v>397209.75</v>
      </c>
      <c r="J37" s="52">
        <v>1106456.8499999999</v>
      </c>
      <c r="K37" s="52">
        <v>1024408</v>
      </c>
      <c r="L37" s="52">
        <v>855281.85</v>
      </c>
      <c r="M37" s="52">
        <v>256668.25</v>
      </c>
      <c r="N37" s="52">
        <v>888318.1</v>
      </c>
      <c r="O37" s="52">
        <v>933080.60000000009</v>
      </c>
    </row>
    <row r="38" spans="1:16" x14ac:dyDescent="0.35">
      <c r="A38" s="50" t="str">
        <f>Dashboard!A41</f>
        <v>18b</v>
      </c>
      <c r="B38" s="50" t="str">
        <f>Dashboard!B41</f>
        <v>othersales</v>
      </c>
      <c r="C38" s="50" t="str">
        <f>Dashboard!C41</f>
        <v>Ksh.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</row>
    <row r="39" spans="1:16" x14ac:dyDescent="0.35">
      <c r="A39" s="50" t="str">
        <f>Dashboard!A42</f>
        <v>19b</v>
      </c>
      <c r="B39" s="50" t="str">
        <f>Dashboard!B42</f>
        <v>Amount Billed Water &amp; Sewer-OTHER SALES-Southern</v>
      </c>
      <c r="C39" s="50" t="str">
        <f>Dashboard!C42</f>
        <v>Ksh.</v>
      </c>
      <c r="D39" s="55">
        <f>D36+D37+D38</f>
        <v>2639401</v>
      </c>
      <c r="E39" s="55">
        <f t="shared" ref="E39:O39" si="2">E36+E37+E38</f>
        <v>4074278</v>
      </c>
      <c r="F39" s="55">
        <f t="shared" si="2"/>
        <v>3262024</v>
      </c>
      <c r="G39" s="55">
        <f t="shared" si="2"/>
        <v>3537698</v>
      </c>
      <c r="H39" s="55">
        <f t="shared" si="2"/>
        <v>3214104</v>
      </c>
      <c r="I39" s="55">
        <f t="shared" si="2"/>
        <v>4208509.75</v>
      </c>
      <c r="J39" s="55">
        <f t="shared" si="2"/>
        <v>5971041.8499999996</v>
      </c>
      <c r="K39" s="55">
        <f t="shared" si="2"/>
        <v>5367253</v>
      </c>
      <c r="L39" s="55">
        <f t="shared" si="2"/>
        <v>4592741.8499999996</v>
      </c>
      <c r="M39" s="55">
        <f t="shared" si="2"/>
        <v>3864988.25</v>
      </c>
      <c r="N39" s="55">
        <f t="shared" si="2"/>
        <v>4384308.0999999996</v>
      </c>
      <c r="O39" s="55">
        <f t="shared" si="2"/>
        <v>5428445.5999999996</v>
      </c>
    </row>
    <row r="40" spans="1:16" x14ac:dyDescent="0.35">
      <c r="A40" s="50" t="str">
        <f>Dashboard!A43</f>
        <v>14b</v>
      </c>
      <c r="B40" s="50" t="str">
        <f>Dashboard!B43</f>
        <v>Amount Collected-Southern</v>
      </c>
      <c r="C40" s="50" t="str">
        <f>Dashboard!C43</f>
        <v>Ksh.</v>
      </c>
      <c r="D40" s="52">
        <v>2790436</v>
      </c>
      <c r="E40" s="52">
        <v>2736198</v>
      </c>
      <c r="F40" s="52">
        <v>3393417</v>
      </c>
      <c r="G40" s="52">
        <v>3422438</v>
      </c>
      <c r="H40" s="52">
        <v>2467633</v>
      </c>
      <c r="I40" s="52">
        <v>4421927</v>
      </c>
      <c r="J40" s="52">
        <v>3513934.5</v>
      </c>
      <c r="K40" s="52">
        <v>4356367.55</v>
      </c>
      <c r="L40" s="52">
        <v>5144246</v>
      </c>
      <c r="M40" s="52">
        <v>4095454</v>
      </c>
      <c r="N40" s="52">
        <v>6634073</v>
      </c>
      <c r="O40" s="52">
        <v>4777047</v>
      </c>
    </row>
    <row r="41" spans="1:16" x14ac:dyDescent="0.35">
      <c r="A41" s="50">
        <f>Dashboard!A52</f>
        <v>19</v>
      </c>
      <c r="B41" s="50" t="str">
        <f>Dashboard!B52</f>
        <v>Collection Efficiency-</v>
      </c>
      <c r="C41" s="50" t="str">
        <f>Dashboard!C52</f>
        <v>%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</row>
    <row r="42" spans="1:16" x14ac:dyDescent="0.35">
      <c r="A42" s="50" t="e">
        <f>Dashboard!#REF!</f>
        <v>#REF!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6" x14ac:dyDescent="0.35">
      <c r="A43" s="50" t="e">
        <f>Dashboard!#REF!</f>
        <v>#REF!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>
        <v>195349.99999999953</v>
      </c>
    </row>
    <row r="44" spans="1:16" x14ac:dyDescent="0.35">
      <c r="A44" s="50" t="e">
        <f>Dashboard!#REF!</f>
        <v>#REF!</v>
      </c>
      <c r="B44" s="50" t="e">
        <f>Dashboard!#REF!</f>
        <v>#REF!</v>
      </c>
      <c r="C44" s="50" t="e">
        <f>Dashboard!#REF!</f>
        <v>#REF!</v>
      </c>
      <c r="D44" s="52">
        <v>1927795</v>
      </c>
      <c r="E44" s="52">
        <v>1909110</v>
      </c>
      <c r="F44" s="52">
        <v>2500535</v>
      </c>
      <c r="G44" s="52">
        <v>2020305</v>
      </c>
      <c r="H44" s="52">
        <v>1101790</v>
      </c>
      <c r="I44" s="52">
        <v>1303930</v>
      </c>
      <c r="J44" s="52">
        <v>1192160</v>
      </c>
      <c r="K44" s="52">
        <v>1212390</v>
      </c>
      <c r="L44" s="52">
        <v>1098935</v>
      </c>
      <c r="M44" s="52">
        <v>1195365</v>
      </c>
      <c r="N44" s="52">
        <v>1087650</v>
      </c>
      <c r="O44" s="52">
        <v>1287320</v>
      </c>
    </row>
    <row r="45" spans="1:16" x14ac:dyDescent="0.35">
      <c r="A45" s="50" t="e">
        <f>Dashboard!#REF!</f>
        <v>#REF!</v>
      </c>
      <c r="B45" s="50" t="e">
        <f>Dashboard!#REF!</f>
        <v>#REF!</v>
      </c>
      <c r="C45" s="50" t="e">
        <f>Dashboard!#REF!</f>
        <v>#REF!</v>
      </c>
      <c r="D45" s="52">
        <v>1901026</v>
      </c>
      <c r="E45" s="52">
        <v>1780214</v>
      </c>
      <c r="F45" s="52">
        <v>2194780</v>
      </c>
      <c r="G45" s="52">
        <v>1857663</v>
      </c>
      <c r="H45" s="52">
        <v>1159219</v>
      </c>
      <c r="I45" s="52">
        <v>719484.89999999991</v>
      </c>
      <c r="J45" s="52">
        <v>1033578.7999999997</v>
      </c>
      <c r="K45" s="52">
        <v>1081510.55</v>
      </c>
      <c r="L45" s="52">
        <v>1228339.2999999998</v>
      </c>
      <c r="M45" s="52">
        <v>973539</v>
      </c>
      <c r="N45" s="52">
        <v>945696.29999999993</v>
      </c>
      <c r="O45" s="52">
        <v>1051931.6500000001</v>
      </c>
    </row>
    <row r="46" spans="1:16" x14ac:dyDescent="0.35">
      <c r="A46" s="50" t="e">
        <f>Dashboard!#REF!</f>
        <v>#REF!</v>
      </c>
      <c r="B46" s="50" t="e">
        <f>Dashboard!#REF!</f>
        <v>#REF!</v>
      </c>
      <c r="C46" s="50" t="e">
        <f>Dashboard!#REF!</f>
        <v>#REF!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</row>
    <row r="47" spans="1:16" x14ac:dyDescent="0.35">
      <c r="A47" s="50" t="e">
        <f>Dashboard!#REF!</f>
        <v>#REF!</v>
      </c>
      <c r="B47" s="50" t="e">
        <f>Dashboard!#REF!</f>
        <v>#REF!</v>
      </c>
      <c r="C47" s="50" t="e">
        <f>Dashboard!#REF!</f>
        <v>#REF!</v>
      </c>
      <c r="D47" s="55">
        <f>D44+D45+D46</f>
        <v>3828821</v>
      </c>
      <c r="E47" s="55">
        <f t="shared" ref="E47:O47" si="3">E44+E45+E46</f>
        <v>3689324</v>
      </c>
      <c r="F47" s="55">
        <f t="shared" si="3"/>
        <v>4695315</v>
      </c>
      <c r="G47" s="55">
        <f t="shared" si="3"/>
        <v>3877968</v>
      </c>
      <c r="H47" s="55">
        <f t="shared" si="3"/>
        <v>2261009</v>
      </c>
      <c r="I47" s="55">
        <f t="shared" si="3"/>
        <v>2023414.9</v>
      </c>
      <c r="J47" s="55">
        <f t="shared" si="3"/>
        <v>2225738.7999999998</v>
      </c>
      <c r="K47" s="55">
        <f t="shared" si="3"/>
        <v>2293900.5499999998</v>
      </c>
      <c r="L47" s="55">
        <f t="shared" si="3"/>
        <v>2327274.2999999998</v>
      </c>
      <c r="M47" s="55">
        <f t="shared" si="3"/>
        <v>2168904</v>
      </c>
      <c r="N47" s="55">
        <f t="shared" si="3"/>
        <v>2033346.2999999998</v>
      </c>
      <c r="O47" s="55">
        <f t="shared" si="3"/>
        <v>2339251.6500000004</v>
      </c>
      <c r="P47" s="55">
        <f>SUM(P44:P45)</f>
        <v>0</v>
      </c>
    </row>
    <row r="48" spans="1:16" x14ac:dyDescent="0.35">
      <c r="A48" s="50" t="e">
        <f>Dashboard!#REF!</f>
        <v>#REF!</v>
      </c>
      <c r="B48" s="50" t="e">
        <f>Dashboard!#REF!</f>
        <v>#REF!</v>
      </c>
      <c r="C48" s="50" t="e">
        <f>Dashboard!#REF!</f>
        <v>#REF!</v>
      </c>
      <c r="D48" s="52">
        <v>3167304</v>
      </c>
      <c r="E48" s="52">
        <v>1606664</v>
      </c>
      <c r="F48" s="52">
        <v>3201888</v>
      </c>
      <c r="G48" s="52">
        <v>3221111</v>
      </c>
      <c r="H48" s="52">
        <v>2496835</v>
      </c>
      <c r="I48" s="52">
        <v>4249840.5</v>
      </c>
      <c r="J48" s="52">
        <v>2616516</v>
      </c>
      <c r="K48" s="52">
        <v>1803754.75</v>
      </c>
      <c r="L48" s="52">
        <v>1989769</v>
      </c>
      <c r="M48" s="52">
        <v>3535820.5</v>
      </c>
      <c r="N48" s="52">
        <v>2279673.5</v>
      </c>
      <c r="O48" s="52">
        <v>3854161.5</v>
      </c>
    </row>
    <row r="49" spans="1:15" x14ac:dyDescent="0.35">
      <c r="A49" s="50" t="e">
        <f>Dashboard!#REF!</f>
        <v>#REF!</v>
      </c>
      <c r="B49" s="50" t="e">
        <f>Dashboard!#REF!</f>
        <v>#REF!</v>
      </c>
      <c r="C49" s="50" t="e">
        <f>Dashboard!#REF!</f>
        <v>#REF!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</row>
    <row r="50" spans="1:15" x14ac:dyDescent="0.35">
      <c r="A50" s="50" t="e">
        <f>Dashboard!#REF!</f>
        <v>#REF!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>
        <v>60200.049999999814</v>
      </c>
    </row>
    <row r="51" spans="1:15" x14ac:dyDescent="0.35">
      <c r="A51" s="50" t="e">
        <f>Dashboard!#REF!</f>
        <v>#REF!</v>
      </c>
      <c r="B51" s="50" t="e">
        <f>Dashboard!#REF!</f>
        <v>#REF!</v>
      </c>
      <c r="C51" s="50" t="e">
        <f>Dashboard!#REF!</f>
        <v>#REF!</v>
      </c>
      <c r="D51" s="52">
        <v>1942595</v>
      </c>
      <c r="E51" s="52">
        <v>2693160</v>
      </c>
      <c r="F51" s="52">
        <v>2618030</v>
      </c>
      <c r="G51" s="52">
        <v>1837240</v>
      </c>
      <c r="H51" s="52">
        <v>2646735</v>
      </c>
      <c r="I51" s="52">
        <v>1922675</v>
      </c>
      <c r="J51" s="52">
        <v>2576655</v>
      </c>
      <c r="K51" s="52">
        <v>2435365</v>
      </c>
      <c r="L51" s="52">
        <v>2751275</v>
      </c>
      <c r="M51" s="52">
        <v>2816575</v>
      </c>
      <c r="N51" s="52">
        <v>2259705</v>
      </c>
      <c r="O51" s="52">
        <v>2641260</v>
      </c>
    </row>
    <row r="52" spans="1:15" x14ac:dyDescent="0.35">
      <c r="A52" s="50" t="e">
        <f>Dashboard!#REF!</f>
        <v>#REF!</v>
      </c>
      <c r="B52" s="50" t="e">
        <f>Dashboard!#REF!</f>
        <v>#REF!</v>
      </c>
      <c r="C52" s="50" t="e">
        <f>Dashboard!#REF!</f>
        <v>#REF!</v>
      </c>
      <c r="D52" s="52">
        <v>933121</v>
      </c>
      <c r="E52" s="52">
        <v>1072672</v>
      </c>
      <c r="F52" s="52">
        <v>1114010</v>
      </c>
      <c r="G52" s="52">
        <v>868108</v>
      </c>
      <c r="H52" s="52">
        <v>1472915</v>
      </c>
      <c r="I52" s="52">
        <v>987003.5</v>
      </c>
      <c r="J52" s="52">
        <v>1970837.05</v>
      </c>
      <c r="K52" s="52">
        <v>1838167.1000000017</v>
      </c>
      <c r="L52" s="52">
        <v>2084319.0499999998</v>
      </c>
      <c r="M52" s="52">
        <v>2161919.4500000002</v>
      </c>
      <c r="N52" s="52">
        <v>1706692.8</v>
      </c>
      <c r="O52" s="52">
        <v>1998094.7500000002</v>
      </c>
    </row>
    <row r="53" spans="1:15" x14ac:dyDescent="0.35">
      <c r="A53" s="50" t="e">
        <f>Dashboard!#REF!</f>
        <v>#REF!</v>
      </c>
      <c r="B53" s="50" t="e">
        <f>Dashboard!#REF!</f>
        <v>#REF!</v>
      </c>
      <c r="C53" s="50" t="e">
        <f>Dashboard!#REF!</f>
        <v>#REF!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</row>
    <row r="54" spans="1:15" x14ac:dyDescent="0.35">
      <c r="A54" s="50" t="e">
        <f>Dashboard!#REF!</f>
        <v>#REF!</v>
      </c>
      <c r="B54" s="50" t="e">
        <f>Dashboard!#REF!</f>
        <v>#REF!</v>
      </c>
      <c r="C54" s="50" t="e">
        <f>Dashboard!#REF!</f>
        <v>#REF!</v>
      </c>
      <c r="D54" s="55">
        <f>D51+D52+D53</f>
        <v>2875716</v>
      </c>
      <c r="E54" s="55">
        <f t="shared" ref="E54:O54" si="4">E51+E52+E53</f>
        <v>3765832</v>
      </c>
      <c r="F54" s="55">
        <f t="shared" si="4"/>
        <v>3732040</v>
      </c>
      <c r="G54" s="55">
        <f t="shared" si="4"/>
        <v>2705348</v>
      </c>
      <c r="H54" s="55">
        <f t="shared" si="4"/>
        <v>4119650</v>
      </c>
      <c r="I54" s="55">
        <f t="shared" si="4"/>
        <v>2909678.5</v>
      </c>
      <c r="J54" s="55">
        <f t="shared" si="4"/>
        <v>4547492.05</v>
      </c>
      <c r="K54" s="55">
        <f t="shared" si="4"/>
        <v>4273532.1000000015</v>
      </c>
      <c r="L54" s="55">
        <f t="shared" si="4"/>
        <v>4835594.05</v>
      </c>
      <c r="M54" s="55">
        <f t="shared" si="4"/>
        <v>4978494.45</v>
      </c>
      <c r="N54" s="55">
        <f t="shared" si="4"/>
        <v>3966397.8</v>
      </c>
      <c r="O54" s="55">
        <f t="shared" si="4"/>
        <v>4639354.75</v>
      </c>
    </row>
    <row r="55" spans="1:15" x14ac:dyDescent="0.35">
      <c r="A55" s="50" t="e">
        <f>Dashboard!#REF!</f>
        <v>#REF!</v>
      </c>
      <c r="B55" s="50" t="e">
        <f>Dashboard!#REF!</f>
        <v>#REF!</v>
      </c>
      <c r="C55" s="50" t="e">
        <f>Dashboard!#REF!</f>
        <v>#REF!</v>
      </c>
      <c r="D55" s="52">
        <v>10474293</v>
      </c>
      <c r="E55" s="52">
        <v>1077542</v>
      </c>
      <c r="F55" s="52">
        <v>1514620</v>
      </c>
      <c r="G55" s="52">
        <v>5922130</v>
      </c>
      <c r="H55" s="52">
        <v>1013106</v>
      </c>
      <c r="I55" s="52">
        <v>1450539.5</v>
      </c>
      <c r="J55" s="52">
        <v>2593394.25</v>
      </c>
      <c r="K55" s="52">
        <v>8169148</v>
      </c>
      <c r="L55" s="52">
        <v>4304949.5</v>
      </c>
      <c r="M55" s="52">
        <v>2833281</v>
      </c>
      <c r="N55" s="52">
        <v>7027962</v>
      </c>
      <c r="O55" s="52">
        <v>1550306.25</v>
      </c>
    </row>
    <row r="56" spans="1:15" x14ac:dyDescent="0.35">
      <c r="A56" s="50" t="e">
        <f>Dashboard!#REF!</f>
        <v>#REF!</v>
      </c>
      <c r="B56" s="50" t="e">
        <f>Dashboard!#REF!</f>
        <v>#REF!</v>
      </c>
      <c r="C56" s="50" t="e">
        <f>Dashboard!#REF!</f>
        <v>#REF!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</row>
    <row r="57" spans="1:15" x14ac:dyDescent="0.35">
      <c r="A57" s="50" t="e">
        <f>Dashboard!#REF!</f>
        <v>#REF!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>
        <v>102550</v>
      </c>
    </row>
    <row r="58" spans="1:15" x14ac:dyDescent="0.35">
      <c r="A58" s="50" t="e">
        <f>Dashboard!#REF!</f>
        <v>#REF!</v>
      </c>
      <c r="B58" s="50" t="e">
        <f>Dashboard!#REF!</f>
        <v>#REF!</v>
      </c>
      <c r="C58" s="50" t="e">
        <f>Dashboard!#REF!</f>
        <v>#REF!</v>
      </c>
      <c r="D58" s="52">
        <v>1143215</v>
      </c>
      <c r="E58" s="52">
        <v>1253770</v>
      </c>
      <c r="F58" s="52">
        <v>1496530</v>
      </c>
      <c r="G58" s="52">
        <v>1098965</v>
      </c>
      <c r="H58" s="52">
        <v>984155</v>
      </c>
      <c r="I58" s="52">
        <v>937010</v>
      </c>
      <c r="J58" s="52">
        <v>918335</v>
      </c>
      <c r="K58" s="52">
        <v>781850</v>
      </c>
      <c r="L58" s="52">
        <v>869540</v>
      </c>
      <c r="M58" s="52">
        <v>791875</v>
      </c>
      <c r="N58" s="52">
        <v>848455</v>
      </c>
      <c r="O58" s="52">
        <v>846705</v>
      </c>
    </row>
    <row r="59" spans="1:15" x14ac:dyDescent="0.35">
      <c r="A59" s="50" t="e">
        <f>Dashboard!#REF!</f>
        <v>#REF!</v>
      </c>
      <c r="B59" s="50" t="e">
        <f>Dashboard!#REF!</f>
        <v>#REF!</v>
      </c>
      <c r="C59" s="50" t="e">
        <f>Dashboard!#REF!</f>
        <v>#REF!</v>
      </c>
      <c r="D59" s="52">
        <v>267455</v>
      </c>
      <c r="E59" s="52">
        <v>280587</v>
      </c>
      <c r="F59" s="52">
        <v>317281</v>
      </c>
      <c r="G59" s="52">
        <v>265132</v>
      </c>
      <c r="H59" s="52">
        <v>253057</v>
      </c>
      <c r="I59" s="52">
        <v>185632.45</v>
      </c>
      <c r="J59" s="52">
        <v>290554.50000000006</v>
      </c>
      <c r="K59" s="52">
        <v>278593.90000000008</v>
      </c>
      <c r="L59" s="52">
        <v>293221.65000000002</v>
      </c>
      <c r="M59" s="52">
        <v>256668.25</v>
      </c>
      <c r="N59" s="52">
        <v>268655.09999999998</v>
      </c>
      <c r="O59" s="52">
        <v>273011.34999999998</v>
      </c>
    </row>
    <row r="60" spans="1:15" x14ac:dyDescent="0.35">
      <c r="A60" s="50" t="e">
        <f>Dashboard!#REF!</f>
        <v>#REF!</v>
      </c>
      <c r="B60" s="50" t="e">
        <f>Dashboard!#REF!</f>
        <v>#REF!</v>
      </c>
      <c r="C60" s="50" t="e">
        <f>Dashboard!#REF!</f>
        <v>#REF!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</row>
    <row r="61" spans="1:15" x14ac:dyDescent="0.35">
      <c r="A61" s="50" t="e">
        <f>Dashboard!#REF!</f>
        <v>#REF!</v>
      </c>
      <c r="B61" s="50" t="e">
        <f>Dashboard!#REF!</f>
        <v>#REF!</v>
      </c>
      <c r="C61" s="50" t="e">
        <f>Dashboard!#REF!</f>
        <v>#REF!</v>
      </c>
      <c r="D61" s="55">
        <f>D58+D59+D60</f>
        <v>1410670</v>
      </c>
      <c r="E61" s="55">
        <f t="shared" ref="E61:O61" si="5">E58+E59+E60</f>
        <v>1534357</v>
      </c>
      <c r="F61" s="55">
        <f t="shared" si="5"/>
        <v>1813811</v>
      </c>
      <c r="G61" s="55">
        <f t="shared" si="5"/>
        <v>1364097</v>
      </c>
      <c r="H61" s="55">
        <f t="shared" si="5"/>
        <v>1237212</v>
      </c>
      <c r="I61" s="55">
        <f t="shared" si="5"/>
        <v>1122642.45</v>
      </c>
      <c r="J61" s="55">
        <f t="shared" si="5"/>
        <v>1208889.5</v>
      </c>
      <c r="K61" s="55">
        <f t="shared" si="5"/>
        <v>1060443.9000000001</v>
      </c>
      <c r="L61" s="55">
        <f t="shared" si="5"/>
        <v>1162761.6499999999</v>
      </c>
      <c r="M61" s="55">
        <f t="shared" si="5"/>
        <v>1048543.25</v>
      </c>
      <c r="N61" s="55">
        <f t="shared" si="5"/>
        <v>1117110.1000000001</v>
      </c>
      <c r="O61" s="55">
        <f t="shared" si="5"/>
        <v>1119716.3500000001</v>
      </c>
    </row>
    <row r="62" spans="1:15" x14ac:dyDescent="0.35">
      <c r="A62" s="50" t="e">
        <f>Dashboard!#REF!</f>
        <v>#REF!</v>
      </c>
      <c r="B62" s="50" t="e">
        <f>Dashboard!#REF!</f>
        <v>#REF!</v>
      </c>
      <c r="C62" s="50" t="e">
        <f>Dashboard!#REF!</f>
        <v>#REF!</v>
      </c>
      <c r="D62" s="52">
        <v>1308785</v>
      </c>
      <c r="E62" s="52">
        <v>1646057</v>
      </c>
      <c r="F62" s="52">
        <v>1579483</v>
      </c>
      <c r="G62" s="52">
        <v>1708396</v>
      </c>
      <c r="H62" s="52">
        <v>1407047</v>
      </c>
      <c r="I62" s="52">
        <v>1030639</v>
      </c>
      <c r="J62" s="52">
        <v>1543151</v>
      </c>
      <c r="K62" s="52">
        <v>1371344.5</v>
      </c>
      <c r="L62" s="52">
        <v>1046449.7</v>
      </c>
      <c r="M62" s="52">
        <v>1235437</v>
      </c>
      <c r="N62" s="52">
        <v>1130466.2999999998</v>
      </c>
      <c r="O62" s="52">
        <v>1098316</v>
      </c>
    </row>
    <row r="63" spans="1:15" x14ac:dyDescent="0.35">
      <c r="A63" s="50" t="e">
        <f>Dashboard!#REF!</f>
        <v>#REF!</v>
      </c>
      <c r="B63" s="50" t="e">
        <f>Dashboard!#REF!</f>
        <v>#REF!</v>
      </c>
      <c r="C63" s="50" t="e">
        <f>Dashboard!#REF!</f>
        <v>#REF!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</row>
    <row r="64" spans="1:15" x14ac:dyDescent="0.35">
      <c r="A64" s="50" t="e">
        <f>Dashboard!#REF!</f>
        <v>#REF!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>
        <v>77800</v>
      </c>
    </row>
    <row r="65" spans="1:15" x14ac:dyDescent="0.35">
      <c r="A65" s="50" t="e">
        <f>Dashboard!#REF!</f>
        <v>#REF!</v>
      </c>
      <c r="B65" s="50" t="e">
        <f>Dashboard!#REF!</f>
        <v>#REF!</v>
      </c>
      <c r="C65" s="50" t="e">
        <f>Dashboard!#REF!</f>
        <v>#REF!</v>
      </c>
      <c r="D65" s="52">
        <v>567085</v>
      </c>
      <c r="E65" s="52">
        <v>668235</v>
      </c>
      <c r="F65" s="52">
        <v>637835</v>
      </c>
      <c r="G65" s="52">
        <v>744565</v>
      </c>
      <c r="H65" s="52">
        <v>558960</v>
      </c>
      <c r="I65" s="52">
        <v>1609145</v>
      </c>
      <c r="J65" s="52">
        <v>2027975</v>
      </c>
      <c r="K65" s="52">
        <v>1900400</v>
      </c>
      <c r="L65" s="52">
        <v>1697570</v>
      </c>
      <c r="M65" s="52">
        <v>2318820</v>
      </c>
      <c r="N65" s="52">
        <v>1339470</v>
      </c>
      <c r="O65" s="52">
        <v>1609685</v>
      </c>
    </row>
    <row r="66" spans="1:15" x14ac:dyDescent="0.35">
      <c r="A66" s="50" t="e">
        <f>Dashboard!#REF!</f>
        <v>#REF!</v>
      </c>
      <c r="B66" s="50" t="e">
        <f>Dashboard!#REF!</f>
        <v>#REF!</v>
      </c>
      <c r="C66" s="50" t="e">
        <f>Dashboard!#REF!</f>
        <v>#REF!</v>
      </c>
      <c r="D66" s="52">
        <v>327356</v>
      </c>
      <c r="E66" s="52">
        <v>328433</v>
      </c>
      <c r="F66" s="52">
        <v>320439</v>
      </c>
      <c r="G66" s="52">
        <v>339923</v>
      </c>
      <c r="H66" s="52">
        <v>310459</v>
      </c>
      <c r="I66" s="52">
        <v>397209.75</v>
      </c>
      <c r="J66" s="52">
        <v>1106455</v>
      </c>
      <c r="K66" s="52">
        <v>1024408</v>
      </c>
      <c r="L66" s="52">
        <v>855281.85000000009</v>
      </c>
      <c r="M66" s="52">
        <v>897622</v>
      </c>
      <c r="N66" s="52">
        <v>888318.10000000009</v>
      </c>
      <c r="O66" s="52">
        <v>933080.60000000009</v>
      </c>
    </row>
    <row r="67" spans="1:15" x14ac:dyDescent="0.35">
      <c r="A67" s="50" t="e">
        <f>Dashboard!#REF!</f>
        <v>#REF!</v>
      </c>
      <c r="B67" s="50" t="e">
        <f>Dashboard!#REF!</f>
        <v>#REF!</v>
      </c>
      <c r="C67" s="50" t="e">
        <f>Dashboard!#REF!</f>
        <v>#REF!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</row>
    <row r="68" spans="1:15" x14ac:dyDescent="0.35">
      <c r="A68" s="50" t="e">
        <f>Dashboard!#REF!</f>
        <v>#REF!</v>
      </c>
      <c r="B68" s="50" t="e">
        <f>Dashboard!#REF!</f>
        <v>#REF!</v>
      </c>
      <c r="C68" s="50" t="e">
        <f>Dashboard!#REF!</f>
        <v>#REF!</v>
      </c>
      <c r="D68" s="55">
        <f>D65+D66+D67</f>
        <v>894441</v>
      </c>
      <c r="E68" s="55">
        <f t="shared" ref="E68:O68" si="6">E65+E66+E67</f>
        <v>996668</v>
      </c>
      <c r="F68" s="55">
        <f t="shared" si="6"/>
        <v>958274</v>
      </c>
      <c r="G68" s="55">
        <f t="shared" si="6"/>
        <v>1084488</v>
      </c>
      <c r="H68" s="55">
        <f t="shared" si="6"/>
        <v>869419</v>
      </c>
      <c r="I68" s="55">
        <f t="shared" si="6"/>
        <v>2006354.75</v>
      </c>
      <c r="J68" s="55">
        <f t="shared" si="6"/>
        <v>3134430</v>
      </c>
      <c r="K68" s="55">
        <f t="shared" si="6"/>
        <v>2924808</v>
      </c>
      <c r="L68" s="55">
        <f t="shared" si="6"/>
        <v>2552851.85</v>
      </c>
      <c r="M68" s="55">
        <f t="shared" si="6"/>
        <v>3216442</v>
      </c>
      <c r="N68" s="55">
        <f t="shared" si="6"/>
        <v>2227788.1</v>
      </c>
      <c r="O68" s="55">
        <f t="shared" si="6"/>
        <v>2542765.6</v>
      </c>
    </row>
    <row r="69" spans="1:15" x14ac:dyDescent="0.35">
      <c r="A69" s="50" t="e">
        <f>Dashboard!#REF!</f>
        <v>#REF!</v>
      </c>
      <c r="B69" s="50" t="e">
        <f>Dashboard!#REF!</f>
        <v>#REF!</v>
      </c>
      <c r="C69" s="50" t="e">
        <f>Dashboard!#REF!</f>
        <v>#REF!</v>
      </c>
      <c r="D69" s="52">
        <v>713899</v>
      </c>
      <c r="E69" s="52">
        <v>1031071</v>
      </c>
      <c r="F69" s="52">
        <v>943486</v>
      </c>
      <c r="G69" s="52">
        <v>1175086</v>
      </c>
      <c r="H69" s="52">
        <v>858500</v>
      </c>
      <c r="I69" s="52">
        <v>1554633</v>
      </c>
      <c r="J69" s="52">
        <v>869274</v>
      </c>
      <c r="K69" s="52">
        <v>1723430.55</v>
      </c>
      <c r="L69" s="52">
        <v>2515639</v>
      </c>
      <c r="M69" s="52">
        <v>1882537</v>
      </c>
      <c r="N69" s="52">
        <v>2697191.25</v>
      </c>
      <c r="O69" s="52">
        <v>2015225</v>
      </c>
    </row>
    <row r="70" spans="1:15" x14ac:dyDescent="0.35">
      <c r="A70" s="50" t="e">
        <f>Dashboard!#REF!</f>
        <v>#REF!</v>
      </c>
      <c r="B70" s="50" t="e">
        <f>Dashboard!#REF!</f>
        <v>#REF!</v>
      </c>
      <c r="C70" s="50" t="e">
        <f>Dashboard!#REF!</f>
        <v>#REF!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</row>
    <row r="71" spans="1:15" x14ac:dyDescent="0.35">
      <c r="A71" s="50" t="e">
        <f>Dashboard!#REF!</f>
        <v>#REF!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>
        <v>63200.000000000233</v>
      </c>
    </row>
    <row r="72" spans="1:15" x14ac:dyDescent="0.35">
      <c r="A72" s="50" t="e">
        <f>Dashboard!#REF!</f>
        <v>#REF!</v>
      </c>
      <c r="B72" s="50" t="e">
        <f>Dashboard!#REF!</f>
        <v>#REF!</v>
      </c>
      <c r="C72" s="50" t="e">
        <f>Dashboard!#REF!</f>
        <v>#REF!</v>
      </c>
      <c r="D72" s="52">
        <v>651215</v>
      </c>
      <c r="E72" s="52">
        <v>781985</v>
      </c>
      <c r="F72" s="52">
        <v>905435</v>
      </c>
      <c r="G72" s="52">
        <v>591950</v>
      </c>
      <c r="H72" s="52">
        <v>606465</v>
      </c>
      <c r="I72" s="52">
        <v>870985</v>
      </c>
      <c r="J72" s="52">
        <v>719225</v>
      </c>
      <c r="K72" s="52">
        <v>624080</v>
      </c>
      <c r="L72" s="52">
        <v>662235</v>
      </c>
      <c r="M72" s="52">
        <v>730225</v>
      </c>
      <c r="N72" s="52">
        <v>626835</v>
      </c>
      <c r="O72" s="52">
        <v>715135</v>
      </c>
    </row>
    <row r="73" spans="1:15" x14ac:dyDescent="0.35">
      <c r="A73" s="50" t="e">
        <f>Dashboard!#REF!</f>
        <v>#REF!</v>
      </c>
      <c r="B73" s="50" t="e">
        <f>Dashboard!#REF!</f>
        <v>#REF!</v>
      </c>
      <c r="C73" s="50" t="e">
        <f>Dashboard!#REF!</f>
        <v>#REF!</v>
      </c>
      <c r="D73" s="52">
        <v>354459</v>
      </c>
      <c r="E73" s="52">
        <v>383475</v>
      </c>
      <c r="F73" s="52">
        <v>420852</v>
      </c>
      <c r="G73" s="52">
        <v>335447</v>
      </c>
      <c r="H73" s="52">
        <v>362409</v>
      </c>
      <c r="I73" s="52">
        <v>275456.25</v>
      </c>
      <c r="J73" s="52">
        <v>347604</v>
      </c>
      <c r="K73" s="52">
        <v>312228.79999999987</v>
      </c>
      <c r="L73" s="52">
        <v>359262.80000000005</v>
      </c>
      <c r="M73" s="52">
        <v>336727.25</v>
      </c>
      <c r="N73" s="52">
        <v>316763.64999999997</v>
      </c>
      <c r="O73" s="52">
        <v>330383.84999999992</v>
      </c>
    </row>
    <row r="74" spans="1:15" x14ac:dyDescent="0.35">
      <c r="A74" s="50" t="e">
        <f>Dashboard!#REF!</f>
        <v>#REF!</v>
      </c>
      <c r="B74" s="50" t="e">
        <f>Dashboard!#REF!</f>
        <v>#REF!</v>
      </c>
      <c r="C74" s="50" t="e">
        <f>Dashboard!#REF!</f>
        <v>#REF!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</row>
    <row r="75" spans="1:15" x14ac:dyDescent="0.35">
      <c r="A75" s="50" t="e">
        <f>Dashboard!#REF!</f>
        <v>#REF!</v>
      </c>
      <c r="B75" s="50" t="e">
        <f>Dashboard!#REF!</f>
        <v>#REF!</v>
      </c>
      <c r="C75" s="50" t="e">
        <f>Dashboard!#REF!</f>
        <v>#REF!</v>
      </c>
      <c r="D75" s="55">
        <f>D72+D73+D74</f>
        <v>1005674</v>
      </c>
      <c r="E75" s="55">
        <f t="shared" ref="E75:O75" si="7">E72+E73+E74</f>
        <v>1165460</v>
      </c>
      <c r="F75" s="55">
        <f t="shared" si="7"/>
        <v>1326287</v>
      </c>
      <c r="G75" s="55">
        <f t="shared" si="7"/>
        <v>927397</v>
      </c>
      <c r="H75" s="55">
        <f t="shared" si="7"/>
        <v>968874</v>
      </c>
      <c r="I75" s="55">
        <f t="shared" si="7"/>
        <v>1146441.25</v>
      </c>
      <c r="J75" s="55">
        <f t="shared" si="7"/>
        <v>1066829</v>
      </c>
      <c r="K75" s="55">
        <f t="shared" si="7"/>
        <v>936308.79999999981</v>
      </c>
      <c r="L75" s="55">
        <f t="shared" si="7"/>
        <v>1021497.8</v>
      </c>
      <c r="M75" s="55">
        <f t="shared" si="7"/>
        <v>1066952.25</v>
      </c>
      <c r="N75" s="55">
        <f t="shared" si="7"/>
        <v>943598.64999999991</v>
      </c>
      <c r="O75" s="55">
        <f t="shared" si="7"/>
        <v>1045518.8499999999</v>
      </c>
    </row>
    <row r="76" spans="1:15" x14ac:dyDescent="0.35">
      <c r="A76" s="50" t="e">
        <f>Dashboard!#REF!</f>
        <v>#REF!</v>
      </c>
      <c r="B76" s="50" t="e">
        <f>Dashboard!#REF!</f>
        <v>#REF!</v>
      </c>
      <c r="C76" s="50" t="e">
        <f>Dashboard!#REF!</f>
        <v>#REF!</v>
      </c>
      <c r="D76" s="52">
        <v>1005674</v>
      </c>
      <c r="E76" s="52">
        <v>1165460</v>
      </c>
      <c r="F76" s="52">
        <v>1326287</v>
      </c>
      <c r="G76" s="52">
        <v>927397</v>
      </c>
      <c r="H76" s="52">
        <v>968874</v>
      </c>
      <c r="I76" s="52">
        <v>1146441.25</v>
      </c>
      <c r="J76" s="52">
        <v>1066829</v>
      </c>
      <c r="K76" s="52">
        <v>936308.79999999981</v>
      </c>
      <c r="L76" s="52">
        <v>1021497.8</v>
      </c>
      <c r="M76" s="52">
        <v>1127652.25</v>
      </c>
      <c r="N76" s="52">
        <v>997398.64999999991</v>
      </c>
      <c r="O76" s="52"/>
    </row>
    <row r="77" spans="1:15" x14ac:dyDescent="0.35">
      <c r="A77" s="50" t="e">
        <f>Dashboard!#REF!</f>
        <v>#REF!</v>
      </c>
      <c r="B77" s="50" t="e">
        <f>Dashboard!#REF!</f>
        <v>#REF!</v>
      </c>
      <c r="C77" s="50" t="e">
        <f>Dashboard!#REF!</f>
        <v>#REF!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</row>
    <row r="78" spans="1:15" x14ac:dyDescent="0.35">
      <c r="A78" s="50" t="e">
        <f>Dashboard!#REF!</f>
        <v>#REF!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>
        <v>16800</v>
      </c>
    </row>
    <row r="79" spans="1:15" x14ac:dyDescent="0.35">
      <c r="A79" s="50" t="e">
        <f>Dashboard!#REF!</f>
        <v>#REF!</v>
      </c>
      <c r="B79" s="50" t="e">
        <f>Dashboard!#REF!</f>
        <v>#REF!</v>
      </c>
      <c r="C79" s="50" t="e">
        <f>Dashboard!#REF!</f>
        <v>#REF!</v>
      </c>
      <c r="D79" s="52">
        <v>315875</v>
      </c>
      <c r="E79" s="52">
        <v>377705</v>
      </c>
      <c r="F79" s="52">
        <v>434070</v>
      </c>
      <c r="G79" s="52">
        <v>445670</v>
      </c>
      <c r="H79" s="52">
        <v>308425</v>
      </c>
      <c r="I79" s="52">
        <v>304150</v>
      </c>
      <c r="J79" s="52">
        <v>374805</v>
      </c>
      <c r="K79" s="52">
        <v>351090</v>
      </c>
      <c r="L79" s="52">
        <v>258780</v>
      </c>
      <c r="M79" s="52">
        <v>468630</v>
      </c>
      <c r="N79" s="52">
        <v>304285</v>
      </c>
      <c r="O79" s="52">
        <v>494260</v>
      </c>
    </row>
    <row r="80" spans="1:15" x14ac:dyDescent="0.35">
      <c r="A80" s="50" t="e">
        <f>Dashboard!#REF!</f>
        <v>#REF!</v>
      </c>
      <c r="B80" s="50" t="e">
        <f>Dashboard!#REF!</f>
        <v>#REF!</v>
      </c>
      <c r="C80" s="50" t="e">
        <f>Dashboard!#REF!</f>
        <v>#REF!</v>
      </c>
      <c r="D80" s="52">
        <v>0</v>
      </c>
      <c r="E80" s="52">
        <v>0</v>
      </c>
      <c r="F80" s="52">
        <v>0</v>
      </c>
      <c r="G80" s="52">
        <v>0</v>
      </c>
      <c r="H80" s="52">
        <v>0</v>
      </c>
      <c r="I80" s="52">
        <v>0</v>
      </c>
      <c r="J80" s="52">
        <v>0</v>
      </c>
      <c r="K80" s="52">
        <v>0</v>
      </c>
      <c r="L80" s="52">
        <v>0</v>
      </c>
      <c r="M80" s="52">
        <v>0</v>
      </c>
      <c r="N80" s="52">
        <v>0</v>
      </c>
      <c r="O80" s="52">
        <v>0</v>
      </c>
    </row>
    <row r="81" spans="1:15" x14ac:dyDescent="0.35">
      <c r="A81" s="50" t="e">
        <f>Dashboard!#REF!</f>
        <v>#REF!</v>
      </c>
      <c r="B81" s="50" t="e">
        <f>Dashboard!#REF!</f>
        <v>#REF!</v>
      </c>
      <c r="C81" s="50" t="e">
        <f>Dashboard!#REF!</f>
        <v>#REF!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</row>
    <row r="82" spans="1:15" x14ac:dyDescent="0.35">
      <c r="A82" s="50" t="e">
        <f>Dashboard!#REF!</f>
        <v>#REF!</v>
      </c>
      <c r="B82" s="50" t="e">
        <f>Dashboard!#REF!</f>
        <v>#REF!</v>
      </c>
      <c r="C82" s="50" t="e">
        <f>Dashboard!#REF!</f>
        <v>#REF!</v>
      </c>
      <c r="D82" s="55">
        <f>D79+D80+D81</f>
        <v>315875</v>
      </c>
      <c r="E82" s="55">
        <f t="shared" ref="E82:O82" si="8">E79+E80+E81</f>
        <v>377705</v>
      </c>
      <c r="F82" s="55">
        <f t="shared" si="8"/>
        <v>434070</v>
      </c>
      <c r="G82" s="55">
        <f t="shared" si="8"/>
        <v>445670</v>
      </c>
      <c r="H82" s="55">
        <f t="shared" si="8"/>
        <v>308425</v>
      </c>
      <c r="I82" s="55">
        <f t="shared" si="8"/>
        <v>304150</v>
      </c>
      <c r="J82" s="55">
        <f t="shared" si="8"/>
        <v>374805</v>
      </c>
      <c r="K82" s="55">
        <f t="shared" si="8"/>
        <v>351090</v>
      </c>
      <c r="L82" s="55">
        <f t="shared" si="8"/>
        <v>258780</v>
      </c>
      <c r="M82" s="55">
        <f t="shared" si="8"/>
        <v>468630</v>
      </c>
      <c r="N82" s="55">
        <f t="shared" si="8"/>
        <v>304285</v>
      </c>
      <c r="O82" s="55">
        <f t="shared" si="8"/>
        <v>494260</v>
      </c>
    </row>
    <row r="83" spans="1:15" x14ac:dyDescent="0.35">
      <c r="A83" s="50" t="e">
        <f>Dashboard!#REF!</f>
        <v>#REF!</v>
      </c>
      <c r="B83" s="50" t="e">
        <f>Dashboard!#REF!</f>
        <v>#REF!</v>
      </c>
      <c r="C83" s="50" t="e">
        <f>Dashboard!#REF!</f>
        <v>#REF!</v>
      </c>
      <c r="D83" s="52">
        <v>347640</v>
      </c>
      <c r="E83" s="52">
        <v>338375</v>
      </c>
      <c r="F83" s="52">
        <v>459268</v>
      </c>
      <c r="G83" s="52">
        <v>324140</v>
      </c>
      <c r="H83" s="52">
        <v>347491</v>
      </c>
      <c r="I83" s="52">
        <v>389604</v>
      </c>
      <c r="J83" s="52">
        <v>289506</v>
      </c>
      <c r="K83" s="52">
        <v>350590</v>
      </c>
      <c r="L83" s="52">
        <v>347934</v>
      </c>
      <c r="M83" s="52">
        <v>359088</v>
      </c>
      <c r="N83" s="52">
        <v>343492</v>
      </c>
      <c r="O83" s="52">
        <v>367577</v>
      </c>
    </row>
    <row r="84" spans="1:15" x14ac:dyDescent="0.35">
      <c r="A84" s="50" t="e">
        <f>Dashboard!#REF!</f>
        <v>#REF!</v>
      </c>
      <c r="B84" s="50" t="e">
        <f>Dashboard!#REF!</f>
        <v>#REF!</v>
      </c>
      <c r="C84" s="50" t="e">
        <f>Dashboard!#REF!</f>
        <v>#REF!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</row>
    <row r="85" spans="1:15" x14ac:dyDescent="0.35">
      <c r="A85" s="50" t="e">
        <f>Dashboard!#REF!</f>
        <v>#REF!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>
        <v>177700</v>
      </c>
    </row>
    <row r="86" spans="1:15" x14ac:dyDescent="0.35">
      <c r="A86" s="50" t="e">
        <f>Dashboard!#REF!</f>
        <v>#REF!</v>
      </c>
      <c r="B86" s="50" t="e">
        <f>Dashboard!#REF!</f>
        <v>#REF!</v>
      </c>
      <c r="C86" s="50" t="e">
        <f>Dashboard!#REF!</f>
        <v>#REF!</v>
      </c>
      <c r="D86" s="52">
        <v>788220</v>
      </c>
      <c r="E86" s="52">
        <v>1662000</v>
      </c>
      <c r="F86" s="52">
        <v>1165465</v>
      </c>
      <c r="G86" s="52">
        <v>1091740</v>
      </c>
      <c r="H86" s="52">
        <v>1044620</v>
      </c>
      <c r="I86" s="52">
        <v>1070700</v>
      </c>
      <c r="J86" s="52">
        <v>1373265</v>
      </c>
      <c r="K86" s="52">
        <v>1123855</v>
      </c>
      <c r="L86" s="52">
        <v>1034830</v>
      </c>
      <c r="M86" s="52">
        <v>1309955</v>
      </c>
      <c r="N86" s="52">
        <v>1052065</v>
      </c>
      <c r="O86" s="52">
        <v>1591310</v>
      </c>
    </row>
    <row r="87" spans="1:15" x14ac:dyDescent="0.35">
      <c r="A87" s="50" t="e">
        <f>Dashboard!#REF!</f>
        <v>#REF!</v>
      </c>
      <c r="B87" s="50" t="e">
        <f>Dashboard!#REF!</f>
        <v>#REF!</v>
      </c>
      <c r="C87" s="50" t="e">
        <f>Dashboard!#REF!</f>
        <v>#REF!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</row>
    <row r="88" spans="1:15" x14ac:dyDescent="0.35">
      <c r="A88" s="50" t="e">
        <f>Dashboard!#REF!</f>
        <v>#REF!</v>
      </c>
      <c r="B88" s="50" t="e">
        <f>Dashboard!#REF!</f>
        <v>#REF!</v>
      </c>
      <c r="C88" s="50" t="e">
        <f>Dashboard!#REF!</f>
        <v>#REF!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</row>
    <row r="89" spans="1:15" x14ac:dyDescent="0.35">
      <c r="A89" s="50" t="e">
        <f>Dashboard!#REF!</f>
        <v>#REF!</v>
      </c>
      <c r="B89" s="50" t="e">
        <f>Dashboard!#REF!</f>
        <v>#REF!</v>
      </c>
      <c r="C89" s="50" t="e">
        <f>Dashboard!#REF!</f>
        <v>#REF!</v>
      </c>
      <c r="D89" s="55">
        <f>D86+D87+D88</f>
        <v>788220</v>
      </c>
      <c r="E89" s="55">
        <f t="shared" ref="E89:O89" si="9">E86+E87+E88</f>
        <v>1662000</v>
      </c>
      <c r="F89" s="55">
        <f t="shared" si="9"/>
        <v>1165465</v>
      </c>
      <c r="G89" s="55">
        <f t="shared" si="9"/>
        <v>1091740</v>
      </c>
      <c r="H89" s="55">
        <f t="shared" si="9"/>
        <v>1044620</v>
      </c>
      <c r="I89" s="55">
        <f t="shared" si="9"/>
        <v>1070700</v>
      </c>
      <c r="J89" s="55">
        <f t="shared" si="9"/>
        <v>1373265</v>
      </c>
      <c r="K89" s="55">
        <f t="shared" si="9"/>
        <v>1123855</v>
      </c>
      <c r="L89" s="55">
        <f t="shared" si="9"/>
        <v>1034830</v>
      </c>
      <c r="M89" s="55">
        <f t="shared" si="9"/>
        <v>1309955</v>
      </c>
      <c r="N89" s="55">
        <f t="shared" si="9"/>
        <v>1052065</v>
      </c>
      <c r="O89" s="55">
        <f t="shared" si="9"/>
        <v>1591310</v>
      </c>
    </row>
    <row r="90" spans="1:15" x14ac:dyDescent="0.35">
      <c r="A90" s="50" t="e">
        <f>Dashboard!#REF!</f>
        <v>#REF!</v>
      </c>
      <c r="B90" s="50" t="e">
        <f>Dashboard!#REF!</f>
        <v>#REF!</v>
      </c>
      <c r="C90" s="50" t="e">
        <f>Dashboard!#REF!</f>
        <v>#REF!</v>
      </c>
      <c r="D90" s="52">
        <v>978890</v>
      </c>
      <c r="E90" s="52">
        <v>543915</v>
      </c>
      <c r="F90" s="52">
        <v>1248065</v>
      </c>
      <c r="G90" s="52">
        <v>1297244</v>
      </c>
      <c r="H90" s="52">
        <v>753106</v>
      </c>
      <c r="I90" s="52">
        <v>1392742</v>
      </c>
      <c r="J90" s="52">
        <v>1146903</v>
      </c>
      <c r="K90" s="52">
        <v>1273541</v>
      </c>
      <c r="L90" s="52">
        <v>1239975</v>
      </c>
      <c r="M90" s="52">
        <v>1011325</v>
      </c>
      <c r="N90" s="52">
        <v>1246374</v>
      </c>
      <c r="O90" s="52">
        <v>1431933</v>
      </c>
    </row>
    <row r="91" spans="1:15" x14ac:dyDescent="0.35">
      <c r="A91" s="50" t="e">
        <f>Dashboard!#REF!</f>
        <v>#REF!</v>
      </c>
      <c r="B91" s="50" t="e">
        <f>Dashboard!#REF!</f>
        <v>#REF!</v>
      </c>
      <c r="C91" s="50" t="e">
        <f>Dashboard!#REF!</f>
        <v>#REF!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</row>
    <row r="92" spans="1:15" x14ac:dyDescent="0.35">
      <c r="A92" s="50" t="e">
        <f>Dashboard!#REF!</f>
        <v>#REF!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>
        <v>89900</v>
      </c>
    </row>
    <row r="93" spans="1:15" x14ac:dyDescent="0.35">
      <c r="A93" s="50" t="e">
        <f>Dashboard!#REF!</f>
        <v>#REF!</v>
      </c>
      <c r="B93" s="50" t="e">
        <f>Dashboard!#REF!</f>
        <v>#REF!</v>
      </c>
      <c r="C93" s="50" t="e">
        <f>Dashboard!#REF!</f>
        <v>#REF!</v>
      </c>
      <c r="D93" s="52">
        <v>640865</v>
      </c>
      <c r="E93" s="52">
        <v>1037905</v>
      </c>
      <c r="F93" s="52">
        <v>704215</v>
      </c>
      <c r="G93" s="52">
        <v>915800</v>
      </c>
      <c r="H93" s="52">
        <v>991640</v>
      </c>
      <c r="I93" s="52">
        <v>827305</v>
      </c>
      <c r="J93" s="52">
        <v>1088540</v>
      </c>
      <c r="K93" s="52">
        <v>967500</v>
      </c>
      <c r="L93" s="52">
        <v>745830</v>
      </c>
      <c r="M93" s="52">
        <v>1037860</v>
      </c>
      <c r="N93" s="52">
        <v>800170</v>
      </c>
      <c r="O93" s="52">
        <v>800110</v>
      </c>
    </row>
    <row r="94" spans="1:15" x14ac:dyDescent="0.35">
      <c r="A94" s="50" t="e">
        <f>Dashboard!#REF!</f>
        <v>#REF!</v>
      </c>
      <c r="B94" s="50" t="e">
        <f>Dashboard!#REF!</f>
        <v>#REF!</v>
      </c>
      <c r="C94" s="50" t="e">
        <f>Dashboard!#REF!</f>
        <v>#REF!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0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</row>
    <row r="95" spans="1:15" x14ac:dyDescent="0.35">
      <c r="A95" s="50" t="e">
        <f>Dashboard!#REF!</f>
        <v>#REF!</v>
      </c>
      <c r="B95" s="50" t="e">
        <f>Dashboard!#REF!</f>
        <v>#REF!</v>
      </c>
      <c r="C95" s="50" t="e">
        <f>Dashboard!#REF!</f>
        <v>#REF!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52">
        <v>0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</row>
    <row r="96" spans="1:15" x14ac:dyDescent="0.35">
      <c r="A96" s="50" t="e">
        <f>Dashboard!#REF!</f>
        <v>#REF!</v>
      </c>
      <c r="B96" s="50" t="e">
        <f>Dashboard!#REF!</f>
        <v>#REF!</v>
      </c>
      <c r="C96" s="50" t="e">
        <f>Dashboard!#REF!</f>
        <v>#REF!</v>
      </c>
      <c r="D96" s="55">
        <f>D93+D94+D95</f>
        <v>640865</v>
      </c>
      <c r="E96" s="55">
        <f t="shared" ref="E96:O96" si="10">E93+E94+E95</f>
        <v>1037905</v>
      </c>
      <c r="F96" s="55">
        <f t="shared" si="10"/>
        <v>704215</v>
      </c>
      <c r="G96" s="55">
        <f t="shared" si="10"/>
        <v>915800</v>
      </c>
      <c r="H96" s="55">
        <f t="shared" si="10"/>
        <v>991640</v>
      </c>
      <c r="I96" s="55">
        <f t="shared" si="10"/>
        <v>827305</v>
      </c>
      <c r="J96" s="55">
        <f t="shared" si="10"/>
        <v>1088540</v>
      </c>
      <c r="K96" s="55">
        <f t="shared" si="10"/>
        <v>967500</v>
      </c>
      <c r="L96" s="55">
        <f t="shared" si="10"/>
        <v>745830</v>
      </c>
      <c r="M96" s="55">
        <f t="shared" si="10"/>
        <v>1037860</v>
      </c>
      <c r="N96" s="55">
        <f t="shared" si="10"/>
        <v>800170</v>
      </c>
      <c r="O96" s="55">
        <f t="shared" si="10"/>
        <v>800110</v>
      </c>
    </row>
    <row r="97" spans="1:15" x14ac:dyDescent="0.35">
      <c r="A97" s="50" t="e">
        <f>Dashboard!#REF!</f>
        <v>#REF!</v>
      </c>
      <c r="B97" s="50" t="e">
        <f>Dashboard!#REF!</f>
        <v>#REF!</v>
      </c>
      <c r="C97" s="50" t="e">
        <f>Dashboard!#REF!</f>
        <v>#REF!</v>
      </c>
      <c r="D97" s="52">
        <v>750007</v>
      </c>
      <c r="E97" s="52">
        <v>822837</v>
      </c>
      <c r="F97" s="52">
        <v>742598</v>
      </c>
      <c r="G97" s="52">
        <v>625968</v>
      </c>
      <c r="H97" s="52">
        <v>508536</v>
      </c>
      <c r="I97" s="52">
        <v>1084948</v>
      </c>
      <c r="J97" s="52">
        <v>661424</v>
      </c>
      <c r="K97" s="52">
        <v>1000176</v>
      </c>
      <c r="L97" s="52">
        <v>1040698</v>
      </c>
      <c r="M97" s="52">
        <v>823504</v>
      </c>
      <c r="N97" s="52">
        <v>797015</v>
      </c>
      <c r="O97" s="52">
        <v>926782</v>
      </c>
    </row>
    <row r="98" spans="1:15" x14ac:dyDescent="0.35">
      <c r="A98" s="50" t="e">
        <f>Dashboard!#REF!</f>
        <v>#REF!</v>
      </c>
      <c r="B98" s="50" t="e">
        <f>Dashboard!#REF!</f>
        <v>#REF!</v>
      </c>
      <c r="C98" s="50" t="e">
        <f>Dashboard!#REF!</f>
        <v>#REF!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</row>
    <row r="99" spans="1:15" x14ac:dyDescent="0.35">
      <c r="A99" s="50" t="e">
        <f>Dashboard!#REF!</f>
        <v>#REF!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>
        <v>11150</v>
      </c>
    </row>
    <row r="100" spans="1:15" x14ac:dyDescent="0.35">
      <c r="A100" s="50" t="e">
        <f>Dashboard!#REF!</f>
        <v>#REF!</v>
      </c>
      <c r="B100" s="50" t="e">
        <f>Dashboard!#REF!</f>
        <v>#REF!</v>
      </c>
      <c r="C100" s="50" t="e">
        <f>Dashboard!#REF!</f>
        <v>#REF!</v>
      </c>
      <c r="D100" s="52">
        <v>56215</v>
      </c>
      <c r="E100" s="52">
        <v>96580</v>
      </c>
      <c r="F100" s="52">
        <v>100920</v>
      </c>
      <c r="G100" s="52">
        <v>57295</v>
      </c>
      <c r="H100" s="52">
        <v>76340</v>
      </c>
      <c r="I100" s="52">
        <v>87705</v>
      </c>
      <c r="J100" s="52">
        <v>92920</v>
      </c>
      <c r="K100" s="52">
        <v>88005</v>
      </c>
      <c r="L100" s="52">
        <v>112290</v>
      </c>
      <c r="M100" s="52">
        <v>71075</v>
      </c>
      <c r="N100" s="52">
        <v>80210</v>
      </c>
      <c r="O100" s="52">
        <v>80970</v>
      </c>
    </row>
    <row r="101" spans="1:15" x14ac:dyDescent="0.35">
      <c r="A101" s="50" t="e">
        <f>Dashboard!#REF!</f>
        <v>#REF!</v>
      </c>
      <c r="B101" s="50" t="e">
        <f>Dashboard!#REF!</f>
        <v>#REF!</v>
      </c>
      <c r="C101" s="50" t="e">
        <f>Dashboard!#REF!</f>
        <v>#REF!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/>
      <c r="N101" s="52">
        <v>0</v>
      </c>
      <c r="O101" s="52">
        <v>0</v>
      </c>
    </row>
    <row r="102" spans="1:15" x14ac:dyDescent="0.35">
      <c r="A102" s="50" t="e">
        <f>Dashboard!#REF!</f>
        <v>#REF!</v>
      </c>
      <c r="B102" s="50" t="e">
        <f>Dashboard!#REF!</f>
        <v>#REF!</v>
      </c>
      <c r="C102" s="50" t="e">
        <f>Dashboard!#REF!</f>
        <v>#REF!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/>
      <c r="N102" s="52">
        <v>0</v>
      </c>
      <c r="O102" s="52">
        <v>0</v>
      </c>
    </row>
    <row r="103" spans="1:15" x14ac:dyDescent="0.35">
      <c r="A103" s="50" t="e">
        <f>Dashboard!#REF!</f>
        <v>#REF!</v>
      </c>
      <c r="B103" s="50" t="e">
        <f>Dashboard!#REF!</f>
        <v>#REF!</v>
      </c>
      <c r="C103" s="50" t="e">
        <f>Dashboard!#REF!</f>
        <v>#REF!</v>
      </c>
      <c r="D103" s="55">
        <f>D100+D101+D102</f>
        <v>56215</v>
      </c>
      <c r="E103" s="55">
        <f t="shared" ref="E103:O103" si="11">E100+E101+E102</f>
        <v>96580</v>
      </c>
      <c r="F103" s="55">
        <f t="shared" si="11"/>
        <v>100920</v>
      </c>
      <c r="G103" s="55">
        <f t="shared" si="11"/>
        <v>57295</v>
      </c>
      <c r="H103" s="55">
        <f t="shared" si="11"/>
        <v>76340</v>
      </c>
      <c r="I103" s="55">
        <f t="shared" si="11"/>
        <v>87705</v>
      </c>
      <c r="J103" s="55">
        <f t="shared" si="11"/>
        <v>92920</v>
      </c>
      <c r="K103" s="55">
        <f t="shared" si="11"/>
        <v>88005</v>
      </c>
      <c r="L103" s="55">
        <f t="shared" si="11"/>
        <v>112290</v>
      </c>
      <c r="M103" s="55">
        <f t="shared" si="11"/>
        <v>71075</v>
      </c>
      <c r="N103" s="55">
        <f t="shared" si="11"/>
        <v>80210</v>
      </c>
      <c r="O103" s="55">
        <f t="shared" si="11"/>
        <v>80970</v>
      </c>
    </row>
    <row r="104" spans="1:15" x14ac:dyDescent="0.35">
      <c r="A104" s="50" t="e">
        <f>Dashboard!#REF!</f>
        <v>#REF!</v>
      </c>
      <c r="B104" s="50" t="e">
        <f>Dashboard!#REF!</f>
        <v>#REF!</v>
      </c>
      <c r="C104" s="50" t="e">
        <f>Dashboard!#REF!</f>
        <v>#REF!</v>
      </c>
      <c r="D104" s="52">
        <v>13655</v>
      </c>
      <c r="E104" s="52">
        <v>61610</v>
      </c>
      <c r="F104" s="52">
        <v>67375</v>
      </c>
      <c r="G104" s="52">
        <v>66935</v>
      </c>
      <c r="H104" s="52">
        <v>61380</v>
      </c>
      <c r="I104" s="52">
        <v>85520</v>
      </c>
      <c r="J104" s="52">
        <v>74132</v>
      </c>
      <c r="K104" s="52">
        <v>92156</v>
      </c>
      <c r="L104" s="52">
        <v>84916</v>
      </c>
      <c r="M104" s="52">
        <v>88938</v>
      </c>
      <c r="N104" s="52">
        <v>65665</v>
      </c>
      <c r="O104" s="52">
        <v>65685</v>
      </c>
    </row>
    <row r="105" spans="1:15" x14ac:dyDescent="0.35">
      <c r="A105" s="50" t="e">
        <f>Dashboard!#REF!</f>
        <v>#REF!</v>
      </c>
      <c r="B105" s="50" t="e">
        <f>Dashboard!#REF!</f>
        <v>#REF!</v>
      </c>
      <c r="C105" s="50" t="e">
        <f>Dashboard!#REF!</f>
        <v>#REF!</v>
      </c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</row>
    <row r="106" spans="1:15" x14ac:dyDescent="0.35">
      <c r="A106" s="50" t="e">
        <f>Dashboard!#REF!</f>
        <v>#REF!</v>
      </c>
      <c r="B106" s="50" t="e">
        <f>Dashboard!#REF!</f>
        <v>#REF!</v>
      </c>
      <c r="C106" s="50" t="e">
        <f>Dashboard!#REF!</f>
        <v>#REF!</v>
      </c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>
        <v>28000</v>
      </c>
    </row>
    <row r="107" spans="1:15" x14ac:dyDescent="0.35">
      <c r="A107" s="50" t="e">
        <f>Dashboard!#REF!</f>
        <v>#REF!</v>
      </c>
      <c r="B107" s="50" t="e">
        <f>Dashboard!#REF!</f>
        <v>#REF!</v>
      </c>
      <c r="C107" s="50" t="e">
        <f>Dashboard!#REF!</f>
        <v>#REF!</v>
      </c>
      <c r="D107" s="52">
        <v>0</v>
      </c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</row>
    <row r="108" spans="1:15" x14ac:dyDescent="0.35">
      <c r="A108" s="50" t="e">
        <f>Dashboard!#REF!</f>
        <v>#REF!</v>
      </c>
      <c r="B108" s="50" t="e">
        <f>Dashboard!#REF!</f>
        <v>#REF!</v>
      </c>
      <c r="C108" s="50" t="e">
        <f>Dashboard!#REF!</f>
        <v>#REF!</v>
      </c>
      <c r="D108" s="52">
        <v>0</v>
      </c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</row>
    <row r="109" spans="1:15" x14ac:dyDescent="0.35">
      <c r="A109" s="50" t="e">
        <f>Dashboard!#REF!</f>
        <v>#REF!</v>
      </c>
      <c r="B109" s="50" t="e">
        <f>Dashboard!#REF!</f>
        <v>#REF!</v>
      </c>
      <c r="C109" s="50" t="e">
        <f>Dashboard!#REF!</f>
        <v>#REF!</v>
      </c>
      <c r="D109" s="52">
        <v>0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</row>
    <row r="110" spans="1:15" x14ac:dyDescent="0.35">
      <c r="A110" s="50" t="e">
        <f>Dashboard!#REF!</f>
        <v>#REF!</v>
      </c>
      <c r="B110" s="50" t="e">
        <f>Dashboard!#REF!</f>
        <v>#REF!</v>
      </c>
      <c r="C110" s="50" t="e">
        <f>Dashboard!#REF!</f>
        <v>#REF!</v>
      </c>
      <c r="D110" s="55">
        <f>D107+D108+D109</f>
        <v>0</v>
      </c>
      <c r="E110" s="55">
        <f t="shared" ref="E110:N110" si="12">E107+E108+E109</f>
        <v>0</v>
      </c>
      <c r="F110" s="55">
        <f t="shared" si="12"/>
        <v>0</v>
      </c>
      <c r="G110" s="55">
        <f t="shared" si="12"/>
        <v>0</v>
      </c>
      <c r="H110" s="55">
        <f t="shared" si="12"/>
        <v>0</v>
      </c>
      <c r="I110" s="55">
        <f t="shared" si="12"/>
        <v>0</v>
      </c>
      <c r="J110" s="55">
        <f t="shared" si="12"/>
        <v>0</v>
      </c>
      <c r="K110" s="55">
        <f t="shared" si="12"/>
        <v>0</v>
      </c>
      <c r="L110" s="55">
        <f t="shared" si="12"/>
        <v>0</v>
      </c>
      <c r="M110" s="55">
        <f t="shared" si="12"/>
        <v>0</v>
      </c>
      <c r="N110" s="55">
        <f t="shared" si="12"/>
        <v>0</v>
      </c>
      <c r="O110" s="55">
        <f>O107+O108+O109+O106</f>
        <v>28000</v>
      </c>
    </row>
    <row r="111" spans="1:15" x14ac:dyDescent="0.35">
      <c r="A111" s="50" t="e">
        <f>Dashboard!#REF!</f>
        <v>#REF!</v>
      </c>
      <c r="B111" s="50" t="e">
        <f>Dashboard!#REF!</f>
        <v>#REF!</v>
      </c>
      <c r="C111" s="50" t="e">
        <f>Dashboard!#REF!</f>
        <v>#REF!</v>
      </c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</row>
    <row r="112" spans="1:15" x14ac:dyDescent="0.35">
      <c r="A112" s="50" t="e">
        <f>Dashboard!#REF!</f>
        <v>#REF!</v>
      </c>
      <c r="B112" s="50" t="e">
        <f>Dashboard!#REF!</f>
        <v>#REF!</v>
      </c>
      <c r="C112" s="50" t="e">
        <f>Dashboard!#REF!</f>
        <v>#REF!</v>
      </c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</row>
    <row r="113" spans="1:15" x14ac:dyDescent="0.35">
      <c r="A113" s="50" t="e">
        <f>Dashboard!#REF!</f>
        <v>#REF!</v>
      </c>
      <c r="B113" s="50" t="e">
        <f>Dashboard!#REF!</f>
        <v>#REF!</v>
      </c>
      <c r="C113" s="50">
        <f>Dashboard!C56</f>
        <v>0</v>
      </c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</row>
    <row r="114" spans="1:15" hidden="1" x14ac:dyDescent="0.35">
      <c r="A114" s="50" t="e">
        <f>Dashboard!#REF!</f>
        <v>#REF!</v>
      </c>
      <c r="B114" s="50" t="e">
        <f>Dashboard!#REF!</f>
        <v>#REF!</v>
      </c>
      <c r="C114" s="50">
        <f>Dashboard!C57</f>
        <v>0</v>
      </c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</row>
    <row r="115" spans="1:15" x14ac:dyDescent="0.35">
      <c r="A115" s="50" t="e">
        <f>Dashboard!#REF!</f>
        <v>#REF!</v>
      </c>
      <c r="B115" s="50" t="e">
        <f>Dashboard!#REF!</f>
        <v>#REF!</v>
      </c>
      <c r="C115" s="50">
        <f>Dashboard!C58</f>
        <v>0</v>
      </c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35">
      <c r="A116" s="50" t="e">
        <f>Dashboard!#REF!</f>
        <v>#REF!</v>
      </c>
      <c r="B116" s="50" t="e">
        <f>Dashboard!#REF!</f>
        <v>#REF!</v>
      </c>
      <c r="C116" s="50">
        <f>Dashboard!C59</f>
        <v>0</v>
      </c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35">
      <c r="A117" s="50" t="e">
        <f>Dashboard!#REF!</f>
        <v>#REF!</v>
      </c>
      <c r="B117" s="50" t="e">
        <f>Dashboard!#REF!</f>
        <v>#REF!</v>
      </c>
      <c r="C117" s="50">
        <f>Dashboard!C60</f>
        <v>0</v>
      </c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35">
      <c r="A118" s="50" t="e">
        <f>Dashboard!#REF!</f>
        <v>#REF!</v>
      </c>
      <c r="B118" s="50" t="e">
        <f>Dashboard!#REF!</f>
        <v>#REF!</v>
      </c>
      <c r="C118" s="50">
        <f>Dashboard!C61</f>
        <v>0</v>
      </c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35">
      <c r="A119" s="50">
        <f>Dashboard!A53</f>
        <v>0</v>
      </c>
      <c r="B119" s="50" t="str">
        <f>Dashboard!B53</f>
        <v>AMOUNT RECEIVABLES</v>
      </c>
      <c r="C119" s="50">
        <f>Dashboard!C62</f>
        <v>0</v>
      </c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35">
      <c r="A120" s="50">
        <f>Dashboard!A54</f>
        <v>20</v>
      </c>
      <c r="B120" s="50" t="str">
        <f>Dashboard!B54</f>
        <v>Amount receivables as at close of the month</v>
      </c>
      <c r="C120" s="50">
        <f>Dashboard!C63</f>
        <v>0</v>
      </c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35">
      <c r="A121" s="50" t="e">
        <f>Dashboard!#REF!</f>
        <v>#REF!</v>
      </c>
      <c r="B121" s="50" t="e">
        <f>Dashboard!#REF!</f>
        <v>#REF!</v>
      </c>
      <c r="C121" s="50">
        <f>Dashboard!C64</f>
        <v>0</v>
      </c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35">
      <c r="A122" s="50">
        <f>Dashboard!A56</f>
        <v>0</v>
      </c>
      <c r="B122" s="50">
        <f>Dashboard!B56</f>
        <v>0</v>
      </c>
      <c r="C122" s="50">
        <f>Dashboard!C65</f>
        <v>0</v>
      </c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35">
      <c r="A123" s="50">
        <f>Dashboard!A57</f>
        <v>0</v>
      </c>
      <c r="B123" s="50">
        <f>Dashboard!B57</f>
        <v>0</v>
      </c>
      <c r="C123" s="50">
        <f>Dashboard!C66</f>
        <v>0</v>
      </c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35">
      <c r="A124" s="50">
        <f>Dashboard!A58</f>
        <v>0</v>
      </c>
      <c r="B124" s="50">
        <f>Dashboard!B58</f>
        <v>0</v>
      </c>
      <c r="C124" s="50">
        <f>Dashboard!C67</f>
        <v>0</v>
      </c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35">
      <c r="A125" s="50">
        <f>Dashboard!A68</f>
        <v>0</v>
      </c>
      <c r="B125" s="50">
        <f>Dashboard!B68</f>
        <v>0</v>
      </c>
      <c r="C125" s="50">
        <f>Dashboard!C68</f>
        <v>0</v>
      </c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35">
      <c r="A126" s="50">
        <f>Dashboard!A69</f>
        <v>0</v>
      </c>
      <c r="B126" s="50">
        <f>Dashboard!B69</f>
        <v>0</v>
      </c>
      <c r="C126" s="50">
        <f>Dashboard!C69</f>
        <v>0</v>
      </c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35">
      <c r="A127" s="50">
        <f>Dashboard!A70</f>
        <v>0</v>
      </c>
      <c r="B127" s="50">
        <f>Dashboard!B70</f>
        <v>0</v>
      </c>
      <c r="C127" s="50">
        <f>Dashboard!C70</f>
        <v>0</v>
      </c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35">
      <c r="A128" s="50">
        <f>Dashboard!A71</f>
        <v>0</v>
      </c>
      <c r="B128" s="50">
        <f>Dashboard!B71</f>
        <v>0</v>
      </c>
      <c r="C128" s="50">
        <f>Dashboard!C71</f>
        <v>0</v>
      </c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35">
      <c r="A129" s="50">
        <f>Dashboard!A72</f>
        <v>0</v>
      </c>
      <c r="B129" s="50">
        <f>Dashboard!B72</f>
        <v>0</v>
      </c>
      <c r="C129" s="50">
        <f>Dashboard!C72</f>
        <v>0</v>
      </c>
      <c r="D129"/>
      <c r="E129"/>
      <c r="F129"/>
      <c r="G129"/>
      <c r="H129"/>
      <c r="I129"/>
      <c r="J129"/>
      <c r="K129"/>
      <c r="L129"/>
      <c r="M129"/>
      <c r="N129"/>
      <c r="O1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5</v>
      </c>
      <c r="C1" s="4" t="str">
        <f>Dashboard!B6</f>
        <v>Total Water Sales (Ksh)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179809530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161020690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144918621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140</v>
      </c>
      <c r="E19" s="5">
        <f>BUDGET2526!D6</f>
        <v>16944467.777777776</v>
      </c>
      <c r="F19" s="5">
        <f>BUDGET2526!E6</f>
        <v>17161527.777777776</v>
      </c>
      <c r="G19" s="5">
        <f>BUDGET2526!F6</f>
        <v>17381827.777777776</v>
      </c>
      <c r="H19" s="5">
        <f>BUDGET2526!G6</f>
        <v>17650727.777777776</v>
      </c>
      <c r="I19" s="5">
        <f>BUDGET2526!H6</f>
        <v>17903427.777777776</v>
      </c>
      <c r="J19" s="5">
        <f>BUDGET2526!I6</f>
        <v>18139927.777777776</v>
      </c>
      <c r="K19" s="5">
        <f>BUDGET2526!J6</f>
        <v>18392627.777777776</v>
      </c>
      <c r="L19" s="5">
        <f>BUDGET2526!K6</f>
        <v>18621027.777777776</v>
      </c>
      <c r="M19" s="5">
        <f>BUDGET2526!L6</f>
        <v>18825127.777777776</v>
      </c>
      <c r="N19" s="5">
        <f>BUDGET2526!M6</f>
        <v>19013027.777777776</v>
      </c>
      <c r="O19" s="5">
        <f>BUDGET2526!N6</f>
        <v>19200927.77777778</v>
      </c>
      <c r="P19" s="5">
        <f>BUDGET2526!O6</f>
        <v>19385587.77777778</v>
      </c>
      <c r="Q19" s="5">
        <f>SUM(E19:P19)</f>
        <v>218620233.33333337</v>
      </c>
    </row>
    <row r="20" spans="3:17" x14ac:dyDescent="0.35">
      <c r="D20" s="3" t="s">
        <v>142</v>
      </c>
      <c r="E20" s="5">
        <f>'ACTUAL 2526'!E6</f>
        <v>18389070</v>
      </c>
      <c r="F20" s="5">
        <f>'ACTUAL 2526'!F6</f>
        <v>22070060</v>
      </c>
      <c r="G20" s="5">
        <f>'ACTUAL 2526'!G6</f>
        <v>18397530</v>
      </c>
      <c r="H20" s="5">
        <f>'ACTUAL 2526'!H6</f>
        <v>21684080</v>
      </c>
      <c r="I20" s="5">
        <f>'ACTUAL 2526'!I6</f>
        <v>17036780</v>
      </c>
      <c r="J20" s="5">
        <f>'ACTUAL 2526'!J6</f>
        <v>16441310</v>
      </c>
      <c r="K20" s="5">
        <f>'ACTUAL 2526'!K6</f>
        <v>25608070</v>
      </c>
      <c r="L20" s="5">
        <f>'ACTUAL 2526'!L6</f>
        <v>21831150</v>
      </c>
      <c r="M20" s="5">
        <f>'ACTUAL 2526'!M6</f>
        <v>18351480</v>
      </c>
      <c r="N20" s="5">
        <f>'ACTUAL 2526'!N6</f>
        <v>0</v>
      </c>
      <c r="O20" s="5">
        <f>'ACTUAL 2526'!O6</f>
        <v>0</v>
      </c>
      <c r="P20" s="5">
        <f>'ACTUAL 2526'!P6</f>
        <v>0</v>
      </c>
      <c r="Q20" s="5">
        <f t="shared" ref="Q20:Q21" si="0">SUM(E20:P20)</f>
        <v>179809530</v>
      </c>
    </row>
    <row r="21" spans="3:17" x14ac:dyDescent="0.35">
      <c r="D21" s="3" t="s">
        <v>141</v>
      </c>
      <c r="E21" s="5">
        <f>'Actual 202425'!E6</f>
        <v>11183420</v>
      </c>
      <c r="F21" s="5">
        <f>'Actual 202425'!F6</f>
        <v>13918957</v>
      </c>
      <c r="G21" s="5">
        <f>'Actual 202425'!G6</f>
        <v>13018249</v>
      </c>
      <c r="H21" s="5">
        <f>'Actual 202425'!H6</f>
        <v>12608519</v>
      </c>
      <c r="I21" s="5">
        <f>'Actual 202425'!I6</f>
        <v>14174994</v>
      </c>
      <c r="J21" s="5">
        <f>'Actual 202425'!J6</f>
        <v>8977679</v>
      </c>
      <c r="K21" s="5">
        <f>'Actual 202425'!K6</f>
        <v>14767948</v>
      </c>
      <c r="L21" s="5">
        <f>'Actual 202425'!L6</f>
        <v>13060906</v>
      </c>
      <c r="M21" s="5">
        <f>'Actual 202425'!M6</f>
        <v>13951180</v>
      </c>
      <c r="N21" s="5">
        <f>'Actual 202425'!N6</f>
        <v>13956857</v>
      </c>
      <c r="O21" s="5">
        <f>'Actual 202425'!O6</f>
        <v>19515330</v>
      </c>
      <c r="P21" s="5">
        <f>'Actual 202425'!P6</f>
        <v>20899160</v>
      </c>
      <c r="Q21" s="5">
        <f t="shared" si="0"/>
        <v>170033199</v>
      </c>
    </row>
    <row r="22" spans="3:17" x14ac:dyDescent="0.35">
      <c r="D22" s="3" t="s">
        <v>64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f>SUM(E22:P22)</f>
        <v>0</v>
      </c>
    </row>
    <row r="23" spans="3:17" x14ac:dyDescent="0.35">
      <c r="D23" s="3" t="s">
        <v>65</v>
      </c>
      <c r="E23" s="9">
        <f t="shared" ref="E23:P23" si="1">E20/E19</f>
        <v>1.0852550957142946</v>
      </c>
      <c r="F23" s="9">
        <f t="shared" si="1"/>
        <v>1.2860195365926694</v>
      </c>
      <c r="G23" s="9">
        <f t="shared" si="1"/>
        <v>1.0584347190184897</v>
      </c>
      <c r="H23" s="9">
        <f t="shared" si="1"/>
        <v>1.2285091171878026</v>
      </c>
      <c r="I23" s="9">
        <f t="shared" si="1"/>
        <v>0.95159319273745535</v>
      </c>
      <c r="J23" s="9">
        <f t="shared" si="1"/>
        <v>0.90636027890592497</v>
      </c>
      <c r="K23" s="9">
        <f t="shared" si="1"/>
        <v>1.3923007799320561</v>
      </c>
      <c r="L23" s="9">
        <f t="shared" si="1"/>
        <v>1.1723923222999089</v>
      </c>
      <c r="M23" s="9">
        <f t="shared" si="1"/>
        <v>0.97483959825564126</v>
      </c>
      <c r="N23" s="9">
        <f t="shared" si="1"/>
        <v>0</v>
      </c>
      <c r="O23" s="9">
        <f t="shared" si="1"/>
        <v>0</v>
      </c>
      <c r="P23" s="9">
        <f t="shared" si="1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E25" s="11">
        <f>E18</f>
        <v>45839</v>
      </c>
      <c r="F25" s="11">
        <f t="shared" ref="F25:P25" si="2">F18</f>
        <v>45870</v>
      </c>
      <c r="G25" s="11">
        <f t="shared" si="2"/>
        <v>45901</v>
      </c>
      <c r="H25" s="11">
        <f t="shared" si="2"/>
        <v>45931</v>
      </c>
      <c r="I25" s="11">
        <f t="shared" si="2"/>
        <v>45962</v>
      </c>
      <c r="J25" s="11">
        <f t="shared" si="2"/>
        <v>45992</v>
      </c>
      <c r="K25" s="11">
        <f t="shared" si="2"/>
        <v>46023</v>
      </c>
      <c r="L25" s="11">
        <f t="shared" si="2"/>
        <v>46054</v>
      </c>
      <c r="M25" s="11">
        <f t="shared" si="2"/>
        <v>46082</v>
      </c>
      <c r="N25" s="11">
        <f t="shared" si="2"/>
        <v>46113</v>
      </c>
      <c r="O25" s="11">
        <f t="shared" si="2"/>
        <v>46143</v>
      </c>
      <c r="P25" s="11">
        <f t="shared" si="2"/>
        <v>46174</v>
      </c>
    </row>
    <row r="26" spans="3:17" x14ac:dyDescent="0.35">
      <c r="D26" s="3" t="str">
        <f>D19</f>
        <v>budget2025/26</v>
      </c>
      <c r="E26" s="5">
        <f>SUM($E19:E19)</f>
        <v>16944467.777777776</v>
      </c>
      <c r="F26" s="5">
        <f>SUM($E19:F19)</f>
        <v>34105995.555555552</v>
      </c>
      <c r="G26" s="5">
        <f>SUM($E19:G19)</f>
        <v>51487823.333333328</v>
      </c>
      <c r="H26" s="5">
        <f>SUM($E19:H19)</f>
        <v>69138551.111111104</v>
      </c>
      <c r="I26" s="5">
        <f>SUM($E19:I19)</f>
        <v>87041978.888888881</v>
      </c>
      <c r="J26" s="5">
        <f>SUM($E19:J19)</f>
        <v>105181906.66666666</v>
      </c>
      <c r="K26" s="5">
        <f>SUM($E19:K19)</f>
        <v>123574534.44444443</v>
      </c>
      <c r="L26" s="5">
        <f>SUM($E19:L19)</f>
        <v>142195562.22222221</v>
      </c>
      <c r="M26" s="5">
        <f>SUM($E19:M19)</f>
        <v>161020690</v>
      </c>
      <c r="N26" s="5">
        <f>SUM($E19:N19)</f>
        <v>180033717.77777779</v>
      </c>
      <c r="O26" s="5">
        <f>SUM($E19:O19)</f>
        <v>199234645.55555558</v>
      </c>
      <c r="P26" s="5">
        <f>SUM($E19:P19)</f>
        <v>218620233.33333337</v>
      </c>
    </row>
    <row r="27" spans="3:17" x14ac:dyDescent="0.35">
      <c r="D27" s="3" t="str">
        <f>D20</f>
        <v>ACTUAL2025/26</v>
      </c>
      <c r="E27" s="5">
        <f>SUM($E20:E20)</f>
        <v>18389070</v>
      </c>
      <c r="F27" s="5">
        <f>SUM($E20:F20)</f>
        <v>40459130</v>
      </c>
      <c r="G27" s="5">
        <f>SUM($E20:G20)</f>
        <v>58856660</v>
      </c>
      <c r="H27" s="5">
        <f>SUM($E20:H20)</f>
        <v>80540740</v>
      </c>
      <c r="I27" s="5">
        <f>SUM($E20:I20)</f>
        <v>97577520</v>
      </c>
      <c r="J27" s="5">
        <f>SUM($E20:J20)</f>
        <v>114018830</v>
      </c>
      <c r="K27" s="5">
        <f>SUM($E20:K20)</f>
        <v>139626900</v>
      </c>
      <c r="L27" s="5">
        <f>SUM($E20:L20)</f>
        <v>161458050</v>
      </c>
      <c r="M27" s="5">
        <f>SUM($E20:M20)</f>
        <v>179809530</v>
      </c>
      <c r="N27" s="5">
        <f>SUM($E20:N20)</f>
        <v>179809530</v>
      </c>
      <c r="O27" s="5">
        <f>SUM($E20:O20)</f>
        <v>179809530</v>
      </c>
      <c r="P27" s="5">
        <f>SUM($E20:P20)</f>
        <v>179809530</v>
      </c>
    </row>
    <row r="28" spans="3:17" x14ac:dyDescent="0.35">
      <c r="D28" s="3" t="str">
        <f>D21</f>
        <v>ACTUAL2024/25</v>
      </c>
      <c r="E28" s="5">
        <f>SUM($E21:E21)</f>
        <v>11183420</v>
      </c>
      <c r="F28" s="5">
        <f>SUM($E21:F21)</f>
        <v>25102377</v>
      </c>
      <c r="G28" s="5">
        <f>SUM($E21:G21)</f>
        <v>38120626</v>
      </c>
      <c r="H28" s="5">
        <f>SUM($E21:H21)</f>
        <v>50729145</v>
      </c>
      <c r="I28" s="5">
        <f>SUM($E21:I21)</f>
        <v>64904139</v>
      </c>
      <c r="J28" s="5">
        <f>SUM($E21:J21)</f>
        <v>73881818</v>
      </c>
      <c r="K28" s="5">
        <f>SUM($E21:K21)</f>
        <v>88649766</v>
      </c>
      <c r="L28" s="5">
        <f>SUM($E21:L21)</f>
        <v>101710672</v>
      </c>
      <c r="M28" s="5">
        <f>SUM($E21:M21)</f>
        <v>115661852</v>
      </c>
      <c r="N28" s="5">
        <f>SUM($E21:N21)</f>
        <v>129618709</v>
      </c>
      <c r="O28" s="5">
        <f>SUM($E21:O21)</f>
        <v>149134039</v>
      </c>
      <c r="P28" s="5">
        <f>SUM($E21:P21)</f>
        <v>170033199</v>
      </c>
    </row>
    <row r="29" spans="3:17" x14ac:dyDescent="0.35">
      <c r="D29" s="3" t="s">
        <v>64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ref="D30" si="3">D23</f>
        <v>%REALISATION</v>
      </c>
      <c r="E30" s="9">
        <f t="shared" ref="E30:P30" si="4">E27/E26</f>
        <v>1.0852550957142946</v>
      </c>
      <c r="F30" s="9">
        <f t="shared" si="4"/>
        <v>1.1862761764011778</v>
      </c>
      <c r="G30" s="9">
        <f t="shared" si="4"/>
        <v>1.1431180459690566</v>
      </c>
      <c r="H30" s="9">
        <f t="shared" si="4"/>
        <v>1.1649179611902003</v>
      </c>
      <c r="I30" s="9">
        <f t="shared" si="4"/>
        <v>1.121039770069566</v>
      </c>
      <c r="J30" s="9">
        <f t="shared" si="4"/>
        <v>1.0840156222052386</v>
      </c>
      <c r="K30" s="9">
        <f t="shared" si="4"/>
        <v>1.1299002713441113</v>
      </c>
      <c r="L30" s="9">
        <f t="shared" si="4"/>
        <v>1.1354647604801795</v>
      </c>
      <c r="M30" s="9">
        <f t="shared" si="4"/>
        <v>1.1166858743432289</v>
      </c>
      <c r="N30" s="9">
        <f t="shared" si="4"/>
        <v>0.99875474560796151</v>
      </c>
      <c r="O30" s="9">
        <f t="shared" si="4"/>
        <v>0.90250131697030078</v>
      </c>
      <c r="P30" s="9">
        <f t="shared" si="4"/>
        <v>0.82247433029605199</v>
      </c>
    </row>
  </sheetData>
  <mergeCells count="2">
    <mergeCell ref="J4:Q8"/>
    <mergeCell ref="J10:Q15"/>
  </mergeCells>
  <conditionalFormatting sqref="C3">
    <cfRule type="expression" dxfId="167" priority="2">
      <formula>S4&lt;S6</formula>
    </cfRule>
  </conditionalFormatting>
  <conditionalFormatting sqref="C4">
    <cfRule type="expression" dxfId="166" priority="1">
      <formula>AND(S4&gt;=S6,S4&lt;S5)</formula>
    </cfRule>
  </conditionalFormatting>
  <conditionalFormatting sqref="C5">
    <cfRule type="expression" dxfId="165" priority="3">
      <formula>S4&gt;=S5</formula>
    </cfRule>
  </conditionalFormatting>
  <hyperlinks>
    <hyperlink ref="L1" location="Dashboard!A1" display="Dashboard" xr:uid="{00000000-0004-0000-07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464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Dashboard!A8</f>
        <v>3</v>
      </c>
      <c r="C1" s="4" t="str">
        <f>Dashboard!B8</f>
        <v xml:space="preserve">Bulk water 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704120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810000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729000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BUDGET2526!D14</f>
        <v>90000</v>
      </c>
      <c r="F19" s="5">
        <f>BUDGET2526!E14</f>
        <v>90000</v>
      </c>
      <c r="G19" s="5">
        <f>BUDGET2526!F14</f>
        <v>90000</v>
      </c>
      <c r="H19" s="5">
        <f>BUDGET2526!G14</f>
        <v>90000</v>
      </c>
      <c r="I19" s="5">
        <f>BUDGET2526!H14</f>
        <v>90000</v>
      </c>
      <c r="J19" s="5">
        <f>BUDGET2526!I14</f>
        <v>90000</v>
      </c>
      <c r="K19" s="5">
        <f>BUDGET2526!J14</f>
        <v>90000</v>
      </c>
      <c r="L19" s="5">
        <f>BUDGET2526!K14</f>
        <v>90000</v>
      </c>
      <c r="M19" s="5">
        <f>BUDGET2526!L14</f>
        <v>90000</v>
      </c>
      <c r="N19" s="5">
        <f>BUDGET2526!M14</f>
        <v>90000</v>
      </c>
      <c r="O19" s="5">
        <f>BUDGET2526!N14</f>
        <v>90000</v>
      </c>
      <c r="P19" s="5">
        <f>BUDGET2526!O14</f>
        <v>90000</v>
      </c>
      <c r="Q19" s="5">
        <f>SUM(E19:P19)</f>
        <v>1080000</v>
      </c>
    </row>
    <row r="20" spans="3:17" x14ac:dyDescent="0.35">
      <c r="D20" s="3" t="str">
        <f>'KPI 1'!D20</f>
        <v>ACTUAL2025/26</v>
      </c>
      <c r="E20" s="5">
        <f>Actual2223!D13</f>
        <v>86850</v>
      </c>
      <c r="F20" s="5">
        <f>Actual2223!E13</f>
        <v>84450</v>
      </c>
      <c r="G20" s="5">
        <f>Actual2223!F13</f>
        <v>56450</v>
      </c>
      <c r="H20" s="5">
        <f>Actual2223!G13</f>
        <v>97020</v>
      </c>
      <c r="I20" s="5">
        <f>Actual2223!H13</f>
        <v>61350</v>
      </c>
      <c r="J20" s="5">
        <f>Actual2223!I13</f>
        <v>68250</v>
      </c>
      <c r="K20" s="5">
        <f>Actual2223!J13</f>
        <v>83100</v>
      </c>
      <c r="L20" s="5">
        <f>Actual2223!K13</f>
        <v>90450</v>
      </c>
      <c r="M20" s="5">
        <f>Actual2223!L13</f>
        <v>76200</v>
      </c>
      <c r="N20" s="5">
        <f>Actual2223!M13</f>
        <v>61950</v>
      </c>
      <c r="O20" s="5">
        <f>Actual2223!N13</f>
        <v>26000</v>
      </c>
      <c r="P20" s="5">
        <f>Actual2223!O13</f>
        <v>28100</v>
      </c>
      <c r="Q20" s="5">
        <f t="shared" ref="Q20:Q21" si="0">SUM(E20:P20)</f>
        <v>820170</v>
      </c>
    </row>
    <row r="21" spans="3:17" x14ac:dyDescent="0.35">
      <c r="D21" s="3" t="str">
        <f>'KPI 1'!D21</f>
        <v>ACTUAL2024/25</v>
      </c>
      <c r="E21" s="5">
        <f>ACTUAL2122!D14</f>
        <v>727660</v>
      </c>
      <c r="F21" s="5">
        <f>ACTUAL2122!E14</f>
        <v>675185</v>
      </c>
      <c r="G21" s="5">
        <f>ACTUAL2122!F14</f>
        <v>754220</v>
      </c>
      <c r="H21" s="5">
        <f>ACTUAL2122!G14</f>
        <v>824710</v>
      </c>
      <c r="I21" s="5">
        <f>ACTUAL2122!H14</f>
        <v>618150</v>
      </c>
      <c r="J21" s="5">
        <f>ACTUAL2122!I14</f>
        <v>676645</v>
      </c>
      <c r="K21" s="5">
        <f>ACTUAL2122!J14</f>
        <v>558750</v>
      </c>
      <c r="L21" s="5">
        <f>ACTUAL2122!K14</f>
        <v>717984</v>
      </c>
      <c r="M21" s="5">
        <f>ACTUAL2122!L14</f>
        <v>1209417</v>
      </c>
      <c r="N21" s="5">
        <f>ACTUAL2122!M14</f>
        <v>816150</v>
      </c>
      <c r="O21" s="5">
        <f>ACTUAL2122!N14</f>
        <v>1065400</v>
      </c>
      <c r="P21" s="5">
        <f>ACTUAL2122!O14</f>
        <v>1163650</v>
      </c>
      <c r="Q21" s="5">
        <f t="shared" si="0"/>
        <v>9807921</v>
      </c>
    </row>
    <row r="22" spans="3:17" x14ac:dyDescent="0.35">
      <c r="D22" s="3" t="str">
        <f>'KPI 1'!D22</f>
        <v>DIFFERENCE</v>
      </c>
      <c r="E22" s="5">
        <f t="shared" ref="E22:P22" si="1">IF(E20=0,0,E20-E19)</f>
        <v>-3150</v>
      </c>
      <c r="F22" s="5">
        <f t="shared" si="1"/>
        <v>-5550</v>
      </c>
      <c r="G22" s="5">
        <f t="shared" si="1"/>
        <v>-33550</v>
      </c>
      <c r="H22" s="5">
        <f t="shared" si="1"/>
        <v>7020</v>
      </c>
      <c r="I22" s="5">
        <f t="shared" si="1"/>
        <v>-28650</v>
      </c>
      <c r="J22" s="5">
        <f t="shared" si="1"/>
        <v>-21750</v>
      </c>
      <c r="K22" s="5">
        <f t="shared" si="1"/>
        <v>-6900</v>
      </c>
      <c r="L22" s="5">
        <f t="shared" si="1"/>
        <v>450</v>
      </c>
      <c r="M22" s="5">
        <f t="shared" si="1"/>
        <v>-13800</v>
      </c>
      <c r="N22" s="5">
        <f t="shared" si="1"/>
        <v>-28050</v>
      </c>
      <c r="O22" s="5">
        <f t="shared" si="1"/>
        <v>-64000</v>
      </c>
      <c r="P22" s="5">
        <f t="shared" si="1"/>
        <v>-61900</v>
      </c>
      <c r="Q22" s="5">
        <f>SUM(E22:P22)</f>
        <v>-259830</v>
      </c>
    </row>
    <row r="23" spans="3:17" x14ac:dyDescent="0.35">
      <c r="D23" s="3" t="str">
        <f>'KPI 1'!D23</f>
        <v>%REALISATION</v>
      </c>
      <c r="E23" s="9">
        <f>E21/E19</f>
        <v>8.0851111111111109</v>
      </c>
      <c r="F23" s="9">
        <f t="shared" ref="F23:P23" si="2">F20/F19</f>
        <v>0.93833333333333335</v>
      </c>
      <c r="G23" s="9">
        <f t="shared" si="2"/>
        <v>0.62722222222222224</v>
      </c>
      <c r="H23" s="9">
        <f t="shared" si="2"/>
        <v>1.0780000000000001</v>
      </c>
      <c r="I23" s="9">
        <f t="shared" si="2"/>
        <v>0.68166666666666664</v>
      </c>
      <c r="J23" s="9">
        <f t="shared" si="2"/>
        <v>0.7583333333333333</v>
      </c>
      <c r="K23" s="9">
        <f t="shared" si="2"/>
        <v>0.92333333333333334</v>
      </c>
      <c r="L23" s="9">
        <f t="shared" si="2"/>
        <v>1.0049999999999999</v>
      </c>
      <c r="M23" s="9">
        <f t="shared" si="2"/>
        <v>0.84666666666666668</v>
      </c>
      <c r="N23" s="9">
        <f t="shared" si="2"/>
        <v>0.68833333333333335</v>
      </c>
      <c r="O23" s="9">
        <f t="shared" si="2"/>
        <v>0.28888888888888886</v>
      </c>
      <c r="P23" s="9">
        <f t="shared" si="2"/>
        <v>0.31222222222222223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90000</v>
      </c>
      <c r="F26" s="5">
        <f>SUM($E19:F19)</f>
        <v>180000</v>
      </c>
      <c r="G26" s="5">
        <f>SUM($E19:G19)</f>
        <v>270000</v>
      </c>
      <c r="H26" s="5">
        <f>SUM($E19:H19)</f>
        <v>360000</v>
      </c>
      <c r="I26" s="5">
        <f>SUM($E19:I19)</f>
        <v>450000</v>
      </c>
      <c r="J26" s="5">
        <f>SUM($E19:J19)</f>
        <v>540000</v>
      </c>
      <c r="K26" s="5">
        <f>SUM($E19:K19)</f>
        <v>630000</v>
      </c>
      <c r="L26" s="5">
        <f>SUM($E19:L19)</f>
        <v>720000</v>
      </c>
      <c r="M26" s="5">
        <f>SUM($E19:M19)</f>
        <v>810000</v>
      </c>
      <c r="N26" s="5">
        <f>SUM($E19:N19)</f>
        <v>900000</v>
      </c>
      <c r="O26" s="5">
        <f>SUM($E19:O19)</f>
        <v>990000</v>
      </c>
      <c r="P26" s="5">
        <f>SUM($E19:P19)</f>
        <v>1080000</v>
      </c>
    </row>
    <row r="27" spans="3:17" x14ac:dyDescent="0.35">
      <c r="D27" s="3" t="str">
        <f>'KPI 1'!D27</f>
        <v>ACTUAL2025/26</v>
      </c>
      <c r="E27" s="5">
        <f>SUM($E20:E20)</f>
        <v>86850</v>
      </c>
      <c r="F27" s="5">
        <f>SUM($E20:F20)</f>
        <v>171300</v>
      </c>
      <c r="G27" s="5">
        <f>SUM($E20:G20)</f>
        <v>227750</v>
      </c>
      <c r="H27" s="5">
        <f>SUM($E20:H20)</f>
        <v>324770</v>
      </c>
      <c r="I27" s="5">
        <f>SUM($E20:I20)</f>
        <v>386120</v>
      </c>
      <c r="J27" s="5">
        <f>SUM($E20:J20)</f>
        <v>454370</v>
      </c>
      <c r="K27" s="5">
        <f>SUM($E20:K20)</f>
        <v>537470</v>
      </c>
      <c r="L27" s="5">
        <f>SUM($E20:L20)</f>
        <v>627920</v>
      </c>
      <c r="M27" s="5">
        <f>SUM($E20:M20)</f>
        <v>704120</v>
      </c>
      <c r="N27" s="5">
        <f>SUM($E20:N20)</f>
        <v>766070</v>
      </c>
      <c r="O27" s="5">
        <f>SUM($E20:O20)</f>
        <v>792070</v>
      </c>
      <c r="P27" s="5">
        <f>SUM($E20:P20)</f>
        <v>820170</v>
      </c>
    </row>
    <row r="28" spans="3:17" x14ac:dyDescent="0.35">
      <c r="D28" s="3" t="str">
        <f>'KPI 1'!D28</f>
        <v>ACTUAL2024/25</v>
      </c>
      <c r="E28" s="5">
        <f>SUM($E21:E21)</f>
        <v>727660</v>
      </c>
      <c r="F28" s="5">
        <f>SUM($E21:F21)</f>
        <v>1402845</v>
      </c>
      <c r="G28" s="5">
        <f>SUM($E21:G21)</f>
        <v>2157065</v>
      </c>
      <c r="H28" s="5">
        <f>SUM($E21:H21)</f>
        <v>2981775</v>
      </c>
      <c r="I28" s="5">
        <f>SUM($E21:I21)</f>
        <v>3599925</v>
      </c>
      <c r="J28" s="5">
        <f>SUM($E21:J21)</f>
        <v>4276570</v>
      </c>
      <c r="K28" s="5">
        <f>SUM($E21:K21)</f>
        <v>4835320</v>
      </c>
      <c r="L28" s="5">
        <f>SUM($E21:L21)</f>
        <v>5553304</v>
      </c>
      <c r="M28" s="5">
        <f>SUM($E21:M21)</f>
        <v>6762721</v>
      </c>
      <c r="N28" s="5">
        <f>SUM($E21:N21)</f>
        <v>7578871</v>
      </c>
      <c r="O28" s="5">
        <f>SUM($E21:O21)</f>
        <v>8644271</v>
      </c>
      <c r="P28" s="5">
        <f>SUM($E21:P21)</f>
        <v>9807921</v>
      </c>
    </row>
    <row r="29" spans="3:17" x14ac:dyDescent="0.35">
      <c r="D29" s="3" t="str">
        <f>'KPI 1'!D29</f>
        <v>DIFFERENCE</v>
      </c>
      <c r="E29" s="5">
        <f>SUM($E22:E22)</f>
        <v>-3150</v>
      </c>
      <c r="F29" s="5">
        <f>SUM($E22:F22)</f>
        <v>-8700</v>
      </c>
      <c r="G29" s="5">
        <f>SUM($E22:G22)</f>
        <v>-42250</v>
      </c>
      <c r="H29" s="5">
        <f>SUM($E22:H22)</f>
        <v>-35230</v>
      </c>
      <c r="I29" s="5">
        <f>SUM($E22:I22)</f>
        <v>-63880</v>
      </c>
      <c r="J29" s="5">
        <f>SUM($E22:J22)</f>
        <v>-85630</v>
      </c>
      <c r="K29" s="5">
        <f>SUM($E22:K22)</f>
        <v>-92530</v>
      </c>
      <c r="L29" s="5">
        <f>SUM($E22:L22)</f>
        <v>-92080</v>
      </c>
      <c r="M29" s="5">
        <f>SUM($E22:M22)</f>
        <v>-105880</v>
      </c>
      <c r="N29" s="5">
        <f>SUM($E22:N22)</f>
        <v>-133930</v>
      </c>
      <c r="O29" s="5">
        <f>SUM($E22:O22)</f>
        <v>-197930</v>
      </c>
      <c r="P29" s="5">
        <f>SUM($E22:P22)</f>
        <v>-259830</v>
      </c>
    </row>
    <row r="30" spans="3:17" x14ac:dyDescent="0.35">
      <c r="D30" s="3" t="str">
        <f>'KPI 1'!D30</f>
        <v>%REALISATION</v>
      </c>
      <c r="E30" s="9">
        <f>E28/E26</f>
        <v>8.0851111111111109</v>
      </c>
      <c r="F30" s="9">
        <f t="shared" ref="F30:P30" si="3">F27/F26</f>
        <v>0.95166666666666666</v>
      </c>
      <c r="G30" s="9">
        <f t="shared" si="3"/>
        <v>0.84351851851851856</v>
      </c>
      <c r="H30" s="9">
        <f t="shared" si="3"/>
        <v>0.90213888888888893</v>
      </c>
      <c r="I30" s="9">
        <f t="shared" si="3"/>
        <v>0.8580444444444445</v>
      </c>
      <c r="J30" s="9">
        <f t="shared" si="3"/>
        <v>0.84142592592592591</v>
      </c>
      <c r="K30" s="9">
        <f t="shared" si="3"/>
        <v>0.85312698412698418</v>
      </c>
      <c r="L30" s="9">
        <f t="shared" si="3"/>
        <v>0.87211111111111106</v>
      </c>
      <c r="M30" s="9">
        <f t="shared" si="3"/>
        <v>0.86928395061728392</v>
      </c>
      <c r="N30" s="9">
        <f t="shared" si="3"/>
        <v>0.85118888888888888</v>
      </c>
      <c r="O30" s="9">
        <f t="shared" si="3"/>
        <v>0.80007070707070704</v>
      </c>
      <c r="P30" s="9">
        <f t="shared" si="3"/>
        <v>0.75941666666666663</v>
      </c>
    </row>
  </sheetData>
  <mergeCells count="2">
    <mergeCell ref="J4:Q8"/>
    <mergeCell ref="J10:Q15"/>
  </mergeCells>
  <conditionalFormatting sqref="C3">
    <cfRule type="expression" dxfId="164" priority="2">
      <formula>S4&lt;S6</formula>
    </cfRule>
  </conditionalFormatting>
  <conditionalFormatting sqref="C4">
    <cfRule type="expression" dxfId="163" priority="1">
      <formula>AND(S4&gt;=S6,S4&lt;S5)</formula>
    </cfRule>
  </conditionalFormatting>
  <conditionalFormatting sqref="C5">
    <cfRule type="expression" dxfId="162" priority="3">
      <formula>S4&gt;=S5</formula>
    </cfRule>
  </conditionalFormatting>
  <hyperlinks>
    <hyperlink ref="L1" location="Dashboard!A1" display="Dashboard" xr:uid="{00000000-0004-0000-08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072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Dashboard!A7</f>
        <v>2</v>
      </c>
      <c r="C1" s="4" t="str">
        <f>Dashboard!B7</f>
        <v>Total Sewerage Sales (Ksh)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52285081.799999997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46508628.788630314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41857765.909767285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BUDGET2526!D7</f>
        <v>5070284.0919431113</v>
      </c>
      <c r="F19" s="5">
        <f>BUDGET2526!E7</f>
        <v>5094619.4241970647</v>
      </c>
      <c r="G19" s="5">
        <f>BUDGET2526!F7</f>
        <v>5118954.7564510172</v>
      </c>
      <c r="H19" s="5">
        <f>BUDGET2526!G7</f>
        <v>5143290.0887049716</v>
      </c>
      <c r="I19" s="5">
        <f>BUDGET2526!H7</f>
        <v>5167625.420958925</v>
      </c>
      <c r="J19" s="5">
        <f>BUDGET2526!I7</f>
        <v>5191960.7532128775</v>
      </c>
      <c r="K19" s="5">
        <f>BUDGET2526!J7</f>
        <v>5216296.085466831</v>
      </c>
      <c r="L19" s="5">
        <f>BUDGET2526!K7</f>
        <v>5240631.4177207835</v>
      </c>
      <c r="M19" s="5">
        <f>BUDGET2526!L7</f>
        <v>5264966.7499747369</v>
      </c>
      <c r="N19" s="5">
        <f>BUDGET2526!M7</f>
        <v>5289302.0822286904</v>
      </c>
      <c r="O19" s="5">
        <f>BUDGET2526!N7</f>
        <v>5313637.4144826438</v>
      </c>
      <c r="P19" s="5">
        <f>BUDGET2526!O7</f>
        <v>5337972.7467365973</v>
      </c>
      <c r="Q19" s="5">
        <f>SUM(E19:P19)</f>
        <v>62449541.032078251</v>
      </c>
    </row>
    <row r="20" spans="3:17" x14ac:dyDescent="0.35">
      <c r="D20" s="3" t="str">
        <f>'KPI 1'!D20</f>
        <v>ACTUAL2025/26</v>
      </c>
      <c r="E20" s="5">
        <f>'ACTUAL 2526'!E7</f>
        <v>5703320.9999999991</v>
      </c>
      <c r="F20" s="5">
        <f>'ACTUAL 2526'!F7</f>
        <v>6046365.9999999991</v>
      </c>
      <c r="G20" s="5">
        <f>'ACTUAL 2526'!G7</f>
        <v>5720536</v>
      </c>
      <c r="H20" s="5">
        <f>'ACTUAL 2526'!H7</f>
        <v>5831420.9999999991</v>
      </c>
      <c r="I20" s="5">
        <f>'ACTUAL 2526'!I7</f>
        <v>5343133.5</v>
      </c>
      <c r="J20" s="5">
        <f>'ACTUAL 2526'!J7</f>
        <v>4905403.7999999989</v>
      </c>
      <c r="K20" s="5">
        <f>'ACTUAL 2526'!K7</f>
        <v>6958143.4999999991</v>
      </c>
      <c r="L20" s="5">
        <f>'ACTUAL 2526'!L7</f>
        <v>5826590.9999999991</v>
      </c>
      <c r="M20" s="5">
        <f>'ACTUAL 2526'!M7</f>
        <v>5950166</v>
      </c>
      <c r="N20" s="5">
        <f>'ACTUAL 2526'!N7</f>
        <v>0</v>
      </c>
      <c r="O20" s="5">
        <f>'ACTUAL 2526'!O7</f>
        <v>0</v>
      </c>
      <c r="P20" s="5">
        <f>'ACTUAL 2526'!P7</f>
        <v>0</v>
      </c>
      <c r="Q20" s="5">
        <f t="shared" ref="Q20:Q21" si="0">SUM(E20:P20)</f>
        <v>52285081.799999997</v>
      </c>
    </row>
    <row r="21" spans="3:17" x14ac:dyDescent="0.35">
      <c r="D21" s="3" t="str">
        <f>'KPI 1'!D21</f>
        <v>ACTUAL2024/25</v>
      </c>
      <c r="E21" s="5">
        <f>'Actual 202425'!E7</f>
        <v>4109000.4</v>
      </c>
      <c r="F21" s="5">
        <f>'Actual 202425'!F7</f>
        <v>5060354.6500000004</v>
      </c>
      <c r="G21" s="5">
        <f>'Actual 202425'!G7</f>
        <v>4299927.7</v>
      </c>
      <c r="H21" s="5">
        <f>'Actual 202425'!H7</f>
        <v>4437132.6999999993</v>
      </c>
      <c r="I21" s="5">
        <f>'Actual 202425'!I7</f>
        <v>4483043.4999999991</v>
      </c>
      <c r="J21" s="5">
        <f>'Actual 202425'!J7</f>
        <v>3764102.6999999997</v>
      </c>
      <c r="K21" s="5">
        <f>'Actual 202425'!K7</f>
        <v>5424976.2000000002</v>
      </c>
      <c r="L21" s="5">
        <f>'Actual 202425'!L7</f>
        <v>4666903.2</v>
      </c>
      <c r="M21" s="5">
        <f>'Actual 202425'!M7</f>
        <v>4963782.45</v>
      </c>
      <c r="N21" s="5">
        <f>'Actual 202425'!N7</f>
        <v>5710578.7499999991</v>
      </c>
      <c r="O21" s="5">
        <f>'Actual 202425'!O7</f>
        <v>6133010.9999999991</v>
      </c>
      <c r="P21" s="5">
        <f>'Actual 202425'!P7</f>
        <v>6224363.4999999991</v>
      </c>
      <c r="Q21" s="5">
        <f t="shared" si="0"/>
        <v>59277176.75</v>
      </c>
    </row>
    <row r="22" spans="3:17" x14ac:dyDescent="0.35">
      <c r="D22" s="3" t="str">
        <f>'KPI 1'!D22</f>
        <v>DIFFERENCE</v>
      </c>
      <c r="E22" s="5">
        <f t="shared" ref="E22:P22" si="1">IF(E20=0,0,E20-E19)</f>
        <v>633036.9080568878</v>
      </c>
      <c r="F22" s="5">
        <f t="shared" si="1"/>
        <v>951746.57580293436</v>
      </c>
      <c r="G22" s="5">
        <f t="shared" si="1"/>
        <v>601581.24354898278</v>
      </c>
      <c r="H22" s="5">
        <f t="shared" si="1"/>
        <v>688130.91129502747</v>
      </c>
      <c r="I22" s="5">
        <f t="shared" si="1"/>
        <v>175508.07904107496</v>
      </c>
      <c r="J22" s="5">
        <f t="shared" si="1"/>
        <v>-286556.95321287867</v>
      </c>
      <c r="K22" s="5">
        <f t="shared" si="1"/>
        <v>1741847.4145331681</v>
      </c>
      <c r="L22" s="5">
        <f t="shared" si="1"/>
        <v>585959.58227921557</v>
      </c>
      <c r="M22" s="5">
        <f t="shared" si="1"/>
        <v>685199.25002526306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5776453.0113696754</v>
      </c>
    </row>
    <row r="23" spans="3:17" x14ac:dyDescent="0.35">
      <c r="D23" s="3" t="str">
        <f>'KPI 1'!D23</f>
        <v>%REALISATION</v>
      </c>
      <c r="E23" s="9">
        <f t="shared" ref="E23:P23" si="2">E20/E19</f>
        <v>1.1248523547354692</v>
      </c>
      <c r="F23" s="9">
        <f t="shared" si="2"/>
        <v>1.1868140672652765</v>
      </c>
      <c r="G23" s="9">
        <f t="shared" si="2"/>
        <v>1.1175203283035189</v>
      </c>
      <c r="H23" s="9">
        <f t="shared" si="2"/>
        <v>1.133791969620032</v>
      </c>
      <c r="I23" s="9">
        <f t="shared" si="2"/>
        <v>1.0339630032643712</v>
      </c>
      <c r="J23" s="9">
        <f t="shared" si="2"/>
        <v>0.94480756561275003</v>
      </c>
      <c r="K23" s="9">
        <f t="shared" si="2"/>
        <v>1.3339241841325198</v>
      </c>
      <c r="L23" s="9">
        <f t="shared" si="2"/>
        <v>1.1118108746014534</v>
      </c>
      <c r="M23" s="9">
        <f t="shared" si="2"/>
        <v>1.1301431295892896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5070284.0919431113</v>
      </c>
      <c r="F26" s="5">
        <f>SUM($E19:F19)</f>
        <v>10164903.516140176</v>
      </c>
      <c r="G26" s="5">
        <f>SUM($E19:G19)</f>
        <v>15283858.272591192</v>
      </c>
      <c r="H26" s="5">
        <f>SUM($E19:H19)</f>
        <v>20427148.361296162</v>
      </c>
      <c r="I26" s="5">
        <f>SUM($E19:I19)</f>
        <v>25594773.782255087</v>
      </c>
      <c r="J26" s="5">
        <f>SUM($E19:J19)</f>
        <v>30786734.535467964</v>
      </c>
      <c r="K26" s="5">
        <f>SUM($E19:K19)</f>
        <v>36003030.620934792</v>
      </c>
      <c r="L26" s="5">
        <f>SUM($E19:L19)</f>
        <v>41243662.038655579</v>
      </c>
      <c r="M26" s="5">
        <f>SUM($E19:M19)</f>
        <v>46508628.788630314</v>
      </c>
      <c r="N26" s="5">
        <f>SUM($E19:N19)</f>
        <v>51797930.870859005</v>
      </c>
      <c r="O26" s="5">
        <f>SUM($E19:O19)</f>
        <v>57111568.28534165</v>
      </c>
      <c r="P26" s="5">
        <f>SUM($E19:P19)</f>
        <v>62449541.032078251</v>
      </c>
    </row>
    <row r="27" spans="3:17" x14ac:dyDescent="0.35">
      <c r="D27" s="3" t="str">
        <f>'KPI 1'!D27</f>
        <v>ACTUAL2025/26</v>
      </c>
      <c r="E27" s="5">
        <f>SUM($E20:E20)</f>
        <v>5703320.9999999991</v>
      </c>
      <c r="F27" s="5">
        <f>SUM($E20:F20)</f>
        <v>11749686.999999998</v>
      </c>
      <c r="G27" s="5">
        <f>SUM($E20:G20)</f>
        <v>17470223</v>
      </c>
      <c r="H27" s="5">
        <f>SUM($E20:H20)</f>
        <v>23301644</v>
      </c>
      <c r="I27" s="5">
        <f>SUM($E20:I20)</f>
        <v>28644777.5</v>
      </c>
      <c r="J27" s="5">
        <f>SUM($E20:J20)</f>
        <v>33550181.299999997</v>
      </c>
      <c r="K27" s="5">
        <f>SUM($E20:K20)</f>
        <v>40508324.799999997</v>
      </c>
      <c r="L27" s="5">
        <f>SUM($E20:L20)</f>
        <v>46334915.799999997</v>
      </c>
      <c r="M27" s="5">
        <f>SUM($E20:M20)</f>
        <v>52285081.799999997</v>
      </c>
      <c r="N27" s="5">
        <f>SUM($E20:N20)</f>
        <v>52285081.799999997</v>
      </c>
      <c r="O27" s="5">
        <f>SUM($E20:O20)</f>
        <v>52285081.799999997</v>
      </c>
      <c r="P27" s="5">
        <f>SUM($E20:P20)</f>
        <v>52285081.799999997</v>
      </c>
    </row>
    <row r="28" spans="3:17" x14ac:dyDescent="0.35">
      <c r="D28" s="3" t="str">
        <f>'KPI 1'!D28</f>
        <v>ACTUAL2024/25</v>
      </c>
      <c r="E28" s="5">
        <f>SUM($E21:E21)</f>
        <v>4109000.4</v>
      </c>
      <c r="F28" s="5">
        <f>SUM($E21:F21)</f>
        <v>9169355.0500000007</v>
      </c>
      <c r="G28" s="5">
        <f>SUM($E21:G21)</f>
        <v>13469282.75</v>
      </c>
      <c r="H28" s="5">
        <f>SUM($E21:H21)</f>
        <v>17906415.449999999</v>
      </c>
      <c r="I28" s="5">
        <f>SUM($E21:I21)</f>
        <v>22389458.949999999</v>
      </c>
      <c r="J28" s="5">
        <f>SUM($E21:J21)</f>
        <v>26153561.649999999</v>
      </c>
      <c r="K28" s="5">
        <f>SUM($E21:K21)</f>
        <v>31578537.849999998</v>
      </c>
      <c r="L28" s="5">
        <f>SUM($E21:L21)</f>
        <v>36245441.049999997</v>
      </c>
      <c r="M28" s="5">
        <f>SUM($E21:M21)</f>
        <v>41209223.5</v>
      </c>
      <c r="N28" s="5">
        <f>SUM($E21:N21)</f>
        <v>46919802.25</v>
      </c>
      <c r="O28" s="5">
        <f>SUM($E21:O21)</f>
        <v>53052813.25</v>
      </c>
      <c r="P28" s="5">
        <f>SUM($E21:P21)</f>
        <v>59277176.75</v>
      </c>
    </row>
    <row r="29" spans="3:17" x14ac:dyDescent="0.35">
      <c r="D29" s="3" t="str">
        <f>'KPI 1'!D29</f>
        <v>DIFFERENCE</v>
      </c>
      <c r="E29" s="5">
        <f>SUM($E22:E22)</f>
        <v>633036.9080568878</v>
      </c>
      <c r="F29" s="5">
        <f>SUM($E22:F22)</f>
        <v>1584783.4838598222</v>
      </c>
      <c r="G29" s="5">
        <f>SUM($E22:G22)</f>
        <v>2186364.7274088049</v>
      </c>
      <c r="H29" s="5">
        <f>SUM($E22:H22)</f>
        <v>2874495.6387038324</v>
      </c>
      <c r="I29" s="5">
        <f>SUM($E22:I22)</f>
        <v>3050003.7177449074</v>
      </c>
      <c r="J29" s="5">
        <f>SUM($E22:J22)</f>
        <v>2763446.7645320287</v>
      </c>
      <c r="K29" s="5">
        <f>SUM($E22:K22)</f>
        <v>4505294.1790651968</v>
      </c>
      <c r="L29" s="5">
        <f>SUM($E22:L22)</f>
        <v>5091253.7613444123</v>
      </c>
      <c r="M29" s="5">
        <f>SUM($E22:M22)</f>
        <v>5776453.0113696754</v>
      </c>
      <c r="N29" s="5">
        <f>SUM($E22:N22)</f>
        <v>5776453.0113696754</v>
      </c>
      <c r="O29" s="5">
        <f>SUM($E22:O22)</f>
        <v>5776453.0113696754</v>
      </c>
      <c r="P29" s="5">
        <f>SUM($E22:P22)</f>
        <v>5776453.0113696754</v>
      </c>
    </row>
    <row r="30" spans="3:17" x14ac:dyDescent="0.35">
      <c r="D30" s="3" t="str">
        <f>'KPI 1'!D30</f>
        <v>%REALISATION</v>
      </c>
      <c r="E30" s="9">
        <f t="shared" ref="E30:P30" si="3">E27/E26</f>
        <v>1.1248523547354692</v>
      </c>
      <c r="F30" s="9">
        <f t="shared" si="3"/>
        <v>1.1559073808564391</v>
      </c>
      <c r="G30" s="9">
        <f t="shared" si="3"/>
        <v>1.1430505758699461</v>
      </c>
      <c r="H30" s="9">
        <f t="shared" si="3"/>
        <v>1.1407193793212085</v>
      </c>
      <c r="I30" s="9">
        <f t="shared" si="3"/>
        <v>1.1191650976755063</v>
      </c>
      <c r="J30" s="9">
        <f t="shared" si="3"/>
        <v>1.0897609573158333</v>
      </c>
      <c r="K30" s="9">
        <f t="shared" si="3"/>
        <v>1.125136526046935</v>
      </c>
      <c r="L30" s="9">
        <f t="shared" si="3"/>
        <v>1.1234433003687365</v>
      </c>
      <c r="M30" s="9">
        <f t="shared" si="3"/>
        <v>1.1242017484029074</v>
      </c>
      <c r="N30" s="9">
        <f t="shared" si="3"/>
        <v>1.009404833763641</v>
      </c>
      <c r="O30" s="9">
        <f t="shared" si="3"/>
        <v>0.915490212749412</v>
      </c>
      <c r="P30" s="9">
        <f t="shared" si="3"/>
        <v>0.83723724683809753</v>
      </c>
    </row>
  </sheetData>
  <mergeCells count="2">
    <mergeCell ref="J4:Q8"/>
    <mergeCell ref="J10:Q15"/>
  </mergeCells>
  <conditionalFormatting sqref="C3">
    <cfRule type="expression" dxfId="161" priority="2">
      <formula>S4&lt;S6</formula>
    </cfRule>
  </conditionalFormatting>
  <conditionalFormatting sqref="C4">
    <cfRule type="expression" dxfId="160" priority="1">
      <formula>AND(S4&gt;=S6,S4&lt;S5)</formula>
    </cfRule>
  </conditionalFormatting>
  <conditionalFormatting sqref="C5">
    <cfRule type="expression" dxfId="159" priority="3">
      <formula>S4&gt;=S5</formula>
    </cfRule>
  </conditionalFormatting>
  <hyperlinks>
    <hyperlink ref="L1" location="Dashboard!A1" display="Dashboard" xr:uid="{00000000-0004-0000-09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566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20.542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>
        <f>Dashboard!A8</f>
        <v>3</v>
      </c>
      <c r="B1" s="4" t="str">
        <f>Dashboard!B8</f>
        <v xml:space="preserve">Bulk water </v>
      </c>
      <c r="C1" s="4" t="str">
        <f>Dashboard!C8</f>
        <v>Ksh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1096030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577170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519453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BUDGET2526!D8</f>
        <v>64130</v>
      </c>
      <c r="F19" s="5">
        <f>BUDGET2526!E8</f>
        <v>64130</v>
      </c>
      <c r="G19" s="5">
        <f>BUDGET2526!F8</f>
        <v>64130</v>
      </c>
      <c r="H19" s="5">
        <f>BUDGET2526!G8</f>
        <v>64130</v>
      </c>
      <c r="I19" s="5">
        <f>BUDGET2526!H8</f>
        <v>64130</v>
      </c>
      <c r="J19" s="5">
        <f>BUDGET2526!I8</f>
        <v>64130</v>
      </c>
      <c r="K19" s="5">
        <f>BUDGET2526!J8</f>
        <v>64130</v>
      </c>
      <c r="L19" s="5">
        <f>BUDGET2526!K8</f>
        <v>64130</v>
      </c>
      <c r="M19" s="5">
        <f>BUDGET2526!L8</f>
        <v>64130</v>
      </c>
      <c r="N19" s="5">
        <f>BUDGET2526!M8</f>
        <v>64130</v>
      </c>
      <c r="O19" s="5">
        <f>BUDGET2526!N8</f>
        <v>64130</v>
      </c>
      <c r="P19" s="5">
        <f>BUDGET2526!O8</f>
        <v>64130</v>
      </c>
      <c r="Q19" s="5">
        <f>SUM(E19:P19)</f>
        <v>769560</v>
      </c>
    </row>
    <row r="20" spans="3:17" x14ac:dyDescent="0.35">
      <c r="D20" s="3" t="str">
        <f>'KPI 1'!D20</f>
        <v>ACTUAL2025/26</v>
      </c>
      <c r="E20" s="5">
        <f>'ACTUAL 2526'!E8</f>
        <v>185510</v>
      </c>
      <c r="F20" s="5">
        <f>'ACTUAL 2526'!F8</f>
        <v>166400</v>
      </c>
      <c r="G20" s="5">
        <f>'ACTUAL 2526'!G8</f>
        <v>165100</v>
      </c>
      <c r="H20" s="5">
        <f>'ACTUAL 2526'!H8</f>
        <v>164840</v>
      </c>
      <c r="I20" s="5">
        <f>'ACTUAL 2526'!I8</f>
        <v>126750</v>
      </c>
      <c r="J20" s="5">
        <f>'ACTUAL 2526'!J8</f>
        <v>122200</v>
      </c>
      <c r="K20" s="5">
        <f>'ACTUAL 2526'!K8</f>
        <v>46020</v>
      </c>
      <c r="L20" s="5">
        <f>'ACTUAL 2526'!L8</f>
        <v>88920</v>
      </c>
      <c r="M20" s="5">
        <f>'ACTUAL 2526'!M8</f>
        <v>30290</v>
      </c>
      <c r="N20" s="5">
        <f>'ACTUAL 2526'!N8</f>
        <v>0</v>
      </c>
      <c r="O20" s="5">
        <f>'ACTUAL 2526'!O8</f>
        <v>0</v>
      </c>
      <c r="P20" s="5">
        <f>'ACTUAL 2526'!P8</f>
        <v>0</v>
      </c>
      <c r="Q20" s="5">
        <f t="shared" ref="Q20:Q21" si="0">SUM(E20:P20)</f>
        <v>1096030</v>
      </c>
    </row>
    <row r="21" spans="3:17" x14ac:dyDescent="0.35">
      <c r="D21" s="3" t="str">
        <f>'KPI 1'!D21</f>
        <v>ACTUAL2024/25</v>
      </c>
      <c r="E21" s="5">
        <f>'Actual 202425'!E8</f>
        <v>22320</v>
      </c>
      <c r="F21" s="5">
        <f>'Actual 202425'!F8</f>
        <v>28370</v>
      </c>
      <c r="G21" s="5">
        <f>'Actual 202425'!G8</f>
        <v>64720</v>
      </c>
      <c r="H21" s="5">
        <f>'Actual 202425'!H8</f>
        <v>22800</v>
      </c>
      <c r="I21" s="5">
        <f>'Actual 202425'!I8</f>
        <v>40480</v>
      </c>
      <c r="J21" s="5">
        <f>'Actual 202425'!J8</f>
        <v>25520</v>
      </c>
      <c r="K21" s="5">
        <f>'Actual 202425'!K8</f>
        <v>51520</v>
      </c>
      <c r="L21" s="5">
        <f>'Actual 202425'!L8</f>
        <v>59520</v>
      </c>
      <c r="M21" s="5">
        <f>'Actual 202425'!M8</f>
        <v>104400</v>
      </c>
      <c r="N21" s="5">
        <f>'Actual 202425'!N8</f>
        <v>73540</v>
      </c>
      <c r="O21" s="5">
        <f>'Actual 202425'!O8</f>
        <v>63440</v>
      </c>
      <c r="P21" s="5">
        <f>'Actual 202425'!P8</f>
        <v>165230</v>
      </c>
      <c r="Q21" s="5">
        <f t="shared" si="0"/>
        <v>721860</v>
      </c>
    </row>
    <row r="22" spans="3:17" x14ac:dyDescent="0.35">
      <c r="D22" s="3" t="str">
        <f>'KPI 1'!D22</f>
        <v>DIFFERENCE</v>
      </c>
      <c r="E22" s="5">
        <f t="shared" ref="E22:P22" si="1">IF(E20=0,0,E20-E19)</f>
        <v>121380</v>
      </c>
      <c r="F22" s="5">
        <f t="shared" si="1"/>
        <v>102270</v>
      </c>
      <c r="G22" s="5">
        <f t="shared" si="1"/>
        <v>100970</v>
      </c>
      <c r="H22" s="5">
        <f t="shared" si="1"/>
        <v>100710</v>
      </c>
      <c r="I22" s="5">
        <f t="shared" si="1"/>
        <v>62620</v>
      </c>
      <c r="J22" s="5">
        <f t="shared" si="1"/>
        <v>58070</v>
      </c>
      <c r="K22" s="5">
        <f t="shared" si="1"/>
        <v>-18110</v>
      </c>
      <c r="L22" s="5">
        <f t="shared" si="1"/>
        <v>24790</v>
      </c>
      <c r="M22" s="5">
        <f t="shared" si="1"/>
        <v>-33840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518860</v>
      </c>
    </row>
    <row r="23" spans="3:17" x14ac:dyDescent="0.35">
      <c r="D23" s="3" t="str">
        <f>'KPI 1'!D23</f>
        <v>%REALISATION</v>
      </c>
      <c r="E23" s="9">
        <f t="shared" ref="E23:P23" si="2">E20/E19</f>
        <v>2.8927179167316388</v>
      </c>
      <c r="F23" s="9">
        <f t="shared" si="2"/>
        <v>2.5947294557929208</v>
      </c>
      <c r="G23" s="9">
        <f t="shared" si="2"/>
        <v>2.5744581319195383</v>
      </c>
      <c r="H23" s="9">
        <f t="shared" si="2"/>
        <v>2.5704038671448619</v>
      </c>
      <c r="I23" s="9">
        <f t="shared" si="2"/>
        <v>1.9764540776547637</v>
      </c>
      <c r="J23" s="9">
        <f t="shared" si="2"/>
        <v>1.9055044440979261</v>
      </c>
      <c r="K23" s="9">
        <f t="shared" si="2"/>
        <v>0.71760486511772958</v>
      </c>
      <c r="L23" s="9">
        <f t="shared" si="2"/>
        <v>1.386558552939342</v>
      </c>
      <c r="M23" s="9">
        <f t="shared" si="2"/>
        <v>0.47232184624980511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64130</v>
      </c>
      <c r="F26" s="5">
        <f>SUM($E19:F19)</f>
        <v>128260</v>
      </c>
      <c r="G26" s="5">
        <f>SUM($E19:G19)</f>
        <v>192390</v>
      </c>
      <c r="H26" s="5">
        <f>SUM($E19:H19)</f>
        <v>256520</v>
      </c>
      <c r="I26" s="5">
        <f>SUM($E19:I19)</f>
        <v>320650</v>
      </c>
      <c r="J26" s="5">
        <f>SUM($E19:J19)</f>
        <v>384780</v>
      </c>
      <c r="K26" s="5">
        <f>SUM($E19:K19)</f>
        <v>448910</v>
      </c>
      <c r="L26" s="5">
        <f>SUM($E19:L19)</f>
        <v>513040</v>
      </c>
      <c r="M26" s="5">
        <f>SUM($E19:M19)</f>
        <v>577170</v>
      </c>
      <c r="N26" s="5">
        <f>SUM($E19:N19)</f>
        <v>641300</v>
      </c>
      <c r="O26" s="5">
        <f>SUM($E19:O19)</f>
        <v>705430</v>
      </c>
      <c r="P26" s="5">
        <f>SUM($E19:P19)</f>
        <v>769560</v>
      </c>
    </row>
    <row r="27" spans="3:17" x14ac:dyDescent="0.35">
      <c r="D27" s="3" t="str">
        <f>'KPI 1'!D27</f>
        <v>ACTUAL2025/26</v>
      </c>
      <c r="E27" s="5">
        <f>SUM($E20:E20)</f>
        <v>185510</v>
      </c>
      <c r="F27" s="5">
        <f>SUM($E20:F20)</f>
        <v>351910</v>
      </c>
      <c r="G27" s="5">
        <f>SUM($E20:G20)</f>
        <v>517010</v>
      </c>
      <c r="H27" s="5">
        <f>SUM($E20:H20)</f>
        <v>681850</v>
      </c>
      <c r="I27" s="5">
        <f>SUM($E20:I20)</f>
        <v>808600</v>
      </c>
      <c r="J27" s="5">
        <f>SUM($E20:J20)</f>
        <v>930800</v>
      </c>
      <c r="K27" s="5">
        <f>SUM($E20:K20)</f>
        <v>976820</v>
      </c>
      <c r="L27" s="5">
        <f>SUM($E20:L20)</f>
        <v>1065740</v>
      </c>
      <c r="M27" s="5">
        <f>SUM($E20:M20)</f>
        <v>1096030</v>
      </c>
      <c r="N27" s="5">
        <f>SUM($E20:N20)</f>
        <v>1096030</v>
      </c>
      <c r="O27" s="5">
        <f>SUM($E20:O20)</f>
        <v>1096030</v>
      </c>
      <c r="P27" s="5">
        <f>SUM($E20:P20)</f>
        <v>1096030</v>
      </c>
    </row>
    <row r="28" spans="3:17" x14ac:dyDescent="0.35">
      <c r="D28" s="3" t="str">
        <f>'KPI 1'!D28</f>
        <v>ACTUAL2024/25</v>
      </c>
      <c r="E28" s="5">
        <f>SUM($E21:E21)</f>
        <v>22320</v>
      </c>
      <c r="F28" s="5">
        <f>SUM($E21:F21)</f>
        <v>50690</v>
      </c>
      <c r="G28" s="5">
        <f>SUM($E21:G21)</f>
        <v>115410</v>
      </c>
      <c r="H28" s="5">
        <f>SUM($E21:H21)</f>
        <v>138210</v>
      </c>
      <c r="I28" s="5">
        <f>SUM($E21:I21)</f>
        <v>178690</v>
      </c>
      <c r="J28" s="5">
        <f>SUM($E21:J21)</f>
        <v>204210</v>
      </c>
      <c r="K28" s="5">
        <f>SUM($E21:K21)</f>
        <v>255730</v>
      </c>
      <c r="L28" s="5">
        <f>SUM($E21:L21)</f>
        <v>315250</v>
      </c>
      <c r="M28" s="5">
        <f>SUM($E21:M21)</f>
        <v>419650</v>
      </c>
      <c r="N28" s="5">
        <f>SUM($E21:N21)</f>
        <v>493190</v>
      </c>
      <c r="O28" s="5">
        <f>SUM($E21:O21)</f>
        <v>556630</v>
      </c>
      <c r="P28" s="5">
        <f>SUM($E21:P21)</f>
        <v>721860</v>
      </c>
    </row>
    <row r="29" spans="3:17" x14ac:dyDescent="0.35">
      <c r="D29" s="3" t="str">
        <f>'KPI 1'!D29</f>
        <v>DIFFERENCE</v>
      </c>
      <c r="E29" s="5">
        <f>SUM($E22:E22)</f>
        <v>121380</v>
      </c>
      <c r="F29" s="5">
        <f>SUM($E22:F22)</f>
        <v>223650</v>
      </c>
      <c r="G29" s="5">
        <f>SUM($E22:G22)</f>
        <v>324620</v>
      </c>
      <c r="H29" s="5">
        <f>SUM($E22:H22)</f>
        <v>425330</v>
      </c>
      <c r="I29" s="5">
        <f>SUM($E22:I22)</f>
        <v>487950</v>
      </c>
      <c r="J29" s="5">
        <f>SUM($E22:J22)</f>
        <v>546020</v>
      </c>
      <c r="K29" s="5">
        <f>SUM($E22:K22)</f>
        <v>527910</v>
      </c>
      <c r="L29" s="5">
        <f>SUM($E22:L22)</f>
        <v>552700</v>
      </c>
      <c r="M29" s="5">
        <f>SUM($E22:M22)</f>
        <v>518860</v>
      </c>
      <c r="N29" s="5">
        <f>SUM($E22:N22)</f>
        <v>518860</v>
      </c>
      <c r="O29" s="5">
        <f>SUM($E22:O22)</f>
        <v>518860</v>
      </c>
      <c r="P29" s="5">
        <f>SUM($E22:P22)</f>
        <v>518860</v>
      </c>
    </row>
    <row r="30" spans="3:17" x14ac:dyDescent="0.35">
      <c r="D30" s="3" t="str">
        <f>'KPI 1'!D30</f>
        <v>%REALISATION</v>
      </c>
      <c r="E30" s="9">
        <f t="shared" ref="E30:P30" si="3">E27/E26</f>
        <v>2.8927179167316388</v>
      </c>
      <c r="F30" s="9">
        <f t="shared" si="3"/>
        <v>2.7437236862622796</v>
      </c>
      <c r="G30" s="9">
        <f t="shared" si="3"/>
        <v>2.6873018348146993</v>
      </c>
      <c r="H30" s="9">
        <f t="shared" si="3"/>
        <v>2.65807734289724</v>
      </c>
      <c r="I30" s="9">
        <f t="shared" si="3"/>
        <v>2.5217526898487446</v>
      </c>
      <c r="J30" s="9">
        <f t="shared" si="3"/>
        <v>2.4190446488902748</v>
      </c>
      <c r="K30" s="9">
        <f t="shared" si="3"/>
        <v>2.1759818226370542</v>
      </c>
      <c r="L30" s="9">
        <f t="shared" si="3"/>
        <v>2.0773039139248404</v>
      </c>
      <c r="M30" s="9">
        <f t="shared" si="3"/>
        <v>1.8989725730720586</v>
      </c>
      <c r="N30" s="9">
        <f t="shared" si="3"/>
        <v>1.7090753157648526</v>
      </c>
      <c r="O30" s="9">
        <f t="shared" si="3"/>
        <v>1.5537048325135023</v>
      </c>
      <c r="P30" s="9">
        <f t="shared" si="3"/>
        <v>1.4242294298040439</v>
      </c>
    </row>
  </sheetData>
  <mergeCells count="2">
    <mergeCell ref="J4:Q8"/>
    <mergeCell ref="J10:Q15"/>
  </mergeCells>
  <conditionalFormatting sqref="C3">
    <cfRule type="expression" dxfId="158" priority="2">
      <formula>S4&lt;S6</formula>
    </cfRule>
  </conditionalFormatting>
  <conditionalFormatting sqref="C4">
    <cfRule type="expression" dxfId="157" priority="1">
      <formula>AND(S4&gt;=S6,S4&lt;S5)</formula>
    </cfRule>
  </conditionalFormatting>
  <conditionalFormatting sqref="C5">
    <cfRule type="expression" dxfId="156" priority="3">
      <formula>S4&gt;=S5</formula>
    </cfRule>
  </conditionalFormatting>
  <hyperlinks>
    <hyperlink ref="L1" location="Dashboard!A1" display="Dashboard" xr:uid="{00000000-0004-0000-0A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379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/>
      <c r="B1" s="4">
        <f>Dashboard!A9</f>
        <v>4</v>
      </c>
      <c r="C1" s="4" t="str">
        <f>Dashboard!B9</f>
        <v>Sanitation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8990471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8010534.5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7209481.0499999998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BUDGET2526!D10</f>
        <v>842723.38888888888</v>
      </c>
      <c r="F19" s="5">
        <f>BUDGET2526!E10</f>
        <v>853576.38888888888</v>
      </c>
      <c r="G19" s="5">
        <f>BUDGET2526!F10</f>
        <v>864591.38888888888</v>
      </c>
      <c r="H19" s="5">
        <f>BUDGET2526!G10</f>
        <v>878036.38888888888</v>
      </c>
      <c r="I19" s="5">
        <f>BUDGET2526!H10</f>
        <v>890671.38888888888</v>
      </c>
      <c r="J19" s="5">
        <f>BUDGET2526!I10</f>
        <v>902496.38888888888</v>
      </c>
      <c r="K19" s="5">
        <f>BUDGET2526!J10</f>
        <v>915131.38888888888</v>
      </c>
      <c r="L19" s="5">
        <f>BUDGET2526!K10</f>
        <v>926551.38888888888</v>
      </c>
      <c r="M19" s="5">
        <f>BUDGET2526!L10</f>
        <v>936756.38888888888</v>
      </c>
      <c r="N19" s="5">
        <f>BUDGET2526!M10</f>
        <v>946151.38888888888</v>
      </c>
      <c r="O19" s="5">
        <f>BUDGET2526!N10</f>
        <v>955546.38888888899</v>
      </c>
      <c r="P19" s="5">
        <f>BUDGET2526!O10</f>
        <v>964779.38888888899</v>
      </c>
      <c r="Q19" s="5">
        <f>SUM(E19:P19)</f>
        <v>10877011.666666664</v>
      </c>
    </row>
    <row r="20" spans="3:17" x14ac:dyDescent="0.35">
      <c r="D20" s="3" t="str">
        <f>'KPI 1'!D20</f>
        <v>ACTUAL2025/26</v>
      </c>
      <c r="E20" s="5">
        <f>'ACTUAL 2526'!E10</f>
        <v>919453.5</v>
      </c>
      <c r="F20" s="5">
        <f>'ACTUAL 2526'!F10</f>
        <v>1103503</v>
      </c>
      <c r="G20" s="5">
        <f>'ACTUAL 2526'!G10</f>
        <v>919876.5</v>
      </c>
      <c r="H20" s="5">
        <f>'ACTUAL 2526'!H10</f>
        <v>1084204</v>
      </c>
      <c r="I20" s="5">
        <f>'ACTUAL 2526'!I10</f>
        <v>851839</v>
      </c>
      <c r="J20" s="5">
        <f>'ACTUAL 2526'!J10</f>
        <v>822065.5</v>
      </c>
      <c r="K20" s="5">
        <f>'ACTUAL 2526'!K10</f>
        <v>1280403.5</v>
      </c>
      <c r="L20" s="5">
        <f>'ACTUAL 2526'!L10</f>
        <v>1091557.5</v>
      </c>
      <c r="M20" s="5">
        <f>'ACTUAL 2526'!M10</f>
        <v>917568.5</v>
      </c>
      <c r="N20" s="5">
        <f>'ACTUAL 2526'!N10</f>
        <v>0</v>
      </c>
      <c r="O20" s="5">
        <f>'ACTUAL 2526'!O10</f>
        <v>0</v>
      </c>
      <c r="P20" s="5">
        <f>'ACTUAL 2526'!P10</f>
        <v>0</v>
      </c>
      <c r="Q20" s="5">
        <f t="shared" ref="Q20:Q21" si="0">SUM(E20:P20)</f>
        <v>8990471</v>
      </c>
    </row>
    <row r="21" spans="3:17" hidden="1" x14ac:dyDescent="0.35">
      <c r="D21" s="3" t="str">
        <f>'KPI 1'!D21</f>
        <v>ACTUAL2024/25</v>
      </c>
      <c r="E21" s="5">
        <f>Actual2223!D9</f>
        <v>392600</v>
      </c>
      <c r="F21" s="5">
        <f>Actual2223!E9</f>
        <v>394950</v>
      </c>
      <c r="G21" s="5">
        <f>Actual2223!F9</f>
        <v>409650</v>
      </c>
      <c r="H21" s="5">
        <f>Actual2223!G9</f>
        <v>414850</v>
      </c>
      <c r="I21" s="5">
        <f>Actual2223!H9</f>
        <v>417300</v>
      </c>
      <c r="J21" s="5">
        <f>Actual2223!I9</f>
        <v>422000</v>
      </c>
      <c r="K21" s="5">
        <f>Actual2223!J9</f>
        <v>424700</v>
      </c>
      <c r="L21" s="5">
        <f>Actual2223!K9</f>
        <v>428050</v>
      </c>
      <c r="M21" s="5">
        <f>Actual2223!L9</f>
        <v>434200</v>
      </c>
      <c r="N21" s="5">
        <f>Actual2223!M9</f>
        <v>439000</v>
      </c>
      <c r="O21" s="5">
        <f>Actual2223!N9</f>
        <v>442900</v>
      </c>
      <c r="P21" s="5">
        <f>Actual2223!O9</f>
        <v>445100</v>
      </c>
      <c r="Q21" s="5">
        <f t="shared" si="0"/>
        <v>5065300</v>
      </c>
    </row>
    <row r="22" spans="3:17" x14ac:dyDescent="0.35">
      <c r="D22" s="3" t="str">
        <f>'KPI 1'!D22</f>
        <v>DIFFERENCE</v>
      </c>
      <c r="E22" s="5">
        <f t="shared" ref="E22:P22" si="1">IF(E20=0,0,E20-E19)</f>
        <v>76730.111111111124</v>
      </c>
      <c r="F22" s="5">
        <f t="shared" si="1"/>
        <v>249926.61111111112</v>
      </c>
      <c r="G22" s="5">
        <f t="shared" si="1"/>
        <v>55285.111111111124</v>
      </c>
      <c r="H22" s="5">
        <f t="shared" si="1"/>
        <v>206167.61111111112</v>
      </c>
      <c r="I22" s="5">
        <f t="shared" si="1"/>
        <v>-38832.388888888876</v>
      </c>
      <c r="J22" s="5">
        <f t="shared" si="1"/>
        <v>-80430.888888888876</v>
      </c>
      <c r="K22" s="5">
        <f t="shared" si="1"/>
        <v>365272.11111111112</v>
      </c>
      <c r="L22" s="5">
        <f t="shared" si="1"/>
        <v>165006.11111111112</v>
      </c>
      <c r="M22" s="5">
        <f t="shared" si="1"/>
        <v>-19187.888888888876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979936.50000000012</v>
      </c>
    </row>
    <row r="23" spans="3:17" x14ac:dyDescent="0.35">
      <c r="D23" s="3" t="str">
        <f>'KPI 1'!D23</f>
        <v>%REALISATION</v>
      </c>
      <c r="E23" s="9">
        <f t="shared" ref="E23:P23" si="2">E20/E19</f>
        <v>1.0910501739037741</v>
      </c>
      <c r="F23" s="9">
        <f t="shared" si="2"/>
        <v>1.2927993491437173</v>
      </c>
      <c r="G23" s="9">
        <f t="shared" si="2"/>
        <v>1.0639436291196003</v>
      </c>
      <c r="H23" s="9">
        <f t="shared" si="2"/>
        <v>1.2348053152694569</v>
      </c>
      <c r="I23" s="9">
        <f t="shared" si="2"/>
        <v>0.95640099213545837</v>
      </c>
      <c r="J23" s="9">
        <f t="shared" si="2"/>
        <v>0.9108795449166156</v>
      </c>
      <c r="K23" s="9">
        <f t="shared" si="2"/>
        <v>1.39914717771249</v>
      </c>
      <c r="L23" s="9">
        <f t="shared" si="2"/>
        <v>1.1780863027025246</v>
      </c>
      <c r="M23" s="9">
        <f t="shared" si="2"/>
        <v>0.97951667144576604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842723.38888888888</v>
      </c>
      <c r="F26" s="5">
        <f>SUM($E19:F19)</f>
        <v>1696299.7777777778</v>
      </c>
      <c r="G26" s="5">
        <f>SUM($E19:G19)</f>
        <v>2560891.1666666665</v>
      </c>
      <c r="H26" s="5">
        <f>SUM($E19:H19)</f>
        <v>3438927.5555555555</v>
      </c>
      <c r="I26" s="5">
        <f>SUM($E19:I19)</f>
        <v>4329598.944444444</v>
      </c>
      <c r="J26" s="5">
        <f>SUM($E19:J19)</f>
        <v>5232095.333333333</v>
      </c>
      <c r="K26" s="5">
        <f>SUM($E19:K19)</f>
        <v>6147226.722222222</v>
      </c>
      <c r="L26" s="5">
        <f>SUM($E19:L19)</f>
        <v>7073778.111111111</v>
      </c>
      <c r="M26" s="5">
        <f>SUM($E19:M19)</f>
        <v>8010534.5</v>
      </c>
      <c r="N26" s="5">
        <f>SUM($E19:N19)</f>
        <v>8956685.8888888881</v>
      </c>
      <c r="O26" s="5">
        <f>SUM($E19:O19)</f>
        <v>9912232.2777777761</v>
      </c>
      <c r="P26" s="5">
        <f>SUM($E19:P19)</f>
        <v>10877011.666666664</v>
      </c>
    </row>
    <row r="27" spans="3:17" x14ac:dyDescent="0.35">
      <c r="D27" s="3" t="str">
        <f>'KPI 1'!D27</f>
        <v>ACTUAL2025/26</v>
      </c>
      <c r="E27" s="5">
        <f>SUM($E20:E20)</f>
        <v>919453.5</v>
      </c>
      <c r="F27" s="5">
        <f>SUM($E20:F20)</f>
        <v>2022956.5</v>
      </c>
      <c r="G27" s="5">
        <f>SUM($E20:G20)</f>
        <v>2942833</v>
      </c>
      <c r="H27" s="5">
        <f>SUM($E20:H20)</f>
        <v>4027037</v>
      </c>
      <c r="I27" s="5">
        <f>SUM($E20:I20)</f>
        <v>4878876</v>
      </c>
      <c r="J27" s="5">
        <f>SUM($E20:J20)</f>
        <v>5700941.5</v>
      </c>
      <c r="K27" s="5">
        <f>SUM($E20:K20)</f>
        <v>6981345</v>
      </c>
      <c r="L27" s="5">
        <f>SUM($E20:L20)</f>
        <v>8072902.5</v>
      </c>
      <c r="M27" s="5">
        <f>SUM($E20:M20)</f>
        <v>8990471</v>
      </c>
      <c r="N27" s="5">
        <f>SUM($E20:N20)</f>
        <v>8990471</v>
      </c>
      <c r="O27" s="5">
        <f>SUM($E20:O20)</f>
        <v>8990471</v>
      </c>
      <c r="P27" s="5">
        <f>SUM($E20:P20)</f>
        <v>8990471</v>
      </c>
    </row>
    <row r="28" spans="3:17" hidden="1" x14ac:dyDescent="0.35">
      <c r="D28" s="3" t="str">
        <f>'KPI 1'!D28</f>
        <v>ACTUAL2024/25</v>
      </c>
      <c r="E28" s="5">
        <f>SUM($E21:E21)</f>
        <v>392600</v>
      </c>
      <c r="F28" s="5">
        <f>SUM($E21:F21)</f>
        <v>787550</v>
      </c>
      <c r="G28" s="5">
        <f>SUM($E21:G21)</f>
        <v>1197200</v>
      </c>
      <c r="H28" s="5">
        <f>SUM($E21:H21)</f>
        <v>1612050</v>
      </c>
      <c r="I28" s="5">
        <f>SUM($E21:I21)</f>
        <v>2029350</v>
      </c>
      <c r="J28" s="5">
        <f>SUM($E21:J21)</f>
        <v>2451350</v>
      </c>
      <c r="K28" s="5">
        <f>SUM($E21:K21)</f>
        <v>2876050</v>
      </c>
      <c r="L28" s="5">
        <f>SUM($E21:L21)</f>
        <v>3304100</v>
      </c>
      <c r="M28" s="5">
        <f>SUM($E21:M21)</f>
        <v>3738300</v>
      </c>
      <c r="N28" s="5">
        <f>SUM($E21:N21)</f>
        <v>4177300</v>
      </c>
      <c r="O28" s="5">
        <f>SUM($E21:O21)</f>
        <v>4620200</v>
      </c>
      <c r="P28" s="5">
        <f>SUM($E21:P21)</f>
        <v>5065300</v>
      </c>
    </row>
    <row r="29" spans="3:17" x14ac:dyDescent="0.35">
      <c r="D29" s="3" t="str">
        <f>'KPI 1'!D29</f>
        <v>DIFFERENCE</v>
      </c>
      <c r="E29" s="5">
        <f>SUM($E22:E22)</f>
        <v>76730.111111111124</v>
      </c>
      <c r="F29" s="5">
        <f>SUM($E22:F22)</f>
        <v>326656.72222222225</v>
      </c>
      <c r="G29" s="5">
        <f>SUM($E22:G22)</f>
        <v>381941.83333333337</v>
      </c>
      <c r="H29" s="5">
        <f>SUM($E22:H22)</f>
        <v>588109.4444444445</v>
      </c>
      <c r="I29" s="5">
        <f>SUM($E22:I22)</f>
        <v>549277.05555555562</v>
      </c>
      <c r="J29" s="5">
        <f>SUM($E22:J22)</f>
        <v>468846.16666666674</v>
      </c>
      <c r="K29" s="5">
        <f>SUM($E22:K22)</f>
        <v>834118.27777777787</v>
      </c>
      <c r="L29" s="5">
        <f>SUM($E22:L22)</f>
        <v>999124.38888888899</v>
      </c>
      <c r="M29" s="5">
        <f>SUM($E22:M22)</f>
        <v>979936.50000000012</v>
      </c>
      <c r="N29" s="5">
        <f>SUM($E22:N22)</f>
        <v>979936.50000000012</v>
      </c>
      <c r="O29" s="5">
        <f>SUM($E22:O22)</f>
        <v>979936.50000000012</v>
      </c>
      <c r="P29" s="5">
        <f>SUM($E22:P22)</f>
        <v>979936.50000000012</v>
      </c>
    </row>
    <row r="30" spans="3:17" x14ac:dyDescent="0.35">
      <c r="D30" s="3" t="str">
        <f>'KPI 1'!D30</f>
        <v>%REALISATION</v>
      </c>
      <c r="E30" s="9">
        <f t="shared" ref="E30:P30" si="3">E27/E26</f>
        <v>1.0910501739037741</v>
      </c>
      <c r="F30" s="9">
        <f t="shared" si="3"/>
        <v>1.1925701615372231</v>
      </c>
      <c r="G30" s="9">
        <f t="shared" si="3"/>
        <v>1.1491441097945918</v>
      </c>
      <c r="H30" s="9">
        <f t="shared" si="3"/>
        <v>1.1710153630582765</v>
      </c>
      <c r="I30" s="9">
        <f t="shared" si="3"/>
        <v>1.126865574064398</v>
      </c>
      <c r="J30" s="9">
        <f t="shared" si="3"/>
        <v>1.0896096375919757</v>
      </c>
      <c r="K30" s="9">
        <f t="shared" si="3"/>
        <v>1.1356901763135627</v>
      </c>
      <c r="L30" s="9">
        <f t="shared" si="3"/>
        <v>1.141243388355583</v>
      </c>
      <c r="M30" s="9">
        <f t="shared" si="3"/>
        <v>1.1223309755422688</v>
      </c>
      <c r="N30" s="9">
        <f t="shared" si="3"/>
        <v>1.0037720549241347</v>
      </c>
      <c r="O30" s="9">
        <f t="shared" si="3"/>
        <v>0.90700769998658404</v>
      </c>
      <c r="P30" s="9">
        <f t="shared" si="3"/>
        <v>0.82655707978616078</v>
      </c>
    </row>
  </sheetData>
  <mergeCells count="2">
    <mergeCell ref="J4:Q8"/>
    <mergeCell ref="J10:Q15"/>
  </mergeCells>
  <conditionalFormatting sqref="C3">
    <cfRule type="expression" dxfId="155" priority="2">
      <formula>S4&lt;S6</formula>
    </cfRule>
  </conditionalFormatting>
  <conditionalFormatting sqref="C4">
    <cfRule type="expression" dxfId="154" priority="1">
      <formula>AND(S4&gt;=S6,S4&lt;S5)</formula>
    </cfRule>
  </conditionalFormatting>
  <conditionalFormatting sqref="C5">
    <cfRule type="expression" dxfId="153" priority="3">
      <formula>S4&gt;=S5</formula>
    </cfRule>
  </conditionalFormatting>
  <hyperlinks>
    <hyperlink ref="L1" location="Dashboard!A1" display="Dashboard" xr:uid="{00000000-0004-0000-0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55106" r:id="rId3" name="Spinner 2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e">
        <f>Dashboard!#REF!</f>
        <v>#REF!</v>
      </c>
      <c r="B1" s="4" t="e">
        <f>Dashboard!#REF!</f>
        <v>#REF!</v>
      </c>
      <c r="C1" s="4" t="e">
        <f>Dashboard!#REF!</f>
        <v>#REF!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BUDGET2526!D9</f>
        <v>0</v>
      </c>
      <c r="F19" s="5">
        <f>BUDGET2526!E9</f>
        <v>0</v>
      </c>
      <c r="G19" s="5">
        <f>BUDGET2526!F9</f>
        <v>0</v>
      </c>
      <c r="H19" s="5">
        <f>BUDGET2526!G9</f>
        <v>0</v>
      </c>
      <c r="I19" s="5">
        <f>BUDGET2526!H9</f>
        <v>0</v>
      </c>
      <c r="J19" s="5">
        <f>BUDGET2526!I9</f>
        <v>0</v>
      </c>
      <c r="K19" s="5">
        <f>BUDGET2526!J9</f>
        <v>0</v>
      </c>
      <c r="L19" s="5">
        <f>BUDGET2526!K9</f>
        <v>0</v>
      </c>
      <c r="M19" s="5">
        <f>BUDGET2526!L9</f>
        <v>0</v>
      </c>
      <c r="N19" s="5">
        <f>BUDGET2526!M9</f>
        <v>0</v>
      </c>
      <c r="O19" s="5">
        <f>BUDGET2526!N9</f>
        <v>0</v>
      </c>
      <c r="P19" s="5">
        <f>BUDGET2526!O9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'ACTUAL 2526'!E9</f>
        <v>0</v>
      </c>
      <c r="F20" s="5">
        <f>'ACTUAL 2526'!F9</f>
        <v>0</v>
      </c>
      <c r="G20" s="5">
        <f>'ACTUAL 2526'!G9</f>
        <v>0</v>
      </c>
      <c r="H20" s="5">
        <f>'ACTUAL 2526'!H9</f>
        <v>0</v>
      </c>
      <c r="I20" s="5">
        <f>'ACTUAL 2526'!I9</f>
        <v>0</v>
      </c>
      <c r="J20" s="5">
        <f>'ACTUAL 2526'!J9</f>
        <v>0</v>
      </c>
      <c r="K20" s="5">
        <f>'ACTUAL 2526'!K9</f>
        <v>0</v>
      </c>
      <c r="L20" s="5">
        <f>'ACTUAL 2526'!L9</f>
        <v>0</v>
      </c>
      <c r="M20" s="5">
        <f>'ACTUAL 2526'!M9</f>
        <v>0</v>
      </c>
      <c r="N20" s="5">
        <f>'ACTUAL 2526'!N9</f>
        <v>0</v>
      </c>
      <c r="O20" s="5">
        <f>'ACTUAL 2526'!O9</f>
        <v>0</v>
      </c>
      <c r="P20" s="5">
        <f>'ACTUAL 2526'!P9</f>
        <v>0</v>
      </c>
      <c r="Q20" s="5">
        <f t="shared" ref="Q20:Q21" si="0">SUM(E20:P20)</f>
        <v>0</v>
      </c>
    </row>
    <row r="21" spans="3:17" x14ac:dyDescent="0.35">
      <c r="D21" s="3" t="str">
        <f>'KPI 1'!D21</f>
        <v>ACTUAL2024/25</v>
      </c>
      <c r="E21" s="5">
        <f>'Actual 202425'!E9</f>
        <v>491000</v>
      </c>
      <c r="F21" s="5">
        <f>'Actual 202425'!F9</f>
        <v>494150</v>
      </c>
      <c r="G21" s="5">
        <f>'Actual 202425'!G9</f>
        <v>496750</v>
      </c>
      <c r="H21" s="5">
        <f>'Actual 202425'!H9</f>
        <v>498550</v>
      </c>
      <c r="I21" s="5">
        <f>'Actual 202425'!I9</f>
        <v>498350</v>
      </c>
      <c r="J21" s="5">
        <f>'Actual 202425'!J9</f>
        <v>501650</v>
      </c>
      <c r="K21" s="5">
        <f>'Actual 202425'!K9</f>
        <v>503400</v>
      </c>
      <c r="L21" s="5">
        <f>'Actual 202425'!L9</f>
        <v>507750</v>
      </c>
      <c r="M21" s="5">
        <f>'Actual 202425'!M9</f>
        <v>510500</v>
      </c>
      <c r="N21" s="5">
        <f>'Actual 202425'!N9</f>
        <v>281750</v>
      </c>
      <c r="O21" s="5">
        <f>'Actual 202425'!O9</f>
        <v>0</v>
      </c>
      <c r="P21" s="5">
        <f>'Actual 202425'!P9</f>
        <v>0</v>
      </c>
      <c r="Q21" s="5">
        <f t="shared" si="0"/>
        <v>4783850</v>
      </c>
    </row>
    <row r="22" spans="3:17" x14ac:dyDescent="0.35">
      <c r="D22" s="3" t="str">
        <f>'KPI 1'!D22</f>
        <v>DIFFERENCE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0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>'KPI 1'!D28</f>
        <v>ACTUAL2024/25</v>
      </c>
      <c r="E28" s="5">
        <f>SUM($E21:E21)</f>
        <v>491000</v>
      </c>
      <c r="F28" s="5">
        <f>SUM($E21:F21)</f>
        <v>985150</v>
      </c>
      <c r="G28" s="5">
        <f>SUM($E21:G21)</f>
        <v>1481900</v>
      </c>
      <c r="H28" s="5">
        <f>SUM($E21:H21)</f>
        <v>1980450</v>
      </c>
      <c r="I28" s="5">
        <f>SUM($E21:I21)</f>
        <v>2478800</v>
      </c>
      <c r="J28" s="5">
        <f>SUM($E21:J21)</f>
        <v>2980450</v>
      </c>
      <c r="K28" s="5">
        <f>SUM($E21:K21)</f>
        <v>3483850</v>
      </c>
      <c r="L28" s="5">
        <f>SUM($E21:L21)</f>
        <v>3991600</v>
      </c>
      <c r="M28" s="5">
        <f>SUM($E21:M21)</f>
        <v>4502100</v>
      </c>
      <c r="N28" s="5">
        <f>SUM($E21:N21)</f>
        <v>4783850</v>
      </c>
      <c r="O28" s="5">
        <f>SUM($E21:O21)</f>
        <v>4783850</v>
      </c>
      <c r="P28" s="5">
        <f>SUM($E21:P21)</f>
        <v>4783850</v>
      </c>
    </row>
    <row r="29" spans="3:17" x14ac:dyDescent="0.35">
      <c r="D29" s="3" t="str">
        <f>'KPI 1'!D29</f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152" priority="2">
      <formula>S4&lt;S6</formula>
    </cfRule>
  </conditionalFormatting>
  <conditionalFormatting sqref="C4">
    <cfRule type="expression" dxfId="151" priority="1">
      <formula>AND(S4&gt;=S6,S4&lt;S5)</formula>
    </cfRule>
  </conditionalFormatting>
  <conditionalFormatting sqref="C5">
    <cfRule type="expression" dxfId="150" priority="3">
      <formula>S4&gt;=S5</formula>
    </cfRule>
  </conditionalFormatting>
  <hyperlinks>
    <hyperlink ref="L1" location="Dashboard!A1" display="Dashboard" xr:uid="{00000000-0004-0000-0C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481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68">
        <f>Dashboard!A10</f>
        <v>5</v>
      </c>
      <c r="C1" s="4" t="str">
        <f>Dashboard!B10</f>
        <v>new connection fee water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3002500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4500000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4050000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BUDGET2526!D11</f>
        <v>455000</v>
      </c>
      <c r="F19" s="5">
        <f>BUDGET2526!E11</f>
        <v>407500</v>
      </c>
      <c r="G19" s="5">
        <f>BUDGET2526!F11</f>
        <v>412500</v>
      </c>
      <c r="H19" s="5">
        <f>BUDGET2526!G11</f>
        <v>587500</v>
      </c>
      <c r="I19" s="5">
        <f>BUDGET2526!H11</f>
        <v>562500</v>
      </c>
      <c r="J19" s="5">
        <f>BUDGET2526!I11</f>
        <v>537500</v>
      </c>
      <c r="K19" s="5">
        <f>BUDGET2526!J11</f>
        <v>550000</v>
      </c>
      <c r="L19" s="5">
        <f>BUDGET2526!K11</f>
        <v>512500</v>
      </c>
      <c r="M19" s="5">
        <f>BUDGET2526!L11</f>
        <v>475000</v>
      </c>
      <c r="N19" s="5">
        <f>BUDGET2526!M11</f>
        <v>425000</v>
      </c>
      <c r="O19" s="5">
        <f>BUDGET2526!N11</f>
        <v>425000</v>
      </c>
      <c r="P19" s="5">
        <f>BUDGET2526!O11</f>
        <v>420000</v>
      </c>
      <c r="Q19" s="5">
        <f>SUM(E19:P19)</f>
        <v>5770000</v>
      </c>
    </row>
    <row r="20" spans="3:17" x14ac:dyDescent="0.35">
      <c r="D20" s="3" t="str">
        <f>'KPI 1'!D20</f>
        <v>ACTUAL2025/26</v>
      </c>
      <c r="E20" s="5">
        <f>'ACTUAL 2526'!E11</f>
        <v>385000</v>
      </c>
      <c r="F20" s="5">
        <f>'ACTUAL 2526'!F11</f>
        <v>455000</v>
      </c>
      <c r="G20" s="5">
        <f>'ACTUAL 2526'!G11</f>
        <v>345000</v>
      </c>
      <c r="H20" s="5">
        <f>'ACTUAL 2526'!H11</f>
        <v>422500</v>
      </c>
      <c r="I20" s="5">
        <f>'ACTUAL 2526'!I11</f>
        <v>255000</v>
      </c>
      <c r="J20" s="5">
        <f>'ACTUAL 2526'!J11</f>
        <v>360000</v>
      </c>
      <c r="K20" s="5">
        <f>'ACTUAL 2526'!K11</f>
        <v>440000</v>
      </c>
      <c r="L20" s="5">
        <f>'ACTUAL 2526'!L11</f>
        <v>192500</v>
      </c>
      <c r="M20" s="5">
        <f>'ACTUAL 2526'!M11</f>
        <v>147500</v>
      </c>
      <c r="N20" s="5">
        <f>'ACTUAL 2526'!N11</f>
        <v>0</v>
      </c>
      <c r="O20" s="5">
        <f>'ACTUAL 2526'!O11</f>
        <v>0</v>
      </c>
      <c r="P20" s="5">
        <f>'ACTUAL 2526'!P11</f>
        <v>0</v>
      </c>
      <c r="Q20" s="5">
        <f t="shared" ref="Q20:Q21" si="0">SUM(E20:P20)</f>
        <v>3002500</v>
      </c>
    </row>
    <row r="21" spans="3:17" x14ac:dyDescent="0.35">
      <c r="D21" s="3" t="str">
        <f>'KPI 1'!D21</f>
        <v>ACTUAL2024/25</v>
      </c>
      <c r="E21" s="5">
        <f>'Actual 202425'!E11</f>
        <v>327500</v>
      </c>
      <c r="F21" s="5">
        <f>'Actual 202425'!F11</f>
        <v>172500</v>
      </c>
      <c r="G21" s="5">
        <f>'Actual 202425'!G11</f>
        <v>90000</v>
      </c>
      <c r="H21" s="5">
        <f>'Actual 202425'!H11</f>
        <v>35000</v>
      </c>
      <c r="I21" s="5">
        <f>'Actual 202425'!I11</f>
        <v>102500</v>
      </c>
      <c r="J21" s="5">
        <f>'Actual 202425'!J11</f>
        <v>145000</v>
      </c>
      <c r="K21" s="5">
        <f>'Actual 202425'!K11</f>
        <v>377500</v>
      </c>
      <c r="L21" s="5">
        <f>'Actual 202425'!L11</f>
        <v>225000</v>
      </c>
      <c r="M21" s="5">
        <f>'Actual 202425'!M11</f>
        <v>245000</v>
      </c>
      <c r="N21" s="5">
        <f>'Actual 202425'!N11</f>
        <v>417500</v>
      </c>
      <c r="O21" s="5">
        <f>'Actual 202425'!O11</f>
        <v>187500</v>
      </c>
      <c r="P21" s="5">
        <f>'Actual 202425'!P11</f>
        <v>265000</v>
      </c>
      <c r="Q21" s="5">
        <f t="shared" si="0"/>
        <v>2590000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-70000</v>
      </c>
      <c r="F22" s="5">
        <f t="shared" si="1"/>
        <v>47500</v>
      </c>
      <c r="G22" s="5">
        <f t="shared" si="1"/>
        <v>-67500</v>
      </c>
      <c r="H22" s="5">
        <f t="shared" si="1"/>
        <v>-165000</v>
      </c>
      <c r="I22" s="5">
        <f t="shared" si="1"/>
        <v>-307500</v>
      </c>
      <c r="J22" s="5">
        <f t="shared" si="1"/>
        <v>-177500</v>
      </c>
      <c r="K22" s="5">
        <f t="shared" si="1"/>
        <v>-110000</v>
      </c>
      <c r="L22" s="5">
        <f t="shared" si="1"/>
        <v>-320000</v>
      </c>
      <c r="M22" s="5">
        <f t="shared" si="1"/>
        <v>-327500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-1497500</v>
      </c>
    </row>
    <row r="23" spans="3:17" x14ac:dyDescent="0.35">
      <c r="D23" s="3" t="str">
        <f>'KPI 1'!D23</f>
        <v>%REALISATION</v>
      </c>
      <c r="E23" s="9">
        <f t="shared" ref="E23:P23" si="2">E20/E19</f>
        <v>0.84615384615384615</v>
      </c>
      <c r="F23" s="9">
        <f t="shared" si="2"/>
        <v>1.1165644171779141</v>
      </c>
      <c r="G23" s="9">
        <f t="shared" si="2"/>
        <v>0.83636363636363631</v>
      </c>
      <c r="H23" s="9">
        <f t="shared" si="2"/>
        <v>0.7191489361702128</v>
      </c>
      <c r="I23" s="9">
        <f t="shared" si="2"/>
        <v>0.45333333333333331</v>
      </c>
      <c r="J23" s="9">
        <f t="shared" si="2"/>
        <v>0.66976744186046511</v>
      </c>
      <c r="K23" s="9">
        <f t="shared" si="2"/>
        <v>0.8</v>
      </c>
      <c r="L23" s="9">
        <f t="shared" si="2"/>
        <v>0.37560975609756098</v>
      </c>
      <c r="M23" s="9">
        <f t="shared" si="2"/>
        <v>0.31052631578947371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455000</v>
      </c>
      <c r="F26" s="5">
        <f>SUM($E19:F19)</f>
        <v>862500</v>
      </c>
      <c r="G26" s="5">
        <f>SUM($E19:G19)</f>
        <v>1275000</v>
      </c>
      <c r="H26" s="5">
        <f>SUM($E19:H19)</f>
        <v>1862500</v>
      </c>
      <c r="I26" s="5">
        <f>SUM($E19:I19)</f>
        <v>2425000</v>
      </c>
      <c r="J26" s="5">
        <f>SUM($E19:J19)</f>
        <v>2962500</v>
      </c>
      <c r="K26" s="5">
        <f>SUM($E19:K19)</f>
        <v>3512500</v>
      </c>
      <c r="L26" s="5">
        <f>SUM($E19:L19)</f>
        <v>4025000</v>
      </c>
      <c r="M26" s="5">
        <f>SUM($E19:M19)</f>
        <v>4500000</v>
      </c>
      <c r="N26" s="5">
        <f>SUM($E19:N19)</f>
        <v>4925000</v>
      </c>
      <c r="O26" s="5">
        <f>SUM($E19:O19)</f>
        <v>5350000</v>
      </c>
      <c r="P26" s="5">
        <f>SUM($E19:P19)</f>
        <v>5770000</v>
      </c>
    </row>
    <row r="27" spans="3:17" x14ac:dyDescent="0.35">
      <c r="D27" s="3" t="str">
        <f>'KPI 1'!D27</f>
        <v>ACTUAL2025/26</v>
      </c>
      <c r="E27" s="5">
        <f>SUM($E20:E20)</f>
        <v>385000</v>
      </c>
      <c r="F27" s="5">
        <f>SUM($E20:F20)</f>
        <v>840000</v>
      </c>
      <c r="G27" s="5">
        <f>SUM($E20:G20)</f>
        <v>1185000</v>
      </c>
      <c r="H27" s="5">
        <f>SUM($E20:H20)</f>
        <v>1607500</v>
      </c>
      <c r="I27" s="5">
        <f>SUM($E20:I20)</f>
        <v>1862500</v>
      </c>
      <c r="J27" s="5">
        <f>SUM($E20:J20)</f>
        <v>2222500</v>
      </c>
      <c r="K27" s="5">
        <f>SUM($E20:K20)</f>
        <v>2662500</v>
      </c>
      <c r="L27" s="5">
        <f>SUM($E20:L20)</f>
        <v>2855000</v>
      </c>
      <c r="M27" s="5">
        <f>SUM($E20:M20)</f>
        <v>3002500</v>
      </c>
      <c r="N27" s="5">
        <f>SUM($E20:N20)</f>
        <v>3002500</v>
      </c>
      <c r="O27" s="5">
        <f>SUM($E20:O20)</f>
        <v>3002500</v>
      </c>
      <c r="P27" s="5">
        <f>SUM($E20:P20)</f>
        <v>3002500</v>
      </c>
    </row>
    <row r="28" spans="3:17" x14ac:dyDescent="0.35">
      <c r="D28" s="3" t="str">
        <f>'KPI 1'!D28</f>
        <v>ACTUAL2024/25</v>
      </c>
      <c r="E28" s="5">
        <f>SUM($E21:E21)</f>
        <v>327500</v>
      </c>
      <c r="F28" s="5">
        <f>SUM($E21:F21)</f>
        <v>500000</v>
      </c>
      <c r="G28" s="5">
        <f>SUM($E21:G21)</f>
        <v>590000</v>
      </c>
      <c r="H28" s="5">
        <f>SUM($E21:H21)</f>
        <v>625000</v>
      </c>
      <c r="I28" s="5">
        <f>SUM($E21:I21)</f>
        <v>727500</v>
      </c>
      <c r="J28" s="5">
        <f>SUM($E21:J21)</f>
        <v>872500</v>
      </c>
      <c r="K28" s="5">
        <f>SUM($E21:K21)</f>
        <v>1250000</v>
      </c>
      <c r="L28" s="5">
        <f>SUM($E21:L21)</f>
        <v>1475000</v>
      </c>
      <c r="M28" s="5">
        <f>SUM($E21:M21)</f>
        <v>1720000</v>
      </c>
      <c r="N28" s="5">
        <f>SUM($E21:N21)</f>
        <v>2137500</v>
      </c>
      <c r="O28" s="5">
        <f>SUM($E21:O21)</f>
        <v>2325000</v>
      </c>
      <c r="P28" s="5">
        <f>SUM($E21:P21)</f>
        <v>2590000</v>
      </c>
    </row>
    <row r="29" spans="3:17" x14ac:dyDescent="0.35">
      <c r="D29" s="3" t="str">
        <f>'KPI 1'!D29</f>
        <v>DIFFERENCE</v>
      </c>
      <c r="E29" s="5">
        <f>SUM($E22:E22)</f>
        <v>-70000</v>
      </c>
      <c r="F29" s="5">
        <f>SUM($E22:F22)</f>
        <v>-22500</v>
      </c>
      <c r="G29" s="5">
        <f>SUM($E22:G22)</f>
        <v>-90000</v>
      </c>
      <c r="H29" s="5">
        <f>SUM($E22:H22)</f>
        <v>-255000</v>
      </c>
      <c r="I29" s="5">
        <f>SUM($E22:I22)</f>
        <v>-562500</v>
      </c>
      <c r="J29" s="5">
        <f>SUM($E22:J22)</f>
        <v>-740000</v>
      </c>
      <c r="K29" s="5">
        <f>SUM($E22:K22)</f>
        <v>-850000</v>
      </c>
      <c r="L29" s="5">
        <f>SUM($E22:L22)</f>
        <v>-1170000</v>
      </c>
      <c r="M29" s="5">
        <f>SUM($E22:M22)</f>
        <v>-1497500</v>
      </c>
      <c r="N29" s="5">
        <f>SUM($E22:N22)</f>
        <v>-1497500</v>
      </c>
      <c r="O29" s="5">
        <f>SUM($E22:O22)</f>
        <v>-1497500</v>
      </c>
      <c r="P29" s="5">
        <f>SUM($E22:P22)</f>
        <v>-1497500</v>
      </c>
    </row>
    <row r="30" spans="3:17" x14ac:dyDescent="0.35">
      <c r="D30" s="3" t="str">
        <f>'KPI 1'!D30</f>
        <v>%REALISATION</v>
      </c>
      <c r="E30" s="9">
        <f t="shared" ref="E30:P30" si="3">E27/E26</f>
        <v>0.84615384615384615</v>
      </c>
      <c r="F30" s="9">
        <f t="shared" si="3"/>
        <v>0.97391304347826091</v>
      </c>
      <c r="G30" s="9">
        <f t="shared" si="3"/>
        <v>0.92941176470588238</v>
      </c>
      <c r="H30" s="9">
        <f t="shared" si="3"/>
        <v>0.86308724832214767</v>
      </c>
      <c r="I30" s="9">
        <f t="shared" si="3"/>
        <v>0.76804123711340211</v>
      </c>
      <c r="J30" s="9">
        <f t="shared" si="3"/>
        <v>0.75021097046413499</v>
      </c>
      <c r="K30" s="9">
        <f t="shared" si="3"/>
        <v>0.75800711743772242</v>
      </c>
      <c r="L30" s="9">
        <f t="shared" si="3"/>
        <v>0.70931677018633543</v>
      </c>
      <c r="M30" s="9">
        <f t="shared" si="3"/>
        <v>0.66722222222222227</v>
      </c>
      <c r="N30" s="9">
        <f t="shared" si="3"/>
        <v>0.60964467005076139</v>
      </c>
      <c r="O30" s="9">
        <f t="shared" si="3"/>
        <v>0.56121495327102799</v>
      </c>
      <c r="P30" s="9">
        <f t="shared" si="3"/>
        <v>0.52036395147313697</v>
      </c>
    </row>
  </sheetData>
  <mergeCells count="2">
    <mergeCell ref="J4:Q8"/>
    <mergeCell ref="J10:Q15"/>
  </mergeCells>
  <conditionalFormatting sqref="C3">
    <cfRule type="expression" dxfId="149" priority="2">
      <formula>S4&lt;S6</formula>
    </cfRule>
  </conditionalFormatting>
  <conditionalFormatting sqref="C4">
    <cfRule type="expression" dxfId="148" priority="1">
      <formula>AND(S4&gt;=S6,S4&lt;S5)</formula>
    </cfRule>
  </conditionalFormatting>
  <conditionalFormatting sqref="C5">
    <cfRule type="expression" dxfId="147" priority="3">
      <formula>S4&gt;=S5</formula>
    </cfRule>
  </conditionalFormatting>
  <hyperlinks>
    <hyperlink ref="L1" location="Dashboard!A1" display="Dashboard" xr:uid="{00000000-0004-0000-0D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584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Dashboard!A11</f>
        <v>6</v>
      </c>
      <c r="C1" s="4" t="str">
        <f>Dashboard!B11</f>
        <v>new connection fee sewer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142500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680000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612000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BUDGET2526!D12</f>
        <v>80000</v>
      </c>
      <c r="F19" s="5">
        <f>BUDGET2526!E12</f>
        <v>75000</v>
      </c>
      <c r="G19" s="5">
        <f>BUDGET2526!F12</f>
        <v>75000</v>
      </c>
      <c r="H19" s="5">
        <f>BUDGET2526!G12</f>
        <v>75000</v>
      </c>
      <c r="I19" s="5">
        <f>BUDGET2526!H12</f>
        <v>75000</v>
      </c>
      <c r="J19" s="5">
        <f>BUDGET2526!I12</f>
        <v>75000</v>
      </c>
      <c r="K19" s="5">
        <f>BUDGET2526!J12</f>
        <v>75000</v>
      </c>
      <c r="L19" s="5">
        <f>BUDGET2526!K12</f>
        <v>75000</v>
      </c>
      <c r="M19" s="5">
        <f>BUDGET2526!L12</f>
        <v>75000</v>
      </c>
      <c r="N19" s="5">
        <f>BUDGET2526!M12</f>
        <v>75000</v>
      </c>
      <c r="O19" s="5">
        <f>BUDGET2526!N12</f>
        <v>75000</v>
      </c>
      <c r="P19" s="5">
        <f>BUDGET2526!O12</f>
        <v>75000</v>
      </c>
      <c r="Q19" s="5">
        <f>SUM(E19:P19)</f>
        <v>905000</v>
      </c>
    </row>
    <row r="20" spans="3:17" x14ac:dyDescent="0.35">
      <c r="D20" s="3" t="str">
        <f>'KPI 1'!D20</f>
        <v>ACTUAL2025/26</v>
      </c>
      <c r="E20" s="5">
        <f>'ACTUAL 2526'!E12</f>
        <v>0</v>
      </c>
      <c r="F20" s="5">
        <f>'ACTUAL 2526'!F12</f>
        <v>22500</v>
      </c>
      <c r="G20" s="5">
        <f>'ACTUAL 2526'!G12</f>
        <v>22500</v>
      </c>
      <c r="H20" s="5">
        <f>'ACTUAL 2526'!H12</f>
        <v>20000</v>
      </c>
      <c r="I20" s="5">
        <f>'ACTUAL 2526'!I12</f>
        <v>27500</v>
      </c>
      <c r="J20" s="5">
        <f>'ACTUAL 2526'!J12</f>
        <v>0</v>
      </c>
      <c r="K20" s="5">
        <f>'ACTUAL 2526'!K12</f>
        <v>22500</v>
      </c>
      <c r="L20" s="5">
        <f>'ACTUAL 2526'!L12</f>
        <v>27500</v>
      </c>
      <c r="M20" s="5">
        <f>'ACTUAL 2526'!M12</f>
        <v>0</v>
      </c>
      <c r="N20" s="5">
        <f>'ACTUAL 2526'!N12</f>
        <v>0</v>
      </c>
      <c r="O20" s="5">
        <f>'ACTUAL 2526'!O12</f>
        <v>0</v>
      </c>
      <c r="P20" s="5">
        <f>'ACTUAL 2526'!P12</f>
        <v>0</v>
      </c>
      <c r="Q20" s="5">
        <f t="shared" ref="Q20" si="0">SUM(E20:P20)</f>
        <v>142500</v>
      </c>
    </row>
    <row r="21" spans="3:17" x14ac:dyDescent="0.35">
      <c r="D21" s="3" t="str">
        <f>'KPI 1'!D21</f>
        <v>ACTUAL2024/25</v>
      </c>
      <c r="E21" s="5">
        <f>'Actual 202425'!E12</f>
        <v>50000</v>
      </c>
      <c r="F21" s="5">
        <f>'Actual 202425'!F12</f>
        <v>30000</v>
      </c>
      <c r="G21" s="5">
        <f>'Actual 202425'!G12</f>
        <v>37500</v>
      </c>
      <c r="H21" s="5">
        <f>'Actual 202425'!H12</f>
        <v>12500</v>
      </c>
      <c r="I21" s="5">
        <f>'Actual 202425'!I12</f>
        <v>0</v>
      </c>
      <c r="J21" s="5">
        <f>'Actual 202425'!J12</f>
        <v>25000</v>
      </c>
      <c r="K21" s="5">
        <f>'Actual 202425'!K12</f>
        <v>10500</v>
      </c>
      <c r="L21" s="5">
        <f>'Actual 202425'!L12</f>
        <v>60000</v>
      </c>
      <c r="M21" s="5">
        <f>'Actual 202425'!M12</f>
        <v>22500</v>
      </c>
      <c r="N21" s="5">
        <f>'Actual 202425'!N12</f>
        <v>17500</v>
      </c>
      <c r="O21" s="5">
        <f>'Actual 202425'!O12</f>
        <v>0</v>
      </c>
      <c r="P21" s="5">
        <f>'Actual 202425'!P12</f>
        <v>20000</v>
      </c>
      <c r="Q21" s="5">
        <f>ACTUAL2021!P20</f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0</v>
      </c>
      <c r="F22" s="5">
        <f t="shared" si="1"/>
        <v>-52500</v>
      </c>
      <c r="G22" s="5">
        <f t="shared" si="1"/>
        <v>-52500</v>
      </c>
      <c r="H22" s="5">
        <f t="shared" si="1"/>
        <v>-55000</v>
      </c>
      <c r="I22" s="5">
        <f t="shared" si="1"/>
        <v>-47500</v>
      </c>
      <c r="J22" s="5">
        <f t="shared" si="1"/>
        <v>0</v>
      </c>
      <c r="K22" s="5">
        <f t="shared" si="1"/>
        <v>-52500</v>
      </c>
      <c r="L22" s="5">
        <f t="shared" si="1"/>
        <v>-47500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-307500</v>
      </c>
    </row>
    <row r="23" spans="3:17" x14ac:dyDescent="0.35">
      <c r="D23" s="3" t="str">
        <f>'KPI 1'!D23</f>
        <v>%REALISATION</v>
      </c>
      <c r="E23" s="9">
        <f t="shared" ref="E23:P23" si="2">E20/E19</f>
        <v>0</v>
      </c>
      <c r="F23" s="9">
        <f t="shared" si="2"/>
        <v>0.3</v>
      </c>
      <c r="G23" s="9">
        <f t="shared" si="2"/>
        <v>0.3</v>
      </c>
      <c r="H23" s="9">
        <f t="shared" si="2"/>
        <v>0.26666666666666666</v>
      </c>
      <c r="I23" s="9">
        <f t="shared" si="2"/>
        <v>0.36666666666666664</v>
      </c>
      <c r="J23" s="9">
        <f t="shared" si="2"/>
        <v>0</v>
      </c>
      <c r="K23" s="9">
        <f t="shared" si="2"/>
        <v>0.3</v>
      </c>
      <c r="L23" s="9">
        <f t="shared" si="2"/>
        <v>0.36666666666666664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80000</v>
      </c>
      <c r="F26" s="5">
        <f>SUM($E19:F19)</f>
        <v>155000</v>
      </c>
      <c r="G26" s="5">
        <f>SUM($E19:G19)</f>
        <v>230000</v>
      </c>
      <c r="H26" s="5">
        <f>SUM($E19:H19)</f>
        <v>305000</v>
      </c>
      <c r="I26" s="5">
        <f>SUM($E19:I19)</f>
        <v>380000</v>
      </c>
      <c r="J26" s="5">
        <f>SUM($E19:J19)</f>
        <v>455000</v>
      </c>
      <c r="K26" s="5">
        <f>SUM($E19:K19)</f>
        <v>530000</v>
      </c>
      <c r="L26" s="5">
        <f>SUM($E19:L19)</f>
        <v>605000</v>
      </c>
      <c r="M26" s="5">
        <f>SUM($E19:M19)</f>
        <v>680000</v>
      </c>
      <c r="N26" s="5">
        <f>SUM($E19:N19)</f>
        <v>755000</v>
      </c>
      <c r="O26" s="5">
        <f>SUM($E19:O19)</f>
        <v>830000</v>
      </c>
      <c r="P26" s="5">
        <f>SUM($E19:P19)</f>
        <v>905000</v>
      </c>
    </row>
    <row r="27" spans="3:17" x14ac:dyDescent="0.35">
      <c r="D27" s="3" t="str">
        <f>'KPI 1'!D27</f>
        <v>ACTUAL2025/26</v>
      </c>
      <c r="E27" s="5">
        <f>SUM($E20:E20)</f>
        <v>0</v>
      </c>
      <c r="F27" s="5">
        <f>SUM($E20:F20)</f>
        <v>22500</v>
      </c>
      <c r="G27" s="5">
        <f>SUM($E20:G20)</f>
        <v>45000</v>
      </c>
      <c r="H27" s="5">
        <f>SUM($E20:H20)</f>
        <v>65000</v>
      </c>
      <c r="I27" s="5">
        <f>SUM($E20:I20)</f>
        <v>92500</v>
      </c>
      <c r="J27" s="5">
        <f>SUM($E20:J20)</f>
        <v>92500</v>
      </c>
      <c r="K27" s="5">
        <f>SUM($E20:K20)</f>
        <v>115000</v>
      </c>
      <c r="L27" s="5">
        <f>SUM($E20:L20)</f>
        <v>142500</v>
      </c>
      <c r="M27" s="5">
        <f>SUM($E20:M20)</f>
        <v>142500</v>
      </c>
      <c r="N27" s="5">
        <f>SUM($E20:N20)</f>
        <v>142500</v>
      </c>
      <c r="O27" s="5">
        <f>SUM($E20:O20)</f>
        <v>142500</v>
      </c>
      <c r="P27" s="5">
        <f>SUM($E20:P20)</f>
        <v>142500</v>
      </c>
    </row>
    <row r="28" spans="3:17" x14ac:dyDescent="0.35">
      <c r="D28" s="3" t="str">
        <f>'KPI 1'!D28</f>
        <v>ACTUAL2024/25</v>
      </c>
      <c r="E28" s="5">
        <f>SUM($E21:E21)</f>
        <v>50000</v>
      </c>
      <c r="F28" s="5">
        <f>SUM($E21:F21)</f>
        <v>80000</v>
      </c>
      <c r="G28" s="5">
        <f>SUM($E21:G21)</f>
        <v>117500</v>
      </c>
      <c r="H28" s="5">
        <f>SUM($E21:H21)</f>
        <v>130000</v>
      </c>
      <c r="I28" s="5">
        <f>SUM($E21:I21)</f>
        <v>130000</v>
      </c>
      <c r="J28" s="5">
        <f>SUM($E21:J21)</f>
        <v>155000</v>
      </c>
      <c r="K28" s="5">
        <f>SUM($E21:K21)</f>
        <v>165500</v>
      </c>
      <c r="L28" s="5">
        <f>SUM($E21:L21)</f>
        <v>225500</v>
      </c>
      <c r="M28" s="5">
        <f>SUM($E21:M21)</f>
        <v>248000</v>
      </c>
      <c r="N28" s="5">
        <f>SUM($E21:N21)</f>
        <v>265500</v>
      </c>
      <c r="O28" s="5">
        <f>SUM($E21:O21)</f>
        <v>265500</v>
      </c>
      <c r="P28" s="5">
        <f>SUM($E21:P21)</f>
        <v>285500</v>
      </c>
    </row>
    <row r="29" spans="3:17" x14ac:dyDescent="0.35">
      <c r="D29" s="3" t="str">
        <f>'KPI 1'!D29</f>
        <v>DIFFERENCE</v>
      </c>
      <c r="E29" s="5">
        <f>SUM($E22:E22)</f>
        <v>0</v>
      </c>
      <c r="F29" s="5">
        <f>SUM($E22:F22)</f>
        <v>-52500</v>
      </c>
      <c r="G29" s="5">
        <f>SUM($E22:G22)</f>
        <v>-105000</v>
      </c>
      <c r="H29" s="5">
        <f>SUM($E22:H22)</f>
        <v>-160000</v>
      </c>
      <c r="I29" s="5">
        <f>SUM($E22:I22)</f>
        <v>-207500</v>
      </c>
      <c r="J29" s="5">
        <f>SUM($E22:J22)</f>
        <v>-207500</v>
      </c>
      <c r="K29" s="5">
        <f>SUM($E22:K22)</f>
        <v>-260000</v>
      </c>
      <c r="L29" s="5">
        <f>SUM($E22:L22)</f>
        <v>-307500</v>
      </c>
      <c r="M29" s="5">
        <f>SUM($E22:M22)</f>
        <v>-307500</v>
      </c>
      <c r="N29" s="5">
        <f>SUM($E22:N22)</f>
        <v>-307500</v>
      </c>
      <c r="O29" s="5">
        <f>SUM($E22:O22)</f>
        <v>-307500</v>
      </c>
      <c r="P29" s="5">
        <f>SUM($E22:P22)</f>
        <v>-307500</v>
      </c>
    </row>
    <row r="30" spans="3:17" x14ac:dyDescent="0.35">
      <c r="D30" s="3" t="str">
        <f>'KPI 1'!D30</f>
        <v>%REALISATION</v>
      </c>
      <c r="E30" s="9">
        <f t="shared" ref="E30:P30" si="3">E27/E26</f>
        <v>0</v>
      </c>
      <c r="F30" s="9">
        <f t="shared" si="3"/>
        <v>0.14516129032258066</v>
      </c>
      <c r="G30" s="9">
        <f t="shared" si="3"/>
        <v>0.19565217391304349</v>
      </c>
      <c r="H30" s="9">
        <f t="shared" si="3"/>
        <v>0.21311475409836064</v>
      </c>
      <c r="I30" s="9">
        <f t="shared" si="3"/>
        <v>0.24342105263157895</v>
      </c>
      <c r="J30" s="9">
        <f t="shared" si="3"/>
        <v>0.2032967032967033</v>
      </c>
      <c r="K30" s="9">
        <f t="shared" si="3"/>
        <v>0.21698113207547171</v>
      </c>
      <c r="L30" s="9">
        <f t="shared" si="3"/>
        <v>0.23553719008264462</v>
      </c>
      <c r="M30" s="9">
        <f t="shared" si="3"/>
        <v>0.20955882352941177</v>
      </c>
      <c r="N30" s="9">
        <f t="shared" si="3"/>
        <v>0.18874172185430463</v>
      </c>
      <c r="O30" s="9">
        <f t="shared" si="3"/>
        <v>0.1716867469879518</v>
      </c>
      <c r="P30" s="9">
        <f t="shared" si="3"/>
        <v>0.15745856353591159</v>
      </c>
    </row>
  </sheetData>
  <mergeCells count="2">
    <mergeCell ref="J4:Q8"/>
    <mergeCell ref="J10:Q15"/>
  </mergeCells>
  <conditionalFormatting sqref="C3">
    <cfRule type="expression" dxfId="146" priority="2">
      <formula>S4&lt;S6</formula>
    </cfRule>
  </conditionalFormatting>
  <conditionalFormatting sqref="C4">
    <cfRule type="expression" dxfId="145" priority="1">
      <formula>AND(S4&gt;=S6,S4&lt;S5)</formula>
    </cfRule>
  </conditionalFormatting>
  <conditionalFormatting sqref="C5">
    <cfRule type="expression" dxfId="144" priority="3">
      <formula>S4&gt;=S5</formula>
    </cfRule>
  </conditionalFormatting>
  <hyperlinks>
    <hyperlink ref="L1" location="Dashboard!A1" display="Dashboard" xr:uid="{00000000-0004-0000-0E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686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Dashboard!A8</f>
        <v>3</v>
      </c>
      <c r="C1" s="4" t="str">
        <f>Dashboard!B8</f>
        <v xml:space="preserve">Bulk water 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704120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810000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729000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BUDGET2526!D14</f>
        <v>90000</v>
      </c>
      <c r="F19" s="5">
        <f>BUDGET2526!E14</f>
        <v>90000</v>
      </c>
      <c r="G19" s="5">
        <f>BUDGET2526!F14</f>
        <v>90000</v>
      </c>
      <c r="H19" s="5">
        <f>BUDGET2526!G14</f>
        <v>90000</v>
      </c>
      <c r="I19" s="5">
        <f>BUDGET2526!H14</f>
        <v>90000</v>
      </c>
      <c r="J19" s="5">
        <f>BUDGET2526!I14</f>
        <v>90000</v>
      </c>
      <c r="K19" s="5">
        <f>BUDGET2526!J14</f>
        <v>90000</v>
      </c>
      <c r="L19" s="5">
        <f>BUDGET2526!K14</f>
        <v>90000</v>
      </c>
      <c r="M19" s="5">
        <f>BUDGET2526!L14</f>
        <v>90000</v>
      </c>
      <c r="N19" s="5">
        <f>BUDGET2526!M14</f>
        <v>90000</v>
      </c>
      <c r="O19" s="5">
        <f>BUDGET2526!N14</f>
        <v>90000</v>
      </c>
      <c r="P19" s="5">
        <f>BUDGET2526!O14</f>
        <v>90000</v>
      </c>
      <c r="Q19" s="5">
        <f>SUM(E19:P19)</f>
        <v>1080000</v>
      </c>
    </row>
    <row r="20" spans="3:17" x14ac:dyDescent="0.35">
      <c r="D20" s="3" t="str">
        <f>'KPI 1'!D20</f>
        <v>ACTUAL2025/26</v>
      </c>
      <c r="E20" s="5">
        <f>Actual2223!D13</f>
        <v>86850</v>
      </c>
      <c r="F20" s="5">
        <f>Actual2223!E13</f>
        <v>84450</v>
      </c>
      <c r="G20" s="5">
        <f>Actual2223!F13</f>
        <v>56450</v>
      </c>
      <c r="H20" s="5">
        <f>Actual2223!G13</f>
        <v>97020</v>
      </c>
      <c r="I20" s="5">
        <f>Actual2223!H13</f>
        <v>61350</v>
      </c>
      <c r="J20" s="5">
        <f>Actual2223!I13</f>
        <v>68250</v>
      </c>
      <c r="K20" s="5">
        <f>Actual2223!J13</f>
        <v>83100</v>
      </c>
      <c r="L20" s="5">
        <f>Actual2223!K13</f>
        <v>90450</v>
      </c>
      <c r="M20" s="5">
        <f>Actual2223!L13</f>
        <v>76200</v>
      </c>
      <c r="N20" s="5">
        <f>Actual2223!M13</f>
        <v>61950</v>
      </c>
      <c r="O20" s="5">
        <f>Actual2223!N13</f>
        <v>26000</v>
      </c>
      <c r="P20" s="5">
        <f>Actual2223!O13</f>
        <v>28100</v>
      </c>
      <c r="Q20" s="5">
        <f t="shared" ref="Q20:Q21" si="0">SUM(E20:P20)</f>
        <v>820170</v>
      </c>
    </row>
    <row r="21" spans="3:17" x14ac:dyDescent="0.35">
      <c r="D21" s="3" t="str">
        <f>'KPI 1'!D21</f>
        <v>ACTUAL2024/25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-3150</v>
      </c>
      <c r="F22" s="5">
        <f t="shared" si="1"/>
        <v>-5550</v>
      </c>
      <c r="G22" s="5">
        <f t="shared" si="1"/>
        <v>-33550</v>
      </c>
      <c r="H22" s="5">
        <f t="shared" si="1"/>
        <v>7020</v>
      </c>
      <c r="I22" s="5">
        <f t="shared" si="1"/>
        <v>-28650</v>
      </c>
      <c r="J22" s="5">
        <f t="shared" si="1"/>
        <v>-21750</v>
      </c>
      <c r="K22" s="5">
        <f t="shared" si="1"/>
        <v>-6900</v>
      </c>
      <c r="L22" s="5">
        <f t="shared" si="1"/>
        <v>450</v>
      </c>
      <c r="M22" s="5">
        <f t="shared" si="1"/>
        <v>-13800</v>
      </c>
      <c r="N22" s="5">
        <f t="shared" si="1"/>
        <v>-28050</v>
      </c>
      <c r="O22" s="5">
        <f t="shared" si="1"/>
        <v>-64000</v>
      </c>
      <c r="P22" s="5">
        <f t="shared" si="1"/>
        <v>-61900</v>
      </c>
      <c r="Q22" s="5">
        <f>SUM(E22:P22)</f>
        <v>-259830</v>
      </c>
    </row>
    <row r="23" spans="3:17" x14ac:dyDescent="0.35">
      <c r="D23" s="3" t="str">
        <f>'KPI 1'!D23</f>
        <v>%REALISATION</v>
      </c>
      <c r="E23" s="9">
        <f>E21/E19</f>
        <v>0</v>
      </c>
      <c r="F23" s="9">
        <f t="shared" ref="F23:P23" si="2">F20/F19</f>
        <v>0.93833333333333335</v>
      </c>
      <c r="G23" s="9">
        <f t="shared" si="2"/>
        <v>0.62722222222222224</v>
      </c>
      <c r="H23" s="9">
        <f t="shared" si="2"/>
        <v>1.0780000000000001</v>
      </c>
      <c r="I23" s="9">
        <f t="shared" si="2"/>
        <v>0.68166666666666664</v>
      </c>
      <c r="J23" s="9">
        <f t="shared" si="2"/>
        <v>0.7583333333333333</v>
      </c>
      <c r="K23" s="9">
        <f t="shared" si="2"/>
        <v>0.92333333333333334</v>
      </c>
      <c r="L23" s="9">
        <f t="shared" si="2"/>
        <v>1.0049999999999999</v>
      </c>
      <c r="M23" s="9">
        <f t="shared" si="2"/>
        <v>0.84666666666666668</v>
      </c>
      <c r="N23" s="9">
        <f t="shared" si="2"/>
        <v>0.68833333333333335</v>
      </c>
      <c r="O23" s="9">
        <f t="shared" si="2"/>
        <v>0.28888888888888886</v>
      </c>
      <c r="P23" s="9">
        <f t="shared" si="2"/>
        <v>0.31222222222222223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90000</v>
      </c>
      <c r="F26" s="5">
        <f>SUM($E19:F19)</f>
        <v>180000</v>
      </c>
      <c r="G26" s="5">
        <f>SUM($E19:G19)</f>
        <v>270000</v>
      </c>
      <c r="H26" s="5">
        <f>SUM($E19:H19)</f>
        <v>360000</v>
      </c>
      <c r="I26" s="5">
        <f>SUM($E19:I19)</f>
        <v>450000</v>
      </c>
      <c r="J26" s="5">
        <f>SUM($E19:J19)</f>
        <v>540000</v>
      </c>
      <c r="K26" s="5">
        <f>SUM($E19:K19)</f>
        <v>630000</v>
      </c>
      <c r="L26" s="5">
        <f>SUM($E19:L19)</f>
        <v>720000</v>
      </c>
      <c r="M26" s="5">
        <f>SUM($E19:M19)</f>
        <v>810000</v>
      </c>
      <c r="N26" s="5">
        <f>SUM($E19:N19)</f>
        <v>900000</v>
      </c>
      <c r="O26" s="5">
        <f>SUM($E19:O19)</f>
        <v>990000</v>
      </c>
      <c r="P26" s="5">
        <f>SUM($E19:P19)</f>
        <v>1080000</v>
      </c>
    </row>
    <row r="27" spans="3:17" x14ac:dyDescent="0.35">
      <c r="D27" s="3" t="str">
        <f>'KPI 1'!D27</f>
        <v>ACTUAL2025/26</v>
      </c>
      <c r="E27" s="5">
        <f>SUM($E20:E20)</f>
        <v>86850</v>
      </c>
      <c r="F27" s="5">
        <f>SUM($E20:F20)</f>
        <v>171300</v>
      </c>
      <c r="G27" s="5">
        <f>SUM($E20:G20)</f>
        <v>227750</v>
      </c>
      <c r="H27" s="5">
        <f>SUM($E20:H20)</f>
        <v>324770</v>
      </c>
      <c r="I27" s="5">
        <f>SUM($E20:I20)</f>
        <v>386120</v>
      </c>
      <c r="J27" s="5">
        <f>SUM($E20:J20)</f>
        <v>454370</v>
      </c>
      <c r="K27" s="5">
        <f>SUM($E20:K20)</f>
        <v>537470</v>
      </c>
      <c r="L27" s="5">
        <f>SUM($E20:L20)</f>
        <v>627920</v>
      </c>
      <c r="M27" s="5">
        <f>SUM($E20:M20)</f>
        <v>704120</v>
      </c>
      <c r="N27" s="5">
        <f>SUM($E20:N20)</f>
        <v>766070</v>
      </c>
      <c r="O27" s="5">
        <f>SUM($E20:O20)</f>
        <v>792070</v>
      </c>
      <c r="P27" s="5">
        <f>SUM($E20:P20)</f>
        <v>820170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-3150</v>
      </c>
      <c r="F29" s="5">
        <f>SUM($E22:F22)</f>
        <v>-8700</v>
      </c>
      <c r="G29" s="5">
        <f>SUM($E22:G22)</f>
        <v>-42250</v>
      </c>
      <c r="H29" s="5">
        <f>SUM($E22:H22)</f>
        <v>-35230</v>
      </c>
      <c r="I29" s="5">
        <f>SUM($E22:I22)</f>
        <v>-63880</v>
      </c>
      <c r="J29" s="5">
        <f>SUM($E22:J22)</f>
        <v>-85630</v>
      </c>
      <c r="K29" s="5">
        <f>SUM($E22:K22)</f>
        <v>-92530</v>
      </c>
      <c r="L29" s="5">
        <f>SUM($E22:L22)</f>
        <v>-92080</v>
      </c>
      <c r="M29" s="5">
        <f>SUM($E22:M22)</f>
        <v>-105880</v>
      </c>
      <c r="N29" s="5">
        <f>SUM($E22:N22)</f>
        <v>-133930</v>
      </c>
      <c r="O29" s="5">
        <f>SUM($E22:O22)</f>
        <v>-197930</v>
      </c>
      <c r="P29" s="5">
        <f>SUM($E22:P22)</f>
        <v>-259830</v>
      </c>
    </row>
    <row r="30" spans="3:17" x14ac:dyDescent="0.35">
      <c r="D30" s="3" t="str">
        <f>'KPI 1'!D30</f>
        <v>%REALISATION</v>
      </c>
      <c r="E30" s="9">
        <f>E28/E26</f>
        <v>0</v>
      </c>
      <c r="F30" s="9">
        <f t="shared" ref="F30:P30" si="3">F27/F26</f>
        <v>0.95166666666666666</v>
      </c>
      <c r="G30" s="9">
        <f t="shared" si="3"/>
        <v>0.84351851851851856</v>
      </c>
      <c r="H30" s="9">
        <f t="shared" si="3"/>
        <v>0.90213888888888893</v>
      </c>
      <c r="I30" s="9">
        <f t="shared" si="3"/>
        <v>0.8580444444444445</v>
      </c>
      <c r="J30" s="9">
        <f t="shared" si="3"/>
        <v>0.84142592592592591</v>
      </c>
      <c r="K30" s="9">
        <f t="shared" si="3"/>
        <v>0.85312698412698418</v>
      </c>
      <c r="L30" s="9">
        <f t="shared" si="3"/>
        <v>0.87211111111111106</v>
      </c>
      <c r="M30" s="9">
        <f t="shared" si="3"/>
        <v>0.86928395061728392</v>
      </c>
      <c r="N30" s="9">
        <f t="shared" si="3"/>
        <v>0.85118888888888888</v>
      </c>
      <c r="O30" s="9">
        <f t="shared" si="3"/>
        <v>0.80007070707070704</v>
      </c>
      <c r="P30" s="9">
        <f t="shared" si="3"/>
        <v>0.75941666666666663</v>
      </c>
    </row>
  </sheetData>
  <mergeCells count="2">
    <mergeCell ref="J4:Q8"/>
    <mergeCell ref="J10:Q15"/>
  </mergeCells>
  <conditionalFormatting sqref="C3">
    <cfRule type="expression" dxfId="143" priority="2">
      <formula>S4&lt;S6</formula>
    </cfRule>
  </conditionalFormatting>
  <conditionalFormatting sqref="C4">
    <cfRule type="expression" dxfId="142" priority="1">
      <formula>AND(S4&gt;=S6,S4&lt;S5)</formula>
    </cfRule>
  </conditionalFormatting>
  <conditionalFormatting sqref="C5">
    <cfRule type="expression" dxfId="141" priority="3">
      <formula>S4&gt;=S5</formula>
    </cfRule>
  </conditionalFormatting>
  <hyperlinks>
    <hyperlink ref="L1" location="Dashboard!A1" display="Dashboard" xr:uid="{00000000-0004-0000-0F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668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37</v>
      </c>
      <c r="C1" s="4" t="s">
        <v>38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3152450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577170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519453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BUDGET2526!D8</f>
        <v>64130</v>
      </c>
      <c r="F19" s="5">
        <f>BUDGET2526!E8</f>
        <v>64130</v>
      </c>
      <c r="G19" s="5">
        <f>BUDGET2526!F8</f>
        <v>64130</v>
      </c>
      <c r="H19" s="5">
        <f>BUDGET2526!G8</f>
        <v>64130</v>
      </c>
      <c r="I19" s="5">
        <f>BUDGET2526!H8</f>
        <v>64130</v>
      </c>
      <c r="J19" s="5">
        <f>BUDGET2526!I8</f>
        <v>64130</v>
      </c>
      <c r="K19" s="5">
        <f>BUDGET2526!J8</f>
        <v>64130</v>
      </c>
      <c r="L19" s="5">
        <f>BUDGET2526!K8</f>
        <v>64130</v>
      </c>
      <c r="M19" s="5">
        <f>BUDGET2526!L8</f>
        <v>64130</v>
      </c>
      <c r="N19" s="5">
        <f>BUDGET2526!M8</f>
        <v>64130</v>
      </c>
      <c r="O19" s="5">
        <f>BUDGET2526!N8</f>
        <v>64130</v>
      </c>
      <c r="P19" s="5">
        <f>BUDGET2526!O8</f>
        <v>64130</v>
      </c>
      <c r="Q19" s="5">
        <f>SUM(E19:P19)</f>
        <v>769560</v>
      </c>
    </row>
    <row r="20" spans="3:17" x14ac:dyDescent="0.35">
      <c r="D20" s="3" t="str">
        <f>'KPI 1'!D20</f>
        <v>ACTUAL2025/26</v>
      </c>
      <c r="E20" s="5">
        <f>ACTUAL2122!D9</f>
        <v>331100</v>
      </c>
      <c r="F20" s="5">
        <f>ACTUAL2122!E9</f>
        <v>336400</v>
      </c>
      <c r="G20" s="5">
        <f>ACTUAL2122!F9</f>
        <v>340300</v>
      </c>
      <c r="H20" s="5">
        <f>ACTUAL2122!G9</f>
        <v>343400</v>
      </c>
      <c r="I20" s="5">
        <f>ACTUAL2122!H9</f>
        <v>349350</v>
      </c>
      <c r="J20" s="5">
        <f>ACTUAL2122!I9</f>
        <v>355250</v>
      </c>
      <c r="K20" s="5">
        <f>ACTUAL2122!J9</f>
        <v>361150</v>
      </c>
      <c r="L20" s="5">
        <f>ACTUAL2122!K9</f>
        <v>365900</v>
      </c>
      <c r="M20" s="5">
        <f>ACTUAL2122!L9</f>
        <v>369600</v>
      </c>
      <c r="N20" s="5">
        <f>ACTUAL2122!M9</f>
        <v>380850</v>
      </c>
      <c r="O20" s="5">
        <f>ACTUAL2122!N9</f>
        <v>383800</v>
      </c>
      <c r="P20" s="5">
        <f>ACTUAL2122!O9</f>
        <v>387050</v>
      </c>
      <c r="Q20" s="5">
        <f t="shared" ref="Q20:Q21" si="0">SUM(E20:P20)</f>
        <v>4304150</v>
      </c>
    </row>
    <row r="21" spans="3:17" x14ac:dyDescent="0.35">
      <c r="D21" s="3" t="str">
        <f>'KPI 1'!D21</f>
        <v>ACTUAL2024/25</v>
      </c>
      <c r="E21" s="5">
        <f>ACTUAL2021!D8</f>
        <v>0</v>
      </c>
      <c r="F21" s="5">
        <f>ACTUAL2021!E8</f>
        <v>0</v>
      </c>
      <c r="G21" s="5">
        <f>ACTUAL2021!F8</f>
        <v>0</v>
      </c>
      <c r="H21" s="5">
        <f>ACTUAL2021!G8</f>
        <v>0</v>
      </c>
      <c r="I21" s="5">
        <f>ACTUAL2021!H8</f>
        <v>0</v>
      </c>
      <c r="J21" s="5">
        <f>ACTUAL2021!I8</f>
        <v>0</v>
      </c>
      <c r="K21" s="5">
        <f>ACTUAL2021!J8</f>
        <v>0</v>
      </c>
      <c r="L21" s="5">
        <f>ACTUAL2021!K8</f>
        <v>0</v>
      </c>
      <c r="M21" s="5">
        <f>ACTUAL2021!L8</f>
        <v>0</v>
      </c>
      <c r="N21" s="5">
        <f>ACTUAL2021!M8</f>
        <v>0</v>
      </c>
      <c r="O21" s="5">
        <f>ACTUAL2021!N8</f>
        <v>0</v>
      </c>
      <c r="P21" s="5">
        <f>ACTUAL2021!O8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266970</v>
      </c>
      <c r="F22" s="5">
        <f t="shared" si="1"/>
        <v>272270</v>
      </c>
      <c r="G22" s="5">
        <f t="shared" si="1"/>
        <v>276170</v>
      </c>
      <c r="H22" s="5">
        <f t="shared" si="1"/>
        <v>279270</v>
      </c>
      <c r="I22" s="5">
        <f t="shared" si="1"/>
        <v>285220</v>
      </c>
      <c r="J22" s="5">
        <f t="shared" si="1"/>
        <v>291120</v>
      </c>
      <c r="K22" s="5">
        <f t="shared" si="1"/>
        <v>297020</v>
      </c>
      <c r="L22" s="5">
        <f t="shared" si="1"/>
        <v>301770</v>
      </c>
      <c r="M22" s="5">
        <f t="shared" si="1"/>
        <v>305470</v>
      </c>
      <c r="N22" s="5">
        <f t="shared" si="1"/>
        <v>316720</v>
      </c>
      <c r="O22" s="5">
        <f t="shared" si="1"/>
        <v>319670</v>
      </c>
      <c r="P22" s="5">
        <f t="shared" si="1"/>
        <v>322920</v>
      </c>
      <c r="Q22" s="5">
        <f>SUM(E22:P22)</f>
        <v>3534590</v>
      </c>
    </row>
    <row r="23" spans="3:17" x14ac:dyDescent="0.35">
      <c r="D23" s="3" t="str">
        <f>'KPI 1'!D23</f>
        <v>%REALISATION</v>
      </c>
      <c r="E23" s="9">
        <f>E21/E19</f>
        <v>0</v>
      </c>
      <c r="F23" s="9">
        <f t="shared" ref="F23:P23" si="2">F20/F19</f>
        <v>5.2455948853890533</v>
      </c>
      <c r="G23" s="9">
        <f t="shared" si="2"/>
        <v>5.3064088570091998</v>
      </c>
      <c r="H23" s="9">
        <f t="shared" si="2"/>
        <v>5.3547481677841882</v>
      </c>
      <c r="I23" s="9">
        <f t="shared" si="2"/>
        <v>5.4475284578200531</v>
      </c>
      <c r="J23" s="9">
        <f t="shared" si="2"/>
        <v>5.5395290815530949</v>
      </c>
      <c r="K23" s="9">
        <f t="shared" si="2"/>
        <v>5.6315297052861375</v>
      </c>
      <c r="L23" s="9">
        <f t="shared" si="2"/>
        <v>5.7055980040542646</v>
      </c>
      <c r="M23" s="9">
        <f t="shared" si="2"/>
        <v>5.7632933104631219</v>
      </c>
      <c r="N23" s="9">
        <f t="shared" si="2"/>
        <v>5.9387182285981597</v>
      </c>
      <c r="O23" s="9">
        <f t="shared" si="2"/>
        <v>5.984718540464681</v>
      </c>
      <c r="P23" s="9">
        <f t="shared" si="2"/>
        <v>6.0353968501481363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64130</v>
      </c>
      <c r="F26" s="5">
        <f>SUM($E19:F19)</f>
        <v>128260</v>
      </c>
      <c r="G26" s="5">
        <f>SUM($E19:G19)</f>
        <v>192390</v>
      </c>
      <c r="H26" s="5">
        <f>SUM($E19:H19)</f>
        <v>256520</v>
      </c>
      <c r="I26" s="5">
        <f>SUM($E19:I19)</f>
        <v>320650</v>
      </c>
      <c r="J26" s="5">
        <f>SUM($E19:J19)</f>
        <v>384780</v>
      </c>
      <c r="K26" s="5">
        <f>SUM($E19:K19)</f>
        <v>448910</v>
      </c>
      <c r="L26" s="5">
        <f>SUM($E19:L19)</f>
        <v>513040</v>
      </c>
      <c r="M26" s="5">
        <f>SUM($E19:M19)</f>
        <v>577170</v>
      </c>
      <c r="N26" s="5">
        <f>SUM($E19:N19)</f>
        <v>641300</v>
      </c>
      <c r="O26" s="5">
        <f>SUM($E19:O19)</f>
        <v>705430</v>
      </c>
      <c r="P26" s="5">
        <f>SUM($E19:P19)</f>
        <v>769560</v>
      </c>
    </row>
    <row r="27" spans="3:17" x14ac:dyDescent="0.35">
      <c r="D27" s="3" t="str">
        <f>'KPI 1'!D27</f>
        <v>ACTUAL2025/26</v>
      </c>
      <c r="E27" s="5">
        <f>SUM($E20:E20)</f>
        <v>331100</v>
      </c>
      <c r="F27" s="5">
        <f>SUM($E20:F20)</f>
        <v>667500</v>
      </c>
      <c r="G27" s="5">
        <f>SUM($E20:G20)</f>
        <v>1007800</v>
      </c>
      <c r="H27" s="5">
        <f>SUM($E20:H20)</f>
        <v>1351200</v>
      </c>
      <c r="I27" s="5">
        <f>SUM($E20:I20)</f>
        <v>1700550</v>
      </c>
      <c r="J27" s="5">
        <f>SUM($E20:J20)</f>
        <v>2055800</v>
      </c>
      <c r="K27" s="5">
        <f>SUM($E20:K20)</f>
        <v>2416950</v>
      </c>
      <c r="L27" s="5">
        <f>SUM($E20:L20)</f>
        <v>2782850</v>
      </c>
      <c r="M27" s="5">
        <f>SUM($E20:M20)</f>
        <v>3152450</v>
      </c>
      <c r="N27" s="5">
        <f>SUM($E20:N20)</f>
        <v>3533300</v>
      </c>
      <c r="O27" s="5">
        <f>SUM($E20:O20)</f>
        <v>3917100</v>
      </c>
      <c r="P27" s="5">
        <f>SUM($E20:P20)</f>
        <v>4304150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266970</v>
      </c>
      <c r="F29" s="5">
        <f>SUM($E22:F22)</f>
        <v>539240</v>
      </c>
      <c r="G29" s="5">
        <f>SUM($E22:G22)</f>
        <v>815410</v>
      </c>
      <c r="H29" s="5">
        <f>SUM($E22:H22)</f>
        <v>1094680</v>
      </c>
      <c r="I29" s="5">
        <f>SUM($E22:I22)</f>
        <v>1379900</v>
      </c>
      <c r="J29" s="5">
        <f>SUM($E22:J22)</f>
        <v>1671020</v>
      </c>
      <c r="K29" s="5">
        <f>SUM($E22:K22)</f>
        <v>1968040</v>
      </c>
      <c r="L29" s="5">
        <f>SUM($E22:L22)</f>
        <v>2269810</v>
      </c>
      <c r="M29" s="5">
        <f>SUM($E22:M22)</f>
        <v>2575280</v>
      </c>
      <c r="N29" s="5">
        <f>SUM($E22:N22)</f>
        <v>2892000</v>
      </c>
      <c r="O29" s="5">
        <f>SUM($E22:O22)</f>
        <v>3211670</v>
      </c>
      <c r="P29" s="5">
        <f>SUM($E22:P22)</f>
        <v>3534590</v>
      </c>
    </row>
    <row r="30" spans="3:17" x14ac:dyDescent="0.35">
      <c r="D30" s="3" t="str">
        <f>'KPI 1'!D30</f>
        <v>%REALISATION</v>
      </c>
      <c r="E30" s="9">
        <f>E28/E26</f>
        <v>0</v>
      </c>
      <c r="F30" s="9">
        <f t="shared" ref="F30:P30" si="3">F27/F26</f>
        <v>5.2042725713394669</v>
      </c>
      <c r="G30" s="9">
        <f t="shared" si="3"/>
        <v>5.2383179998960445</v>
      </c>
      <c r="H30" s="9">
        <f t="shared" si="3"/>
        <v>5.2674255418680804</v>
      </c>
      <c r="I30" s="9">
        <f t="shared" si="3"/>
        <v>5.3034461250584748</v>
      </c>
      <c r="J30" s="9">
        <f t="shared" si="3"/>
        <v>5.3427932844742454</v>
      </c>
      <c r="K30" s="9">
        <f t="shared" si="3"/>
        <v>5.38404134459023</v>
      </c>
      <c r="L30" s="9">
        <f t="shared" si="3"/>
        <v>5.4242359270232336</v>
      </c>
      <c r="M30" s="9">
        <f t="shared" si="3"/>
        <v>5.4619089696276664</v>
      </c>
      <c r="N30" s="9">
        <f t="shared" si="3"/>
        <v>5.5095898955247158</v>
      </c>
      <c r="O30" s="9">
        <f t="shared" si="3"/>
        <v>5.5527834087010763</v>
      </c>
      <c r="P30" s="9">
        <f t="shared" si="3"/>
        <v>5.5930011954883314</v>
      </c>
    </row>
  </sheetData>
  <mergeCells count="2">
    <mergeCell ref="J4:Q8"/>
    <mergeCell ref="J10:Q15"/>
  </mergeCells>
  <conditionalFormatting sqref="C3">
    <cfRule type="expression" dxfId="140" priority="2">
      <formula>S4&lt;S6</formula>
    </cfRule>
  </conditionalFormatting>
  <conditionalFormatting sqref="C4">
    <cfRule type="expression" dxfId="139" priority="1">
      <formula>AND(S4&gt;=S6,S4&lt;S5)</formula>
    </cfRule>
  </conditionalFormatting>
  <conditionalFormatting sqref="C5">
    <cfRule type="expression" dxfId="138" priority="3">
      <formula>S4&gt;=S5</formula>
    </cfRule>
  </conditionalFormatting>
  <hyperlinks>
    <hyperlink ref="L1" location="Dashboard!A1" display="Dashboard" xr:uid="{00000000-0004-0000-10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771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39</v>
      </c>
      <c r="C1" s="4" t="s">
        <v>42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1864500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BUDGET2526!D9</f>
        <v>0</v>
      </c>
      <c r="F19" s="5">
        <f>BUDGET2526!E9</f>
        <v>0</v>
      </c>
      <c r="G19" s="5">
        <f>BUDGET2526!F9</f>
        <v>0</v>
      </c>
      <c r="H19" s="5">
        <f>BUDGET2526!G9</f>
        <v>0</v>
      </c>
      <c r="I19" s="5">
        <f>BUDGET2526!H9</f>
        <v>0</v>
      </c>
      <c r="J19" s="5">
        <f>BUDGET2526!I9</f>
        <v>0</v>
      </c>
      <c r="K19" s="5">
        <f>BUDGET2526!J9</f>
        <v>0</v>
      </c>
      <c r="L19" s="5">
        <f>BUDGET2526!K9</f>
        <v>0</v>
      </c>
      <c r="M19" s="5">
        <f>BUDGET2526!L9</f>
        <v>0</v>
      </c>
      <c r="N19" s="5">
        <f>BUDGET2526!M9</f>
        <v>0</v>
      </c>
      <c r="O19" s="5">
        <f>BUDGET2526!N9</f>
        <v>0</v>
      </c>
      <c r="P19" s="5">
        <f>BUDGET2526!O9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ACTUAL2122!D10</f>
        <v>120000</v>
      </c>
      <c r="F20" s="5">
        <f>ACTUAL2122!E10</f>
        <v>108000</v>
      </c>
      <c r="G20" s="5">
        <f>ACTUAL2122!F10</f>
        <v>164000</v>
      </c>
      <c r="H20" s="5">
        <f>ACTUAL2122!G10</f>
        <v>334500</v>
      </c>
      <c r="I20" s="5">
        <f>ACTUAL2122!H10</f>
        <v>192000</v>
      </c>
      <c r="J20" s="5">
        <f>ACTUAL2122!I10</f>
        <v>234000</v>
      </c>
      <c r="K20" s="5">
        <f>ACTUAL2122!J10</f>
        <v>128500</v>
      </c>
      <c r="L20" s="5">
        <f>ACTUAL2122!K10</f>
        <v>264500</v>
      </c>
      <c r="M20" s="5">
        <f>ACTUAL2122!L10</f>
        <v>319000</v>
      </c>
      <c r="N20" s="5">
        <f>ACTUAL2122!M10</f>
        <v>202000</v>
      </c>
      <c r="O20" s="5">
        <f>ACTUAL2122!N10</f>
        <v>143500</v>
      </c>
      <c r="P20" s="5">
        <f>ACTUAL2122!O10</f>
        <v>310000</v>
      </c>
      <c r="Q20" s="5">
        <f t="shared" ref="Q20:Q21" si="0">SUM(E20:P20)</f>
        <v>2520000</v>
      </c>
    </row>
    <row r="21" spans="3:17" x14ac:dyDescent="0.35">
      <c r="D21" s="3" t="str">
        <f>'KPI 1'!D21</f>
        <v>ACTUAL2024/25</v>
      </c>
      <c r="E21" s="5">
        <f>ACTUAL2021!D9</f>
        <v>0</v>
      </c>
      <c r="F21" s="5">
        <f>ACTUAL2021!E9</f>
        <v>0</v>
      </c>
      <c r="G21" s="5">
        <f>ACTUAL2021!F9</f>
        <v>0</v>
      </c>
      <c r="H21" s="5">
        <f>ACTUAL2021!G9</f>
        <v>0</v>
      </c>
      <c r="I21" s="5">
        <f>ACTUAL2021!H9</f>
        <v>0</v>
      </c>
      <c r="J21" s="5">
        <f>ACTUAL2021!I9</f>
        <v>0</v>
      </c>
      <c r="K21" s="5">
        <f>ACTUAL2021!J9</f>
        <v>0</v>
      </c>
      <c r="L21" s="5">
        <f>ACTUAL2021!K9</f>
        <v>0</v>
      </c>
      <c r="M21" s="5">
        <f>ACTUAL2021!L9</f>
        <v>0</v>
      </c>
      <c r="N21" s="5">
        <f>ACTUAL2021!M9</f>
        <v>0</v>
      </c>
      <c r="O21" s="5">
        <f>ACTUAL2021!N9</f>
        <v>0</v>
      </c>
      <c r="P21" s="5">
        <f>ACTUAL2021!O9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120000</v>
      </c>
      <c r="F22" s="5">
        <f t="shared" si="1"/>
        <v>108000</v>
      </c>
      <c r="G22" s="5">
        <f t="shared" si="1"/>
        <v>164000</v>
      </c>
      <c r="H22" s="5">
        <f t="shared" si="1"/>
        <v>334500</v>
      </c>
      <c r="I22" s="5">
        <f t="shared" si="1"/>
        <v>192000</v>
      </c>
      <c r="J22" s="5">
        <f t="shared" si="1"/>
        <v>234000</v>
      </c>
      <c r="K22" s="5">
        <f t="shared" si="1"/>
        <v>128500</v>
      </c>
      <c r="L22" s="5">
        <f t="shared" si="1"/>
        <v>264500</v>
      </c>
      <c r="M22" s="5">
        <f t="shared" si="1"/>
        <v>319000</v>
      </c>
      <c r="N22" s="5">
        <f t="shared" si="1"/>
        <v>202000</v>
      </c>
      <c r="O22" s="5">
        <f t="shared" si="1"/>
        <v>143500</v>
      </c>
      <c r="P22" s="5">
        <f t="shared" si="1"/>
        <v>310000</v>
      </c>
      <c r="Q22" s="5">
        <f>SUM(E22:P22)</f>
        <v>2520000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120000</v>
      </c>
      <c r="F27" s="5">
        <f>SUM($E20:F20)</f>
        <v>228000</v>
      </c>
      <c r="G27" s="5">
        <f>SUM($E20:G20)</f>
        <v>392000</v>
      </c>
      <c r="H27" s="5">
        <f>SUM($E20:H20)</f>
        <v>726500</v>
      </c>
      <c r="I27" s="5">
        <f>SUM($E20:I20)</f>
        <v>918500</v>
      </c>
      <c r="J27" s="5">
        <f>SUM($E20:J20)</f>
        <v>1152500</v>
      </c>
      <c r="K27" s="5">
        <f>SUM($E20:K20)</f>
        <v>1281000</v>
      </c>
      <c r="L27" s="5">
        <f>SUM($E20:L20)</f>
        <v>1545500</v>
      </c>
      <c r="M27" s="5">
        <f>SUM($E20:M20)</f>
        <v>1864500</v>
      </c>
      <c r="N27" s="5">
        <f>SUM($E20:N20)</f>
        <v>2066500</v>
      </c>
      <c r="O27" s="5">
        <f>SUM($E20:O20)</f>
        <v>2210000</v>
      </c>
      <c r="P27" s="5">
        <f>SUM($E20:P20)</f>
        <v>2520000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120000</v>
      </c>
      <c r="F29" s="5">
        <f>SUM($E22:F22)</f>
        <v>228000</v>
      </c>
      <c r="G29" s="5">
        <f>SUM($E22:G22)</f>
        <v>392000</v>
      </c>
      <c r="H29" s="5">
        <f>SUM($E22:H22)</f>
        <v>726500</v>
      </c>
      <c r="I29" s="5">
        <f>SUM($E22:I22)</f>
        <v>918500</v>
      </c>
      <c r="J29" s="5">
        <f>SUM($E22:J22)</f>
        <v>1152500</v>
      </c>
      <c r="K29" s="5">
        <f>SUM($E22:K22)</f>
        <v>1281000</v>
      </c>
      <c r="L29" s="5">
        <f>SUM($E22:L22)</f>
        <v>1545500</v>
      </c>
      <c r="M29" s="5">
        <f>SUM($E22:M22)</f>
        <v>1864500</v>
      </c>
      <c r="N29" s="5">
        <f>SUM($E22:N22)</f>
        <v>2066500</v>
      </c>
      <c r="O29" s="5">
        <f>SUM($E22:O22)</f>
        <v>2210000</v>
      </c>
      <c r="P29" s="5">
        <f>SUM($E22:P22)</f>
        <v>2520000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137" priority="2">
      <formula>S4&lt;S6</formula>
    </cfRule>
  </conditionalFormatting>
  <conditionalFormatting sqref="C4">
    <cfRule type="expression" dxfId="136" priority="1">
      <formula>AND(S4&gt;=S6,S4&lt;S5)</formula>
    </cfRule>
  </conditionalFormatting>
  <conditionalFormatting sqref="C5">
    <cfRule type="expression" dxfId="135" priority="3">
      <formula>S4&gt;=S5</formula>
    </cfRule>
  </conditionalFormatting>
  <hyperlinks>
    <hyperlink ref="L1" location="Dashboard!A1" display="Dashboard" xr:uid="{00000000-0004-0000-11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873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40</v>
      </c>
      <c r="C1" s="4" t="s">
        <v>28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797000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4500000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4050000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BUDGET2526!D11</f>
        <v>455000</v>
      </c>
      <c r="F19" s="5">
        <f>BUDGET2526!E11</f>
        <v>407500</v>
      </c>
      <c r="G19" s="5">
        <f>BUDGET2526!F11</f>
        <v>412500</v>
      </c>
      <c r="H19" s="5">
        <f>BUDGET2526!G11</f>
        <v>587500</v>
      </c>
      <c r="I19" s="5">
        <f>BUDGET2526!H11</f>
        <v>562500</v>
      </c>
      <c r="J19" s="5">
        <f>BUDGET2526!I11</f>
        <v>537500</v>
      </c>
      <c r="K19" s="5">
        <f>BUDGET2526!J11</f>
        <v>550000</v>
      </c>
      <c r="L19" s="5">
        <f>BUDGET2526!K11</f>
        <v>512500</v>
      </c>
      <c r="M19" s="5">
        <f>BUDGET2526!L11</f>
        <v>475000</v>
      </c>
      <c r="N19" s="5">
        <f>BUDGET2526!M11</f>
        <v>425000</v>
      </c>
      <c r="O19" s="5">
        <f>BUDGET2526!N11</f>
        <v>425000</v>
      </c>
      <c r="P19" s="5">
        <f>BUDGET2526!O11</f>
        <v>420000</v>
      </c>
      <c r="Q19" s="5">
        <f>SUM(E19:P19)</f>
        <v>5770000</v>
      </c>
    </row>
    <row r="20" spans="3:17" x14ac:dyDescent="0.35">
      <c r="D20" s="3" t="str">
        <f>'KPI 1'!D20</f>
        <v>ACTUAL2025/26</v>
      </c>
      <c r="E20" s="5">
        <f>ACTUAL2122!D11</f>
        <v>91500</v>
      </c>
      <c r="F20" s="5">
        <f>ACTUAL2122!E11</f>
        <v>77000</v>
      </c>
      <c r="G20" s="5">
        <f>ACTUAL2122!F11</f>
        <v>68000</v>
      </c>
      <c r="H20" s="5">
        <f>ACTUAL2122!G11</f>
        <v>65500</v>
      </c>
      <c r="I20" s="5">
        <f>ACTUAL2122!H11</f>
        <v>64000</v>
      </c>
      <c r="J20" s="5">
        <f>ACTUAL2122!I11</f>
        <v>66000</v>
      </c>
      <c r="K20" s="5">
        <f>ACTUAL2122!J11</f>
        <v>45500</v>
      </c>
      <c r="L20" s="5">
        <f>ACTUAL2122!K11</f>
        <v>40500</v>
      </c>
      <c r="M20" s="5">
        <f>ACTUAL2122!L11</f>
        <v>279000</v>
      </c>
      <c r="N20" s="5">
        <f>ACTUAL2122!M11</f>
        <v>199000</v>
      </c>
      <c r="O20" s="5">
        <f>ACTUAL2122!N11</f>
        <v>509500</v>
      </c>
      <c r="P20" s="5">
        <f>ACTUAL2122!O11</f>
        <v>457000</v>
      </c>
      <c r="Q20" s="5">
        <f t="shared" ref="Q20:Q21" si="0">SUM(E20:P20)</f>
        <v>1962500</v>
      </c>
    </row>
    <row r="21" spans="3:17" x14ac:dyDescent="0.35">
      <c r="D21" s="3" t="str">
        <f>'KPI 1'!D21</f>
        <v>ACTUAL2024/25</v>
      </c>
      <c r="E21" s="5">
        <f>ACTUAL2021!D10</f>
        <v>0</v>
      </c>
      <c r="F21" s="5">
        <f>ACTUAL2021!E10</f>
        <v>0</v>
      </c>
      <c r="G21" s="5">
        <f>ACTUAL2021!F10</f>
        <v>0</v>
      </c>
      <c r="H21" s="5">
        <f>ACTUAL2021!G10</f>
        <v>0</v>
      </c>
      <c r="I21" s="5">
        <f>ACTUAL2021!H10</f>
        <v>0</v>
      </c>
      <c r="J21" s="5">
        <f>ACTUAL2021!I10</f>
        <v>0</v>
      </c>
      <c r="K21" s="5">
        <f>ACTUAL2021!J10</f>
        <v>0</v>
      </c>
      <c r="L21" s="5">
        <f>ACTUAL2021!K10</f>
        <v>0</v>
      </c>
      <c r="M21" s="5">
        <f>ACTUAL2021!L10</f>
        <v>0</v>
      </c>
      <c r="N21" s="5">
        <f>ACTUAL2021!M10</f>
        <v>0</v>
      </c>
      <c r="O21" s="5">
        <f>ACTUAL2021!N10</f>
        <v>0</v>
      </c>
      <c r="P21" s="5">
        <f>ACTUAL2021!O10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-363500</v>
      </c>
      <c r="F22" s="5">
        <f t="shared" si="1"/>
        <v>-330500</v>
      </c>
      <c r="G22" s="5">
        <f t="shared" si="1"/>
        <v>-344500</v>
      </c>
      <c r="H22" s="5">
        <f t="shared" si="1"/>
        <v>-522000</v>
      </c>
      <c r="I22" s="5">
        <f t="shared" si="1"/>
        <v>-498500</v>
      </c>
      <c r="J22" s="5">
        <f t="shared" si="1"/>
        <v>-471500</v>
      </c>
      <c r="K22" s="5">
        <f t="shared" si="1"/>
        <v>-504500</v>
      </c>
      <c r="L22" s="5">
        <f t="shared" si="1"/>
        <v>-472000</v>
      </c>
      <c r="M22" s="5">
        <f t="shared" si="1"/>
        <v>-196000</v>
      </c>
      <c r="N22" s="5">
        <f t="shared" si="1"/>
        <v>-226000</v>
      </c>
      <c r="O22" s="5">
        <f t="shared" si="1"/>
        <v>84500</v>
      </c>
      <c r="P22" s="5">
        <f t="shared" si="1"/>
        <v>37000</v>
      </c>
      <c r="Q22" s="5">
        <f>SUM(E22:P22)</f>
        <v>-3807500</v>
      </c>
    </row>
    <row r="23" spans="3:17" x14ac:dyDescent="0.35">
      <c r="D23" s="3" t="str">
        <f>'KPI 1'!D23</f>
        <v>%REALISATION</v>
      </c>
      <c r="E23" s="9">
        <f>E21/E19</f>
        <v>0</v>
      </c>
      <c r="F23" s="9">
        <f t="shared" ref="F23:P23" si="2">F20/F19</f>
        <v>0.18895705521472392</v>
      </c>
      <c r="G23" s="9">
        <f t="shared" si="2"/>
        <v>0.16484848484848486</v>
      </c>
      <c r="H23" s="9">
        <f t="shared" si="2"/>
        <v>0.11148936170212766</v>
      </c>
      <c r="I23" s="9">
        <f t="shared" si="2"/>
        <v>0.11377777777777778</v>
      </c>
      <c r="J23" s="9">
        <f t="shared" si="2"/>
        <v>0.12279069767441861</v>
      </c>
      <c r="K23" s="9">
        <f t="shared" si="2"/>
        <v>8.2727272727272733E-2</v>
      </c>
      <c r="L23" s="9">
        <f t="shared" si="2"/>
        <v>7.902439024390244E-2</v>
      </c>
      <c r="M23" s="9">
        <f t="shared" si="2"/>
        <v>0.58736842105263154</v>
      </c>
      <c r="N23" s="9">
        <f t="shared" si="2"/>
        <v>0.46823529411764708</v>
      </c>
      <c r="O23" s="9">
        <f t="shared" si="2"/>
        <v>1.1988235294117646</v>
      </c>
      <c r="P23" s="9">
        <f t="shared" si="2"/>
        <v>1.088095238095238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455000</v>
      </c>
      <c r="F26" s="5">
        <f>SUM($E19:F19)</f>
        <v>862500</v>
      </c>
      <c r="G26" s="5">
        <f>SUM($E19:G19)</f>
        <v>1275000</v>
      </c>
      <c r="H26" s="5">
        <f>SUM($E19:H19)</f>
        <v>1862500</v>
      </c>
      <c r="I26" s="5">
        <f>SUM($E19:I19)</f>
        <v>2425000</v>
      </c>
      <c r="J26" s="5">
        <f>SUM($E19:J19)</f>
        <v>2962500</v>
      </c>
      <c r="K26" s="5">
        <f>SUM($E19:K19)</f>
        <v>3512500</v>
      </c>
      <c r="L26" s="5">
        <f>SUM($E19:L19)</f>
        <v>4025000</v>
      </c>
      <c r="M26" s="5">
        <f>SUM($E19:M19)</f>
        <v>4500000</v>
      </c>
      <c r="N26" s="5">
        <f>SUM($E19:N19)</f>
        <v>4925000</v>
      </c>
      <c r="O26" s="5">
        <f>SUM($E19:O19)</f>
        <v>5350000</v>
      </c>
      <c r="P26" s="5">
        <f>SUM($E19:P19)</f>
        <v>5770000</v>
      </c>
    </row>
    <row r="27" spans="3:17" x14ac:dyDescent="0.35">
      <c r="D27" s="3" t="str">
        <f>'KPI 1'!D27</f>
        <v>ACTUAL2025/26</v>
      </c>
      <c r="E27" s="5">
        <f>SUM($E20:E20)</f>
        <v>91500</v>
      </c>
      <c r="F27" s="5">
        <f>SUM($E20:F20)</f>
        <v>168500</v>
      </c>
      <c r="G27" s="5">
        <f>SUM($E20:G20)</f>
        <v>236500</v>
      </c>
      <c r="H27" s="5">
        <f>SUM($E20:H20)</f>
        <v>302000</v>
      </c>
      <c r="I27" s="5">
        <f>SUM($E20:I20)</f>
        <v>366000</v>
      </c>
      <c r="J27" s="5">
        <f>SUM($E20:J20)</f>
        <v>432000</v>
      </c>
      <c r="K27" s="5">
        <f>SUM($E20:K20)</f>
        <v>477500</v>
      </c>
      <c r="L27" s="5">
        <f>SUM($E20:L20)</f>
        <v>518000</v>
      </c>
      <c r="M27" s="5">
        <f>SUM($E20:M20)</f>
        <v>797000</v>
      </c>
      <c r="N27" s="5">
        <f>SUM($E20:N20)</f>
        <v>996000</v>
      </c>
      <c r="O27" s="5">
        <f>SUM($E20:O20)</f>
        <v>1505500</v>
      </c>
      <c r="P27" s="5">
        <f>SUM($E20:P20)</f>
        <v>1962500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-363500</v>
      </c>
      <c r="F29" s="5">
        <f>SUM($E22:F22)</f>
        <v>-694000</v>
      </c>
      <c r="G29" s="5">
        <f>SUM($E22:G22)</f>
        <v>-1038500</v>
      </c>
      <c r="H29" s="5">
        <f>SUM($E22:H22)</f>
        <v>-1560500</v>
      </c>
      <c r="I29" s="5">
        <f>SUM($E22:I22)</f>
        <v>-2059000</v>
      </c>
      <c r="J29" s="5">
        <f>SUM($E22:J22)</f>
        <v>-2530500</v>
      </c>
      <c r="K29" s="5">
        <f>SUM($E22:K22)</f>
        <v>-3035000</v>
      </c>
      <c r="L29" s="5">
        <f>SUM($E22:L22)</f>
        <v>-3507000</v>
      </c>
      <c r="M29" s="5">
        <f>SUM($E22:M22)</f>
        <v>-3703000</v>
      </c>
      <c r="N29" s="5">
        <f>SUM($E22:N22)</f>
        <v>-3929000</v>
      </c>
      <c r="O29" s="5">
        <f>SUM($E22:O22)</f>
        <v>-3844500</v>
      </c>
      <c r="P29" s="5">
        <f>SUM($E22:P22)</f>
        <v>-3807500</v>
      </c>
    </row>
    <row r="30" spans="3:17" x14ac:dyDescent="0.35">
      <c r="D30" s="3" t="str">
        <f>'KPI 1'!D30</f>
        <v>%REALISATION</v>
      </c>
      <c r="E30" s="9">
        <f>E28/E26</f>
        <v>0</v>
      </c>
      <c r="F30" s="9">
        <f t="shared" ref="F30:P30" si="3">F27/F26</f>
        <v>0.19536231884057972</v>
      </c>
      <c r="G30" s="9">
        <f t="shared" si="3"/>
        <v>0.18549019607843137</v>
      </c>
      <c r="H30" s="9">
        <f t="shared" si="3"/>
        <v>0.16214765100671141</v>
      </c>
      <c r="I30" s="9">
        <f t="shared" si="3"/>
        <v>0.15092783505154639</v>
      </c>
      <c r="J30" s="9">
        <f t="shared" si="3"/>
        <v>0.14582278481012659</v>
      </c>
      <c r="K30" s="9">
        <f t="shared" si="3"/>
        <v>0.13594306049822064</v>
      </c>
      <c r="L30" s="9">
        <f t="shared" si="3"/>
        <v>0.12869565217391304</v>
      </c>
      <c r="M30" s="9">
        <f t="shared" si="3"/>
        <v>0.17711111111111111</v>
      </c>
      <c r="N30" s="9">
        <f t="shared" si="3"/>
        <v>0.20223350253807107</v>
      </c>
      <c r="O30" s="9">
        <f t="shared" si="3"/>
        <v>0.28140186915887849</v>
      </c>
      <c r="P30" s="9">
        <f t="shared" si="3"/>
        <v>0.34012131715771232</v>
      </c>
    </row>
  </sheetData>
  <mergeCells count="2">
    <mergeCell ref="J4:Q8"/>
    <mergeCell ref="J10:Q15"/>
  </mergeCells>
  <conditionalFormatting sqref="C3">
    <cfRule type="expression" dxfId="134" priority="2">
      <formula>S4&lt;S6</formula>
    </cfRule>
  </conditionalFormatting>
  <conditionalFormatting sqref="C4">
    <cfRule type="expression" dxfId="133" priority="1">
      <formula>AND(S4&gt;=S6,S4&lt;S5)</formula>
    </cfRule>
  </conditionalFormatting>
  <conditionalFormatting sqref="C5">
    <cfRule type="expression" dxfId="132" priority="3">
      <formula>S4&gt;=S5</formula>
    </cfRule>
  </conditionalFormatting>
  <hyperlinks>
    <hyperlink ref="L1" location="Dashboard!A1" display="Dashboard" xr:uid="{00000000-0004-0000-12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283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41</v>
      </c>
      <c r="C1" s="4" t="s">
        <v>33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886571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5242500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4718250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BUDGET2526!D13</f>
        <v>582500</v>
      </c>
      <c r="F19" s="5">
        <f>BUDGET2526!E13</f>
        <v>582500</v>
      </c>
      <c r="G19" s="5">
        <f>BUDGET2526!F13</f>
        <v>582500</v>
      </c>
      <c r="H19" s="5">
        <f>BUDGET2526!G13</f>
        <v>582500</v>
      </c>
      <c r="I19" s="5">
        <f>BUDGET2526!H13</f>
        <v>582500</v>
      </c>
      <c r="J19" s="5">
        <f>BUDGET2526!I13</f>
        <v>582500</v>
      </c>
      <c r="K19" s="5">
        <f>BUDGET2526!J13</f>
        <v>582500</v>
      </c>
      <c r="L19" s="5">
        <f>BUDGET2526!K13</f>
        <v>582500</v>
      </c>
      <c r="M19" s="5">
        <f>BUDGET2526!L13</f>
        <v>582500</v>
      </c>
      <c r="N19" s="5">
        <f>BUDGET2526!M13</f>
        <v>582500</v>
      </c>
      <c r="O19" s="5">
        <f>BUDGET2526!N13</f>
        <v>582500</v>
      </c>
      <c r="P19" s="5">
        <f>BUDGET2526!O13</f>
        <v>582500</v>
      </c>
      <c r="Q19" s="5">
        <f>SUM(E19:P19)</f>
        <v>6990000</v>
      </c>
    </row>
    <row r="20" spans="3:17" x14ac:dyDescent="0.35">
      <c r="D20" s="3" t="str">
        <f>'KPI 1'!D20</f>
        <v>ACTUAL2025/26</v>
      </c>
      <c r="E20" s="5">
        <f>ACTUAL2122!D13</f>
        <v>178060</v>
      </c>
      <c r="F20" s="5">
        <f>ACTUAL2122!E13</f>
        <v>147985</v>
      </c>
      <c r="G20" s="5">
        <f>ACTUAL2122!F13</f>
        <v>169420</v>
      </c>
      <c r="H20" s="5">
        <f>ACTUAL2122!G13</f>
        <v>76210</v>
      </c>
      <c r="I20" s="5">
        <f>ACTUAL2122!H13</f>
        <v>8000</v>
      </c>
      <c r="J20" s="5">
        <f>ACTUAL2122!I13</f>
        <v>17495</v>
      </c>
      <c r="K20" s="5">
        <f>ACTUAL2122!J13</f>
        <v>16000</v>
      </c>
      <c r="L20" s="5">
        <f>ACTUAL2122!K13</f>
        <v>39884</v>
      </c>
      <c r="M20" s="5">
        <f>ACTUAL2122!L13</f>
        <v>233517</v>
      </c>
      <c r="N20" s="5">
        <f>ACTUAL2122!M13</f>
        <v>12000</v>
      </c>
      <c r="O20" s="5">
        <f>ACTUAL2122!N13</f>
        <v>8400</v>
      </c>
      <c r="P20" s="5">
        <f>ACTUAL2122!O13</f>
        <v>0</v>
      </c>
      <c r="Q20" s="5">
        <f t="shared" ref="Q20:Q21" si="0">SUM(E20:P20)</f>
        <v>906971</v>
      </c>
    </row>
    <row r="21" spans="3:17" x14ac:dyDescent="0.35">
      <c r="D21" s="3" t="str">
        <f>'KPI 1'!D21</f>
        <v>ACTUAL2024/25</v>
      </c>
      <c r="E21" s="5">
        <f>ACTUAL2021!D12</f>
        <v>0</v>
      </c>
      <c r="F21" s="5">
        <f>ACTUAL2021!E12</f>
        <v>0</v>
      </c>
      <c r="G21" s="5">
        <f>ACTUAL2021!F12</f>
        <v>0</v>
      </c>
      <c r="H21" s="5">
        <f>ACTUAL2021!G12</f>
        <v>0</v>
      </c>
      <c r="I21" s="5">
        <f>ACTUAL2021!H12</f>
        <v>0</v>
      </c>
      <c r="J21" s="5">
        <f>ACTUAL2021!I12</f>
        <v>0</v>
      </c>
      <c r="K21" s="5">
        <f>ACTUAL2021!J12</f>
        <v>0</v>
      </c>
      <c r="L21" s="5">
        <f>ACTUAL2021!K12</f>
        <v>0</v>
      </c>
      <c r="M21" s="5">
        <f>ACTUAL2021!L12</f>
        <v>0</v>
      </c>
      <c r="N21" s="5">
        <f>ACTUAL2021!M12</f>
        <v>0</v>
      </c>
      <c r="O21" s="5">
        <f>ACTUAL2021!N12</f>
        <v>0</v>
      </c>
      <c r="P21" s="5">
        <f>ACTUAL2021!O12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-404440</v>
      </c>
      <c r="F22" s="5">
        <f t="shared" si="1"/>
        <v>-434515</v>
      </c>
      <c r="G22" s="5">
        <f t="shared" si="1"/>
        <v>-413080</v>
      </c>
      <c r="H22" s="5">
        <f t="shared" si="1"/>
        <v>-506290</v>
      </c>
      <c r="I22" s="5">
        <f t="shared" si="1"/>
        <v>-574500</v>
      </c>
      <c r="J22" s="5">
        <f t="shared" si="1"/>
        <v>-565005</v>
      </c>
      <c r="K22" s="5">
        <f t="shared" si="1"/>
        <v>-566500</v>
      </c>
      <c r="L22" s="5">
        <f t="shared" si="1"/>
        <v>-542616</v>
      </c>
      <c r="M22" s="5">
        <f t="shared" si="1"/>
        <v>-348983</v>
      </c>
      <c r="N22" s="5">
        <f t="shared" si="1"/>
        <v>-570500</v>
      </c>
      <c r="O22" s="5">
        <f t="shared" si="1"/>
        <v>-574100</v>
      </c>
      <c r="P22" s="5">
        <f t="shared" si="1"/>
        <v>0</v>
      </c>
      <c r="Q22" s="5">
        <f>SUM(E22:P22)</f>
        <v>-5500529</v>
      </c>
    </row>
    <row r="23" spans="3:17" x14ac:dyDescent="0.35">
      <c r="D23" s="3" t="str">
        <f>'KPI 1'!D23</f>
        <v>%REALISATION</v>
      </c>
      <c r="E23" s="9">
        <f>E21/E19</f>
        <v>0</v>
      </c>
      <c r="F23" s="9">
        <f t="shared" ref="F23:P23" si="2">F20/F19</f>
        <v>0.25405150214592276</v>
      </c>
      <c r="G23" s="9">
        <f t="shared" si="2"/>
        <v>0.29084978540772533</v>
      </c>
      <c r="H23" s="9">
        <f t="shared" si="2"/>
        <v>0.13083261802575108</v>
      </c>
      <c r="I23" s="9">
        <f t="shared" si="2"/>
        <v>1.3733905579399141E-2</v>
      </c>
      <c r="J23" s="9">
        <f t="shared" si="2"/>
        <v>3.0034334763948498E-2</v>
      </c>
      <c r="K23" s="9">
        <f t="shared" si="2"/>
        <v>2.7467811158798282E-2</v>
      </c>
      <c r="L23" s="9">
        <f t="shared" si="2"/>
        <v>6.8470386266094418E-2</v>
      </c>
      <c r="M23" s="9">
        <f t="shared" si="2"/>
        <v>0.40088755364806866</v>
      </c>
      <c r="N23" s="9">
        <f t="shared" si="2"/>
        <v>2.0600858369098713E-2</v>
      </c>
      <c r="O23" s="9">
        <f t="shared" si="2"/>
        <v>1.4420600858369098E-2</v>
      </c>
      <c r="P23" s="9">
        <f t="shared" si="2"/>
        <v>0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582500</v>
      </c>
      <c r="F26" s="5">
        <f>SUM($E19:F19)</f>
        <v>1165000</v>
      </c>
      <c r="G26" s="5">
        <f>SUM($E19:G19)</f>
        <v>1747500</v>
      </c>
      <c r="H26" s="5">
        <f>SUM($E19:H19)</f>
        <v>2330000</v>
      </c>
      <c r="I26" s="5">
        <f>SUM($E19:I19)</f>
        <v>2912500</v>
      </c>
      <c r="J26" s="5">
        <f>SUM($E19:J19)</f>
        <v>3495000</v>
      </c>
      <c r="K26" s="5">
        <f>SUM($E19:K19)</f>
        <v>4077500</v>
      </c>
      <c r="L26" s="5">
        <f>SUM($E19:L19)</f>
        <v>4660000</v>
      </c>
      <c r="M26" s="5">
        <f>SUM($E19:M19)</f>
        <v>5242500</v>
      </c>
      <c r="N26" s="5">
        <f>SUM($E19:N19)</f>
        <v>5825000</v>
      </c>
      <c r="O26" s="5">
        <f>SUM($E19:O19)</f>
        <v>6407500</v>
      </c>
      <c r="P26" s="5">
        <f>SUM($E19:P19)</f>
        <v>6990000</v>
      </c>
    </row>
    <row r="27" spans="3:17" x14ac:dyDescent="0.35">
      <c r="D27" s="3" t="str">
        <f>'KPI 1'!D27</f>
        <v>ACTUAL2025/26</v>
      </c>
      <c r="E27" s="5">
        <f>SUM($E20:E20)</f>
        <v>178060</v>
      </c>
      <c r="F27" s="5">
        <f>SUM($E20:F20)</f>
        <v>326045</v>
      </c>
      <c r="G27" s="5">
        <f>SUM($E20:G20)</f>
        <v>495465</v>
      </c>
      <c r="H27" s="5">
        <f>SUM($E20:H20)</f>
        <v>571675</v>
      </c>
      <c r="I27" s="5">
        <f>SUM($E20:I20)</f>
        <v>579675</v>
      </c>
      <c r="J27" s="5">
        <f>SUM($E20:J20)</f>
        <v>597170</v>
      </c>
      <c r="K27" s="5">
        <f>SUM($E20:K20)</f>
        <v>613170</v>
      </c>
      <c r="L27" s="5">
        <f>SUM($E20:L20)</f>
        <v>653054</v>
      </c>
      <c r="M27" s="5">
        <f>SUM($E20:M20)</f>
        <v>886571</v>
      </c>
      <c r="N27" s="5">
        <f>SUM($E20:N20)</f>
        <v>898571</v>
      </c>
      <c r="O27" s="5">
        <f>SUM($E20:O20)</f>
        <v>906971</v>
      </c>
      <c r="P27" s="5">
        <f>SUM($E20:P20)</f>
        <v>906971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-404440</v>
      </c>
      <c r="F29" s="5">
        <f>SUM($E22:F22)</f>
        <v>-838955</v>
      </c>
      <c r="G29" s="5">
        <f>SUM($E22:G22)</f>
        <v>-1252035</v>
      </c>
      <c r="H29" s="5">
        <f>SUM($E22:H22)</f>
        <v>-1758325</v>
      </c>
      <c r="I29" s="5">
        <f>SUM($E22:I22)</f>
        <v>-2332825</v>
      </c>
      <c r="J29" s="5">
        <f>SUM($E22:J22)</f>
        <v>-2897830</v>
      </c>
      <c r="K29" s="5">
        <f>SUM($E22:K22)</f>
        <v>-3464330</v>
      </c>
      <c r="L29" s="5">
        <f>SUM($E22:L22)</f>
        <v>-4006946</v>
      </c>
      <c r="M29" s="5">
        <f>SUM($E22:M22)</f>
        <v>-4355929</v>
      </c>
      <c r="N29" s="5">
        <f>SUM($E22:N22)</f>
        <v>-4926429</v>
      </c>
      <c r="O29" s="5">
        <f>SUM($E22:O22)</f>
        <v>-5500529</v>
      </c>
      <c r="P29" s="5">
        <f>SUM($E22:P22)</f>
        <v>-5500529</v>
      </c>
    </row>
    <row r="30" spans="3:17" x14ac:dyDescent="0.35">
      <c r="D30" s="3" t="str">
        <f>'KPI 1'!D30</f>
        <v>%REALISATION</v>
      </c>
      <c r="E30" s="9">
        <f>E28/E26</f>
        <v>0</v>
      </c>
      <c r="F30" s="9">
        <f t="shared" ref="F30:P30" si="3">F27/F26</f>
        <v>0.27986695278969959</v>
      </c>
      <c r="G30" s="9">
        <f t="shared" si="3"/>
        <v>0.28352789699570813</v>
      </c>
      <c r="H30" s="9">
        <f t="shared" si="3"/>
        <v>0.24535407725321889</v>
      </c>
      <c r="I30" s="9">
        <f t="shared" si="3"/>
        <v>0.19903004291845494</v>
      </c>
      <c r="J30" s="9">
        <f t="shared" si="3"/>
        <v>0.17086409155937052</v>
      </c>
      <c r="K30" s="9">
        <f t="shared" si="3"/>
        <v>0.15037890864500306</v>
      </c>
      <c r="L30" s="9">
        <f t="shared" si="3"/>
        <v>0.14014034334763947</v>
      </c>
      <c r="M30" s="9">
        <f t="shared" si="3"/>
        <v>0.16911225560324272</v>
      </c>
      <c r="N30" s="9">
        <f t="shared" si="3"/>
        <v>0.15426111587982833</v>
      </c>
      <c r="O30" s="9">
        <f t="shared" si="3"/>
        <v>0.1415483417869684</v>
      </c>
      <c r="P30" s="9">
        <f t="shared" si="3"/>
        <v>0.12975264663805436</v>
      </c>
    </row>
  </sheetData>
  <mergeCells count="2">
    <mergeCell ref="J4:Q8"/>
    <mergeCell ref="J10:Q15"/>
  </mergeCells>
  <conditionalFormatting sqref="C3">
    <cfRule type="expression" dxfId="131" priority="2">
      <formula>S4&lt;S6</formula>
    </cfRule>
  </conditionalFormatting>
  <conditionalFormatting sqref="C4">
    <cfRule type="expression" dxfId="130" priority="1">
      <formula>AND(S4&gt;=S6,S4&lt;S5)</formula>
    </cfRule>
  </conditionalFormatting>
  <conditionalFormatting sqref="C5">
    <cfRule type="expression" dxfId="129" priority="3">
      <formula>S4&gt;=S5</formula>
    </cfRule>
  </conditionalFormatting>
  <hyperlinks>
    <hyperlink ref="L1" location="Dashboard!A1" display="Dashboard" xr:uid="{00000000-0004-0000-13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385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Dashboard!A12</f>
        <v>7</v>
      </c>
      <c r="C1" s="4" t="str">
        <f>Dashboard!B12</f>
        <v>reconnection fee (water+sewer)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1335000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5242500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4718250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BUDGET2526!D13</f>
        <v>582500</v>
      </c>
      <c r="F19" s="5">
        <f>BUDGET2526!E13</f>
        <v>582500</v>
      </c>
      <c r="G19" s="5">
        <f>BUDGET2526!F13</f>
        <v>582500</v>
      </c>
      <c r="H19" s="5">
        <f>BUDGET2526!G13</f>
        <v>582500</v>
      </c>
      <c r="I19" s="5">
        <f>BUDGET2526!H13</f>
        <v>582500</v>
      </c>
      <c r="J19" s="5">
        <f>BUDGET2526!I13</f>
        <v>582500</v>
      </c>
      <c r="K19" s="5">
        <f>BUDGET2526!J13</f>
        <v>582500</v>
      </c>
      <c r="L19" s="5">
        <f>BUDGET2526!K13</f>
        <v>582500</v>
      </c>
      <c r="M19" s="5">
        <f>BUDGET2526!L13</f>
        <v>582500</v>
      </c>
      <c r="N19" s="5">
        <f>BUDGET2526!M13</f>
        <v>582500</v>
      </c>
      <c r="O19" s="5">
        <f>BUDGET2526!N13</f>
        <v>582500</v>
      </c>
      <c r="P19" s="5">
        <f>BUDGET2526!O13</f>
        <v>582500</v>
      </c>
      <c r="Q19" s="5">
        <f>SUM(E19:P19)</f>
        <v>6990000</v>
      </c>
    </row>
    <row r="20" spans="3:17" x14ac:dyDescent="0.35">
      <c r="D20" s="3" t="str">
        <f>'KPI 1'!D20</f>
        <v>ACTUAL2025/26</v>
      </c>
      <c r="E20" s="5">
        <f>'ACTUAL 2526'!E13</f>
        <v>165000</v>
      </c>
      <c r="F20" s="5">
        <f>'ACTUAL 2526'!F13</f>
        <v>261500</v>
      </c>
      <c r="G20" s="5">
        <f>'ACTUAL 2526'!G13</f>
        <v>120500</v>
      </c>
      <c r="H20" s="5">
        <f>'ACTUAL 2526'!H13</f>
        <v>67500</v>
      </c>
      <c r="I20" s="5">
        <f>'ACTUAL 2526'!I13</f>
        <v>114000</v>
      </c>
      <c r="J20" s="5">
        <f>'ACTUAL 2526'!J13</f>
        <v>101000</v>
      </c>
      <c r="K20" s="5">
        <f>'ACTUAL 2526'!K13</f>
        <v>162000</v>
      </c>
      <c r="L20" s="5">
        <f>'ACTUAL 2526'!L13</f>
        <v>186000</v>
      </c>
      <c r="M20" s="5">
        <f>'ACTUAL 2526'!M13</f>
        <v>157500</v>
      </c>
      <c r="N20" s="5">
        <f>'ACTUAL 2526'!N13</f>
        <v>0</v>
      </c>
      <c r="O20" s="5">
        <f>'ACTUAL 2526'!O13</f>
        <v>0</v>
      </c>
      <c r="P20" s="5">
        <f>'ACTUAL 2526'!P13</f>
        <v>0</v>
      </c>
      <c r="Q20" s="5">
        <f t="shared" ref="Q20:Q21" si="0">SUM(E20:P20)</f>
        <v>1335000</v>
      </c>
    </row>
    <row r="21" spans="3:17" x14ac:dyDescent="0.35">
      <c r="D21" s="3" t="str">
        <f>'KPI 1'!D21</f>
        <v>ACTUAL2024/25</v>
      </c>
      <c r="E21" s="5">
        <f>'Actual 202425'!E13</f>
        <v>714000</v>
      </c>
      <c r="F21" s="5">
        <f>'Actual 202425'!F13</f>
        <v>279000</v>
      </c>
      <c r="G21" s="5">
        <f>'Actual 202425'!G13</f>
        <v>192500</v>
      </c>
      <c r="H21" s="5">
        <f>'Actual 202425'!H13</f>
        <v>270000</v>
      </c>
      <c r="I21" s="5">
        <f>'Actual 202425'!I13</f>
        <v>176500</v>
      </c>
      <c r="J21" s="5">
        <f>'Actual 202425'!J13</f>
        <v>155000</v>
      </c>
      <c r="K21" s="5">
        <f>'Actual 202425'!K13</f>
        <v>268500</v>
      </c>
      <c r="L21" s="5">
        <f>'Actual 202425'!L13</f>
        <v>165000</v>
      </c>
      <c r="M21" s="5">
        <f>'Actual 202425'!M13</f>
        <v>243500</v>
      </c>
      <c r="N21" s="5">
        <f>'Actual 202425'!N13</f>
        <v>122500</v>
      </c>
      <c r="O21" s="5">
        <f>'Actual 202425'!O13</f>
        <v>151000</v>
      </c>
      <c r="P21" s="5">
        <f>'Actual 202425'!P13</f>
        <v>127000</v>
      </c>
      <c r="Q21" s="5">
        <f t="shared" si="0"/>
        <v>2864500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-417500</v>
      </c>
      <c r="F22" s="5">
        <f t="shared" si="1"/>
        <v>-321000</v>
      </c>
      <c r="G22" s="5">
        <f t="shared" si="1"/>
        <v>-462000</v>
      </c>
      <c r="H22" s="5">
        <f t="shared" si="1"/>
        <v>-515000</v>
      </c>
      <c r="I22" s="5">
        <f t="shared" si="1"/>
        <v>-468500</v>
      </c>
      <c r="J22" s="5">
        <f t="shared" si="1"/>
        <v>-481500</v>
      </c>
      <c r="K22" s="5">
        <f t="shared" si="1"/>
        <v>-420500</v>
      </c>
      <c r="L22" s="5">
        <f t="shared" si="1"/>
        <v>-396500</v>
      </c>
      <c r="M22" s="5">
        <f t="shared" si="1"/>
        <v>-425000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-3907500</v>
      </c>
    </row>
    <row r="23" spans="3:17" x14ac:dyDescent="0.35">
      <c r="D23" s="3" t="str">
        <f>'KPI 1'!D23</f>
        <v>%REALISATION</v>
      </c>
      <c r="E23" s="9">
        <f t="shared" ref="E23:P23" si="2">E20/E19</f>
        <v>0.2832618025751073</v>
      </c>
      <c r="F23" s="9">
        <f t="shared" si="2"/>
        <v>0.44892703862660943</v>
      </c>
      <c r="G23" s="9">
        <f t="shared" si="2"/>
        <v>0.20686695278969958</v>
      </c>
      <c r="H23" s="9">
        <f t="shared" si="2"/>
        <v>0.11587982832618025</v>
      </c>
      <c r="I23" s="9">
        <f t="shared" si="2"/>
        <v>0.19570815450643778</v>
      </c>
      <c r="J23" s="9">
        <f t="shared" si="2"/>
        <v>0.17339055793991417</v>
      </c>
      <c r="K23" s="9">
        <f t="shared" si="2"/>
        <v>0.27811158798283264</v>
      </c>
      <c r="L23" s="9">
        <f t="shared" si="2"/>
        <v>0.31931330472103003</v>
      </c>
      <c r="M23" s="9">
        <f t="shared" si="2"/>
        <v>0.27038626609442062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582500</v>
      </c>
      <c r="F26" s="5">
        <f>SUM($E19:F19)</f>
        <v>1165000</v>
      </c>
      <c r="G26" s="5">
        <f>SUM($E19:G19)</f>
        <v>1747500</v>
      </c>
      <c r="H26" s="5">
        <f>SUM($E19:H19)</f>
        <v>2330000</v>
      </c>
      <c r="I26" s="5">
        <f>SUM($E19:I19)</f>
        <v>2912500</v>
      </c>
      <c r="J26" s="5">
        <f>SUM($E19:J19)</f>
        <v>3495000</v>
      </c>
      <c r="K26" s="5">
        <f>SUM($E19:K19)</f>
        <v>4077500</v>
      </c>
      <c r="L26" s="5">
        <f>SUM($E19:L19)</f>
        <v>4660000</v>
      </c>
      <c r="M26" s="5">
        <f>SUM($E19:M19)</f>
        <v>5242500</v>
      </c>
      <c r="N26" s="5">
        <f>SUM($E19:N19)</f>
        <v>5825000</v>
      </c>
      <c r="O26" s="5">
        <f>SUM($E19:O19)</f>
        <v>6407500</v>
      </c>
      <c r="P26" s="5">
        <f>SUM($E19:P19)</f>
        <v>6990000</v>
      </c>
    </row>
    <row r="27" spans="3:17" x14ac:dyDescent="0.35">
      <c r="D27" s="3" t="str">
        <f>'KPI 1'!D27</f>
        <v>ACTUAL2025/26</v>
      </c>
      <c r="E27" s="5">
        <f>SUM($E20:E20)</f>
        <v>165000</v>
      </c>
      <c r="F27" s="5">
        <f>SUM($E20:F20)</f>
        <v>426500</v>
      </c>
      <c r="G27" s="5">
        <f>SUM($E20:G20)</f>
        <v>547000</v>
      </c>
      <c r="H27" s="5">
        <f>SUM($E20:H20)</f>
        <v>614500</v>
      </c>
      <c r="I27" s="5">
        <f>SUM($E20:I20)</f>
        <v>728500</v>
      </c>
      <c r="J27" s="5">
        <f>SUM($E20:J20)</f>
        <v>829500</v>
      </c>
      <c r="K27" s="5">
        <f>SUM($E20:K20)</f>
        <v>991500</v>
      </c>
      <c r="L27" s="5">
        <f>SUM($E20:L20)</f>
        <v>1177500</v>
      </c>
      <c r="M27" s="5">
        <f>SUM($E20:M20)</f>
        <v>1335000</v>
      </c>
      <c r="N27" s="5">
        <f>SUM($E20:N20)</f>
        <v>1335000</v>
      </c>
      <c r="O27" s="5">
        <f>SUM($E20:O20)</f>
        <v>1335000</v>
      </c>
      <c r="P27" s="5">
        <f>SUM($E20:P20)</f>
        <v>1335000</v>
      </c>
    </row>
    <row r="28" spans="3:17" x14ac:dyDescent="0.35">
      <c r="D28" s="3" t="str">
        <f>'KPI 1'!D28</f>
        <v>ACTUAL2024/25</v>
      </c>
      <c r="E28" s="5">
        <f>SUM($E21:E21)</f>
        <v>714000</v>
      </c>
      <c r="F28" s="5">
        <f>SUM($E21:F21)</f>
        <v>993000</v>
      </c>
      <c r="G28" s="5">
        <f>SUM($E21:G21)</f>
        <v>1185500</v>
      </c>
      <c r="H28" s="5">
        <f>SUM($E21:H21)</f>
        <v>1455500</v>
      </c>
      <c r="I28" s="5">
        <f>SUM($E21:I21)</f>
        <v>1632000</v>
      </c>
      <c r="J28" s="5">
        <f>SUM($E21:J21)</f>
        <v>1787000</v>
      </c>
      <c r="K28" s="5">
        <f>SUM($E21:K21)</f>
        <v>2055500</v>
      </c>
      <c r="L28" s="5">
        <f>SUM($E21:L21)</f>
        <v>2220500</v>
      </c>
      <c r="M28" s="5">
        <f>SUM($E21:M21)</f>
        <v>2464000</v>
      </c>
      <c r="N28" s="5">
        <f>SUM($E21:N21)</f>
        <v>2586500</v>
      </c>
      <c r="O28" s="5">
        <f>SUM($E21:O21)</f>
        <v>2737500</v>
      </c>
      <c r="P28" s="5">
        <f>SUM($E21:P21)</f>
        <v>2864500</v>
      </c>
    </row>
    <row r="29" spans="3:17" x14ac:dyDescent="0.35">
      <c r="D29" s="3" t="str">
        <f>'KPI 1'!D29</f>
        <v>DIFFERENCE</v>
      </c>
      <c r="E29" s="5">
        <f>SUM($E22:E22)</f>
        <v>-417500</v>
      </c>
      <c r="F29" s="5">
        <f>SUM($E22:F22)</f>
        <v>-738500</v>
      </c>
      <c r="G29" s="5">
        <f>SUM($E22:G22)</f>
        <v>-1200500</v>
      </c>
      <c r="H29" s="5">
        <f>SUM($E22:H22)</f>
        <v>-1715500</v>
      </c>
      <c r="I29" s="5">
        <f>SUM($E22:I22)</f>
        <v>-2184000</v>
      </c>
      <c r="J29" s="5">
        <f>SUM($E22:J22)</f>
        <v>-2665500</v>
      </c>
      <c r="K29" s="5">
        <f>SUM($E22:K22)</f>
        <v>-3086000</v>
      </c>
      <c r="L29" s="5">
        <f>SUM($E22:L22)</f>
        <v>-3482500</v>
      </c>
      <c r="M29" s="5">
        <f>SUM($E22:M22)</f>
        <v>-3907500</v>
      </c>
      <c r="N29" s="5">
        <f>SUM($E22:N22)</f>
        <v>-3907500</v>
      </c>
      <c r="O29" s="5">
        <f>SUM($E22:O22)</f>
        <v>-3907500</v>
      </c>
      <c r="P29" s="5">
        <f>SUM($E22:P22)</f>
        <v>-3907500</v>
      </c>
    </row>
    <row r="30" spans="3:17" x14ac:dyDescent="0.35">
      <c r="D30" s="3" t="str">
        <f>'KPI 1'!D30</f>
        <v>%REALISATION</v>
      </c>
      <c r="E30" s="9">
        <f t="shared" ref="E30:P30" si="3">E27/E26</f>
        <v>0.2832618025751073</v>
      </c>
      <c r="F30" s="9">
        <f t="shared" si="3"/>
        <v>0.36609442060085839</v>
      </c>
      <c r="G30" s="9">
        <f t="shared" si="3"/>
        <v>0.31301859799713877</v>
      </c>
      <c r="H30" s="9">
        <f t="shared" si="3"/>
        <v>0.26373390557939913</v>
      </c>
      <c r="I30" s="9">
        <f t="shared" si="3"/>
        <v>0.25012875536480689</v>
      </c>
      <c r="J30" s="9">
        <f t="shared" si="3"/>
        <v>0.23733905579399142</v>
      </c>
      <c r="K30" s="9">
        <f t="shared" si="3"/>
        <v>0.24316370324954015</v>
      </c>
      <c r="L30" s="9">
        <f t="shared" si="3"/>
        <v>0.25268240343347642</v>
      </c>
      <c r="M30" s="9">
        <f t="shared" si="3"/>
        <v>0.25464949928469244</v>
      </c>
      <c r="N30" s="9">
        <f t="shared" si="3"/>
        <v>0.22918454935622318</v>
      </c>
      <c r="O30" s="9">
        <f t="shared" si="3"/>
        <v>0.20834959032383926</v>
      </c>
      <c r="P30" s="9">
        <f t="shared" si="3"/>
        <v>0.19098712446351931</v>
      </c>
    </row>
  </sheetData>
  <mergeCells count="2">
    <mergeCell ref="J4:Q8"/>
    <mergeCell ref="J10:Q15"/>
  </mergeCells>
  <conditionalFormatting sqref="C3">
    <cfRule type="expression" dxfId="128" priority="2">
      <formula>S4&lt;S6</formula>
    </cfRule>
  </conditionalFormatting>
  <conditionalFormatting sqref="C4">
    <cfRule type="expression" dxfId="127" priority="1">
      <formula>AND(S4&gt;=S6,S4&lt;S5)</formula>
    </cfRule>
  </conditionalFormatting>
  <conditionalFormatting sqref="C5">
    <cfRule type="expression" dxfId="126" priority="3">
      <formula>S4&gt;=S5</formula>
    </cfRule>
  </conditionalFormatting>
  <hyperlinks>
    <hyperlink ref="L1" location="Dashboard!A1" display="Dashboard" xr:uid="{00000000-0004-0000-14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488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37</v>
      </c>
      <c r="C1" s="4" t="s">
        <v>31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7500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1710009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1539008.1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BUDGET2526!D17</f>
        <v>110001</v>
      </c>
      <c r="F19" s="5">
        <f>BUDGET2526!E17</f>
        <v>260001</v>
      </c>
      <c r="G19" s="5">
        <f>BUDGET2526!F17</f>
        <v>220001</v>
      </c>
      <c r="H19" s="5">
        <f>BUDGET2526!G17</f>
        <v>150001</v>
      </c>
      <c r="I19" s="5">
        <f>BUDGET2526!H17</f>
        <v>160001</v>
      </c>
      <c r="J19" s="5">
        <f>BUDGET2526!I17</f>
        <v>240001</v>
      </c>
      <c r="K19" s="5">
        <f>BUDGET2526!J17</f>
        <v>190001</v>
      </c>
      <c r="L19" s="5">
        <f>BUDGET2526!K17</f>
        <v>190001</v>
      </c>
      <c r="M19" s="5">
        <f>BUDGET2526!L17</f>
        <v>190001</v>
      </c>
      <c r="N19" s="5">
        <f>BUDGET2526!M17</f>
        <v>160001</v>
      </c>
      <c r="O19" s="5">
        <f>BUDGET2526!N17</f>
        <v>110001</v>
      </c>
      <c r="P19" s="5">
        <f>BUDGET2526!O17</f>
        <v>120001</v>
      </c>
      <c r="Q19" s="5">
        <f>SUM(E19:P19)</f>
        <v>2100012</v>
      </c>
    </row>
    <row r="20" spans="3:17" x14ac:dyDescent="0.35">
      <c r="D20" s="3" t="str">
        <f>'KPI 1'!D20</f>
        <v>ACTUAL2025/26</v>
      </c>
      <c r="E20" s="5">
        <f>ACTUAL2122!D17</f>
        <v>0</v>
      </c>
      <c r="F20" s="5">
        <f>ACTUAL2122!E17</f>
        <v>0</v>
      </c>
      <c r="G20" s="5">
        <f>ACTUAL2122!F17</f>
        <v>0</v>
      </c>
      <c r="H20" s="5">
        <f>ACTUAL2122!G17</f>
        <v>0</v>
      </c>
      <c r="I20" s="5">
        <f>ACTUAL2122!H17</f>
        <v>0</v>
      </c>
      <c r="J20" s="5">
        <f>ACTUAL2122!I17</f>
        <v>0</v>
      </c>
      <c r="K20" s="5">
        <f>ACTUAL2122!J17</f>
        <v>0</v>
      </c>
      <c r="L20" s="5">
        <f>ACTUAL2122!K17</f>
        <v>0</v>
      </c>
      <c r="M20" s="5">
        <f>ACTUAL2122!L17</f>
        <v>7500</v>
      </c>
      <c r="N20" s="5">
        <f>ACTUAL2122!M17</f>
        <v>2500</v>
      </c>
      <c r="O20" s="5">
        <f>ACTUAL2122!N17</f>
        <v>0</v>
      </c>
      <c r="P20" s="5">
        <f>ACTUAL2122!O17</f>
        <v>5000</v>
      </c>
      <c r="Q20" s="5">
        <f t="shared" ref="Q20:Q21" si="0">SUM(E20:P20)</f>
        <v>15000</v>
      </c>
    </row>
    <row r="21" spans="3:17" x14ac:dyDescent="0.35">
      <c r="D21" s="3" t="str">
        <f>'KPI 1'!D21</f>
        <v>ACTUAL2024/25</v>
      </c>
      <c r="E21" s="5">
        <f>ACTUAL2021!D16</f>
        <v>0</v>
      </c>
      <c r="F21" s="5">
        <f>ACTUAL2021!E16</f>
        <v>0</v>
      </c>
      <c r="G21" s="5">
        <f>ACTUAL2021!F16</f>
        <v>0</v>
      </c>
      <c r="H21" s="5">
        <f>ACTUAL2021!G16</f>
        <v>0</v>
      </c>
      <c r="I21" s="5">
        <f>ACTUAL2021!H16</f>
        <v>0</v>
      </c>
      <c r="J21" s="5">
        <f>ACTUAL2021!I16</f>
        <v>0</v>
      </c>
      <c r="K21" s="5">
        <f>ACTUAL2021!J16</f>
        <v>0</v>
      </c>
      <c r="L21" s="5">
        <f>ACTUAL2021!K16</f>
        <v>0</v>
      </c>
      <c r="M21" s="5">
        <f>ACTUAL2021!L16</f>
        <v>0</v>
      </c>
      <c r="N21" s="5">
        <f>ACTUAL2021!M16</f>
        <v>0</v>
      </c>
      <c r="O21" s="5">
        <f>ACTUAL2021!N16</f>
        <v>0</v>
      </c>
      <c r="P21" s="5">
        <f>ACTUAL2021!O16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-182501</v>
      </c>
      <c r="N22" s="5">
        <f t="shared" si="1"/>
        <v>-157501</v>
      </c>
      <c r="O22" s="5">
        <f t="shared" si="1"/>
        <v>0</v>
      </c>
      <c r="P22" s="5">
        <f t="shared" si="1"/>
        <v>-115001</v>
      </c>
      <c r="Q22" s="5">
        <f>SUM(E22:P22)</f>
        <v>-455003</v>
      </c>
    </row>
    <row r="23" spans="3:17" x14ac:dyDescent="0.35">
      <c r="D23" s="3" t="str">
        <f>'KPI 1'!D23</f>
        <v>%REALISATION</v>
      </c>
      <c r="E23" s="9">
        <f>E21/E19</f>
        <v>0</v>
      </c>
      <c r="F23" s="9">
        <f t="shared" ref="F23:P23" si="2">F20/F19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3.9473476455387076E-2</v>
      </c>
      <c r="N23" s="9">
        <f t="shared" si="2"/>
        <v>1.5624902344360347E-2</v>
      </c>
      <c r="O23" s="9">
        <f t="shared" si="2"/>
        <v>0</v>
      </c>
      <c r="P23" s="9">
        <f t="shared" si="2"/>
        <v>4.1666319447337938E-2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110001</v>
      </c>
      <c r="F26" s="5">
        <f>SUM($E19:F19)</f>
        <v>370002</v>
      </c>
      <c r="G26" s="5">
        <f>SUM($E19:G19)</f>
        <v>590003</v>
      </c>
      <c r="H26" s="5">
        <f>SUM($E19:H19)</f>
        <v>740004</v>
      </c>
      <c r="I26" s="5">
        <f>SUM($E19:I19)</f>
        <v>900005</v>
      </c>
      <c r="J26" s="5">
        <f>SUM($E19:J19)</f>
        <v>1140006</v>
      </c>
      <c r="K26" s="5">
        <f>SUM($E19:K19)</f>
        <v>1330007</v>
      </c>
      <c r="L26" s="5">
        <f>SUM($E19:L19)</f>
        <v>1520008</v>
      </c>
      <c r="M26" s="5">
        <f>SUM($E19:M19)</f>
        <v>1710009</v>
      </c>
      <c r="N26" s="5">
        <f>SUM($E19:N19)</f>
        <v>1870010</v>
      </c>
      <c r="O26" s="5">
        <f>SUM($E19:O19)</f>
        <v>1980011</v>
      </c>
      <c r="P26" s="5">
        <f>SUM($E19:P19)</f>
        <v>2100012</v>
      </c>
    </row>
    <row r="27" spans="3:17" x14ac:dyDescent="0.35">
      <c r="D27" s="3" t="str">
        <f>'KPI 1'!D27</f>
        <v>ACTUAL2025/26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7500</v>
      </c>
      <c r="N27" s="5">
        <f>SUM($E20:N20)</f>
        <v>10000</v>
      </c>
      <c r="O27" s="5">
        <f>SUM($E20:O20)</f>
        <v>10000</v>
      </c>
      <c r="P27" s="5">
        <f>SUM($E20:P20)</f>
        <v>15000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-182501</v>
      </c>
      <c r="N29" s="5">
        <f>SUM($E22:N22)</f>
        <v>-340002</v>
      </c>
      <c r="O29" s="5">
        <f>SUM($E22:O22)</f>
        <v>-340002</v>
      </c>
      <c r="P29" s="5">
        <f>SUM($E22:P22)</f>
        <v>-455003</v>
      </c>
    </row>
    <row r="30" spans="3:17" x14ac:dyDescent="0.35">
      <c r="D30" s="3" t="str">
        <f>'KPI 1'!D30</f>
        <v>%REALISATION</v>
      </c>
      <c r="E30" s="9">
        <f>E28/E26</f>
        <v>0</v>
      </c>
      <c r="F30" s="9">
        <f t="shared" ref="F30:P30" si="3">F27/F26</f>
        <v>0</v>
      </c>
      <c r="G30" s="9">
        <f t="shared" si="3"/>
        <v>0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0</v>
      </c>
      <c r="L30" s="9">
        <f t="shared" si="3"/>
        <v>0</v>
      </c>
      <c r="M30" s="9">
        <f t="shared" si="3"/>
        <v>4.3859418283763415E-3</v>
      </c>
      <c r="N30" s="9">
        <f t="shared" si="3"/>
        <v>5.3475649862834958E-3</v>
      </c>
      <c r="O30" s="9">
        <f t="shared" si="3"/>
        <v>5.0504769922995376E-3</v>
      </c>
      <c r="P30" s="9">
        <f t="shared" si="3"/>
        <v>7.1428163267638466E-3</v>
      </c>
    </row>
  </sheetData>
  <mergeCells count="2">
    <mergeCell ref="J4:Q8"/>
    <mergeCell ref="J10:Q15"/>
  </mergeCells>
  <conditionalFormatting sqref="C3">
    <cfRule type="expression" dxfId="125" priority="2">
      <formula>S4&lt;S6</formula>
    </cfRule>
  </conditionalFormatting>
  <conditionalFormatting sqref="C4">
    <cfRule type="expression" dxfId="124" priority="1">
      <formula>AND(S4&gt;=S6,S4&lt;S5)</formula>
    </cfRule>
  </conditionalFormatting>
  <conditionalFormatting sqref="C5">
    <cfRule type="expression" dxfId="123" priority="3">
      <formula>S4&gt;=S5</formula>
    </cfRule>
  </conditionalFormatting>
  <hyperlinks>
    <hyperlink ref="L1" location="Dashboard!A1" display="Dashboard" xr:uid="{00000000-0004-0000-15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590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43</v>
      </c>
      <c r="C1" s="4" t="s">
        <v>29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323000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BUDGET2526!D18</f>
        <v>0</v>
      </c>
      <c r="F19" s="5">
        <f>BUDGET2526!E18</f>
        <v>0</v>
      </c>
      <c r="G19" s="5">
        <f>BUDGET2526!F18</f>
        <v>0</v>
      </c>
      <c r="H19" s="5">
        <f>BUDGET2526!G18</f>
        <v>0</v>
      </c>
      <c r="I19" s="5">
        <f>BUDGET2526!H18</f>
        <v>0</v>
      </c>
      <c r="J19" s="5">
        <f>BUDGET2526!I18</f>
        <v>0</v>
      </c>
      <c r="K19" s="5">
        <f>BUDGET2526!J18</f>
        <v>0</v>
      </c>
      <c r="L19" s="5">
        <f>BUDGET2526!K18</f>
        <v>0</v>
      </c>
      <c r="M19" s="5">
        <f>BUDGET2526!L18</f>
        <v>0</v>
      </c>
      <c r="N19" s="5">
        <f>BUDGET2526!M18</f>
        <v>0</v>
      </c>
      <c r="O19" s="5">
        <f>BUDGET2526!N18</f>
        <v>0</v>
      </c>
      <c r="P19" s="5">
        <f>BUDGET2526!O18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ACTUAL2122!D18</f>
        <v>27500</v>
      </c>
      <c r="F20" s="5">
        <f>ACTUAL2122!E18</f>
        <v>38000</v>
      </c>
      <c r="G20" s="5">
        <f>ACTUAL2122!F18</f>
        <v>10500</v>
      </c>
      <c r="H20" s="5">
        <f>ACTUAL2122!G18</f>
        <v>19000</v>
      </c>
      <c r="I20" s="5">
        <f>ACTUAL2122!H18</f>
        <v>87500</v>
      </c>
      <c r="J20" s="5">
        <f>ACTUAL2122!I18</f>
        <v>27500</v>
      </c>
      <c r="K20" s="5">
        <f>ACTUAL2122!J18</f>
        <v>28000</v>
      </c>
      <c r="L20" s="5">
        <f>ACTUAL2122!K18</f>
        <v>60000</v>
      </c>
      <c r="M20" s="5">
        <f>ACTUAL2122!L18</f>
        <v>25000</v>
      </c>
      <c r="N20" s="5">
        <f>ACTUAL2122!M18</f>
        <v>15000</v>
      </c>
      <c r="O20" s="5">
        <f>ACTUAL2122!N18</f>
        <v>44500</v>
      </c>
      <c r="P20" s="5">
        <f>ACTUAL2122!O18</f>
        <v>55000</v>
      </c>
      <c r="Q20" s="5">
        <f t="shared" ref="Q20:Q21" si="0">SUM(E20:P20)</f>
        <v>437500</v>
      </c>
    </row>
    <row r="21" spans="3:17" x14ac:dyDescent="0.35">
      <c r="D21" s="3" t="str">
        <f>'KPI 1'!D21</f>
        <v>ACTUAL2024/25</v>
      </c>
      <c r="E21" s="5">
        <f>ACTUAL2021!D17</f>
        <v>0</v>
      </c>
      <c r="F21" s="5">
        <f>ACTUAL2021!E17</f>
        <v>0</v>
      </c>
      <c r="G21" s="5">
        <f>ACTUAL2021!F17</f>
        <v>0</v>
      </c>
      <c r="H21" s="5">
        <f>ACTUAL2021!G17</f>
        <v>0</v>
      </c>
      <c r="I21" s="5">
        <f>ACTUAL2021!H17</f>
        <v>0</v>
      </c>
      <c r="J21" s="5">
        <f>ACTUAL2021!I17</f>
        <v>0</v>
      </c>
      <c r="K21" s="5">
        <f>ACTUAL2021!J17</f>
        <v>0</v>
      </c>
      <c r="L21" s="5">
        <f>ACTUAL2021!K17</f>
        <v>0</v>
      </c>
      <c r="M21" s="5">
        <f>ACTUAL2021!L17</f>
        <v>0</v>
      </c>
      <c r="N21" s="5">
        <f>ACTUAL2021!M17</f>
        <v>0</v>
      </c>
      <c r="O21" s="5">
        <f>ACTUAL2021!N17</f>
        <v>0</v>
      </c>
      <c r="P21" s="5">
        <f>ACTUAL2021!O17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27500</v>
      </c>
      <c r="F22" s="5">
        <f t="shared" si="1"/>
        <v>38000</v>
      </c>
      <c r="G22" s="5">
        <f t="shared" si="1"/>
        <v>10500</v>
      </c>
      <c r="H22" s="5">
        <f t="shared" si="1"/>
        <v>19000</v>
      </c>
      <c r="I22" s="5">
        <f t="shared" si="1"/>
        <v>87500</v>
      </c>
      <c r="J22" s="5">
        <f t="shared" si="1"/>
        <v>27500</v>
      </c>
      <c r="K22" s="5">
        <f t="shared" si="1"/>
        <v>28000</v>
      </c>
      <c r="L22" s="5">
        <f t="shared" si="1"/>
        <v>60000</v>
      </c>
      <c r="M22" s="5">
        <f t="shared" si="1"/>
        <v>25000</v>
      </c>
      <c r="N22" s="5">
        <f t="shared" si="1"/>
        <v>15000</v>
      </c>
      <c r="O22" s="5">
        <f t="shared" si="1"/>
        <v>44500</v>
      </c>
      <c r="P22" s="5">
        <f t="shared" si="1"/>
        <v>55000</v>
      </c>
      <c r="Q22" s="5">
        <f>SUM(E22:P22)</f>
        <v>437500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27500</v>
      </c>
      <c r="F27" s="5">
        <f>SUM($E20:F20)</f>
        <v>65500</v>
      </c>
      <c r="G27" s="5">
        <f>SUM($E20:G20)</f>
        <v>76000</v>
      </c>
      <c r="H27" s="5">
        <f>SUM($E20:H20)</f>
        <v>95000</v>
      </c>
      <c r="I27" s="5">
        <f>SUM($E20:I20)</f>
        <v>182500</v>
      </c>
      <c r="J27" s="5">
        <f>SUM($E20:J20)</f>
        <v>210000</v>
      </c>
      <c r="K27" s="5">
        <f>SUM($E20:K20)</f>
        <v>238000</v>
      </c>
      <c r="L27" s="5">
        <f>SUM($E20:L20)</f>
        <v>298000</v>
      </c>
      <c r="M27" s="5">
        <f>SUM($E20:M20)</f>
        <v>323000</v>
      </c>
      <c r="N27" s="5">
        <f>SUM($E20:N20)</f>
        <v>338000</v>
      </c>
      <c r="O27" s="5">
        <f>SUM($E20:O20)</f>
        <v>382500</v>
      </c>
      <c r="P27" s="5">
        <f>SUM($E20:P20)</f>
        <v>437500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27500</v>
      </c>
      <c r="F29" s="5">
        <f>SUM($E22:F22)</f>
        <v>65500</v>
      </c>
      <c r="G29" s="5">
        <f>SUM($E22:G22)</f>
        <v>76000</v>
      </c>
      <c r="H29" s="5">
        <f>SUM($E22:H22)</f>
        <v>95000</v>
      </c>
      <c r="I29" s="5">
        <f>SUM($E22:I22)</f>
        <v>182500</v>
      </c>
      <c r="J29" s="5">
        <f>SUM($E22:J22)</f>
        <v>210000</v>
      </c>
      <c r="K29" s="5">
        <f>SUM($E22:K22)</f>
        <v>238000</v>
      </c>
      <c r="L29" s="5">
        <f>SUM($E22:L22)</f>
        <v>298000</v>
      </c>
      <c r="M29" s="5">
        <f>SUM($E22:M22)</f>
        <v>323000</v>
      </c>
      <c r="N29" s="5">
        <f>SUM($E22:N22)</f>
        <v>338000</v>
      </c>
      <c r="O29" s="5">
        <f>SUM($E22:O22)</f>
        <v>382500</v>
      </c>
      <c r="P29" s="5">
        <f>SUM($E22:P22)</f>
        <v>437500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122" priority="2">
      <formula>S4&lt;S6</formula>
    </cfRule>
  </conditionalFormatting>
  <conditionalFormatting sqref="C4">
    <cfRule type="expression" dxfId="121" priority="1">
      <formula>AND(S4&gt;=S6,S4&lt;S5)</formula>
    </cfRule>
  </conditionalFormatting>
  <conditionalFormatting sqref="C5">
    <cfRule type="expression" dxfId="120" priority="3">
      <formula>S4&gt;=S5</formula>
    </cfRule>
  </conditionalFormatting>
  <hyperlinks>
    <hyperlink ref="L1" location="Dashboard!A1" display="Dashboard" xr:uid="{00000000-0004-0000-16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692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45</v>
      </c>
      <c r="C1" s="4" t="s">
        <v>30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658965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BUDGET2526!D19</f>
        <v>0</v>
      </c>
      <c r="F19" s="5">
        <f>BUDGET2526!E19</f>
        <v>0</v>
      </c>
      <c r="G19" s="5">
        <f>BUDGET2526!F19</f>
        <v>0</v>
      </c>
      <c r="H19" s="5">
        <f>BUDGET2526!G19</f>
        <v>0</v>
      </c>
      <c r="I19" s="5">
        <f>BUDGET2526!H19</f>
        <v>0</v>
      </c>
      <c r="J19" s="5">
        <f>BUDGET2526!I19</f>
        <v>0</v>
      </c>
      <c r="K19" s="5">
        <f>BUDGET2526!J19</f>
        <v>0</v>
      </c>
      <c r="L19" s="5">
        <f>BUDGET2526!K19</f>
        <v>0</v>
      </c>
      <c r="M19" s="5">
        <f>BUDGET2526!L19</f>
        <v>0</v>
      </c>
      <c r="N19" s="5">
        <f>BUDGET2526!M19</f>
        <v>0</v>
      </c>
      <c r="O19" s="5">
        <f>BUDGET2526!N19</f>
        <v>0</v>
      </c>
      <c r="P19" s="5">
        <f>BUDGET2526!O19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ACTUAL2122!D19</f>
        <v>178060</v>
      </c>
      <c r="F20" s="5">
        <f>ACTUAL2122!E19</f>
        <v>150985</v>
      </c>
      <c r="G20" s="5">
        <f>ACTUAL2122!F19</f>
        <v>172420</v>
      </c>
      <c r="H20" s="5">
        <f>ACTUAL2122!G19</f>
        <v>9000</v>
      </c>
      <c r="I20" s="5">
        <f>ACTUAL2122!H19</f>
        <v>3000</v>
      </c>
      <c r="J20" s="5">
        <f>ACTUAL2122!I19</f>
        <v>1500</v>
      </c>
      <c r="K20" s="5">
        <f>ACTUAL2122!J19</f>
        <v>13500</v>
      </c>
      <c r="L20" s="5">
        <f>ACTUAL2122!K19</f>
        <v>96000</v>
      </c>
      <c r="M20" s="5">
        <f>ACTUAL2122!L19</f>
        <v>34500</v>
      </c>
      <c r="N20" s="5">
        <f>ACTUAL2122!M19</f>
        <v>9000</v>
      </c>
      <c r="O20" s="5">
        <f>ACTUAL2122!N19</f>
        <v>19500</v>
      </c>
      <c r="P20" s="5">
        <f>ACTUAL2122!O19</f>
        <v>13500</v>
      </c>
      <c r="Q20" s="5">
        <f t="shared" ref="Q20:Q21" si="0">SUM(E20:P20)</f>
        <v>700965</v>
      </c>
    </row>
    <row r="21" spans="3:17" x14ac:dyDescent="0.35">
      <c r="D21" s="3" t="str">
        <f>'KPI 1'!D21</f>
        <v>ACTUAL2024/25</v>
      </c>
      <c r="E21" s="5">
        <f>ACTUAL2021!D18</f>
        <v>0</v>
      </c>
      <c r="F21" s="5">
        <f>ACTUAL2021!E18</f>
        <v>0</v>
      </c>
      <c r="G21" s="5">
        <f>ACTUAL2021!F18</f>
        <v>0</v>
      </c>
      <c r="H21" s="5">
        <f>ACTUAL2021!G18</f>
        <v>0</v>
      </c>
      <c r="I21" s="5">
        <f>ACTUAL2021!H18</f>
        <v>0</v>
      </c>
      <c r="J21" s="5">
        <f>ACTUAL2021!I18</f>
        <v>0</v>
      </c>
      <c r="K21" s="5">
        <f>ACTUAL2021!J18</f>
        <v>0</v>
      </c>
      <c r="L21" s="5">
        <f>ACTUAL2021!K18</f>
        <v>0</v>
      </c>
      <c r="M21" s="5">
        <f>ACTUAL2021!L18</f>
        <v>0</v>
      </c>
      <c r="N21" s="5">
        <f>ACTUAL2021!M18</f>
        <v>0</v>
      </c>
      <c r="O21" s="5">
        <f>ACTUAL2021!N18</f>
        <v>0</v>
      </c>
      <c r="P21" s="5">
        <f>ACTUAL2021!O18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178060</v>
      </c>
      <c r="F22" s="5">
        <f t="shared" si="1"/>
        <v>150985</v>
      </c>
      <c r="G22" s="5">
        <f t="shared" si="1"/>
        <v>172420</v>
      </c>
      <c r="H22" s="5">
        <f t="shared" si="1"/>
        <v>9000</v>
      </c>
      <c r="I22" s="5">
        <f t="shared" si="1"/>
        <v>3000</v>
      </c>
      <c r="J22" s="5">
        <f t="shared" si="1"/>
        <v>1500</v>
      </c>
      <c r="K22" s="5">
        <f t="shared" si="1"/>
        <v>13500</v>
      </c>
      <c r="L22" s="5">
        <f t="shared" si="1"/>
        <v>96000</v>
      </c>
      <c r="M22" s="5">
        <f t="shared" si="1"/>
        <v>34500</v>
      </c>
      <c r="N22" s="5">
        <f t="shared" si="1"/>
        <v>9000</v>
      </c>
      <c r="O22" s="5">
        <f t="shared" si="1"/>
        <v>19500</v>
      </c>
      <c r="P22" s="5">
        <f t="shared" si="1"/>
        <v>13500</v>
      </c>
      <c r="Q22" s="5">
        <f>SUM(E22:P22)</f>
        <v>700965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178060</v>
      </c>
      <c r="F27" s="5">
        <f>SUM($E20:F20)</f>
        <v>329045</v>
      </c>
      <c r="G27" s="5">
        <f>SUM($E20:G20)</f>
        <v>501465</v>
      </c>
      <c r="H27" s="5">
        <f>SUM($E20:H20)</f>
        <v>510465</v>
      </c>
      <c r="I27" s="5">
        <f>SUM($E20:I20)</f>
        <v>513465</v>
      </c>
      <c r="J27" s="5">
        <f>SUM($E20:J20)</f>
        <v>514965</v>
      </c>
      <c r="K27" s="5">
        <f>SUM($E20:K20)</f>
        <v>528465</v>
      </c>
      <c r="L27" s="5">
        <f>SUM($E20:L20)</f>
        <v>624465</v>
      </c>
      <c r="M27" s="5">
        <f>SUM($E20:M20)</f>
        <v>658965</v>
      </c>
      <c r="N27" s="5">
        <f>SUM($E20:N20)</f>
        <v>667965</v>
      </c>
      <c r="O27" s="5">
        <f>SUM($E20:O20)</f>
        <v>687465</v>
      </c>
      <c r="P27" s="5">
        <f>SUM($E20:P20)</f>
        <v>700965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178060</v>
      </c>
      <c r="F29" s="5">
        <f>SUM($E22:F22)</f>
        <v>329045</v>
      </c>
      <c r="G29" s="5">
        <f>SUM($E22:G22)</f>
        <v>501465</v>
      </c>
      <c r="H29" s="5">
        <f>SUM($E22:H22)</f>
        <v>510465</v>
      </c>
      <c r="I29" s="5">
        <f>SUM($E22:I22)</f>
        <v>513465</v>
      </c>
      <c r="J29" s="5">
        <f>SUM($E22:J22)</f>
        <v>514965</v>
      </c>
      <c r="K29" s="5">
        <f>SUM($E22:K22)</f>
        <v>528465</v>
      </c>
      <c r="L29" s="5">
        <f>SUM($E22:L22)</f>
        <v>624465</v>
      </c>
      <c r="M29" s="5">
        <f>SUM($E22:M22)</f>
        <v>658965</v>
      </c>
      <c r="N29" s="5">
        <f>SUM($E22:N22)</f>
        <v>667965</v>
      </c>
      <c r="O29" s="5">
        <f>SUM($E22:O22)</f>
        <v>687465</v>
      </c>
      <c r="P29" s="5">
        <f>SUM($E22:P22)</f>
        <v>700965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119" priority="2">
      <formula>S4&lt;S6</formula>
    </cfRule>
  </conditionalFormatting>
  <conditionalFormatting sqref="C4">
    <cfRule type="expression" dxfId="118" priority="1">
      <formula>AND(S4&gt;=S6,S4&lt;S5)</formula>
    </cfRule>
  </conditionalFormatting>
  <conditionalFormatting sqref="C5">
    <cfRule type="expression" dxfId="117" priority="3">
      <formula>S4&gt;=S5</formula>
    </cfRule>
  </conditionalFormatting>
  <hyperlinks>
    <hyperlink ref="L1" location="Dashboard!A1" display="Dashboard" xr:uid="{00000000-0004-0000-17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795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">
        <v>44</v>
      </c>
      <c r="C1" s="4" t="s">
        <v>32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83000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1890000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1701000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BUDGET2526!D20</f>
        <v>210000</v>
      </c>
      <c r="F19" s="5">
        <f>BUDGET2526!E20</f>
        <v>210000</v>
      </c>
      <c r="G19" s="5">
        <f>BUDGET2526!F20</f>
        <v>210000</v>
      </c>
      <c r="H19" s="5">
        <f>BUDGET2526!G20</f>
        <v>210000</v>
      </c>
      <c r="I19" s="5">
        <f>BUDGET2526!H20</f>
        <v>210000</v>
      </c>
      <c r="J19" s="5">
        <f>BUDGET2526!I20</f>
        <v>210000</v>
      </c>
      <c r="K19" s="5">
        <f>BUDGET2526!J20</f>
        <v>210000</v>
      </c>
      <c r="L19" s="5">
        <f>BUDGET2526!K20</f>
        <v>210000</v>
      </c>
      <c r="M19" s="5">
        <f>BUDGET2526!L20</f>
        <v>210000</v>
      </c>
      <c r="N19" s="5">
        <f>BUDGET2526!M20</f>
        <v>210000</v>
      </c>
      <c r="O19" s="5">
        <f>BUDGET2526!N20</f>
        <v>210000</v>
      </c>
      <c r="P19" s="5">
        <f>BUDGET2526!O20</f>
        <v>210000</v>
      </c>
      <c r="Q19" s="5">
        <f>SUM(E19:P19)</f>
        <v>2520000</v>
      </c>
    </row>
    <row r="20" spans="3:17" x14ac:dyDescent="0.35">
      <c r="D20" s="3" t="str">
        <f>'KPI 1'!D20</f>
        <v>ACTUAL2025/26</v>
      </c>
      <c r="E20" s="5">
        <f>ACTUAL2122!D20</f>
        <v>48000</v>
      </c>
      <c r="F20" s="5">
        <f>ACTUAL2122!E20</f>
        <v>0</v>
      </c>
      <c r="G20" s="5">
        <f>ACTUAL2122!F20</f>
        <v>0</v>
      </c>
      <c r="H20" s="5">
        <f>ACTUAL2122!G20</f>
        <v>0</v>
      </c>
      <c r="I20" s="5">
        <f>ACTUAL2122!H20</f>
        <v>0</v>
      </c>
      <c r="J20" s="5">
        <f>ACTUAL2122!I20</f>
        <v>0</v>
      </c>
      <c r="K20" s="5">
        <f>ACTUAL2122!J20</f>
        <v>0</v>
      </c>
      <c r="L20" s="5">
        <f>ACTUAL2122!K20</f>
        <v>0</v>
      </c>
      <c r="M20" s="5">
        <f>ACTUAL2122!L20</f>
        <v>35000</v>
      </c>
      <c r="N20" s="5">
        <f>ACTUAL2122!M20</f>
        <v>0</v>
      </c>
      <c r="O20" s="5">
        <f>ACTUAL2122!N20</f>
        <v>0</v>
      </c>
      <c r="P20" s="5">
        <f>ACTUAL2122!O20</f>
        <v>0</v>
      </c>
      <c r="Q20" s="5">
        <f t="shared" ref="Q20:Q21" si="0">SUM(E20:P20)</f>
        <v>83000</v>
      </c>
    </row>
    <row r="21" spans="3:17" x14ac:dyDescent="0.35">
      <c r="D21" s="3" t="str">
        <f>'KPI 1'!D21</f>
        <v>ACTUAL2024/25</v>
      </c>
      <c r="E21" s="5">
        <f>ACTUAL2021!D19</f>
        <v>0</v>
      </c>
      <c r="F21" s="5">
        <f>ACTUAL2021!E19</f>
        <v>0</v>
      </c>
      <c r="G21" s="5">
        <f>ACTUAL2021!F19</f>
        <v>0</v>
      </c>
      <c r="H21" s="5">
        <f>ACTUAL2021!G19</f>
        <v>0</v>
      </c>
      <c r="I21" s="5">
        <f>ACTUAL2021!H19</f>
        <v>0</v>
      </c>
      <c r="J21" s="5">
        <f>ACTUAL2021!I19</f>
        <v>0</v>
      </c>
      <c r="K21" s="5">
        <f>ACTUAL2021!J19</f>
        <v>0</v>
      </c>
      <c r="L21" s="5">
        <f>ACTUAL2021!K19</f>
        <v>0</v>
      </c>
      <c r="M21" s="5">
        <f>ACTUAL2021!L19</f>
        <v>0</v>
      </c>
      <c r="N21" s="5">
        <f>ACTUAL2021!M19</f>
        <v>0</v>
      </c>
      <c r="O21" s="5">
        <f>ACTUAL2021!N19</f>
        <v>0</v>
      </c>
      <c r="P21" s="5">
        <f>ACTUAL2021!O19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-162000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-175000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-337000</v>
      </c>
    </row>
    <row r="23" spans="3:17" x14ac:dyDescent="0.35">
      <c r="D23" s="3" t="str">
        <f>'KPI 1'!D23</f>
        <v>%REALISATION</v>
      </c>
      <c r="E23" s="9">
        <f>E21/E19</f>
        <v>0</v>
      </c>
      <c r="F23" s="9">
        <f t="shared" ref="F23:P23" si="2">F20/F19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0.16666666666666666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210000</v>
      </c>
      <c r="F26" s="5">
        <f>SUM($E19:F19)</f>
        <v>420000</v>
      </c>
      <c r="G26" s="5">
        <f>SUM($E19:G19)</f>
        <v>630000</v>
      </c>
      <c r="H26" s="5">
        <f>SUM($E19:H19)</f>
        <v>840000</v>
      </c>
      <c r="I26" s="5">
        <f>SUM($E19:I19)</f>
        <v>1050000</v>
      </c>
      <c r="J26" s="5">
        <f>SUM($E19:J19)</f>
        <v>1260000</v>
      </c>
      <c r="K26" s="5">
        <f>SUM($E19:K19)</f>
        <v>1470000</v>
      </c>
      <c r="L26" s="5">
        <f>SUM($E19:L19)</f>
        <v>1680000</v>
      </c>
      <c r="M26" s="5">
        <f>SUM($E19:M19)</f>
        <v>1890000</v>
      </c>
      <c r="N26" s="5">
        <f>SUM($E19:N19)</f>
        <v>2100000</v>
      </c>
      <c r="O26" s="5">
        <f>SUM($E19:O19)</f>
        <v>2310000</v>
      </c>
      <c r="P26" s="5">
        <f>SUM($E19:P19)</f>
        <v>2520000</v>
      </c>
    </row>
    <row r="27" spans="3:17" x14ac:dyDescent="0.35">
      <c r="D27" s="3" t="str">
        <f>'KPI 1'!D27</f>
        <v>ACTUAL2025/26</v>
      </c>
      <c r="E27" s="5">
        <f>SUM($E20:E20)</f>
        <v>48000</v>
      </c>
      <c r="F27" s="5">
        <f>SUM($E20:F20)</f>
        <v>48000</v>
      </c>
      <c r="G27" s="5">
        <f>SUM($E20:G20)</f>
        <v>48000</v>
      </c>
      <c r="H27" s="5">
        <f>SUM($E20:H20)</f>
        <v>48000</v>
      </c>
      <c r="I27" s="5">
        <f>SUM($E20:I20)</f>
        <v>48000</v>
      </c>
      <c r="J27" s="5">
        <f>SUM($E20:J20)</f>
        <v>48000</v>
      </c>
      <c r="K27" s="5">
        <f>SUM($E20:K20)</f>
        <v>48000</v>
      </c>
      <c r="L27" s="5">
        <f>SUM($E20:L20)</f>
        <v>48000</v>
      </c>
      <c r="M27" s="5">
        <f>SUM($E20:M20)</f>
        <v>83000</v>
      </c>
      <c r="N27" s="5">
        <f>SUM($E20:N20)</f>
        <v>83000</v>
      </c>
      <c r="O27" s="5">
        <f>SUM($E20:O20)</f>
        <v>83000</v>
      </c>
      <c r="P27" s="5">
        <f>SUM($E20:P20)</f>
        <v>83000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-162000</v>
      </c>
      <c r="F29" s="5">
        <f>SUM($E22:F22)</f>
        <v>-162000</v>
      </c>
      <c r="G29" s="5">
        <f>SUM($E22:G22)</f>
        <v>-162000</v>
      </c>
      <c r="H29" s="5">
        <f>SUM($E22:H22)</f>
        <v>-162000</v>
      </c>
      <c r="I29" s="5">
        <f>SUM($E22:I22)</f>
        <v>-162000</v>
      </c>
      <c r="J29" s="5">
        <f>SUM($E22:J22)</f>
        <v>-162000</v>
      </c>
      <c r="K29" s="5">
        <f>SUM($E22:K22)</f>
        <v>-162000</v>
      </c>
      <c r="L29" s="5">
        <f>SUM($E22:L22)</f>
        <v>-162000</v>
      </c>
      <c r="M29" s="5">
        <f>SUM($E22:M22)</f>
        <v>-337000</v>
      </c>
      <c r="N29" s="5">
        <f>SUM($E22:N22)</f>
        <v>-337000</v>
      </c>
      <c r="O29" s="5">
        <f>SUM($E22:O22)</f>
        <v>-337000</v>
      </c>
      <c r="P29" s="5">
        <f>SUM($E22:P22)</f>
        <v>-337000</v>
      </c>
    </row>
    <row r="30" spans="3:17" x14ac:dyDescent="0.35">
      <c r="D30" s="3" t="str">
        <f>'KPI 1'!D30</f>
        <v>%REALISATION</v>
      </c>
      <c r="E30" s="9">
        <f>E28/E26</f>
        <v>0</v>
      </c>
      <c r="F30" s="9">
        <f t="shared" ref="F30:P30" si="3">F27/F26</f>
        <v>0.11428571428571428</v>
      </c>
      <c r="G30" s="9">
        <f t="shared" si="3"/>
        <v>7.6190476190476197E-2</v>
      </c>
      <c r="H30" s="9">
        <f t="shared" si="3"/>
        <v>5.7142857142857141E-2</v>
      </c>
      <c r="I30" s="9">
        <f t="shared" si="3"/>
        <v>4.5714285714285714E-2</v>
      </c>
      <c r="J30" s="9">
        <f t="shared" si="3"/>
        <v>3.8095238095238099E-2</v>
      </c>
      <c r="K30" s="9">
        <f t="shared" si="3"/>
        <v>3.2653061224489799E-2</v>
      </c>
      <c r="L30" s="9">
        <f t="shared" si="3"/>
        <v>2.8571428571428571E-2</v>
      </c>
      <c r="M30" s="9">
        <f t="shared" si="3"/>
        <v>4.3915343915343914E-2</v>
      </c>
      <c r="N30" s="9">
        <f t="shared" si="3"/>
        <v>3.9523809523809524E-2</v>
      </c>
      <c r="O30" s="9">
        <f t="shared" si="3"/>
        <v>3.5930735930735931E-2</v>
      </c>
      <c r="P30" s="9">
        <f t="shared" si="3"/>
        <v>3.2936507936507937E-2</v>
      </c>
    </row>
  </sheetData>
  <mergeCells count="2">
    <mergeCell ref="J4:Q8"/>
    <mergeCell ref="J10:Q15"/>
  </mergeCells>
  <conditionalFormatting sqref="C3">
    <cfRule type="expression" dxfId="116" priority="2">
      <formula>S4&lt;S6</formula>
    </cfRule>
  </conditionalFormatting>
  <conditionalFormatting sqref="C4">
    <cfRule type="expression" dxfId="115" priority="1">
      <formula>AND(S4&gt;=S6,S4&lt;S5)</formula>
    </cfRule>
  </conditionalFormatting>
  <conditionalFormatting sqref="C5">
    <cfRule type="expression" dxfId="114" priority="3">
      <formula>S4&gt;=S5</formula>
    </cfRule>
  </conditionalFormatting>
  <hyperlinks>
    <hyperlink ref="L1" location="Dashboard!A1" display="Dashboard" xr:uid="{00000000-0004-0000-18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897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68">
        <f>Dashboard!A13</f>
        <v>8</v>
      </c>
      <c r="C1" s="68" t="str">
        <f>Dashboard!B13</f>
        <v>Prepaid kiosk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708200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810000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729000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BUDGET2526!D14</f>
        <v>90000</v>
      </c>
      <c r="F19" s="5">
        <f>BUDGET2526!E14</f>
        <v>90000</v>
      </c>
      <c r="G19" s="5">
        <f>BUDGET2526!F14</f>
        <v>90000</v>
      </c>
      <c r="H19" s="5">
        <f>BUDGET2526!G14</f>
        <v>90000</v>
      </c>
      <c r="I19" s="5">
        <f>BUDGET2526!H14</f>
        <v>90000</v>
      </c>
      <c r="J19" s="5">
        <f>BUDGET2526!I14</f>
        <v>90000</v>
      </c>
      <c r="K19" s="5">
        <f>BUDGET2526!J14</f>
        <v>90000</v>
      </c>
      <c r="L19" s="5">
        <f>BUDGET2526!K14</f>
        <v>90000</v>
      </c>
      <c r="M19" s="5">
        <f>BUDGET2526!L14</f>
        <v>90000</v>
      </c>
      <c r="N19" s="5">
        <f>BUDGET2526!M14</f>
        <v>90000</v>
      </c>
      <c r="O19" s="5">
        <f>BUDGET2526!N14</f>
        <v>90000</v>
      </c>
      <c r="P19" s="5">
        <f>BUDGET2526!O14</f>
        <v>90000</v>
      </c>
      <c r="Q19" s="5">
        <f>SUM(E19:P19)</f>
        <v>1080000</v>
      </c>
    </row>
    <row r="20" spans="3:17" x14ac:dyDescent="0.35">
      <c r="D20" s="3" t="str">
        <f>'KPI 1'!D20</f>
        <v>ACTUAL2025/26</v>
      </c>
      <c r="E20" s="5">
        <f>'ACTUAL 2526'!E14</f>
        <v>78800</v>
      </c>
      <c r="F20" s="5">
        <f>'ACTUAL 2526'!F14</f>
        <v>82100</v>
      </c>
      <c r="G20" s="5">
        <f>'ACTUAL 2526'!G14</f>
        <v>74600</v>
      </c>
      <c r="H20" s="5">
        <f>'ACTUAL 2526'!H14</f>
        <v>84300</v>
      </c>
      <c r="I20" s="5">
        <f>'ACTUAL 2526'!I14</f>
        <v>67100</v>
      </c>
      <c r="J20" s="5">
        <f>'ACTUAL 2526'!J14</f>
        <v>62600</v>
      </c>
      <c r="K20" s="5">
        <f>'ACTUAL 2526'!K14</f>
        <v>116200</v>
      </c>
      <c r="L20" s="5">
        <f>'ACTUAL 2526'!L14</f>
        <v>81000</v>
      </c>
      <c r="M20" s="5">
        <f>'ACTUAL 2526'!M14</f>
        <v>61500</v>
      </c>
      <c r="N20" s="5">
        <f>'ACTUAL 2526'!N14</f>
        <v>0</v>
      </c>
      <c r="O20" s="5">
        <f>'ACTUAL 2526'!O14</f>
        <v>0</v>
      </c>
      <c r="P20" s="5">
        <f>'ACTUAL 2526'!P14</f>
        <v>0</v>
      </c>
      <c r="Q20" s="5">
        <f t="shared" ref="Q20:Q21" si="0">SUM(E20:P20)</f>
        <v>708200</v>
      </c>
    </row>
    <row r="21" spans="3:17" x14ac:dyDescent="0.35">
      <c r="D21" s="3" t="str">
        <f>'KPI 1'!D21</f>
        <v>ACTUAL2024/25</v>
      </c>
      <c r="E21" s="5">
        <f>'Actual 202425'!E14</f>
        <v>77900</v>
      </c>
      <c r="F21" s="5">
        <f>'Actual 202425'!F14</f>
        <v>100000</v>
      </c>
      <c r="G21" s="5">
        <f>'Actual 202425'!G14</f>
        <v>107100</v>
      </c>
      <c r="H21" s="5">
        <f>'Actual 202425'!H14</f>
        <v>99700</v>
      </c>
      <c r="I21" s="5">
        <f>'Actual 202425'!I14</f>
        <v>100900</v>
      </c>
      <c r="J21" s="5">
        <f>'Actual 202425'!J14</f>
        <v>57800</v>
      </c>
      <c r="K21" s="5">
        <f>'Actual 202425'!K14</f>
        <v>124500</v>
      </c>
      <c r="L21" s="5">
        <f>'Actual 202425'!L14</f>
        <v>96800</v>
      </c>
      <c r="M21" s="5">
        <f>'Actual 202425'!M14</f>
        <v>100800</v>
      </c>
      <c r="N21" s="5">
        <f>'Actual 202425'!N14</f>
        <v>67500</v>
      </c>
      <c r="O21" s="5">
        <f>'Actual 202425'!O14</f>
        <v>86800</v>
      </c>
      <c r="P21" s="5">
        <f>'Actual 202425'!P14</f>
        <v>124600</v>
      </c>
      <c r="Q21" s="5">
        <f t="shared" si="0"/>
        <v>1144400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-11200</v>
      </c>
      <c r="F22" s="5">
        <f t="shared" si="1"/>
        <v>-7900</v>
      </c>
      <c r="G22" s="5">
        <f t="shared" si="1"/>
        <v>-15400</v>
      </c>
      <c r="H22" s="5">
        <f t="shared" si="1"/>
        <v>-5700</v>
      </c>
      <c r="I22" s="5">
        <f t="shared" si="1"/>
        <v>-22900</v>
      </c>
      <c r="J22" s="5">
        <f t="shared" si="1"/>
        <v>-27400</v>
      </c>
      <c r="K22" s="5">
        <f t="shared" si="1"/>
        <v>26200</v>
      </c>
      <c r="L22" s="5">
        <f t="shared" si="1"/>
        <v>-9000</v>
      </c>
      <c r="M22" s="5">
        <f t="shared" si="1"/>
        <v>-28500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-101800</v>
      </c>
    </row>
    <row r="23" spans="3:17" x14ac:dyDescent="0.35">
      <c r="D23" s="3" t="str">
        <f>'KPI 1'!D23</f>
        <v>%REALISATION</v>
      </c>
      <c r="E23" s="9">
        <f t="shared" ref="E23:P23" si="2">E20/E19</f>
        <v>0.87555555555555553</v>
      </c>
      <c r="F23" s="9">
        <f t="shared" si="2"/>
        <v>0.91222222222222227</v>
      </c>
      <c r="G23" s="9">
        <f t="shared" si="2"/>
        <v>0.8288888888888889</v>
      </c>
      <c r="H23" s="9">
        <f t="shared" si="2"/>
        <v>0.93666666666666665</v>
      </c>
      <c r="I23" s="9">
        <f t="shared" si="2"/>
        <v>0.74555555555555553</v>
      </c>
      <c r="J23" s="9">
        <f t="shared" si="2"/>
        <v>0.69555555555555559</v>
      </c>
      <c r="K23" s="9">
        <f t="shared" si="2"/>
        <v>1.2911111111111111</v>
      </c>
      <c r="L23" s="9">
        <f t="shared" si="2"/>
        <v>0.9</v>
      </c>
      <c r="M23" s="9">
        <f t="shared" si="2"/>
        <v>0.68333333333333335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90000</v>
      </c>
      <c r="F26" s="5">
        <f>SUM($E19:F19)</f>
        <v>180000</v>
      </c>
      <c r="G26" s="5">
        <f>SUM($E19:G19)</f>
        <v>270000</v>
      </c>
      <c r="H26" s="5">
        <f>SUM($E19:H19)</f>
        <v>360000</v>
      </c>
      <c r="I26" s="5">
        <f>SUM($E19:I19)</f>
        <v>450000</v>
      </c>
      <c r="J26" s="5">
        <f>SUM($E19:J19)</f>
        <v>540000</v>
      </c>
      <c r="K26" s="5">
        <f>SUM($E19:K19)</f>
        <v>630000</v>
      </c>
      <c r="L26" s="5">
        <f>SUM($E19:L19)</f>
        <v>720000</v>
      </c>
      <c r="M26" s="5">
        <f>SUM($E19:M19)</f>
        <v>810000</v>
      </c>
      <c r="N26" s="5">
        <f>SUM($E19:N19)</f>
        <v>900000</v>
      </c>
      <c r="O26" s="5">
        <f>SUM($E19:O19)</f>
        <v>990000</v>
      </c>
      <c r="P26" s="5">
        <f>SUM($E19:P19)</f>
        <v>1080000</v>
      </c>
    </row>
    <row r="27" spans="3:17" x14ac:dyDescent="0.35">
      <c r="D27" s="3" t="str">
        <f>'KPI 1'!D27</f>
        <v>ACTUAL2025/26</v>
      </c>
      <c r="E27" s="5">
        <f>SUM($E20:E20)</f>
        <v>78800</v>
      </c>
      <c r="F27" s="5">
        <f>SUM($E20:F20)</f>
        <v>160900</v>
      </c>
      <c r="G27" s="5">
        <f>SUM($E20:G20)</f>
        <v>235500</v>
      </c>
      <c r="H27" s="5">
        <f>SUM($E20:H20)</f>
        <v>319800</v>
      </c>
      <c r="I27" s="5">
        <f>SUM($E20:I20)</f>
        <v>386900</v>
      </c>
      <c r="J27" s="5">
        <f>SUM($E20:J20)</f>
        <v>449500</v>
      </c>
      <c r="K27" s="5">
        <f>SUM($E20:K20)</f>
        <v>565700</v>
      </c>
      <c r="L27" s="5">
        <f>SUM($E20:L20)</f>
        <v>646700</v>
      </c>
      <c r="M27" s="5">
        <f>SUM($E20:M20)</f>
        <v>708200</v>
      </c>
      <c r="N27" s="5">
        <f>SUM($E20:N20)</f>
        <v>708200</v>
      </c>
      <c r="O27" s="5">
        <f>SUM($E20:O20)</f>
        <v>708200</v>
      </c>
      <c r="P27" s="5">
        <f>SUM($E20:P20)</f>
        <v>708200</v>
      </c>
    </row>
    <row r="28" spans="3:17" x14ac:dyDescent="0.35">
      <c r="D28" s="3" t="str">
        <f>'KPI 1'!D28</f>
        <v>ACTUAL2024/25</v>
      </c>
      <c r="E28" s="5">
        <f>SUM($E21:E21)</f>
        <v>77900</v>
      </c>
      <c r="F28" s="5">
        <f>SUM($E21:F21)</f>
        <v>177900</v>
      </c>
      <c r="G28" s="5">
        <f>SUM($E21:G21)</f>
        <v>285000</v>
      </c>
      <c r="H28" s="5">
        <f>SUM($E21:H21)</f>
        <v>384700</v>
      </c>
      <c r="I28" s="5">
        <f>SUM($E21:I21)</f>
        <v>485600</v>
      </c>
      <c r="J28" s="5">
        <f>SUM($E21:J21)</f>
        <v>543400</v>
      </c>
      <c r="K28" s="5">
        <f>SUM($E21:K21)</f>
        <v>667900</v>
      </c>
      <c r="L28" s="5">
        <f>SUM($E21:L21)</f>
        <v>764700</v>
      </c>
      <c r="M28" s="5">
        <f>SUM($E21:M21)</f>
        <v>865500</v>
      </c>
      <c r="N28" s="5">
        <f>SUM($E21:N21)</f>
        <v>933000</v>
      </c>
      <c r="O28" s="5">
        <f>SUM($E21:O21)</f>
        <v>1019800</v>
      </c>
      <c r="P28" s="5">
        <f>SUM($E21:P21)</f>
        <v>1144400</v>
      </c>
    </row>
    <row r="29" spans="3:17" x14ac:dyDescent="0.35">
      <c r="D29" s="3" t="str">
        <f>'KPI 1'!D29</f>
        <v>DIFFERENCE</v>
      </c>
      <c r="E29" s="5">
        <f>SUM($E22:E22)</f>
        <v>-11200</v>
      </c>
      <c r="F29" s="5">
        <f>SUM($E22:F22)</f>
        <v>-19100</v>
      </c>
      <c r="G29" s="5">
        <f>SUM($E22:G22)</f>
        <v>-34500</v>
      </c>
      <c r="H29" s="5">
        <f>SUM($E22:H22)</f>
        <v>-40200</v>
      </c>
      <c r="I29" s="5">
        <f>SUM($E22:I22)</f>
        <v>-63100</v>
      </c>
      <c r="J29" s="5">
        <f>SUM($E22:J22)</f>
        <v>-90500</v>
      </c>
      <c r="K29" s="5">
        <f>SUM($E22:K22)</f>
        <v>-64300</v>
      </c>
      <c r="L29" s="5">
        <f>SUM($E22:L22)</f>
        <v>-73300</v>
      </c>
      <c r="M29" s="5">
        <f>SUM($E22:M22)</f>
        <v>-101800</v>
      </c>
      <c r="N29" s="5">
        <f>SUM($E22:N22)</f>
        <v>-101800</v>
      </c>
      <c r="O29" s="5">
        <f>SUM($E22:O22)</f>
        <v>-101800</v>
      </c>
      <c r="P29" s="5">
        <f>SUM($E22:P22)</f>
        <v>-101800</v>
      </c>
    </row>
    <row r="30" spans="3:17" x14ac:dyDescent="0.35">
      <c r="D30" s="3" t="str">
        <f>'KPI 1'!D30</f>
        <v>%REALISATION</v>
      </c>
      <c r="E30" s="9">
        <f t="shared" ref="E30:P30" si="3">E27/E26</f>
        <v>0.87555555555555553</v>
      </c>
      <c r="F30" s="9">
        <f t="shared" si="3"/>
        <v>0.89388888888888884</v>
      </c>
      <c r="G30" s="9">
        <f t="shared" si="3"/>
        <v>0.87222222222222223</v>
      </c>
      <c r="H30" s="9">
        <f t="shared" si="3"/>
        <v>0.88833333333333331</v>
      </c>
      <c r="I30" s="9">
        <f t="shared" si="3"/>
        <v>0.85977777777777775</v>
      </c>
      <c r="J30" s="9">
        <f t="shared" si="3"/>
        <v>0.83240740740740737</v>
      </c>
      <c r="K30" s="9">
        <f t="shared" si="3"/>
        <v>0.89793650793650792</v>
      </c>
      <c r="L30" s="9">
        <f t="shared" si="3"/>
        <v>0.89819444444444441</v>
      </c>
      <c r="M30" s="9">
        <f t="shared" si="3"/>
        <v>0.87432098765432098</v>
      </c>
      <c r="N30" s="9">
        <f t="shared" si="3"/>
        <v>0.78688888888888886</v>
      </c>
      <c r="O30" s="9">
        <f t="shared" si="3"/>
        <v>0.71535353535353541</v>
      </c>
      <c r="P30" s="9">
        <f t="shared" si="3"/>
        <v>0.65574074074074074</v>
      </c>
    </row>
  </sheetData>
  <mergeCells count="2">
    <mergeCell ref="J4:Q8"/>
    <mergeCell ref="J10:Q15"/>
  </mergeCells>
  <conditionalFormatting sqref="C3">
    <cfRule type="expression" dxfId="113" priority="2">
      <formula>S4&lt;S6</formula>
    </cfRule>
  </conditionalFormatting>
  <conditionalFormatting sqref="C4">
    <cfRule type="expression" dxfId="112" priority="1">
      <formula>AND(S4&gt;=S6,S4&lt;S5)</formula>
    </cfRule>
  </conditionalFormatting>
  <conditionalFormatting sqref="C5">
    <cfRule type="expression" dxfId="111" priority="3">
      <formula>S4&gt;=S5</formula>
    </cfRule>
  </conditionalFormatting>
  <hyperlinks>
    <hyperlink ref="L1" location="Dashboard!A1" display="Dashboard" xr:uid="{00000000-0004-0000-19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788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Dashboard!A14</f>
        <v>9</v>
      </c>
      <c r="C1" s="4" t="str">
        <f>Dashboard!B14</f>
        <v>misc income-printing fee,CA,meter replacement fee,meter testing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2918450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1008450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907605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BUDGET2526!D15</f>
        <v>112050</v>
      </c>
      <c r="F19" s="5">
        <f>BUDGET2526!E15</f>
        <v>112050</v>
      </c>
      <c r="G19" s="5">
        <f>BUDGET2526!F15</f>
        <v>112050</v>
      </c>
      <c r="H19" s="5">
        <f>BUDGET2526!G15</f>
        <v>112050</v>
      </c>
      <c r="I19" s="5">
        <f>BUDGET2526!H15</f>
        <v>112050</v>
      </c>
      <c r="J19" s="5">
        <f>BUDGET2526!I15</f>
        <v>112050</v>
      </c>
      <c r="K19" s="5">
        <f>BUDGET2526!J15</f>
        <v>112050</v>
      </c>
      <c r="L19" s="5">
        <f>BUDGET2526!K15</f>
        <v>112050</v>
      </c>
      <c r="M19" s="5">
        <f>BUDGET2526!L15</f>
        <v>112050</v>
      </c>
      <c r="N19" s="5">
        <f>BUDGET2526!M15</f>
        <v>112050</v>
      </c>
      <c r="O19" s="5">
        <f>BUDGET2526!N15</f>
        <v>112050</v>
      </c>
      <c r="P19" s="5">
        <f>BUDGET2526!O15</f>
        <v>112050</v>
      </c>
      <c r="Q19" s="5">
        <f>SUM(E19:P19)</f>
        <v>1344600</v>
      </c>
    </row>
    <row r="20" spans="3:17" x14ac:dyDescent="0.35">
      <c r="D20" s="3" t="str">
        <f>'KPI 1'!D20</f>
        <v>ACTUAL2025/26</v>
      </c>
      <c r="E20" s="5">
        <f>'ACTUAL 2526'!E15</f>
        <v>115100</v>
      </c>
      <c r="F20" s="5">
        <f>'ACTUAL 2526'!F15</f>
        <v>30900</v>
      </c>
      <c r="G20" s="5">
        <f>'ACTUAL 2526'!G15</f>
        <v>49000</v>
      </c>
      <c r="H20" s="5">
        <f>'ACTUAL 2526'!H15</f>
        <v>44200</v>
      </c>
      <c r="I20" s="5">
        <f>'ACTUAL 2526'!I15</f>
        <v>68950</v>
      </c>
      <c r="J20" s="5">
        <f>'ACTUAL 2526'!J15</f>
        <v>21500</v>
      </c>
      <c r="K20" s="5">
        <f>'ACTUAL 2526'!K15</f>
        <v>57700</v>
      </c>
      <c r="L20" s="5">
        <f>'ACTUAL 2526'!L15</f>
        <v>76800</v>
      </c>
      <c r="M20" s="5">
        <f>'ACTUAL 2526'!M15</f>
        <v>2454300</v>
      </c>
      <c r="N20" s="5">
        <f>'ACTUAL 2526'!N15</f>
        <v>0</v>
      </c>
      <c r="O20" s="5">
        <f>'ACTUAL 2526'!O15</f>
        <v>0</v>
      </c>
      <c r="P20" s="5">
        <f>'ACTUAL 2526'!P15</f>
        <v>0</v>
      </c>
      <c r="Q20" s="5">
        <f t="shared" ref="Q20" si="0">SUM(E20:P20)</f>
        <v>2918450</v>
      </c>
    </row>
    <row r="21" spans="3:17" x14ac:dyDescent="0.35">
      <c r="D21" s="3" t="str">
        <f>'KPI 1'!D21</f>
        <v>ACTUAL2024/25</v>
      </c>
      <c r="E21" s="5">
        <f>'Actual 202425'!E15</f>
        <v>75850</v>
      </c>
      <c r="F21" s="5">
        <f>'Actual 202425'!F15</f>
        <v>51400</v>
      </c>
      <c r="G21" s="5">
        <f>'Actual 202425'!G15</f>
        <v>133100</v>
      </c>
      <c r="H21" s="5">
        <f>'Actual 202425'!H15</f>
        <v>165000</v>
      </c>
      <c r="I21" s="5">
        <f>'Actual 202425'!I15</f>
        <v>46900</v>
      </c>
      <c r="J21" s="5">
        <f>'Actual 202425'!J15</f>
        <v>80800</v>
      </c>
      <c r="K21" s="5">
        <f>'Actual 202425'!K15</f>
        <v>147500</v>
      </c>
      <c r="L21" s="5">
        <f>'Actual 202425'!L15</f>
        <v>100950</v>
      </c>
      <c r="M21" s="5">
        <f>'Actual 202425'!M15</f>
        <v>163400</v>
      </c>
      <c r="N21" s="5">
        <f>'Actual 202425'!N15</f>
        <v>295950</v>
      </c>
      <c r="O21" s="5">
        <f>'Actual 202425'!O15</f>
        <v>143650</v>
      </c>
      <c r="P21" s="5">
        <f>'Actual 202425'!P15</f>
        <v>90350</v>
      </c>
      <c r="Q21" s="5">
        <f>ACTUAL2021!P20</f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3050</v>
      </c>
      <c r="F22" s="5">
        <f t="shared" si="1"/>
        <v>-81150</v>
      </c>
      <c r="G22" s="5">
        <f t="shared" si="1"/>
        <v>-63050</v>
      </c>
      <c r="H22" s="5">
        <f t="shared" si="1"/>
        <v>-67850</v>
      </c>
      <c r="I22" s="5">
        <f t="shared" si="1"/>
        <v>-43100</v>
      </c>
      <c r="J22" s="5">
        <f t="shared" si="1"/>
        <v>-90550</v>
      </c>
      <c r="K22" s="5">
        <f t="shared" si="1"/>
        <v>-54350</v>
      </c>
      <c r="L22" s="5">
        <f t="shared" si="1"/>
        <v>-35250</v>
      </c>
      <c r="M22" s="5">
        <f t="shared" si="1"/>
        <v>2342250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1910000</v>
      </c>
    </row>
    <row r="23" spans="3:17" x14ac:dyDescent="0.35">
      <c r="D23" s="3" t="str">
        <f>'KPI 1'!D23</f>
        <v>%REALISATION</v>
      </c>
      <c r="E23" s="9">
        <f>E20/E19</f>
        <v>1.0272199910754127</v>
      </c>
      <c r="F23" s="9">
        <f>F20/F19</f>
        <v>0.27576974564926371</v>
      </c>
      <c r="G23" s="9">
        <f t="shared" ref="G23:P23" si="2">G20/G19</f>
        <v>0.43730477465417222</v>
      </c>
      <c r="H23" s="9">
        <f t="shared" si="2"/>
        <v>0.39446675591253905</v>
      </c>
      <c r="I23" s="9">
        <f t="shared" si="2"/>
        <v>0.61535029004908526</v>
      </c>
      <c r="J23" s="9">
        <f t="shared" si="2"/>
        <v>0.19187862561356536</v>
      </c>
      <c r="K23" s="9">
        <f t="shared" si="2"/>
        <v>0.51494868362338242</v>
      </c>
      <c r="L23" s="9">
        <f t="shared" si="2"/>
        <v>0.68540829986613117</v>
      </c>
      <c r="M23" s="9">
        <f t="shared" si="2"/>
        <v>21.903614457831324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112050</v>
      </c>
      <c r="F26" s="5">
        <f>SUM($E19:F19)</f>
        <v>224100</v>
      </c>
      <c r="G26" s="5">
        <f>SUM($E19:G19)</f>
        <v>336150</v>
      </c>
      <c r="H26" s="5">
        <f>SUM($E19:H19)</f>
        <v>448200</v>
      </c>
      <c r="I26" s="5">
        <f>SUM($E19:I19)</f>
        <v>560250</v>
      </c>
      <c r="J26" s="5">
        <f>SUM($E19:J19)</f>
        <v>672300</v>
      </c>
      <c r="K26" s="5">
        <f>SUM($E19:K19)</f>
        <v>784350</v>
      </c>
      <c r="L26" s="5">
        <f>SUM($E19:L19)</f>
        <v>896400</v>
      </c>
      <c r="M26" s="5">
        <f>SUM($E19:M19)</f>
        <v>1008450</v>
      </c>
      <c r="N26" s="5">
        <f>SUM($E19:N19)</f>
        <v>1120500</v>
      </c>
      <c r="O26" s="5">
        <f>SUM($E19:O19)</f>
        <v>1232550</v>
      </c>
      <c r="P26" s="5">
        <f>SUM($E19:P19)</f>
        <v>1344600</v>
      </c>
    </row>
    <row r="27" spans="3:17" x14ac:dyDescent="0.35">
      <c r="D27" s="3" t="str">
        <f>'KPI 1'!D27</f>
        <v>ACTUAL2025/26</v>
      </c>
      <c r="E27" s="5">
        <f>SUM($E20:E20)</f>
        <v>115100</v>
      </c>
      <c r="F27" s="5">
        <f>SUM($E20:F20)</f>
        <v>146000</v>
      </c>
      <c r="G27" s="5">
        <f>SUM($E20:G20)</f>
        <v>195000</v>
      </c>
      <c r="H27" s="5">
        <f>SUM($E20:H20)</f>
        <v>239200</v>
      </c>
      <c r="I27" s="5">
        <f>SUM($E20:I20)</f>
        <v>308150</v>
      </c>
      <c r="J27" s="5">
        <f>SUM($E20:J20)</f>
        <v>329650</v>
      </c>
      <c r="K27" s="5">
        <f>SUM($E20:K20)</f>
        <v>387350</v>
      </c>
      <c r="L27" s="5">
        <f>SUM($E20:L20)</f>
        <v>464150</v>
      </c>
      <c r="M27" s="5">
        <f>SUM($E20:M20)</f>
        <v>2918450</v>
      </c>
      <c r="N27" s="5">
        <f>SUM($E20:N20)</f>
        <v>2918450</v>
      </c>
      <c r="O27" s="5">
        <f>SUM($E20:O20)</f>
        <v>2918450</v>
      </c>
      <c r="P27" s="5">
        <f>SUM($E20:P20)</f>
        <v>2918450</v>
      </c>
    </row>
    <row r="28" spans="3:17" x14ac:dyDescent="0.35">
      <c r="D28" s="3" t="str">
        <f>'KPI 1'!D28</f>
        <v>ACTUAL2024/25</v>
      </c>
      <c r="E28" s="5">
        <f>SUM($E21:E21)</f>
        <v>75850</v>
      </c>
      <c r="F28" s="5">
        <f>SUM($E21:F21)</f>
        <v>127250</v>
      </c>
      <c r="G28" s="5">
        <f>SUM($E21:G21)</f>
        <v>260350</v>
      </c>
      <c r="H28" s="5">
        <f>SUM($E21:H21)</f>
        <v>425350</v>
      </c>
      <c r="I28" s="5">
        <f>SUM($E21:I21)</f>
        <v>472250</v>
      </c>
      <c r="J28" s="5">
        <f>SUM($E21:J21)</f>
        <v>553050</v>
      </c>
      <c r="K28" s="5">
        <f>SUM($E21:K21)</f>
        <v>700550</v>
      </c>
      <c r="L28" s="5">
        <f>SUM($E21:L21)</f>
        <v>801500</v>
      </c>
      <c r="M28" s="5">
        <f>SUM($E21:M21)</f>
        <v>964900</v>
      </c>
      <c r="N28" s="5">
        <f>SUM($E21:N21)</f>
        <v>1260850</v>
      </c>
      <c r="O28" s="5">
        <f>SUM($E21:O21)</f>
        <v>1404500</v>
      </c>
      <c r="P28" s="5">
        <f>SUM($E21:P21)</f>
        <v>1494850</v>
      </c>
    </row>
    <row r="29" spans="3:17" x14ac:dyDescent="0.35">
      <c r="D29" s="3" t="str">
        <f>'KPI 1'!D29</f>
        <v>DIFFERENCE</v>
      </c>
      <c r="E29" s="5">
        <f>SUM($E22:E22)</f>
        <v>3050</v>
      </c>
      <c r="F29" s="5">
        <f>SUM($E22:F22)</f>
        <v>-78100</v>
      </c>
      <c r="G29" s="5">
        <f>SUM($E22:G22)</f>
        <v>-141150</v>
      </c>
      <c r="H29" s="5">
        <f>SUM($E22:H22)</f>
        <v>-209000</v>
      </c>
      <c r="I29" s="5">
        <f>SUM($E22:I22)</f>
        <v>-252100</v>
      </c>
      <c r="J29" s="5">
        <f>SUM($E22:J22)</f>
        <v>-342650</v>
      </c>
      <c r="K29" s="5">
        <f>SUM($E22:K22)</f>
        <v>-397000</v>
      </c>
      <c r="L29" s="5">
        <f>SUM($E22:L22)</f>
        <v>-432250</v>
      </c>
      <c r="M29" s="5">
        <f>SUM($E22:M22)</f>
        <v>1910000</v>
      </c>
      <c r="N29" s="5">
        <f>SUM($E22:N22)</f>
        <v>1910000</v>
      </c>
      <c r="O29" s="5">
        <f>SUM($E22:O22)</f>
        <v>1910000</v>
      </c>
      <c r="P29" s="5">
        <f>SUM($E22:P22)</f>
        <v>1910000</v>
      </c>
    </row>
    <row r="30" spans="3:17" x14ac:dyDescent="0.35">
      <c r="D30" s="3" t="str">
        <f>'KPI 1'!D30</f>
        <v>%REALISATION</v>
      </c>
      <c r="E30" s="9">
        <f t="shared" ref="E30:P30" si="3">E27/E26</f>
        <v>1.0272199910754127</v>
      </c>
      <c r="F30" s="9">
        <f t="shared" si="3"/>
        <v>0.65149486836233828</v>
      </c>
      <c r="G30" s="9">
        <f t="shared" si="3"/>
        <v>0.5800981704596162</v>
      </c>
      <c r="H30" s="9">
        <f t="shared" si="3"/>
        <v>0.53369031682284696</v>
      </c>
      <c r="I30" s="9">
        <f t="shared" si="3"/>
        <v>0.55002231146809455</v>
      </c>
      <c r="J30" s="9">
        <f t="shared" si="3"/>
        <v>0.49033169715900637</v>
      </c>
      <c r="K30" s="9">
        <f t="shared" si="3"/>
        <v>0.49384840951106013</v>
      </c>
      <c r="L30" s="9">
        <f t="shared" si="3"/>
        <v>0.51779339580544403</v>
      </c>
      <c r="M30" s="9">
        <f t="shared" si="3"/>
        <v>2.8939957360305417</v>
      </c>
      <c r="N30" s="9">
        <f t="shared" si="3"/>
        <v>2.6045961624274878</v>
      </c>
      <c r="O30" s="9">
        <f t="shared" si="3"/>
        <v>2.3678146931158981</v>
      </c>
      <c r="P30" s="9">
        <f t="shared" si="3"/>
        <v>2.1704968020229063</v>
      </c>
    </row>
  </sheetData>
  <mergeCells count="2">
    <mergeCell ref="J4:Q8"/>
    <mergeCell ref="J10:Q15"/>
  </mergeCells>
  <conditionalFormatting sqref="C3">
    <cfRule type="expression" dxfId="110" priority="2">
      <formula>S4&lt;S6</formula>
    </cfRule>
  </conditionalFormatting>
  <conditionalFormatting sqref="C4">
    <cfRule type="expression" dxfId="109" priority="1">
      <formula>AND(S4&gt;=S6,S4&lt;S5)</formula>
    </cfRule>
  </conditionalFormatting>
  <conditionalFormatting sqref="C5">
    <cfRule type="expression" dxfId="108" priority="3">
      <formula>S4&gt;=S5</formula>
    </cfRule>
  </conditionalFormatting>
  <hyperlinks>
    <hyperlink ref="L1" location="Dashboard!A1" display="Dashboard" xr:uid="{00000000-0004-0000-1A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891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Dashboard!A15</f>
        <v>10</v>
      </c>
      <c r="C1" s="4" t="str">
        <f>Dashboard!B15</f>
        <v>sewer unblocking fee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45000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22500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20250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BUDGET2526!D16</f>
        <v>2500</v>
      </c>
      <c r="F19" s="5">
        <f>BUDGET2526!E16</f>
        <v>2500</v>
      </c>
      <c r="G19" s="5">
        <f>BUDGET2526!F16</f>
        <v>2500</v>
      </c>
      <c r="H19" s="5">
        <f>BUDGET2526!G16</f>
        <v>2500</v>
      </c>
      <c r="I19" s="5">
        <f>BUDGET2526!H16</f>
        <v>2500</v>
      </c>
      <c r="J19" s="5">
        <f>BUDGET2526!I16</f>
        <v>2500</v>
      </c>
      <c r="K19" s="5">
        <f>BUDGET2526!J16</f>
        <v>2500</v>
      </c>
      <c r="L19" s="5">
        <f>BUDGET2526!K16</f>
        <v>2500</v>
      </c>
      <c r="M19" s="5">
        <f>BUDGET2526!L16</f>
        <v>2500</v>
      </c>
      <c r="N19" s="5">
        <f>BUDGET2526!M16</f>
        <v>2500</v>
      </c>
      <c r="O19" s="5">
        <f>BUDGET2526!N16</f>
        <v>2500</v>
      </c>
      <c r="P19" s="5">
        <f>BUDGET2526!O16</f>
        <v>2500</v>
      </c>
      <c r="Q19" s="5">
        <f>SUM(E19:P19)</f>
        <v>30000</v>
      </c>
    </row>
    <row r="20" spans="3:17" x14ac:dyDescent="0.35">
      <c r="D20" s="3" t="str">
        <f>'KPI 1'!D20</f>
        <v>ACTUAL2025/26</v>
      </c>
      <c r="E20" s="5">
        <f>'ACTUAL 2526'!E16</f>
        <v>2500</v>
      </c>
      <c r="F20" s="5">
        <f>'ACTUAL 2526'!F16</f>
        <v>5000</v>
      </c>
      <c r="G20" s="5">
        <f>'ACTUAL 2526'!G16</f>
        <v>5000</v>
      </c>
      <c r="H20" s="5">
        <f>'ACTUAL 2526'!H16</f>
        <v>0</v>
      </c>
      <c r="I20" s="5">
        <f>'ACTUAL 2526'!I16</f>
        <v>0</v>
      </c>
      <c r="J20" s="5">
        <f>'ACTUAL 2526'!J16</f>
        <v>0</v>
      </c>
      <c r="K20" s="5">
        <f>'ACTUAL 2526'!K16</f>
        <v>32500</v>
      </c>
      <c r="L20" s="5">
        <f>'ACTUAL 2526'!L16</f>
        <v>0</v>
      </c>
      <c r="M20" s="5">
        <f>'ACTUAL 2526'!M16</f>
        <v>0</v>
      </c>
      <c r="N20" s="5">
        <f>'ACTUAL 2526'!N16</f>
        <v>0</v>
      </c>
      <c r="O20" s="5">
        <f>'ACTUAL 2526'!O16</f>
        <v>0</v>
      </c>
      <c r="P20" s="5">
        <f>'ACTUAL 2526'!P16</f>
        <v>0</v>
      </c>
      <c r="Q20" s="5">
        <f t="shared" ref="Q20:Q21" si="0">SUM(E20:P20)</f>
        <v>45000</v>
      </c>
    </row>
    <row r="21" spans="3:17" x14ac:dyDescent="0.35">
      <c r="D21" s="3" t="str">
        <f>'KPI 1'!D21</f>
        <v>ACTUAL2024/25</v>
      </c>
      <c r="E21" s="5">
        <f>'Actual 202425'!E16</f>
        <v>0</v>
      </c>
      <c r="F21" s="5">
        <f>'Actual 202425'!F16</f>
        <v>0</v>
      </c>
      <c r="G21" s="5">
        <f>'Actual 202425'!G16</f>
        <v>0</v>
      </c>
      <c r="H21" s="5">
        <f>'Actual 202425'!H16</f>
        <v>0</v>
      </c>
      <c r="I21" s="5">
        <f>'Actual 202425'!I16</f>
        <v>0</v>
      </c>
      <c r="J21" s="5">
        <f>'Actual 202425'!J16</f>
        <v>2500</v>
      </c>
      <c r="K21" s="5">
        <f>'Actual 202425'!K16</f>
        <v>0</v>
      </c>
      <c r="L21" s="5">
        <f>'Actual 202425'!L16</f>
        <v>0</v>
      </c>
      <c r="M21" s="5">
        <f>'Actual 202425'!M16</f>
        <v>0</v>
      </c>
      <c r="N21" s="5">
        <f>'Actual 202425'!N16</f>
        <v>0</v>
      </c>
      <c r="O21" s="5">
        <f>'Actual 202425'!O16</f>
        <v>2500</v>
      </c>
      <c r="P21" s="5">
        <f>'Actual 202425'!P16</f>
        <v>0</v>
      </c>
      <c r="Q21" s="5">
        <f t="shared" si="0"/>
        <v>5000</v>
      </c>
    </row>
    <row r="22" spans="3:17" x14ac:dyDescent="0.35">
      <c r="D22" s="3" t="str">
        <f>'KPI 1'!D22</f>
        <v>DIFFERENCE</v>
      </c>
      <c r="E22" s="5">
        <f t="shared" ref="E22:P22" si="1">IF(E20=0,0,E20-E19)</f>
        <v>0</v>
      </c>
      <c r="F22" s="5">
        <f t="shared" si="1"/>
        <v>2500</v>
      </c>
      <c r="G22" s="5">
        <f t="shared" si="1"/>
        <v>2500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30000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35000</v>
      </c>
    </row>
    <row r="23" spans="3:17" x14ac:dyDescent="0.35">
      <c r="D23" s="3" t="str">
        <f>'KPI 1'!D23</f>
        <v>%REALISATION</v>
      </c>
      <c r="E23" s="9">
        <f t="shared" ref="E23:P23" si="2">E20/E19</f>
        <v>1</v>
      </c>
      <c r="F23" s="9">
        <f t="shared" si="2"/>
        <v>2</v>
      </c>
      <c r="G23" s="9">
        <f t="shared" si="2"/>
        <v>2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13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2500</v>
      </c>
      <c r="F26" s="5">
        <f>SUM($E19:F19)</f>
        <v>5000</v>
      </c>
      <c r="G26" s="5">
        <f>SUM($E19:G19)</f>
        <v>7500</v>
      </c>
      <c r="H26" s="5">
        <f>SUM($E19:H19)</f>
        <v>10000</v>
      </c>
      <c r="I26" s="5">
        <f>SUM($E19:I19)</f>
        <v>12500</v>
      </c>
      <c r="J26" s="5">
        <f>SUM($E19:J19)</f>
        <v>15000</v>
      </c>
      <c r="K26" s="5">
        <f>SUM($E19:K19)</f>
        <v>17500</v>
      </c>
      <c r="L26" s="5">
        <f>SUM($E19:L19)</f>
        <v>20000</v>
      </c>
      <c r="M26" s="5">
        <f>SUM($E19:M19)</f>
        <v>22500</v>
      </c>
      <c r="N26" s="5">
        <f>SUM($E19:N19)</f>
        <v>25000</v>
      </c>
      <c r="O26" s="5">
        <f>SUM($E19:O19)</f>
        <v>27500</v>
      </c>
      <c r="P26" s="5">
        <f>SUM($E19:P19)</f>
        <v>30000</v>
      </c>
    </row>
    <row r="27" spans="3:17" x14ac:dyDescent="0.35">
      <c r="D27" s="3" t="str">
        <f>'KPI 1'!D27</f>
        <v>ACTUAL2025/26</v>
      </c>
      <c r="E27" s="5">
        <f>SUM($E20:E20)</f>
        <v>2500</v>
      </c>
      <c r="F27" s="5">
        <f>SUM($E20:F20)</f>
        <v>7500</v>
      </c>
      <c r="G27" s="5">
        <f>SUM($E20:G20)</f>
        <v>12500</v>
      </c>
      <c r="H27" s="5">
        <f>SUM($E20:H20)</f>
        <v>12500</v>
      </c>
      <c r="I27" s="5">
        <f>SUM($E20:I20)</f>
        <v>12500</v>
      </c>
      <c r="J27" s="5">
        <f>SUM($E20:J20)</f>
        <v>12500</v>
      </c>
      <c r="K27" s="5">
        <f>SUM($E20:K20)</f>
        <v>45000</v>
      </c>
      <c r="L27" s="5">
        <f>SUM($E20:L20)</f>
        <v>45000</v>
      </c>
      <c r="M27" s="5">
        <f>SUM($E20:M20)</f>
        <v>45000</v>
      </c>
      <c r="N27" s="5">
        <f>SUM($E20:N20)</f>
        <v>45000</v>
      </c>
      <c r="O27" s="5">
        <f>SUM($E20:O20)</f>
        <v>45000</v>
      </c>
      <c r="P27" s="5">
        <f>SUM($E20:P20)</f>
        <v>45000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2500</v>
      </c>
      <c r="K28" s="5">
        <f>SUM($E21:K21)</f>
        <v>2500</v>
      </c>
      <c r="L28" s="5">
        <f>SUM($E21:L21)</f>
        <v>2500</v>
      </c>
      <c r="M28" s="5">
        <f>SUM($E21:M21)</f>
        <v>2500</v>
      </c>
      <c r="N28" s="5">
        <f>SUM($E21:N21)</f>
        <v>2500</v>
      </c>
      <c r="O28" s="5">
        <f>SUM($E21:O21)</f>
        <v>5000</v>
      </c>
      <c r="P28" s="5">
        <f>SUM($E21:P21)</f>
        <v>5000</v>
      </c>
    </row>
    <row r="29" spans="3:17" x14ac:dyDescent="0.35">
      <c r="D29" s="3" t="str">
        <f>'KPI 1'!D29</f>
        <v>DIFFERENCE</v>
      </c>
      <c r="E29" s="5">
        <f>SUM($E22:E22)</f>
        <v>0</v>
      </c>
      <c r="F29" s="5">
        <f>SUM($E22:F22)</f>
        <v>2500</v>
      </c>
      <c r="G29" s="5">
        <f>SUM($E22:G22)</f>
        <v>5000</v>
      </c>
      <c r="H29" s="5">
        <f>SUM($E22:H22)</f>
        <v>5000</v>
      </c>
      <c r="I29" s="5">
        <f>SUM($E22:I22)</f>
        <v>5000</v>
      </c>
      <c r="J29" s="5">
        <f>SUM($E22:J22)</f>
        <v>5000</v>
      </c>
      <c r="K29" s="5">
        <f>SUM($E22:K22)</f>
        <v>35000</v>
      </c>
      <c r="L29" s="5">
        <f>SUM($E22:L22)</f>
        <v>35000</v>
      </c>
      <c r="M29" s="5">
        <f>SUM($E22:M22)</f>
        <v>35000</v>
      </c>
      <c r="N29" s="5">
        <f>SUM($E22:N22)</f>
        <v>35000</v>
      </c>
      <c r="O29" s="5">
        <f>SUM($E22:O22)</f>
        <v>35000</v>
      </c>
      <c r="P29" s="5">
        <f>SUM($E22:P22)</f>
        <v>35000</v>
      </c>
    </row>
    <row r="30" spans="3:17" x14ac:dyDescent="0.35">
      <c r="D30" s="3" t="str">
        <f>'KPI 1'!D30</f>
        <v>%REALISATION</v>
      </c>
      <c r="E30" s="9">
        <f t="shared" ref="E30:P30" si="3">E27/E26</f>
        <v>1</v>
      </c>
      <c r="F30" s="9">
        <f t="shared" si="3"/>
        <v>1.5</v>
      </c>
      <c r="G30" s="9">
        <f t="shared" si="3"/>
        <v>1.6666666666666667</v>
      </c>
      <c r="H30" s="9">
        <f t="shared" si="3"/>
        <v>1.25</v>
      </c>
      <c r="I30" s="9">
        <f t="shared" si="3"/>
        <v>1</v>
      </c>
      <c r="J30" s="9">
        <f t="shared" si="3"/>
        <v>0.83333333333333337</v>
      </c>
      <c r="K30" s="9">
        <f t="shared" si="3"/>
        <v>2.5714285714285716</v>
      </c>
      <c r="L30" s="9">
        <f t="shared" si="3"/>
        <v>2.25</v>
      </c>
      <c r="M30" s="9">
        <f t="shared" si="3"/>
        <v>2</v>
      </c>
      <c r="N30" s="9">
        <f t="shared" si="3"/>
        <v>1.8</v>
      </c>
      <c r="O30" s="9">
        <f t="shared" si="3"/>
        <v>1.6363636363636365</v>
      </c>
      <c r="P30" s="9">
        <f t="shared" si="3"/>
        <v>1.5</v>
      </c>
    </row>
  </sheetData>
  <mergeCells count="2">
    <mergeCell ref="J4:Q8"/>
    <mergeCell ref="J10:Q15"/>
  </mergeCells>
  <conditionalFormatting sqref="C3">
    <cfRule type="expression" dxfId="107" priority="2">
      <formula>S4&lt;S6</formula>
    </cfRule>
  </conditionalFormatting>
  <conditionalFormatting sqref="C4">
    <cfRule type="expression" dxfId="106" priority="1">
      <formula>AND(S4&gt;=S6,S4&lt;S5)</formula>
    </cfRule>
  </conditionalFormatting>
  <conditionalFormatting sqref="C5">
    <cfRule type="expression" dxfId="105" priority="3">
      <formula>S4&gt;=S5</formula>
    </cfRule>
  </conditionalFormatting>
  <hyperlinks>
    <hyperlink ref="L1" location="Dashboard!A1" display="Dashboard" xr:uid="{00000000-0004-0000-1B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617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Dashboard!A16</f>
        <v>11</v>
      </c>
      <c r="C1" s="4" t="str">
        <f>Dashboard!B16</f>
        <v>penalties (water+sewer)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865000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1710009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1539008.1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BUDGET2526!D17</f>
        <v>110001</v>
      </c>
      <c r="F19" s="5">
        <f>BUDGET2526!E17</f>
        <v>260001</v>
      </c>
      <c r="G19" s="5">
        <f>BUDGET2526!F17</f>
        <v>220001</v>
      </c>
      <c r="H19" s="5">
        <f>BUDGET2526!G17</f>
        <v>150001</v>
      </c>
      <c r="I19" s="5">
        <f>BUDGET2526!H17</f>
        <v>160001</v>
      </c>
      <c r="J19" s="5">
        <f>BUDGET2526!I17</f>
        <v>240001</v>
      </c>
      <c r="K19" s="5">
        <f>BUDGET2526!J17</f>
        <v>190001</v>
      </c>
      <c r="L19" s="5">
        <f>BUDGET2526!K17</f>
        <v>190001</v>
      </c>
      <c r="M19" s="5">
        <f>BUDGET2526!L17</f>
        <v>190001</v>
      </c>
      <c r="N19" s="5">
        <f>BUDGET2526!M17</f>
        <v>160001</v>
      </c>
      <c r="O19" s="5">
        <f>BUDGET2526!N17</f>
        <v>110001</v>
      </c>
      <c r="P19" s="5">
        <f>BUDGET2526!O17</f>
        <v>120001</v>
      </c>
      <c r="Q19" s="5">
        <f>SUM(E19:P19)</f>
        <v>2100012</v>
      </c>
    </row>
    <row r="20" spans="3:17" x14ac:dyDescent="0.35">
      <c r="D20" s="3" t="str">
        <f>'KPI 1'!D20</f>
        <v>ACTUAL2025/26</v>
      </c>
      <c r="E20" s="5">
        <f>'ACTUAL 2526'!E17</f>
        <v>40000</v>
      </c>
      <c r="F20" s="5">
        <f>'ACTUAL 2526'!F17</f>
        <v>0</v>
      </c>
      <c r="G20" s="5">
        <f>'ACTUAL 2526'!G17</f>
        <v>280000</v>
      </c>
      <c r="H20" s="5">
        <f>'ACTUAL 2526'!H17</f>
        <v>90000</v>
      </c>
      <c r="I20" s="5">
        <f>'ACTUAL 2526'!I17</f>
        <v>0</v>
      </c>
      <c r="J20" s="5">
        <f>'ACTUAL 2526'!J17</f>
        <v>0</v>
      </c>
      <c r="K20" s="5">
        <f>'ACTUAL 2526'!K17</f>
        <v>285000</v>
      </c>
      <c r="L20" s="5">
        <f>'ACTUAL 2526'!L17</f>
        <v>15000</v>
      </c>
      <c r="M20" s="5">
        <f>'ACTUAL 2526'!M17</f>
        <v>155000</v>
      </c>
      <c r="N20" s="5">
        <f>'ACTUAL 2526'!N17</f>
        <v>0</v>
      </c>
      <c r="O20" s="5">
        <f>'ACTUAL 2526'!O17</f>
        <v>0</v>
      </c>
      <c r="P20" s="5">
        <f>'ACTUAL 2526'!P17</f>
        <v>0</v>
      </c>
      <c r="Q20" s="5">
        <f t="shared" ref="Q20:Q21" si="0">SUM(E20:P20)</f>
        <v>865000</v>
      </c>
    </row>
    <row r="21" spans="3:17" x14ac:dyDescent="0.35">
      <c r="D21" s="3" t="str">
        <f>'KPI 1'!D21</f>
        <v>ACTUAL2024/25</v>
      </c>
      <c r="E21" s="5">
        <f>'Actual 202425'!E17</f>
        <v>87556</v>
      </c>
      <c r="F21" s="5">
        <f>'Actual 202425'!F17</f>
        <v>16152</v>
      </c>
      <c r="G21" s="5">
        <f>'Actual 202425'!G17</f>
        <v>55750</v>
      </c>
      <c r="H21" s="5">
        <f>'Actual 202425'!H17</f>
        <v>51350</v>
      </c>
      <c r="I21" s="5">
        <f>'Actual 202425'!I17</f>
        <v>0</v>
      </c>
      <c r="J21" s="5">
        <f>'Actual 202425'!J17</f>
        <v>0</v>
      </c>
      <c r="K21" s="5">
        <f>'Actual 202425'!K17</f>
        <v>39580</v>
      </c>
      <c r="L21" s="5">
        <f>'Actual 202425'!L17</f>
        <v>7592</v>
      </c>
      <c r="M21" s="5">
        <f>'Actual 202425'!M17</f>
        <v>30000</v>
      </c>
      <c r="N21" s="5">
        <f>'Actual 202425'!N17</f>
        <v>285362</v>
      </c>
      <c r="O21" s="5">
        <f>'Actual 202425'!O17</f>
        <v>40000</v>
      </c>
      <c r="P21" s="5">
        <f>'Actual 202425'!P17</f>
        <v>10000</v>
      </c>
      <c r="Q21" s="5">
        <f t="shared" si="0"/>
        <v>623342</v>
      </c>
    </row>
    <row r="22" spans="3:17" x14ac:dyDescent="0.35">
      <c r="D22" s="3" t="str">
        <f>'KPI 1'!D22</f>
        <v>DIFFERENCE</v>
      </c>
      <c r="E22" s="5">
        <f t="shared" ref="E22:P22" si="1">IF(E20=0,0,E20-E19)</f>
        <v>-70001</v>
      </c>
      <c r="F22" s="5">
        <f t="shared" si="1"/>
        <v>0</v>
      </c>
      <c r="G22" s="5">
        <f t="shared" si="1"/>
        <v>59999</v>
      </c>
      <c r="H22" s="5">
        <f t="shared" si="1"/>
        <v>-60001</v>
      </c>
      <c r="I22" s="5">
        <f t="shared" si="1"/>
        <v>0</v>
      </c>
      <c r="J22" s="5">
        <f t="shared" si="1"/>
        <v>0</v>
      </c>
      <c r="K22" s="5">
        <f t="shared" si="1"/>
        <v>94999</v>
      </c>
      <c r="L22" s="5">
        <f t="shared" si="1"/>
        <v>-175001</v>
      </c>
      <c r="M22" s="5">
        <f t="shared" si="1"/>
        <v>-35001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-185006</v>
      </c>
    </row>
    <row r="23" spans="3:17" x14ac:dyDescent="0.35">
      <c r="D23" s="3" t="str">
        <f>'KPI 1'!D23</f>
        <v>%REALISATION</v>
      </c>
      <c r="E23" s="9">
        <f t="shared" ref="E23:P23" si="2">E20/E19</f>
        <v>0.36363305788129197</v>
      </c>
      <c r="F23" s="9">
        <f t="shared" si="2"/>
        <v>0</v>
      </c>
      <c r="G23" s="9">
        <f t="shared" si="2"/>
        <v>1.2727214876296016</v>
      </c>
      <c r="H23" s="9">
        <f t="shared" si="2"/>
        <v>0.59999600002666653</v>
      </c>
      <c r="I23" s="9">
        <f t="shared" si="2"/>
        <v>0</v>
      </c>
      <c r="J23" s="9">
        <f t="shared" si="2"/>
        <v>0</v>
      </c>
      <c r="K23" s="9">
        <f t="shared" si="2"/>
        <v>1.4999921053047089</v>
      </c>
      <c r="L23" s="9">
        <f t="shared" si="2"/>
        <v>7.8946952910774151E-2</v>
      </c>
      <c r="M23" s="9">
        <f t="shared" si="2"/>
        <v>0.81578518007799961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110001</v>
      </c>
      <c r="F26" s="5">
        <f>SUM($E19:F19)</f>
        <v>370002</v>
      </c>
      <c r="G26" s="5">
        <f>SUM($E19:G19)</f>
        <v>590003</v>
      </c>
      <c r="H26" s="5">
        <f>SUM($E19:H19)</f>
        <v>740004</v>
      </c>
      <c r="I26" s="5">
        <f>SUM($E19:I19)</f>
        <v>900005</v>
      </c>
      <c r="J26" s="5">
        <f>SUM($E19:J19)</f>
        <v>1140006</v>
      </c>
      <c r="K26" s="5">
        <f>SUM($E19:K19)</f>
        <v>1330007</v>
      </c>
      <c r="L26" s="5">
        <f>SUM($E19:L19)</f>
        <v>1520008</v>
      </c>
      <c r="M26" s="5">
        <f>SUM($E19:M19)</f>
        <v>1710009</v>
      </c>
      <c r="N26" s="5">
        <f>SUM($E19:N19)</f>
        <v>1870010</v>
      </c>
      <c r="O26" s="5">
        <f>SUM($E19:O19)</f>
        <v>1980011</v>
      </c>
      <c r="P26" s="5">
        <f>SUM($E19:P19)</f>
        <v>2100012</v>
      </c>
    </row>
    <row r="27" spans="3:17" x14ac:dyDescent="0.35">
      <c r="D27" s="3" t="str">
        <f>'KPI 1'!D27</f>
        <v>ACTUAL2025/26</v>
      </c>
      <c r="E27" s="5">
        <f>SUM($E20:E20)</f>
        <v>40000</v>
      </c>
      <c r="F27" s="5">
        <f>SUM($E20:F20)</f>
        <v>40000</v>
      </c>
      <c r="G27" s="5">
        <f>SUM($E20:G20)</f>
        <v>320000</v>
      </c>
      <c r="H27" s="5">
        <f>SUM($E20:H20)</f>
        <v>410000</v>
      </c>
      <c r="I27" s="5">
        <f>SUM($E20:I20)</f>
        <v>410000</v>
      </c>
      <c r="J27" s="5">
        <f>SUM($E20:J20)</f>
        <v>410000</v>
      </c>
      <c r="K27" s="5">
        <f>SUM($E20:K20)</f>
        <v>695000</v>
      </c>
      <c r="L27" s="5">
        <f>SUM($E20:L20)</f>
        <v>710000</v>
      </c>
      <c r="M27" s="5">
        <f>SUM($E20:M20)</f>
        <v>865000</v>
      </c>
      <c r="N27" s="5">
        <f>SUM($E20:N20)</f>
        <v>865000</v>
      </c>
      <c r="O27" s="5">
        <f>SUM($E20:O20)</f>
        <v>865000</v>
      </c>
      <c r="P27" s="5">
        <f>SUM($E20:P20)</f>
        <v>865000</v>
      </c>
    </row>
    <row r="28" spans="3:17" x14ac:dyDescent="0.35">
      <c r="D28" s="3" t="str">
        <f>'KPI 1'!D28</f>
        <v>ACTUAL2024/25</v>
      </c>
      <c r="E28" s="5">
        <f>SUM($E21:E21)</f>
        <v>87556</v>
      </c>
      <c r="F28" s="5">
        <f>SUM($E21:F21)</f>
        <v>103708</v>
      </c>
      <c r="G28" s="5">
        <f>SUM($E21:G21)</f>
        <v>159458</v>
      </c>
      <c r="H28" s="5">
        <f>SUM($E21:H21)</f>
        <v>210808</v>
      </c>
      <c r="I28" s="5">
        <f>SUM($E21:I21)</f>
        <v>210808</v>
      </c>
      <c r="J28" s="5">
        <f>SUM($E21:J21)</f>
        <v>210808</v>
      </c>
      <c r="K28" s="5">
        <f>SUM($E21:K21)</f>
        <v>250388</v>
      </c>
      <c r="L28" s="5">
        <f>SUM($E21:L21)</f>
        <v>257980</v>
      </c>
      <c r="M28" s="5">
        <f>SUM($E21:M21)</f>
        <v>287980</v>
      </c>
      <c r="N28" s="5">
        <f>SUM($E21:N21)</f>
        <v>573342</v>
      </c>
      <c r="O28" s="5">
        <f>SUM($E21:O21)</f>
        <v>613342</v>
      </c>
      <c r="P28" s="5">
        <f>SUM($E21:P21)</f>
        <v>623342</v>
      </c>
    </row>
    <row r="29" spans="3:17" x14ac:dyDescent="0.35">
      <c r="D29" s="3" t="str">
        <f>'KPI 1'!D29</f>
        <v>DIFFERENCE</v>
      </c>
      <c r="E29" s="5">
        <f>SUM($E22:E22)</f>
        <v>-70001</v>
      </c>
      <c r="F29" s="5">
        <f>SUM($E22:F22)</f>
        <v>-70001</v>
      </c>
      <c r="G29" s="5">
        <f>SUM($E22:G22)</f>
        <v>-10002</v>
      </c>
      <c r="H29" s="5">
        <f>SUM($E22:H22)</f>
        <v>-70003</v>
      </c>
      <c r="I29" s="5">
        <f>SUM($E22:I22)</f>
        <v>-70003</v>
      </c>
      <c r="J29" s="5">
        <f>SUM($E22:J22)</f>
        <v>-70003</v>
      </c>
      <c r="K29" s="5">
        <f>SUM($E22:K22)</f>
        <v>24996</v>
      </c>
      <c r="L29" s="5">
        <f>SUM($E22:L22)</f>
        <v>-150005</v>
      </c>
      <c r="M29" s="5">
        <f>SUM($E22:M22)</f>
        <v>-185006</v>
      </c>
      <c r="N29" s="5">
        <f>SUM($E22:N22)</f>
        <v>-185006</v>
      </c>
      <c r="O29" s="5">
        <f>SUM($E22:O22)</f>
        <v>-185006</v>
      </c>
      <c r="P29" s="5">
        <f>SUM($E22:P22)</f>
        <v>-185006</v>
      </c>
    </row>
    <row r="30" spans="3:17" x14ac:dyDescent="0.35">
      <c r="D30" s="3" t="str">
        <f>'KPI 1'!D30</f>
        <v>%REALISATION</v>
      </c>
      <c r="E30" s="9">
        <f t="shared" ref="E30:P30" si="3">E27/E26</f>
        <v>0.36363305788129197</v>
      </c>
      <c r="F30" s="9">
        <f t="shared" si="3"/>
        <v>0.1081075237431149</v>
      </c>
      <c r="G30" s="9">
        <f t="shared" si="3"/>
        <v>0.54237012354174474</v>
      </c>
      <c r="H30" s="9">
        <f t="shared" si="3"/>
        <v>0.55405105918346387</v>
      </c>
      <c r="I30" s="9">
        <f t="shared" si="3"/>
        <v>0.45555302470541831</v>
      </c>
      <c r="J30" s="9">
        <f t="shared" si="3"/>
        <v>0.35964722992686005</v>
      </c>
      <c r="K30" s="9">
        <f t="shared" si="3"/>
        <v>0.52255364069512411</v>
      </c>
      <c r="L30" s="9">
        <f t="shared" si="3"/>
        <v>0.46710280472208043</v>
      </c>
      <c r="M30" s="9">
        <f t="shared" si="3"/>
        <v>0.50584529087273811</v>
      </c>
      <c r="N30" s="9">
        <f t="shared" si="3"/>
        <v>0.4625643713135224</v>
      </c>
      <c r="O30" s="9">
        <f t="shared" si="3"/>
        <v>0.43686625983391003</v>
      </c>
      <c r="P30" s="9">
        <f t="shared" si="3"/>
        <v>0.4119024081767152</v>
      </c>
    </row>
  </sheetData>
  <mergeCells count="2">
    <mergeCell ref="J4:Q8"/>
    <mergeCell ref="J10:Q15"/>
  </mergeCells>
  <conditionalFormatting sqref="C3">
    <cfRule type="expression" dxfId="104" priority="2">
      <formula>S4&lt;S6</formula>
    </cfRule>
  </conditionalFormatting>
  <conditionalFormatting sqref="C4">
    <cfRule type="expression" dxfId="103" priority="1">
      <formula>AND(S4&gt;=S6,S4&lt;S5)</formula>
    </cfRule>
  </conditionalFormatting>
  <conditionalFormatting sqref="C5">
    <cfRule type="expression" dxfId="102" priority="3">
      <formula>S4&gt;=S5</formula>
    </cfRule>
  </conditionalFormatting>
  <hyperlinks>
    <hyperlink ref="L1" location="Dashboard!A1" display="Dashboard" xr:uid="{00000000-0004-0000-1C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268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68">
        <f>Dashboard!A17</f>
        <v>12</v>
      </c>
      <c r="C1" s="68" t="str">
        <f>Dashboard!B17</f>
        <v>Company exhauster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BUDGET2526!D19</f>
        <v>0</v>
      </c>
      <c r="F19" s="5">
        <f>BUDGET2526!E19</f>
        <v>0</v>
      </c>
      <c r="G19" s="5">
        <f>BUDGET2526!F19</f>
        <v>0</v>
      </c>
      <c r="H19" s="5">
        <f>BUDGET2526!G19</f>
        <v>0</v>
      </c>
      <c r="I19" s="5">
        <f>BUDGET2526!H19</f>
        <v>0</v>
      </c>
      <c r="J19" s="5">
        <f>BUDGET2526!I19</f>
        <v>0</v>
      </c>
      <c r="K19" s="5">
        <f>BUDGET2526!J19</f>
        <v>0</v>
      </c>
      <c r="L19" s="5">
        <f>BUDGET2526!K19</f>
        <v>0</v>
      </c>
      <c r="M19" s="5">
        <f>BUDGET2526!L19</f>
        <v>0</v>
      </c>
      <c r="N19" s="5">
        <f>BUDGET2526!M19</f>
        <v>0</v>
      </c>
      <c r="O19" s="5">
        <f>BUDGET2526!N19</f>
        <v>0</v>
      </c>
      <c r="P19" s="5">
        <f>BUDGET2526!O19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'ACTUAL 2526'!E19</f>
        <v>0</v>
      </c>
      <c r="F20" s="5">
        <f>'ACTUAL 2526'!F19</f>
        <v>0</v>
      </c>
      <c r="G20" s="5">
        <f>'ACTUAL 2526'!G19</f>
        <v>0</v>
      </c>
      <c r="H20" s="5">
        <f>'ACTUAL 2526'!H19</f>
        <v>0</v>
      </c>
      <c r="I20" s="5">
        <f>'ACTUAL 2526'!I19</f>
        <v>0</v>
      </c>
      <c r="J20" s="5">
        <f>'ACTUAL 2526'!J19</f>
        <v>0</v>
      </c>
      <c r="K20" s="5">
        <f>'ACTUAL 2526'!K19</f>
        <v>0</v>
      </c>
      <c r="L20" s="5">
        <f>'ACTUAL 2526'!L19</f>
        <v>0</v>
      </c>
      <c r="M20" s="5">
        <f>'ACTUAL 2526'!M19</f>
        <v>0</v>
      </c>
      <c r="N20" s="5">
        <f>'ACTUAL 2526'!N19</f>
        <v>0</v>
      </c>
      <c r="O20" s="5">
        <f>'ACTUAL 2526'!O19</f>
        <v>0</v>
      </c>
      <c r="P20" s="5">
        <f>'ACTUAL 2526'!P19</f>
        <v>0</v>
      </c>
      <c r="Q20" s="5">
        <f t="shared" ref="Q20:Q21" si="0">SUM(E20:P20)</f>
        <v>0</v>
      </c>
    </row>
    <row r="21" spans="3:17" x14ac:dyDescent="0.35">
      <c r="D21" s="3" t="str">
        <f>'KPI 1'!D21</f>
        <v>ACTUAL2024/25</v>
      </c>
      <c r="E21" s="5">
        <f>'Actual 202425'!E19</f>
        <v>0</v>
      </c>
      <c r="F21" s="5">
        <f>'Actual 202425'!F19</f>
        <v>0</v>
      </c>
      <c r="G21" s="5">
        <f>'Actual 202425'!G19</f>
        <v>0</v>
      </c>
      <c r="H21" s="5">
        <f>'Actual 202425'!H19</f>
        <v>0</v>
      </c>
      <c r="I21" s="5">
        <f>'Actual 202425'!I19</f>
        <v>0</v>
      </c>
      <c r="J21" s="5">
        <f>'Actual 202425'!J19</f>
        <v>0</v>
      </c>
      <c r="K21" s="5">
        <f>'Actual 202425'!K19</f>
        <v>0</v>
      </c>
      <c r="L21" s="5">
        <f>'Actual 202425'!L19</f>
        <v>0</v>
      </c>
      <c r="M21" s="5">
        <f>'Actual 202425'!M19</f>
        <v>0</v>
      </c>
      <c r="N21" s="5">
        <f>'Actual 202425'!N19</f>
        <v>0</v>
      </c>
      <c r="O21" s="5">
        <f>'Actual 202425'!O19</f>
        <v>0</v>
      </c>
      <c r="P21" s="5">
        <f>'Actual 202425'!P19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>ACTUAL2021!D105</f>
        <v>0</v>
      </c>
      <c r="F22" s="5">
        <f>ACTUAL2021!E105</f>
        <v>0</v>
      </c>
      <c r="G22" s="5">
        <f>ACTUAL2021!F105</f>
        <v>0</v>
      </c>
      <c r="H22" s="5">
        <f>ACTUAL2021!G105</f>
        <v>0</v>
      </c>
      <c r="I22" s="5">
        <f>ACTUAL2021!H105</f>
        <v>0</v>
      </c>
      <c r="J22" s="5">
        <f>ACTUAL2021!I105</f>
        <v>0</v>
      </c>
      <c r="K22" s="5">
        <f t="shared" ref="K22:P22" si="1">IF(K20=0,0,K20-K19)</f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0</v>
      </c>
    </row>
    <row r="23" spans="3:17" x14ac:dyDescent="0.35">
      <c r="D23" s="3" t="str">
        <f>'KPI 1'!D23</f>
        <v>%REALISATION</v>
      </c>
      <c r="E23" s="5">
        <f>ACTUAL2021!D106</f>
        <v>0</v>
      </c>
      <c r="F23" s="5">
        <f>ACTUAL2021!E106</f>
        <v>0</v>
      </c>
      <c r="G23" s="5">
        <f>ACTUAL2021!F106</f>
        <v>0</v>
      </c>
      <c r="H23" s="5">
        <f>ACTUAL2021!G106</f>
        <v>0</v>
      </c>
      <c r="I23" s="5">
        <f>ACTUAL2021!H106</f>
        <v>0</v>
      </c>
      <c r="J23" s="5">
        <f>ACTUAL2021!I106</f>
        <v>0</v>
      </c>
      <c r="K23" s="9" t="e">
        <f t="shared" ref="K23:P23" si="2">K20/K19</f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>
        <f>E18</f>
        <v>45839</v>
      </c>
      <c r="F24" s="49">
        <f t="shared" ref="F24:P24" si="3">F18</f>
        <v>45870</v>
      </c>
      <c r="G24" s="49">
        <f t="shared" si="3"/>
        <v>45901</v>
      </c>
      <c r="H24" s="49">
        <f t="shared" si="3"/>
        <v>45931</v>
      </c>
      <c r="I24" s="49">
        <f t="shared" si="3"/>
        <v>45962</v>
      </c>
      <c r="J24" s="49">
        <f t="shared" si="3"/>
        <v>45992</v>
      </c>
      <c r="K24" s="49">
        <f t="shared" si="3"/>
        <v>46023</v>
      </c>
      <c r="L24" s="49">
        <f t="shared" si="3"/>
        <v>46054</v>
      </c>
      <c r="M24" s="49">
        <f t="shared" si="3"/>
        <v>46082</v>
      </c>
      <c r="N24" s="49">
        <f t="shared" si="3"/>
        <v>46113</v>
      </c>
      <c r="O24" s="49">
        <f t="shared" si="3"/>
        <v>46143</v>
      </c>
      <c r="P24" s="49">
        <f t="shared" si="3"/>
        <v>46174</v>
      </c>
    </row>
    <row r="25" spans="3:17" x14ac:dyDescent="0.35">
      <c r="C25" s="7" t="s">
        <v>4</v>
      </c>
      <c r="D25" s="3">
        <f>'KPI 1'!D25</f>
        <v>0</v>
      </c>
      <c r="E25" s="5"/>
      <c r="F25" s="5"/>
      <c r="G25" s="5"/>
      <c r="H25" s="5"/>
      <c r="I25" s="5"/>
      <c r="J25" s="5"/>
      <c r="K25" s="11"/>
      <c r="L25" s="11"/>
      <c r="M25" s="11"/>
      <c r="N25" s="11"/>
      <c r="O25" s="11"/>
      <c r="P25" s="11"/>
    </row>
    <row r="26" spans="3:17" x14ac:dyDescent="0.35">
      <c r="D26" s="3" t="str">
        <f>'KPI 1'!D26</f>
        <v>budget2025/26</v>
      </c>
      <c r="E26" s="5">
        <f>SUM($E$19:E19)</f>
        <v>0</v>
      </c>
      <c r="F26" s="5">
        <f>SUM($E$19:F19)</f>
        <v>0</v>
      </c>
      <c r="G26" s="5">
        <f>SUM($E$19:G19)</f>
        <v>0</v>
      </c>
      <c r="H26" s="5">
        <f>SUM($E$19:H19)</f>
        <v>0</v>
      </c>
      <c r="I26" s="5">
        <f>SUM($E$19:I19)</f>
        <v>0</v>
      </c>
      <c r="J26" s="5">
        <f>SUM($E$19:J19)</f>
        <v>0</v>
      </c>
      <c r="K26" s="5">
        <f>SUM($E$19:K19)</f>
        <v>0</v>
      </c>
      <c r="L26" s="5">
        <f>SUM($E$19:L19)</f>
        <v>0</v>
      </c>
      <c r="M26" s="5">
        <f>SUM($E$19:M19)</f>
        <v>0</v>
      </c>
      <c r="N26" s="5">
        <f>SUM($E$19:N19)</f>
        <v>0</v>
      </c>
      <c r="O26" s="5">
        <f>SUM($E$19:O19)</f>
        <v>0</v>
      </c>
      <c r="P26" s="5">
        <f>SUM($E$19:P19)</f>
        <v>0</v>
      </c>
    </row>
    <row r="27" spans="3:17" x14ac:dyDescent="0.35">
      <c r="D27" s="3" t="str">
        <f>'KPI 1'!D27</f>
        <v>ACTUAL2025/26</v>
      </c>
      <c r="E27" s="5">
        <f>SUM($E$20:E20)</f>
        <v>0</v>
      </c>
      <c r="F27" s="5">
        <f>SUM($E$20:F20)</f>
        <v>0</v>
      </c>
      <c r="G27" s="5">
        <f>SUM($E$20:G20)</f>
        <v>0</v>
      </c>
      <c r="H27" s="5">
        <f>SUM($E$20:H20)</f>
        <v>0</v>
      </c>
      <c r="I27" s="5">
        <f>SUM($E$20:I20)</f>
        <v>0</v>
      </c>
      <c r="J27" s="5">
        <f>SUM($E$20:J20)</f>
        <v>0</v>
      </c>
      <c r="K27" s="5">
        <f>SUM($E$20:K20)</f>
        <v>0</v>
      </c>
      <c r="L27" s="5">
        <f>SUM($E$20:L20)</f>
        <v>0</v>
      </c>
      <c r="M27" s="5">
        <f>SUM($E$20:M20)</f>
        <v>0</v>
      </c>
      <c r="N27" s="5">
        <f>SUM($E$20:N20)</f>
        <v>0</v>
      </c>
      <c r="O27" s="5">
        <f>SUM($E$20:O20)</f>
        <v>0</v>
      </c>
      <c r="P27" s="5">
        <f>SUM($E$20:P20)</f>
        <v>0</v>
      </c>
    </row>
    <row r="28" spans="3:17" x14ac:dyDescent="0.35">
      <c r="D28" s="3" t="str">
        <f>'KPI 1'!D28</f>
        <v>ACTUAL2024/25</v>
      </c>
      <c r="E28" s="5">
        <f>ACTUAL2021!D112</f>
        <v>0</v>
      </c>
      <c r="F28" s="5">
        <f>ACTUAL2021!E112</f>
        <v>0</v>
      </c>
      <c r="G28" s="5">
        <f>ACTUAL2021!F112</f>
        <v>0</v>
      </c>
      <c r="H28" s="5">
        <f>ACTUAL2021!G112</f>
        <v>0</v>
      </c>
      <c r="I28" s="5">
        <f>ACTUAL2021!H112</f>
        <v>0</v>
      </c>
      <c r="J28" s="5">
        <f>ACTUAL2021!I112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ACTUAL2021!D113</f>
        <v>0</v>
      </c>
      <c r="F29" s="5">
        <f>ACTUAL2021!E113</f>
        <v>0</v>
      </c>
      <c r="G29" s="5">
        <f>ACTUAL2021!F113</f>
        <v>0</v>
      </c>
      <c r="H29" s="5">
        <f>ACTUAL2021!G113</f>
        <v>0</v>
      </c>
      <c r="I29" s="5">
        <f>ACTUAL2021!H113</f>
        <v>0</v>
      </c>
      <c r="J29" s="5">
        <f>ACTUAL2021!I113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>'KPI 1'!D30</f>
        <v>%REALISATION</v>
      </c>
      <c r="E30" s="5">
        <f>ACTUAL2021!D114</f>
        <v>0</v>
      </c>
      <c r="F30" s="5">
        <f>ACTUAL2021!E114</f>
        <v>0</v>
      </c>
      <c r="G30" s="5">
        <f>ACTUAL2021!F114</f>
        <v>0</v>
      </c>
      <c r="H30" s="5">
        <f>ACTUAL2021!G114</f>
        <v>0</v>
      </c>
      <c r="I30" s="5">
        <f>ACTUAL2021!H114</f>
        <v>0</v>
      </c>
      <c r="J30" s="5">
        <f>ACTUAL2021!I114</f>
        <v>0</v>
      </c>
      <c r="K30" s="9" t="e">
        <f t="shared" ref="K30:P30" si="4">K27/K26</f>
        <v>#DIV/0!</v>
      </c>
      <c r="L30" s="9" t="e">
        <f t="shared" si="4"/>
        <v>#DIV/0!</v>
      </c>
      <c r="M30" s="9" t="e">
        <f t="shared" si="4"/>
        <v>#DIV/0!</v>
      </c>
      <c r="N30" s="9" t="e">
        <f t="shared" si="4"/>
        <v>#DIV/0!</v>
      </c>
      <c r="O30" s="9" t="e">
        <f t="shared" si="4"/>
        <v>#DIV/0!</v>
      </c>
      <c r="P30" s="9" t="e">
        <f t="shared" si="4"/>
        <v>#DIV/0!</v>
      </c>
    </row>
  </sheetData>
  <mergeCells count="2">
    <mergeCell ref="J4:Q8"/>
    <mergeCell ref="J10:Q15"/>
  </mergeCells>
  <conditionalFormatting sqref="C3">
    <cfRule type="expression" dxfId="101" priority="2">
      <formula>S4&lt;S6</formula>
    </cfRule>
  </conditionalFormatting>
  <conditionalFormatting sqref="C4">
    <cfRule type="expression" dxfId="100" priority="1">
      <formula>AND(S4&gt;=S6,S4&lt;S5)</formula>
    </cfRule>
  </conditionalFormatting>
  <conditionalFormatting sqref="C5">
    <cfRule type="expression" dxfId="99" priority="3">
      <formula>S4&gt;=S5</formula>
    </cfRule>
  </conditionalFormatting>
  <hyperlinks>
    <hyperlink ref="L1" location="Dashboard!A1" display="Dashboard" xr:uid="{00000000-0004-0000-1D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993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Dashboard!A18</f>
        <v>12</v>
      </c>
      <c r="C1" s="4" t="str">
        <f>Dashboard!B18</f>
        <v>Customer exhauster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1770000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1890000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1701000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BUDGET2526!D20</f>
        <v>210000</v>
      </c>
      <c r="F19" s="5">
        <f>BUDGET2526!E20</f>
        <v>210000</v>
      </c>
      <c r="G19" s="5">
        <f>BUDGET2526!F20</f>
        <v>210000</v>
      </c>
      <c r="H19" s="5">
        <f>BUDGET2526!G20</f>
        <v>210000</v>
      </c>
      <c r="I19" s="5">
        <f>BUDGET2526!H20</f>
        <v>210000</v>
      </c>
      <c r="J19" s="5">
        <f>BUDGET2526!I20</f>
        <v>210000</v>
      </c>
      <c r="K19" s="5">
        <f>BUDGET2526!J20</f>
        <v>210000</v>
      </c>
      <c r="L19" s="5">
        <f>BUDGET2526!K20</f>
        <v>210000</v>
      </c>
      <c r="M19" s="5">
        <f>BUDGET2526!L20</f>
        <v>210000</v>
      </c>
      <c r="N19" s="5">
        <f>BUDGET2526!M20</f>
        <v>210000</v>
      </c>
      <c r="O19" s="5">
        <f>BUDGET2526!N20</f>
        <v>210000</v>
      </c>
      <c r="P19" s="5">
        <f>BUDGET2526!O20</f>
        <v>210000</v>
      </c>
      <c r="Q19" s="5">
        <f>SUM(E19:P19)</f>
        <v>2520000</v>
      </c>
    </row>
    <row r="20" spans="3:17" x14ac:dyDescent="0.35">
      <c r="D20" s="3" t="str">
        <f>'KPI 1'!D20</f>
        <v>ACTUAL2025/26</v>
      </c>
      <c r="E20" s="5">
        <f>'ACTUAL 2526'!E20</f>
        <v>180000</v>
      </c>
      <c r="F20" s="5">
        <f>'ACTUAL 2526'!F20</f>
        <v>180000</v>
      </c>
      <c r="G20" s="5">
        <f>'ACTUAL 2526'!G20</f>
        <v>210000</v>
      </c>
      <c r="H20" s="5">
        <f>'ACTUAL 2526'!H20</f>
        <v>210000</v>
      </c>
      <c r="I20" s="5">
        <f>'ACTUAL 2526'!I20</f>
        <v>195000</v>
      </c>
      <c r="J20" s="5">
        <f>'ACTUAL 2526'!J20</f>
        <v>195000</v>
      </c>
      <c r="K20" s="5">
        <f>'ACTUAL 2526'!K20</f>
        <v>210000</v>
      </c>
      <c r="L20" s="5">
        <f>'ACTUAL 2526'!L20</f>
        <v>210000</v>
      </c>
      <c r="M20" s="5">
        <f>'ACTUAL 2526'!M20</f>
        <v>180000</v>
      </c>
      <c r="N20" s="5">
        <f>'ACTUAL 2526'!N20</f>
        <v>0</v>
      </c>
      <c r="O20" s="5">
        <f>'ACTUAL 2526'!O20</f>
        <v>0</v>
      </c>
      <c r="P20" s="5">
        <f>'ACTUAL 2526'!P20</f>
        <v>0</v>
      </c>
      <c r="Q20" s="5">
        <f t="shared" ref="Q20" si="0">SUM(E20:P20)</f>
        <v>1770000</v>
      </c>
    </row>
    <row r="21" spans="3:17" x14ac:dyDescent="0.35">
      <c r="D21" s="3" t="str">
        <f>'KPI 1'!D21</f>
        <v>ACTUAL2024/25</v>
      </c>
      <c r="E21" s="5">
        <f>'Actual 202425'!E20</f>
        <v>135000</v>
      </c>
      <c r="F21" s="5">
        <f>'Actual 202425'!F20</f>
        <v>135000</v>
      </c>
      <c r="G21" s="5">
        <f>'Actual 202425'!G20</f>
        <v>135000</v>
      </c>
      <c r="H21" s="5">
        <f>'Actual 202425'!H20</f>
        <v>135000</v>
      </c>
      <c r="I21" s="5">
        <f>'Actual 202425'!I20</f>
        <v>135000</v>
      </c>
      <c r="J21" s="5">
        <f>'Actual 202425'!J20</f>
        <v>135000</v>
      </c>
      <c r="K21" s="5">
        <f>'Actual 202425'!K20</f>
        <v>135000</v>
      </c>
      <c r="L21" s="5">
        <f>'Actual 202425'!L20</f>
        <v>165000</v>
      </c>
      <c r="M21" s="5">
        <f>'Actual 202425'!M20</f>
        <v>217500</v>
      </c>
      <c r="N21" s="5">
        <f>'Actual 202425'!N20</f>
        <v>195000</v>
      </c>
      <c r="O21" s="5">
        <f>'Actual 202425'!O20</f>
        <v>195000</v>
      </c>
      <c r="P21" s="5">
        <f>'Actual 202425'!P20</f>
        <v>225000</v>
      </c>
      <c r="Q21" s="5">
        <f>ACTUAL2021!P20</f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-30000</v>
      </c>
      <c r="F22" s="5">
        <f t="shared" si="1"/>
        <v>-30000</v>
      </c>
      <c r="G22" s="5">
        <f t="shared" si="1"/>
        <v>0</v>
      </c>
      <c r="H22" s="5">
        <f t="shared" si="1"/>
        <v>0</v>
      </c>
      <c r="I22" s="5">
        <f t="shared" si="1"/>
        <v>-15000</v>
      </c>
      <c r="J22" s="5">
        <f t="shared" si="1"/>
        <v>-15000</v>
      </c>
      <c r="K22" s="5">
        <f t="shared" si="1"/>
        <v>0</v>
      </c>
      <c r="L22" s="5">
        <f t="shared" si="1"/>
        <v>0</v>
      </c>
      <c r="M22" s="5">
        <f t="shared" si="1"/>
        <v>-30000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-120000</v>
      </c>
    </row>
    <row r="23" spans="3:17" x14ac:dyDescent="0.35">
      <c r="D23" s="3" t="str">
        <f>'KPI 1'!D23</f>
        <v>%REALISATION</v>
      </c>
      <c r="E23" s="9">
        <f t="shared" ref="E23:P23" si="2">E20/E19</f>
        <v>0.8571428571428571</v>
      </c>
      <c r="F23" s="9">
        <f t="shared" si="2"/>
        <v>0.8571428571428571</v>
      </c>
      <c r="G23" s="9">
        <f t="shared" si="2"/>
        <v>1</v>
      </c>
      <c r="H23" s="9">
        <f t="shared" si="2"/>
        <v>1</v>
      </c>
      <c r="I23" s="9">
        <f t="shared" si="2"/>
        <v>0.9285714285714286</v>
      </c>
      <c r="J23" s="9">
        <f t="shared" si="2"/>
        <v>0.9285714285714286</v>
      </c>
      <c r="K23" s="9">
        <f t="shared" si="2"/>
        <v>1</v>
      </c>
      <c r="L23" s="9">
        <f t="shared" si="2"/>
        <v>1</v>
      </c>
      <c r="M23" s="9">
        <f t="shared" si="2"/>
        <v>0.8571428571428571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210000</v>
      </c>
      <c r="F26" s="5">
        <f>SUM($E19:F19)</f>
        <v>420000</v>
      </c>
      <c r="G26" s="5">
        <f>SUM($E19:G19)</f>
        <v>630000</v>
      </c>
      <c r="H26" s="5">
        <f>SUM($E19:H19)</f>
        <v>840000</v>
      </c>
      <c r="I26" s="5">
        <f>SUM($E19:I19)</f>
        <v>1050000</v>
      </c>
      <c r="J26" s="5">
        <f>SUM($E19:J19)</f>
        <v>1260000</v>
      </c>
      <c r="K26" s="5">
        <f>SUM($E19:K19)</f>
        <v>1470000</v>
      </c>
      <c r="L26" s="5">
        <f>SUM($E19:L19)</f>
        <v>1680000</v>
      </c>
      <c r="M26" s="5">
        <f>SUM($E19:M19)</f>
        <v>1890000</v>
      </c>
      <c r="N26" s="5">
        <f>SUM($E19:N19)</f>
        <v>2100000</v>
      </c>
      <c r="O26" s="5">
        <f>SUM($E19:O19)</f>
        <v>2310000</v>
      </c>
      <c r="P26" s="5">
        <f>SUM($E19:P19)</f>
        <v>2520000</v>
      </c>
    </row>
    <row r="27" spans="3:17" x14ac:dyDescent="0.35">
      <c r="D27" s="3" t="str">
        <f>'KPI 1'!D27</f>
        <v>ACTUAL2025/26</v>
      </c>
      <c r="E27" s="5">
        <f>SUM($E20:E20)</f>
        <v>180000</v>
      </c>
      <c r="F27" s="5">
        <f>SUM($E20:F20)</f>
        <v>360000</v>
      </c>
      <c r="G27" s="5">
        <f>SUM($E20:G20)</f>
        <v>570000</v>
      </c>
      <c r="H27" s="5">
        <f>SUM($E20:H20)</f>
        <v>780000</v>
      </c>
      <c r="I27" s="5">
        <f>SUM($E20:I20)</f>
        <v>975000</v>
      </c>
      <c r="J27" s="5">
        <f>SUM($E20:J20)</f>
        <v>1170000</v>
      </c>
      <c r="K27" s="5">
        <f>SUM($E20:K20)</f>
        <v>1380000</v>
      </c>
      <c r="L27" s="5">
        <f>SUM($E20:L20)</f>
        <v>1590000</v>
      </c>
      <c r="M27" s="5">
        <f>SUM($E20:M20)</f>
        <v>1770000</v>
      </c>
      <c r="N27" s="5">
        <f>SUM($E20:N20)</f>
        <v>1770000</v>
      </c>
      <c r="O27" s="5">
        <f>SUM($E20:O20)</f>
        <v>1770000</v>
      </c>
      <c r="P27" s="5">
        <f>SUM($E20:P20)</f>
        <v>1770000</v>
      </c>
    </row>
    <row r="28" spans="3:17" x14ac:dyDescent="0.35">
      <c r="D28" s="3" t="str">
        <f>'KPI 1'!D28</f>
        <v>ACTUAL2024/25</v>
      </c>
      <c r="E28" s="5">
        <f>SUM($E21:E21)</f>
        <v>135000</v>
      </c>
      <c r="F28" s="5">
        <f>SUM($E21:F21)</f>
        <v>270000</v>
      </c>
      <c r="G28" s="5">
        <f>SUM($E21:G21)</f>
        <v>405000</v>
      </c>
      <c r="H28" s="5">
        <f>SUM($E21:H21)</f>
        <v>540000</v>
      </c>
      <c r="I28" s="5">
        <f>SUM($E21:I21)</f>
        <v>675000</v>
      </c>
      <c r="J28" s="5">
        <f>SUM($E21:J21)</f>
        <v>810000</v>
      </c>
      <c r="K28" s="5">
        <f>SUM($E21:K21)</f>
        <v>945000</v>
      </c>
      <c r="L28" s="5">
        <f>SUM($E21:L21)</f>
        <v>1110000</v>
      </c>
      <c r="M28" s="5">
        <f>SUM($E21:M21)</f>
        <v>1327500</v>
      </c>
      <c r="N28" s="5">
        <f>SUM($E21:N21)</f>
        <v>1522500</v>
      </c>
      <c r="O28" s="5">
        <f>SUM($E21:O21)</f>
        <v>1717500</v>
      </c>
      <c r="P28" s="5">
        <f>SUM($E21:P21)</f>
        <v>1942500</v>
      </c>
    </row>
    <row r="29" spans="3:17" x14ac:dyDescent="0.35">
      <c r="D29" s="3" t="str">
        <f>'KPI 1'!D29</f>
        <v>DIFFERENCE</v>
      </c>
      <c r="E29" s="5">
        <f>SUM($E22:E22)</f>
        <v>-30000</v>
      </c>
      <c r="F29" s="5">
        <f>SUM($E22:F22)</f>
        <v>-60000</v>
      </c>
      <c r="G29" s="5">
        <f>SUM($E22:G22)</f>
        <v>-60000</v>
      </c>
      <c r="H29" s="5">
        <f>SUM($E22:H22)</f>
        <v>-60000</v>
      </c>
      <c r="I29" s="5">
        <f>SUM($E22:I22)</f>
        <v>-75000</v>
      </c>
      <c r="J29" s="5">
        <f>SUM($E22:J22)</f>
        <v>-90000</v>
      </c>
      <c r="K29" s="5">
        <f>SUM($E22:K22)</f>
        <v>-90000</v>
      </c>
      <c r="L29" s="5">
        <f>SUM($E22:L22)</f>
        <v>-90000</v>
      </c>
      <c r="M29" s="5">
        <f>SUM($E22:M22)</f>
        <v>-120000</v>
      </c>
      <c r="N29" s="5">
        <f>SUM($E22:N22)</f>
        <v>-120000</v>
      </c>
      <c r="O29" s="5">
        <f>SUM($E22:O22)</f>
        <v>-120000</v>
      </c>
      <c r="P29" s="5">
        <f>SUM($E22:P22)</f>
        <v>-120000</v>
      </c>
    </row>
    <row r="30" spans="3:17" x14ac:dyDescent="0.35">
      <c r="D30" s="3" t="str">
        <f>'KPI 1'!D30</f>
        <v>%REALISATION</v>
      </c>
      <c r="E30" s="9">
        <f t="shared" ref="E30:P30" si="3">E27/E26</f>
        <v>0.8571428571428571</v>
      </c>
      <c r="F30" s="9">
        <f t="shared" si="3"/>
        <v>0.8571428571428571</v>
      </c>
      <c r="G30" s="9">
        <f t="shared" si="3"/>
        <v>0.90476190476190477</v>
      </c>
      <c r="H30" s="9">
        <f t="shared" si="3"/>
        <v>0.9285714285714286</v>
      </c>
      <c r="I30" s="9">
        <f t="shared" si="3"/>
        <v>0.9285714285714286</v>
      </c>
      <c r="J30" s="9">
        <f t="shared" si="3"/>
        <v>0.9285714285714286</v>
      </c>
      <c r="K30" s="9">
        <f t="shared" si="3"/>
        <v>0.93877551020408168</v>
      </c>
      <c r="L30" s="9">
        <f t="shared" si="3"/>
        <v>0.9464285714285714</v>
      </c>
      <c r="M30" s="9">
        <f t="shared" si="3"/>
        <v>0.93650793650793651</v>
      </c>
      <c r="N30" s="9">
        <f t="shared" si="3"/>
        <v>0.84285714285714286</v>
      </c>
      <c r="O30" s="9">
        <f t="shared" si="3"/>
        <v>0.76623376623376627</v>
      </c>
      <c r="P30" s="9">
        <f t="shared" si="3"/>
        <v>0.70238095238095233</v>
      </c>
    </row>
  </sheetData>
  <mergeCells count="2">
    <mergeCell ref="J4:Q8"/>
    <mergeCell ref="J10:Q15"/>
  </mergeCells>
  <conditionalFormatting sqref="C3">
    <cfRule type="expression" dxfId="98" priority="2">
      <formula>S4&lt;S6</formula>
    </cfRule>
  </conditionalFormatting>
  <conditionalFormatting sqref="C4">
    <cfRule type="expression" dxfId="97" priority="1">
      <formula>AND(S4&gt;=S6,S4&lt;S5)</formula>
    </cfRule>
  </conditionalFormatting>
  <conditionalFormatting sqref="C5">
    <cfRule type="expression" dxfId="96" priority="3">
      <formula>S4&gt;=S5</formula>
    </cfRule>
  </conditionalFormatting>
  <hyperlinks>
    <hyperlink ref="L1" location="Dashboard!A1" display="Dashboard" xr:uid="{00000000-0004-0000-1E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720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Dashboard!A19</f>
        <v>13</v>
      </c>
      <c r="C1" s="4" t="str">
        <f>Dashboard!B19</f>
        <v>Total billed (Ksh)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251163532.80000001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230593312.28863031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207533981.05976728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BUDGET2526!D21</f>
        <v>24409526.258609775</v>
      </c>
      <c r="F19" s="5">
        <f>BUDGET2526!E21</f>
        <v>24759274.590863727</v>
      </c>
      <c r="G19" s="5">
        <f>BUDGET2526!F21</f>
        <v>24979924.923117682</v>
      </c>
      <c r="H19" s="5">
        <f>BUDGET2526!G21</f>
        <v>25391605.255371638</v>
      </c>
      <c r="I19" s="5">
        <f>BUDGET2526!H21</f>
        <v>25666275.587625589</v>
      </c>
      <c r="J19" s="5">
        <f>BUDGET2526!I21</f>
        <v>25993935.919879541</v>
      </c>
      <c r="K19" s="5">
        <f>BUDGET2526!J21</f>
        <v>26246106.252133496</v>
      </c>
      <c r="L19" s="5">
        <f>BUDGET2526!K21</f>
        <v>26472761.584387448</v>
      </c>
      <c r="M19" s="5">
        <f>BUDGET2526!L21</f>
        <v>26673901.916641399</v>
      </c>
      <c r="N19" s="5">
        <f>BUDGET2526!M21</f>
        <v>26815532.248895355</v>
      </c>
      <c r="O19" s="5">
        <f>BUDGET2526!N21</f>
        <v>26987162.58114931</v>
      </c>
      <c r="P19" s="5">
        <f>BUDGET2526!O21</f>
        <v>27210390.913403265</v>
      </c>
      <c r="Q19" s="5">
        <f>SUM(E19:P19)</f>
        <v>311606398.03207827</v>
      </c>
    </row>
    <row r="20" spans="3:17" x14ac:dyDescent="0.35">
      <c r="D20" s="3" t="str">
        <f>'KPI 1'!D20</f>
        <v>ACTUAL2025/26</v>
      </c>
      <c r="E20" s="5">
        <f>'ACTUAL 2526'!E21</f>
        <v>25899444.5</v>
      </c>
      <c r="F20" s="5">
        <f>'ACTUAL 2526'!F21</f>
        <v>30174829</v>
      </c>
      <c r="G20" s="5">
        <f>'ACTUAL 2526'!G21</f>
        <v>26069942.5</v>
      </c>
      <c r="H20" s="5">
        <f>'ACTUAL 2526'!H21</f>
        <v>29453905</v>
      </c>
      <c r="I20" s="5">
        <f>'ACTUAL 2526'!I21</f>
        <v>23892202.5</v>
      </c>
      <c r="J20" s="5">
        <f>'ACTUAL 2526'!J21</f>
        <v>22846279.299999997</v>
      </c>
      <c r="K20" s="5">
        <f>'ACTUAL 2526'!K21</f>
        <v>35056317</v>
      </c>
      <c r="L20" s="5">
        <f>'ACTUAL 2526'!L21</f>
        <v>29457098.5</v>
      </c>
      <c r="M20" s="5">
        <f>'ACTUAL 2526'!M21</f>
        <v>28313514.5</v>
      </c>
      <c r="N20" s="5">
        <f>'ACTUAL 2526'!N21</f>
        <v>0</v>
      </c>
      <c r="O20" s="5">
        <f>'ACTUAL 2526'!O21</f>
        <v>0</v>
      </c>
      <c r="P20" s="5">
        <f>'ACTUAL 2526'!P21</f>
        <v>0</v>
      </c>
      <c r="Q20" s="5">
        <f t="shared" ref="Q20:Q21" si="0">SUM(E20:P20)</f>
        <v>251163532.80000001</v>
      </c>
    </row>
    <row r="21" spans="3:17" x14ac:dyDescent="0.35">
      <c r="D21" s="3" t="str">
        <f>'KPI 1'!D21</f>
        <v>ACTUAL2024/25</v>
      </c>
      <c r="E21" s="5">
        <f>'Actual 202425'!E21</f>
        <v>17173326.399999999</v>
      </c>
      <c r="F21" s="5">
        <f>'Actual 202425'!F21</f>
        <v>20157513.649999999</v>
      </c>
      <c r="G21" s="5">
        <f>'Actual 202425'!G21</f>
        <v>18458776.699999999</v>
      </c>
      <c r="H21" s="5">
        <f>'Actual 202425'!H21</f>
        <v>18213051.699999999</v>
      </c>
      <c r="I21" s="5">
        <f>'Actual 202425'!I21</f>
        <v>19617287.5</v>
      </c>
      <c r="J21" s="5">
        <f>'Actual 202425'!J21</f>
        <v>13786731.699999999</v>
      </c>
      <c r="K21" s="5">
        <f>'Actual 202425'!K21</f>
        <v>21674904.199999999</v>
      </c>
      <c r="L21" s="5">
        <f>'Actual 202425'!L21</f>
        <v>18959101.199999999</v>
      </c>
      <c r="M21" s="5">
        <f>'Actual 202425'!M21</f>
        <v>20347362.449999999</v>
      </c>
      <c r="N21" s="5">
        <f>'Actual 202425'!N21</f>
        <v>21739892.25</v>
      </c>
      <c r="O21" s="5">
        <f>'Actual 202425'!O21</f>
        <v>27343757.5</v>
      </c>
      <c r="P21" s="5">
        <f>'Actual 202425'!P21</f>
        <v>28905831.5</v>
      </c>
      <c r="Q21" s="5">
        <f t="shared" si="0"/>
        <v>246377536.75</v>
      </c>
    </row>
    <row r="22" spans="3:17" x14ac:dyDescent="0.35">
      <c r="D22" s="3" t="str">
        <f>'KPI 1'!D22</f>
        <v>DIFFERENCE</v>
      </c>
      <c r="E22" s="5">
        <f t="shared" ref="E22:P22" si="1">IF(E20=0,0,E20-E19)</f>
        <v>1489918.2413902245</v>
      </c>
      <c r="F22" s="5">
        <f t="shared" si="1"/>
        <v>5415554.409136273</v>
      </c>
      <c r="G22" s="5">
        <f t="shared" si="1"/>
        <v>1090017.5768823177</v>
      </c>
      <c r="H22" s="5">
        <f t="shared" si="1"/>
        <v>4062299.7446283624</v>
      </c>
      <c r="I22" s="5">
        <f t="shared" si="1"/>
        <v>-1774073.0876255892</v>
      </c>
      <c r="J22" s="5">
        <f t="shared" si="1"/>
        <v>-3147656.6198795438</v>
      </c>
      <c r="K22" s="5">
        <f t="shared" si="1"/>
        <v>8810210.7478665039</v>
      </c>
      <c r="L22" s="5">
        <f t="shared" si="1"/>
        <v>2984336.9156125523</v>
      </c>
      <c r="M22" s="5">
        <f t="shared" si="1"/>
        <v>1639612.5833586007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20570220.511369701</v>
      </c>
    </row>
    <row r="23" spans="3:17" x14ac:dyDescent="0.35">
      <c r="D23" s="3" t="str">
        <f>'KPI 1'!D23</f>
        <v>%REALISATION</v>
      </c>
      <c r="E23" s="9">
        <f t="shared" ref="E23:P23" si="2">E20/E19</f>
        <v>1.061038392372105</v>
      </c>
      <c r="F23" s="9">
        <f t="shared" si="2"/>
        <v>1.2187283148891057</v>
      </c>
      <c r="G23" s="9">
        <f t="shared" si="2"/>
        <v>1.0436357427108822</v>
      </c>
      <c r="H23" s="9">
        <f t="shared" si="2"/>
        <v>1.1599859364452343</v>
      </c>
      <c r="I23" s="9">
        <f t="shared" si="2"/>
        <v>0.93087921613056634</v>
      </c>
      <c r="J23" s="9">
        <f t="shared" si="2"/>
        <v>0.87890804110691478</v>
      </c>
      <c r="K23" s="9">
        <f t="shared" si="2"/>
        <v>1.3356768681506934</v>
      </c>
      <c r="L23" s="9">
        <f t="shared" si="2"/>
        <v>1.112732361000546</v>
      </c>
      <c r="M23" s="9">
        <f t="shared" si="2"/>
        <v>1.0614687940475509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24409526.258609775</v>
      </c>
      <c r="F26" s="5">
        <f>SUM($E19:F19)</f>
        <v>49168800.849473506</v>
      </c>
      <c r="G26" s="5">
        <f>SUM($E19:G19)</f>
        <v>74148725.772591189</v>
      </c>
      <c r="H26" s="5">
        <f>SUM($E19:H19)</f>
        <v>99540331.027962834</v>
      </c>
      <c r="I26" s="5">
        <f>SUM($E19:I19)</f>
        <v>125206606.61558843</v>
      </c>
      <c r="J26" s="5">
        <f>SUM($E19:J19)</f>
        <v>151200542.53546798</v>
      </c>
      <c r="K26" s="5">
        <f>SUM($E19:K19)</f>
        <v>177446648.78760147</v>
      </c>
      <c r="L26" s="5">
        <f>SUM($E19:L19)</f>
        <v>203919410.37198892</v>
      </c>
      <c r="M26" s="5">
        <f>SUM($E19:M19)</f>
        <v>230593312.28863031</v>
      </c>
      <c r="N26" s="5">
        <f>SUM($E19:N19)</f>
        <v>257408844.53752565</v>
      </c>
      <c r="O26" s="5">
        <f>SUM($E19:O19)</f>
        <v>284396007.11867499</v>
      </c>
      <c r="P26" s="5">
        <f>SUM($E19:P19)</f>
        <v>311606398.03207827</v>
      </c>
    </row>
    <row r="27" spans="3:17" x14ac:dyDescent="0.35">
      <c r="D27" s="3" t="str">
        <f>'KPI 1'!D27</f>
        <v>ACTUAL2025/26</v>
      </c>
      <c r="E27" s="5">
        <f>SUM($E20:E20)</f>
        <v>25899444.5</v>
      </c>
      <c r="F27" s="5">
        <f>SUM($E20:F20)</f>
        <v>56074273.5</v>
      </c>
      <c r="G27" s="5">
        <f>SUM($E20:G20)</f>
        <v>82144216</v>
      </c>
      <c r="H27" s="5">
        <f>SUM($E20:H20)</f>
        <v>111598121</v>
      </c>
      <c r="I27" s="5">
        <f>SUM($E20:I20)</f>
        <v>135490323.5</v>
      </c>
      <c r="J27" s="5">
        <f>SUM($E20:J20)</f>
        <v>158336602.80000001</v>
      </c>
      <c r="K27" s="5">
        <f>SUM($E20:K20)</f>
        <v>193392919.80000001</v>
      </c>
      <c r="L27" s="5">
        <f>SUM($E20:L20)</f>
        <v>222850018.30000001</v>
      </c>
      <c r="M27" s="5">
        <f>SUM($E20:M20)</f>
        <v>251163532.80000001</v>
      </c>
      <c r="N27" s="5">
        <f>SUM($E20:N20)</f>
        <v>251163532.80000001</v>
      </c>
      <c r="O27" s="5">
        <f>SUM($E20:O20)</f>
        <v>251163532.80000001</v>
      </c>
      <c r="P27" s="5">
        <f>SUM($E20:P20)</f>
        <v>251163532.80000001</v>
      </c>
    </row>
    <row r="28" spans="3:17" x14ac:dyDescent="0.35">
      <c r="D28" s="3" t="str">
        <f>'KPI 1'!D28</f>
        <v>ACTUAL2024/25</v>
      </c>
      <c r="E28" s="5">
        <f>SUM($E21:E21)</f>
        <v>17173326.399999999</v>
      </c>
      <c r="F28" s="5">
        <f>SUM($E21:F21)</f>
        <v>37330840.049999997</v>
      </c>
      <c r="G28" s="5">
        <f>SUM($E21:G21)</f>
        <v>55789616.75</v>
      </c>
      <c r="H28" s="5">
        <f>SUM($E21:H21)</f>
        <v>74002668.450000003</v>
      </c>
      <c r="I28" s="5">
        <f>SUM($E21:I21)</f>
        <v>93619955.950000003</v>
      </c>
      <c r="J28" s="5">
        <f>SUM($E21:J21)</f>
        <v>107406687.65000001</v>
      </c>
      <c r="K28" s="5">
        <f>SUM($E21:K21)</f>
        <v>129081591.85000001</v>
      </c>
      <c r="L28" s="5">
        <f>SUM($E21:L21)</f>
        <v>148040693.05000001</v>
      </c>
      <c r="M28" s="5">
        <f>SUM($E21:M21)</f>
        <v>168388055.5</v>
      </c>
      <c r="N28" s="5">
        <f>SUM($E21:N21)</f>
        <v>190127947.75</v>
      </c>
      <c r="O28" s="5">
        <f>SUM($E21:O21)</f>
        <v>217471705.25</v>
      </c>
      <c r="P28" s="5">
        <f>SUM($E21:P21)</f>
        <v>246377536.75</v>
      </c>
    </row>
    <row r="29" spans="3:17" x14ac:dyDescent="0.35">
      <c r="D29" s="3" t="str">
        <f>'KPI 1'!D29</f>
        <v>DIFFERENCE</v>
      </c>
      <c r="E29" s="5">
        <f>SUM($E22:E22)</f>
        <v>1489918.2413902245</v>
      </c>
      <c r="F29" s="5">
        <f>SUM($E22:F22)</f>
        <v>6905472.6505264975</v>
      </c>
      <c r="G29" s="5">
        <f>SUM($E22:G22)</f>
        <v>7995490.2274088152</v>
      </c>
      <c r="H29" s="5">
        <f>SUM($E22:H22)</f>
        <v>12057789.972037178</v>
      </c>
      <c r="I29" s="5">
        <f>SUM($E22:I22)</f>
        <v>10283716.884411588</v>
      </c>
      <c r="J29" s="5">
        <f>SUM($E22:J22)</f>
        <v>7136060.2645320445</v>
      </c>
      <c r="K29" s="5">
        <f>SUM($E22:K22)</f>
        <v>15946271.012398548</v>
      </c>
      <c r="L29" s="5">
        <f>SUM($E22:L22)</f>
        <v>18930607.928011101</v>
      </c>
      <c r="M29" s="5">
        <f>SUM($E22:M22)</f>
        <v>20570220.511369701</v>
      </c>
      <c r="N29" s="5">
        <f>SUM($E22:N22)</f>
        <v>20570220.511369701</v>
      </c>
      <c r="O29" s="5">
        <f>SUM($E22:O22)</f>
        <v>20570220.511369701</v>
      </c>
      <c r="P29" s="5">
        <f>SUM($E22:P22)</f>
        <v>20570220.511369701</v>
      </c>
    </row>
    <row r="30" spans="3:17" x14ac:dyDescent="0.35">
      <c r="D30" s="3" t="str">
        <f>'KPI 1'!D30</f>
        <v>%REALISATION</v>
      </c>
      <c r="E30" s="9">
        <f t="shared" ref="E30:P30" si="3">E27/E26</f>
        <v>1.061038392372105</v>
      </c>
      <c r="F30" s="9">
        <f t="shared" si="3"/>
        <v>1.1404441949208211</v>
      </c>
      <c r="G30" s="9">
        <f t="shared" si="3"/>
        <v>1.1078304467689764</v>
      </c>
      <c r="H30" s="9">
        <f t="shared" si="3"/>
        <v>1.1211347184353837</v>
      </c>
      <c r="I30" s="9">
        <f t="shared" si="3"/>
        <v>1.0821339796867495</v>
      </c>
      <c r="J30" s="9">
        <f t="shared" si="3"/>
        <v>1.0471959964221562</v>
      </c>
      <c r="K30" s="9">
        <f t="shared" si="3"/>
        <v>1.0898651573379994</v>
      </c>
      <c r="L30" s="9">
        <f t="shared" si="3"/>
        <v>1.0928337714074299</v>
      </c>
      <c r="M30" s="9">
        <f t="shared" si="3"/>
        <v>1.0892056248605435</v>
      </c>
      <c r="N30" s="9">
        <f t="shared" si="3"/>
        <v>0.97573777331254374</v>
      </c>
      <c r="O30" s="9">
        <f t="shared" si="3"/>
        <v>0.88314718390259439</v>
      </c>
      <c r="P30" s="9">
        <f t="shared" si="3"/>
        <v>0.80602816369047736</v>
      </c>
    </row>
  </sheetData>
  <mergeCells count="2">
    <mergeCell ref="J4:Q8"/>
    <mergeCell ref="J10:Q15"/>
  </mergeCells>
  <conditionalFormatting sqref="C3">
    <cfRule type="expression" dxfId="95" priority="2">
      <formula>S4&lt;S6</formula>
    </cfRule>
  </conditionalFormatting>
  <conditionalFormatting sqref="C4">
    <cfRule type="expression" dxfId="94" priority="1">
      <formula>AND(S4&gt;=S6,S4&lt;S5)</formula>
    </cfRule>
  </conditionalFormatting>
  <conditionalFormatting sqref="C5">
    <cfRule type="expression" dxfId="93" priority="3">
      <formula>S4&gt;=S5</formula>
    </cfRule>
  </conditionalFormatting>
  <hyperlinks>
    <hyperlink ref="L1" location="Dashboard!A1" display="Dashboard" xr:uid="{00000000-0004-0000-1F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000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3" width="11.1796875" style="3" customWidth="1"/>
    <col min="14" max="14" width="15.453125" style="3" customWidth="1"/>
    <col min="1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Dashboard!A21</f>
        <v>A</v>
      </c>
      <c r="C1" s="4" t="str">
        <f>Dashboard!B21</f>
        <v>Eastern Region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BUDGET2526!D23</f>
        <v>0</v>
      </c>
      <c r="F19" s="5">
        <f>BUDGET2526!E23</f>
        <v>0</v>
      </c>
      <c r="G19" s="5">
        <f>BUDGET2526!F23</f>
        <v>0</v>
      </c>
      <c r="H19" s="5">
        <f>BUDGET2526!G23</f>
        <v>0</v>
      </c>
      <c r="I19" s="5">
        <f>BUDGET2526!H23</f>
        <v>0</v>
      </c>
      <c r="J19" s="5">
        <f>BUDGET2526!I23</f>
        <v>0</v>
      </c>
      <c r="K19" s="5">
        <f>BUDGET2526!J23</f>
        <v>0</v>
      </c>
      <c r="L19" s="5">
        <f>BUDGET2526!K23</f>
        <v>0</v>
      </c>
      <c r="M19" s="5">
        <f>BUDGET2526!L23</f>
        <v>0</v>
      </c>
      <c r="N19" s="5">
        <f>BUDGET2526!M23</f>
        <v>0</v>
      </c>
      <c r="O19" s="5">
        <f>BUDGET2526!N23</f>
        <v>0</v>
      </c>
      <c r="P19" s="5">
        <f>BUDGET2526!O23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 t="str">
        <f>'ACTUAL 2526'!E23</f>
        <v>9TH</v>
      </c>
      <c r="F20" s="5" t="str">
        <f>'ACTUAL 2526'!F23</f>
        <v>12th</v>
      </c>
      <c r="G20" s="5" t="str">
        <f>'ACTUAL 2526'!G23</f>
        <v>8th</v>
      </c>
      <c r="H20" s="5" t="str">
        <f>'ACTUAL 2526'!H23</f>
        <v>9TH</v>
      </c>
      <c r="I20" s="5" t="str">
        <f>'ACTUAL 2526'!I23</f>
        <v>13TH</v>
      </c>
      <c r="J20" s="5" t="str">
        <f>'ACTUAL 2526'!J23</f>
        <v>12TH</v>
      </c>
      <c r="K20" s="5" t="str">
        <f>'ACTUAL 2526'!K23</f>
        <v>15TH</v>
      </c>
      <c r="L20" s="5" t="str">
        <f>'ACTUAL 2526'!L23</f>
        <v>10TH</v>
      </c>
      <c r="M20" s="5" t="str">
        <f>'ACTUAL 2526'!M23</f>
        <v>10TH</v>
      </c>
      <c r="N20" s="5">
        <f>'ACTUAL 2526'!N23</f>
        <v>0</v>
      </c>
      <c r="O20" s="5">
        <f>'ACTUAL 2526'!O23</f>
        <v>0</v>
      </c>
      <c r="P20" s="5">
        <f>'ACTUAL 2526'!P23</f>
        <v>0</v>
      </c>
      <c r="Q20" s="5">
        <f t="shared" ref="Q20:Q21" si="0">SUM(E20:P20)</f>
        <v>0</v>
      </c>
    </row>
    <row r="21" spans="3:17" x14ac:dyDescent="0.35">
      <c r="D21" s="3" t="str">
        <f>'KPI 1'!D21</f>
        <v>ACTUAL2024/25</v>
      </c>
      <c r="E21" s="5" t="str">
        <f>'Actual 202425'!E23</f>
        <v>12th &amp;15th</v>
      </c>
      <c r="F21" s="5" t="str">
        <f>'Actual 202425'!F23</f>
        <v>14th</v>
      </c>
      <c r="G21" s="5" t="str">
        <f>'Actual 202425'!G23</f>
        <v>12th</v>
      </c>
      <c r="H21" s="5" t="str">
        <f>'Actual 202425'!H23</f>
        <v>7th</v>
      </c>
      <c r="I21" s="5" t="str">
        <f>'Actual 202425'!I23</f>
        <v>14th</v>
      </c>
      <c r="J21" s="5" t="str">
        <f>'Actual 202425'!J23</f>
        <v>11th</v>
      </c>
      <c r="K21" s="5" t="str">
        <f>'Actual 202425'!K23</f>
        <v>6th</v>
      </c>
      <c r="L21" s="5" t="str">
        <f>'Actual 202425'!L23</f>
        <v>7th</v>
      </c>
      <c r="M21" s="5" t="str">
        <f>'Actual 202425'!M23</f>
        <v>14th</v>
      </c>
      <c r="N21" s="5" t="str">
        <f>'Actual 202425'!N23</f>
        <v>14th</v>
      </c>
      <c r="O21" s="5" t="str">
        <f>'Actual 202425'!O23</f>
        <v>13th</v>
      </c>
      <c r="P21" s="5" t="str">
        <f>'Actual 202425'!P23</f>
        <v>19th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 t="e">
        <f t="shared" ref="E22:P22" si="1">IF(E20=0,0,E20-E19)</f>
        <v>#VALUE!</v>
      </c>
      <c r="F22" s="5" t="e">
        <f t="shared" si="1"/>
        <v>#VALUE!</v>
      </c>
      <c r="G22" s="5" t="e">
        <f t="shared" si="1"/>
        <v>#VALUE!</v>
      </c>
      <c r="H22" s="5" t="e">
        <f t="shared" si="1"/>
        <v>#VALUE!</v>
      </c>
      <c r="I22" s="5" t="e">
        <f t="shared" si="1"/>
        <v>#VALUE!</v>
      </c>
      <c r="J22" s="5" t="e">
        <f t="shared" si="1"/>
        <v>#VALUE!</v>
      </c>
      <c r="K22" s="5" t="e">
        <f t="shared" si="1"/>
        <v>#VALUE!</v>
      </c>
      <c r="L22" s="5" t="e">
        <f t="shared" si="1"/>
        <v>#VALUE!</v>
      </c>
      <c r="M22" s="5" t="e">
        <f t="shared" si="1"/>
        <v>#VALUE!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 t="e">
        <f>SUM(E22:P22)</f>
        <v>#VALUE!</v>
      </c>
    </row>
    <row r="23" spans="3:17" x14ac:dyDescent="0.35">
      <c r="D23" s="3" t="str">
        <f>'KPI 1'!D23</f>
        <v>%REALISATION</v>
      </c>
      <c r="E23" s="9" t="e">
        <f>E21/E19</f>
        <v>#VALUE!</v>
      </c>
      <c r="F23" s="9" t="e">
        <f t="shared" ref="F23:P23" si="2">F20/F19</f>
        <v>#VALUE!</v>
      </c>
      <c r="G23" s="9" t="e">
        <f t="shared" si="2"/>
        <v>#VALUE!</v>
      </c>
      <c r="H23" s="9" t="e">
        <f t="shared" si="2"/>
        <v>#VALUE!</v>
      </c>
      <c r="I23" s="9" t="e">
        <f t="shared" si="2"/>
        <v>#VALUE!</v>
      </c>
      <c r="J23" s="9" t="e">
        <f t="shared" si="2"/>
        <v>#VALUE!</v>
      </c>
      <c r="K23" s="9" t="e">
        <f t="shared" si="2"/>
        <v>#VALUE!</v>
      </c>
      <c r="L23" s="9" t="e">
        <f t="shared" si="2"/>
        <v>#VALUE!</v>
      </c>
      <c r="M23" s="9" t="e">
        <f t="shared" si="2"/>
        <v>#VALUE!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 t="e">
        <f>SUM($E22:E22)</f>
        <v>#VALUE!</v>
      </c>
      <c r="F29" s="5" t="e">
        <f>SUM($E22:F22)</f>
        <v>#VALUE!</v>
      </c>
      <c r="G29" s="5" t="e">
        <f>SUM($E22:G22)</f>
        <v>#VALUE!</v>
      </c>
      <c r="H29" s="5" t="e">
        <f>SUM($E22:H22)</f>
        <v>#VALUE!</v>
      </c>
      <c r="I29" s="5" t="e">
        <f>SUM($E22:I22)</f>
        <v>#VALUE!</v>
      </c>
      <c r="J29" s="5" t="e">
        <f>SUM($E22:J22)</f>
        <v>#VALUE!</v>
      </c>
      <c r="K29" s="5" t="e">
        <f>SUM($E22:K22)</f>
        <v>#VALUE!</v>
      </c>
      <c r="L29" s="5" t="e">
        <f>SUM($E22:L22)</f>
        <v>#VALUE!</v>
      </c>
      <c r="M29" s="5" t="e">
        <f>SUM($E22:M22)</f>
        <v>#VALUE!</v>
      </c>
      <c r="N29" s="5" t="e">
        <f>SUM($E22:N22)</f>
        <v>#VALUE!</v>
      </c>
      <c r="O29" s="5" t="e">
        <f>SUM($E22:O22)</f>
        <v>#VALUE!</v>
      </c>
      <c r="P29" s="5" t="e">
        <f>SUM($E22:P22)</f>
        <v>#VALUE!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92" priority="2">
      <formula>S4&lt;S6</formula>
    </cfRule>
  </conditionalFormatting>
  <conditionalFormatting sqref="C4">
    <cfRule type="expression" dxfId="91" priority="1">
      <formula>AND(S4&gt;=S6,S4&lt;S5)</formula>
    </cfRule>
  </conditionalFormatting>
  <conditionalFormatting sqref="C5">
    <cfRule type="expression" dxfId="90" priority="3">
      <formula>S4&gt;=S5</formula>
    </cfRule>
  </conditionalFormatting>
  <hyperlinks>
    <hyperlink ref="L1" location="Dashboard!A1" display="Dashboard" xr:uid="{00000000-0004-0000-20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5782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Dashboard!A23</f>
        <v>C</v>
      </c>
      <c r="C1" s="4" t="str">
        <f>Dashboard!B22</f>
        <v>Southern Region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BUDGET2526!D24</f>
        <v>0</v>
      </c>
      <c r="F19" s="5">
        <f>BUDGET2526!E24</f>
        <v>0</v>
      </c>
      <c r="G19" s="5">
        <f>BUDGET2526!F24</f>
        <v>0</v>
      </c>
      <c r="H19" s="5">
        <f>BUDGET2526!G24</f>
        <v>0</v>
      </c>
      <c r="I19" s="5">
        <f>BUDGET2526!H24</f>
        <v>0</v>
      </c>
      <c r="J19" s="5">
        <f>BUDGET2526!I24</f>
        <v>0</v>
      </c>
      <c r="K19" s="5">
        <f>BUDGET2526!J24</f>
        <v>0</v>
      </c>
      <c r="L19" s="5">
        <f>BUDGET2526!K24</f>
        <v>0</v>
      </c>
      <c r="M19" s="5">
        <f>BUDGET2526!L24</f>
        <v>0</v>
      </c>
      <c r="N19" s="5">
        <f>BUDGET2526!M24</f>
        <v>0</v>
      </c>
      <c r="O19" s="5">
        <f>BUDGET2526!N24</f>
        <v>0</v>
      </c>
      <c r="P19" s="5">
        <f>BUDGET2526!O24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 t="str">
        <f>'ACTUAL 2526'!E24</f>
        <v>17TH</v>
      </c>
      <c r="F20" s="5" t="str">
        <f>'ACTUAL 2526'!F24</f>
        <v>15th</v>
      </c>
      <c r="G20" s="5" t="str">
        <f>'ACTUAL 2526'!G24</f>
        <v>15th</v>
      </c>
      <c r="H20" s="5" t="str">
        <f>'ACTUAL 2526'!H24</f>
        <v xml:space="preserve">22nd </v>
      </c>
      <c r="I20" s="5" t="str">
        <f>'ACTUAL 2526'!I24</f>
        <v>18TH</v>
      </c>
      <c r="J20" s="5" t="str">
        <f>'ACTUAL 2526'!J24</f>
        <v>23RD</v>
      </c>
      <c r="K20" s="5" t="str">
        <f>'ACTUAL 2526'!K24</f>
        <v>30TH</v>
      </c>
      <c r="L20" s="5" t="str">
        <f>'ACTUAL 2526'!L24</f>
        <v>25TH</v>
      </c>
      <c r="M20" s="5" t="str">
        <f>'ACTUAL 2526'!M24</f>
        <v>24TH</v>
      </c>
      <c r="N20" s="5">
        <f>'ACTUAL 2526'!N24</f>
        <v>0</v>
      </c>
      <c r="O20" s="5">
        <f>'ACTUAL 2526'!O24</f>
        <v>0</v>
      </c>
      <c r="P20" s="5">
        <f>'ACTUAL 2526'!P24</f>
        <v>0</v>
      </c>
      <c r="Q20" s="5">
        <f t="shared" ref="Q20:Q21" si="0">SUM(E20:P20)</f>
        <v>0</v>
      </c>
    </row>
    <row r="21" spans="3:17" x14ac:dyDescent="0.35">
      <c r="D21" s="3" t="str">
        <f>'KPI 1'!D21</f>
        <v>ACTUAL2024/25</v>
      </c>
      <c r="E21" s="5" t="str">
        <f>'Actual 202425'!E24</f>
        <v>15th</v>
      </c>
      <c r="F21" s="5" t="str">
        <f>'Actual 202425'!F24</f>
        <v>16th</v>
      </c>
      <c r="G21" s="5" t="str">
        <f>'Actual 202425'!G24</f>
        <v>17th</v>
      </c>
      <c r="H21" s="5" t="str">
        <f>'Actual 202425'!H24</f>
        <v>15th</v>
      </c>
      <c r="I21" s="5" t="str">
        <f>'Actual 202425'!I24</f>
        <v>15th</v>
      </c>
      <c r="J21" s="5" t="str">
        <f>'Actual 202425'!J24</f>
        <v>11th</v>
      </c>
      <c r="K21" s="5" t="str">
        <f>'Actual 202425'!K24</f>
        <v>20th</v>
      </c>
      <c r="L21" s="5" t="str">
        <f>'Actual 202425'!L24</f>
        <v>17th</v>
      </c>
      <c r="M21" s="5" t="str">
        <f>'Actual 202425'!M24</f>
        <v>20th</v>
      </c>
      <c r="N21" s="5" t="str">
        <f>'Actual 202425'!N24</f>
        <v>19th</v>
      </c>
      <c r="O21" s="5" t="str">
        <f>'Actual 202425'!O24</f>
        <v>16th</v>
      </c>
      <c r="P21" s="5" t="str">
        <f>'Actual 202425'!P24</f>
        <v>23rd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 t="e">
        <f t="shared" ref="E22:P22" si="1">IF(E20=0,0,E20-E19)</f>
        <v>#VALUE!</v>
      </c>
      <c r="F22" s="5" t="e">
        <f t="shared" si="1"/>
        <v>#VALUE!</v>
      </c>
      <c r="G22" s="5" t="e">
        <f t="shared" si="1"/>
        <v>#VALUE!</v>
      </c>
      <c r="H22" s="5" t="e">
        <f t="shared" si="1"/>
        <v>#VALUE!</v>
      </c>
      <c r="I22" s="5" t="e">
        <f t="shared" si="1"/>
        <v>#VALUE!</v>
      </c>
      <c r="J22" s="5" t="e">
        <f t="shared" si="1"/>
        <v>#VALUE!</v>
      </c>
      <c r="K22" s="5" t="e">
        <f t="shared" si="1"/>
        <v>#VALUE!</v>
      </c>
      <c r="L22" s="5" t="e">
        <f t="shared" si="1"/>
        <v>#VALUE!</v>
      </c>
      <c r="M22" s="5" t="e">
        <f t="shared" si="1"/>
        <v>#VALUE!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 t="e">
        <f>SUM(E22:P22)</f>
        <v>#VALUE!</v>
      </c>
    </row>
    <row r="23" spans="3:17" x14ac:dyDescent="0.35">
      <c r="D23" s="3" t="str">
        <f>'KPI 1'!D23</f>
        <v>%REALISATION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 t="e">
        <f>SUM($E22:E22)</f>
        <v>#VALUE!</v>
      </c>
      <c r="F29" s="5" t="e">
        <f>SUM($E22:F22)</f>
        <v>#VALUE!</v>
      </c>
      <c r="G29" s="5" t="e">
        <f>SUM($E22:G22)</f>
        <v>#VALUE!</v>
      </c>
      <c r="H29" s="5" t="e">
        <f>SUM($E22:H22)</f>
        <v>#VALUE!</v>
      </c>
      <c r="I29" s="5" t="e">
        <f>SUM($E22:I22)</f>
        <v>#VALUE!</v>
      </c>
      <c r="J29" s="5" t="e">
        <f>SUM($E22:J22)</f>
        <v>#VALUE!</v>
      </c>
      <c r="K29" s="5" t="e">
        <f>SUM($E22:K22)</f>
        <v>#VALUE!</v>
      </c>
      <c r="L29" s="5" t="e">
        <f>SUM($E22:L22)</f>
        <v>#VALUE!</v>
      </c>
      <c r="M29" s="5" t="e">
        <f>SUM($E22:M22)</f>
        <v>#VALUE!</v>
      </c>
      <c r="N29" s="5" t="e">
        <f>SUM($E22:N22)</f>
        <v>#VALUE!</v>
      </c>
      <c r="O29" s="5" t="e">
        <f>SUM($E22:O22)</f>
        <v>#VALUE!</v>
      </c>
      <c r="P29" s="5" t="e">
        <f>SUM($E22:P22)</f>
        <v>#VALUE!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2">F27/F26</f>
        <v>#DIV/0!</v>
      </c>
      <c r="G30" s="9" t="e">
        <f t="shared" si="2"/>
        <v>#DIV/0!</v>
      </c>
      <c r="H30" s="9" t="e">
        <f t="shared" si="2"/>
        <v>#DIV/0!</v>
      </c>
      <c r="I30" s="9" t="e">
        <f t="shared" si="2"/>
        <v>#DIV/0!</v>
      </c>
      <c r="J30" s="9" t="e">
        <f t="shared" si="2"/>
        <v>#DIV/0!</v>
      </c>
      <c r="K30" s="9" t="e">
        <f t="shared" si="2"/>
        <v>#DIV/0!</v>
      </c>
      <c r="L30" s="9" t="e">
        <f t="shared" si="2"/>
        <v>#DIV/0!</v>
      </c>
      <c r="M30" s="9" t="e">
        <f t="shared" si="2"/>
        <v>#DIV/0!</v>
      </c>
      <c r="N30" s="9" t="e">
        <f t="shared" si="2"/>
        <v>#DIV/0!</v>
      </c>
      <c r="O30" s="9" t="e">
        <f t="shared" si="2"/>
        <v>#DIV/0!</v>
      </c>
      <c r="P30" s="9" t="e">
        <f t="shared" si="2"/>
        <v>#DIV/0!</v>
      </c>
    </row>
  </sheetData>
  <mergeCells count="2">
    <mergeCell ref="J4:Q8"/>
    <mergeCell ref="J10:Q15"/>
  </mergeCells>
  <conditionalFormatting sqref="C3">
    <cfRule type="expression" dxfId="89" priority="2">
      <formula>S4&lt;S6</formula>
    </cfRule>
  </conditionalFormatting>
  <conditionalFormatting sqref="C4">
    <cfRule type="expression" dxfId="88" priority="1">
      <formula>AND(S4&gt;=S6,S4&lt;S5)</formula>
    </cfRule>
  </conditionalFormatting>
  <conditionalFormatting sqref="C5">
    <cfRule type="expression" dxfId="87" priority="3">
      <formula>S4&gt;=S5</formula>
    </cfRule>
  </conditionalFormatting>
  <hyperlinks>
    <hyperlink ref="L1" location="Dashboard!A1" display="Dashboard" xr:uid="{00000000-0004-0000-21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5987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Dashboard!A23</f>
        <v>C</v>
      </c>
      <c r="C1" s="4" t="str">
        <f>Dashboard!B23</f>
        <v>Central Region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BUDGET2526!D25</f>
        <v>0</v>
      </c>
      <c r="F19" s="5">
        <f>BUDGET2526!E25</f>
        <v>0</v>
      </c>
      <c r="G19" s="5">
        <f>BUDGET2526!F25</f>
        <v>0</v>
      </c>
      <c r="H19" s="5">
        <f>BUDGET2526!G25</f>
        <v>0</v>
      </c>
      <c r="I19" s="5">
        <f>BUDGET2526!H25</f>
        <v>0</v>
      </c>
      <c r="J19" s="5">
        <f>BUDGET2526!I25</f>
        <v>0</v>
      </c>
      <c r="K19" s="5">
        <f>BUDGET2526!J25</f>
        <v>0</v>
      </c>
      <c r="L19" s="5">
        <f>BUDGET2526!K25</f>
        <v>0</v>
      </c>
      <c r="M19" s="5">
        <f>BUDGET2526!L25</f>
        <v>0</v>
      </c>
      <c r="N19" s="5">
        <f>BUDGET2526!M25</f>
        <v>0</v>
      </c>
      <c r="O19" s="5">
        <f>BUDGET2526!N25</f>
        <v>0</v>
      </c>
      <c r="P19" s="5">
        <f>BUDGET2526!O25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 t="str">
        <f>'ACTUAL 2526'!E25</f>
        <v>31ST</v>
      </c>
      <c r="F20" s="5" t="str">
        <f>'ACTUAL 2526'!F25</f>
        <v>30th</v>
      </c>
      <c r="G20" s="5" t="str">
        <f>'ACTUAL 2526'!G25</f>
        <v>29th</v>
      </c>
      <c r="H20" s="5" t="str">
        <f>'ACTUAL 2526'!H25</f>
        <v>31st</v>
      </c>
      <c r="I20" s="5" t="str">
        <f>'ACTUAL 2526'!I25</f>
        <v>28TH</v>
      </c>
      <c r="J20" s="5" t="str">
        <f>'ACTUAL 2526'!J25</f>
        <v>23RD</v>
      </c>
      <c r="K20" s="5" t="str">
        <f>'ACTUAL 2526'!K25</f>
        <v>30TH</v>
      </c>
      <c r="L20" s="5" t="str">
        <f>'ACTUAL 2526'!L25</f>
        <v>27TH</v>
      </c>
      <c r="M20" s="5" t="str">
        <f>'ACTUAL 2526'!M25</f>
        <v>31ST</v>
      </c>
      <c r="N20" s="5">
        <f>'ACTUAL 2526'!N25</f>
        <v>0</v>
      </c>
      <c r="O20" s="5">
        <f>'ACTUAL 2526'!O25</f>
        <v>0</v>
      </c>
      <c r="P20" s="5">
        <f>'ACTUAL 2526'!P25</f>
        <v>0</v>
      </c>
      <c r="Q20" s="5">
        <f t="shared" ref="Q20:Q21" si="0">SUM(E20:P20)</f>
        <v>0</v>
      </c>
    </row>
    <row r="21" spans="3:17" x14ac:dyDescent="0.35">
      <c r="D21" s="3" t="str">
        <f>'KPI 1'!D21</f>
        <v>ACTUAL2024/25</v>
      </c>
      <c r="E21" s="5" t="str">
        <f>'Actual 202425'!E25</f>
        <v>31st</v>
      </c>
      <c r="F21" s="5" t="str">
        <f>'Actual 202425'!F25</f>
        <v>30th</v>
      </c>
      <c r="G21" s="5" t="str">
        <f>'Actual 202425'!G25</f>
        <v>30th</v>
      </c>
      <c r="H21" s="5" t="str">
        <f>'Actual 202425'!H25</f>
        <v>31st</v>
      </c>
      <c r="I21" s="5" t="str">
        <f>'Actual 202425'!I25</f>
        <v>29th</v>
      </c>
      <c r="J21" s="5" t="str">
        <f>'Actual 202425'!J25</f>
        <v>20th</v>
      </c>
      <c r="K21" s="5" t="str">
        <f>'Actual 202425'!K25</f>
        <v>29th</v>
      </c>
      <c r="L21" s="5" t="str">
        <f>'Actual 202425'!L25</f>
        <v>28th</v>
      </c>
      <c r="M21" s="5" t="str">
        <f>'Actual 202425'!M25</f>
        <v>30th</v>
      </c>
      <c r="N21" s="5" t="str">
        <f>'Actual 202425'!N25</f>
        <v>30th</v>
      </c>
      <c r="O21" s="5" t="str">
        <f>'Actual 202425'!O25</f>
        <v>29th</v>
      </c>
      <c r="P21" s="5" t="str">
        <f>'Actual 202425'!P25</f>
        <v>30th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3:17" x14ac:dyDescent="0.35">
      <c r="D23" s="3" t="str">
        <f>'KPI 1'!D23</f>
        <v>%REALISATION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1">F27/F26</f>
        <v>#DIV/0!</v>
      </c>
      <c r="G30" s="9" t="e">
        <f t="shared" si="1"/>
        <v>#DIV/0!</v>
      </c>
      <c r="H30" s="9" t="e">
        <f t="shared" si="1"/>
        <v>#DIV/0!</v>
      </c>
      <c r="I30" s="9" t="e">
        <f t="shared" si="1"/>
        <v>#DIV/0!</v>
      </c>
      <c r="J30" s="9" t="e">
        <f t="shared" si="1"/>
        <v>#DIV/0!</v>
      </c>
      <c r="K30" s="9" t="e">
        <f t="shared" si="1"/>
        <v>#DIV/0!</v>
      </c>
      <c r="L30" s="9" t="e">
        <f t="shared" si="1"/>
        <v>#DIV/0!</v>
      </c>
      <c r="M30" s="9" t="e">
        <f t="shared" si="1"/>
        <v>#DIV/0!</v>
      </c>
      <c r="N30" s="9" t="e">
        <f t="shared" si="1"/>
        <v>#DIV/0!</v>
      </c>
      <c r="O30" s="9" t="e">
        <f t="shared" si="1"/>
        <v>#DIV/0!</v>
      </c>
      <c r="P30" s="9" t="e">
        <f t="shared" si="1"/>
        <v>#DIV/0!</v>
      </c>
    </row>
  </sheetData>
  <mergeCells count="2">
    <mergeCell ref="J4:Q8"/>
    <mergeCell ref="J10:Q15"/>
  </mergeCells>
  <conditionalFormatting sqref="C3">
    <cfRule type="expression" dxfId="86" priority="2">
      <formula>S4&lt;S6</formula>
    </cfRule>
  </conditionalFormatting>
  <conditionalFormatting sqref="C4">
    <cfRule type="expression" dxfId="85" priority="1">
      <formula>AND(S4&gt;=S6,S4&lt;S5)</formula>
    </cfRule>
  </conditionalFormatting>
  <conditionalFormatting sqref="C5">
    <cfRule type="expression" dxfId="84" priority="3">
      <formula>S4&gt;=S5</formula>
    </cfRule>
  </conditionalFormatting>
  <hyperlinks>
    <hyperlink ref="L1" location="Dashboard!A1" display="Dashboard" xr:uid="{00000000-0004-0000-22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185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3" width="11.1796875" style="3" customWidth="1"/>
    <col min="14" max="14" width="15.453125" style="3" customWidth="1"/>
    <col min="1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Dashboard!A25</f>
        <v>D</v>
      </c>
      <c r="C1" s="4" t="str">
        <f>Dashboard!B25</f>
        <v>Total accounts disconnected-water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1158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4500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4050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BUDGET2526!D27</f>
        <v>500</v>
      </c>
      <c r="F19" s="5">
        <f>BUDGET2526!E27</f>
        <v>500</v>
      </c>
      <c r="G19" s="5">
        <f>BUDGET2526!F27</f>
        <v>500</v>
      </c>
      <c r="H19" s="5">
        <f>BUDGET2526!G27</f>
        <v>500</v>
      </c>
      <c r="I19" s="5">
        <f>BUDGET2526!H27</f>
        <v>500</v>
      </c>
      <c r="J19" s="5">
        <f>BUDGET2526!I27</f>
        <v>500</v>
      </c>
      <c r="K19" s="5">
        <f>BUDGET2526!J27</f>
        <v>500</v>
      </c>
      <c r="L19" s="5">
        <f>BUDGET2526!K27</f>
        <v>500</v>
      </c>
      <c r="M19" s="5">
        <f>BUDGET2526!L27</f>
        <v>500</v>
      </c>
      <c r="N19" s="5">
        <f>BUDGET2526!M27</f>
        <v>500</v>
      </c>
      <c r="O19" s="5">
        <f>BUDGET2526!N27</f>
        <v>500</v>
      </c>
      <c r="P19" s="5">
        <f>BUDGET2526!O27</f>
        <v>500</v>
      </c>
      <c r="Q19" s="5">
        <f>SUM(E19:P19)</f>
        <v>6000</v>
      </c>
    </row>
    <row r="20" spans="3:17" x14ac:dyDescent="0.35">
      <c r="D20" s="3" t="str">
        <f>'KPI 1'!D20</f>
        <v>ACTUAL2025/26</v>
      </c>
      <c r="E20" s="5">
        <f>'ACTUAL 2526'!E27</f>
        <v>152</v>
      </c>
      <c r="F20" s="5">
        <f>'ACTUAL 2526'!F27</f>
        <v>229</v>
      </c>
      <c r="G20" s="5">
        <f>'ACTUAL 2526'!G27</f>
        <v>112</v>
      </c>
      <c r="H20" s="5">
        <f>'ACTUAL 2526'!H27</f>
        <v>42</v>
      </c>
      <c r="I20" s="5">
        <f>'ACTUAL 2526'!I27</f>
        <v>99</v>
      </c>
      <c r="J20" s="5">
        <f>'ACTUAL 2526'!J27</f>
        <v>101</v>
      </c>
      <c r="K20" s="5">
        <f>'ACTUAL 2526'!K27</f>
        <v>142</v>
      </c>
      <c r="L20" s="5">
        <f>'ACTUAL 2526'!L27</f>
        <v>133</v>
      </c>
      <c r="M20" s="5">
        <f>'ACTUAL 2526'!M27</f>
        <v>148</v>
      </c>
      <c r="N20" s="5">
        <f>'ACTUAL 2526'!N27</f>
        <v>0</v>
      </c>
      <c r="O20" s="5">
        <f>'ACTUAL 2526'!O27</f>
        <v>0</v>
      </c>
      <c r="P20" s="5">
        <f>'ACTUAL 2526'!P27</f>
        <v>0</v>
      </c>
      <c r="Q20" s="5">
        <f t="shared" ref="Q20:Q21" si="0">SUM(E20:P20)</f>
        <v>1158</v>
      </c>
    </row>
    <row r="21" spans="3:17" x14ac:dyDescent="0.35">
      <c r="D21" s="3" t="str">
        <f>'KPI 1'!D21</f>
        <v>ACTUAL2024/25</v>
      </c>
      <c r="E21" s="5">
        <f>'Actual 202425'!E27</f>
        <v>606</v>
      </c>
      <c r="F21" s="5">
        <f>'Actual 202425'!F27</f>
        <v>270</v>
      </c>
      <c r="G21" s="5">
        <f>'Actual 202425'!G27</f>
        <v>119</v>
      </c>
      <c r="H21" s="5">
        <f>'Actual 202425'!H27</f>
        <v>172</v>
      </c>
      <c r="I21" s="5">
        <f>'Actual 202425'!I27</f>
        <v>166</v>
      </c>
      <c r="J21" s="5">
        <f>'Actual 202425'!J27</f>
        <v>149</v>
      </c>
      <c r="K21" s="5">
        <f>'Actual 202425'!K27</f>
        <v>197</v>
      </c>
      <c r="L21" s="5">
        <f>'Actual 202425'!L27</f>
        <v>144</v>
      </c>
      <c r="M21" s="5">
        <f>'Actual 202425'!M27</f>
        <v>227</v>
      </c>
      <c r="N21" s="5">
        <f>'Actual 202425'!N27</f>
        <v>111</v>
      </c>
      <c r="O21" s="5">
        <f>'Actual 202425'!O27</f>
        <v>123</v>
      </c>
      <c r="P21" s="5">
        <f>'Actual 202425'!P27</f>
        <v>111</v>
      </c>
      <c r="Q21" s="5">
        <f t="shared" si="0"/>
        <v>2395</v>
      </c>
    </row>
    <row r="22" spans="3:17" x14ac:dyDescent="0.35">
      <c r="D22" s="3" t="str">
        <f>'KPI 1'!D22</f>
        <v>DIFFERENCE</v>
      </c>
      <c r="E22" s="5">
        <f t="shared" ref="E22:P22" si="1">IF(E20=0,0,E20-E19)</f>
        <v>-348</v>
      </c>
      <c r="F22" s="5">
        <f t="shared" si="1"/>
        <v>-271</v>
      </c>
      <c r="G22" s="5">
        <f t="shared" si="1"/>
        <v>-388</v>
      </c>
      <c r="H22" s="5">
        <f t="shared" si="1"/>
        <v>-458</v>
      </c>
      <c r="I22" s="5">
        <f t="shared" si="1"/>
        <v>-401</v>
      </c>
      <c r="J22" s="5">
        <f t="shared" si="1"/>
        <v>-399</v>
      </c>
      <c r="K22" s="5">
        <f t="shared" si="1"/>
        <v>-358</v>
      </c>
      <c r="L22" s="5">
        <f t="shared" si="1"/>
        <v>-367</v>
      </c>
      <c r="M22" s="5">
        <f t="shared" si="1"/>
        <v>-352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-3342</v>
      </c>
    </row>
    <row r="23" spans="3:17" x14ac:dyDescent="0.35">
      <c r="D23" s="3" t="str">
        <f>'KPI 1'!D23</f>
        <v>%REALISATION</v>
      </c>
      <c r="E23" s="9">
        <f t="shared" ref="E23:P23" si="2">E20/E19</f>
        <v>0.30399999999999999</v>
      </c>
      <c r="F23" s="9">
        <f t="shared" si="2"/>
        <v>0.45800000000000002</v>
      </c>
      <c r="G23" s="9">
        <f t="shared" si="2"/>
        <v>0.224</v>
      </c>
      <c r="H23" s="9">
        <f t="shared" si="2"/>
        <v>8.4000000000000005E-2</v>
      </c>
      <c r="I23" s="9">
        <f t="shared" si="2"/>
        <v>0.19800000000000001</v>
      </c>
      <c r="J23" s="9">
        <f t="shared" si="2"/>
        <v>0.20200000000000001</v>
      </c>
      <c r="K23" s="9">
        <f t="shared" si="2"/>
        <v>0.28399999999999997</v>
      </c>
      <c r="L23" s="9">
        <f t="shared" si="2"/>
        <v>0.26600000000000001</v>
      </c>
      <c r="M23" s="9">
        <f t="shared" si="2"/>
        <v>0.29599999999999999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500</v>
      </c>
      <c r="F26" s="5">
        <f>SUM($E19:F19)</f>
        <v>1000</v>
      </c>
      <c r="G26" s="5">
        <f>SUM($E19:G19)</f>
        <v>1500</v>
      </c>
      <c r="H26" s="5">
        <f>SUM($E19:H19)</f>
        <v>2000</v>
      </c>
      <c r="I26" s="5">
        <f>SUM($E19:I19)</f>
        <v>2500</v>
      </c>
      <c r="J26" s="5">
        <f>SUM($E19:J19)</f>
        <v>3000</v>
      </c>
      <c r="K26" s="5">
        <f>SUM($E19:K19)</f>
        <v>3500</v>
      </c>
      <c r="L26" s="5">
        <f>SUM($E19:L19)</f>
        <v>4000</v>
      </c>
      <c r="M26" s="5">
        <f>SUM($E19:M19)</f>
        <v>4500</v>
      </c>
      <c r="N26" s="5">
        <f>SUM($E19:N19)</f>
        <v>5000</v>
      </c>
      <c r="O26" s="5">
        <f>SUM($E19:O19)</f>
        <v>5500</v>
      </c>
      <c r="P26" s="5">
        <f>SUM($E19:P19)</f>
        <v>6000</v>
      </c>
    </row>
    <row r="27" spans="3:17" x14ac:dyDescent="0.35">
      <c r="D27" s="3" t="str">
        <f>'KPI 1'!D27</f>
        <v>ACTUAL2025/26</v>
      </c>
      <c r="E27" s="5">
        <f>SUM($E20:E20)</f>
        <v>152</v>
      </c>
      <c r="F27" s="5">
        <f>SUM($E20:F20)</f>
        <v>381</v>
      </c>
      <c r="G27" s="5">
        <f>SUM($E20:G20)</f>
        <v>493</v>
      </c>
      <c r="H27" s="5">
        <f>SUM($E20:H20)</f>
        <v>535</v>
      </c>
      <c r="I27" s="5">
        <f>SUM($E20:I20)</f>
        <v>634</v>
      </c>
      <c r="J27" s="5">
        <f>SUM($E20:J20)</f>
        <v>735</v>
      </c>
      <c r="K27" s="5">
        <f>SUM($E20:K20)</f>
        <v>877</v>
      </c>
      <c r="L27" s="5">
        <f>SUM($E20:L20)</f>
        <v>1010</v>
      </c>
      <c r="M27" s="5">
        <f>SUM($E20:M20)</f>
        <v>1158</v>
      </c>
      <c r="N27" s="5">
        <f>SUM($E20:N20)</f>
        <v>1158</v>
      </c>
      <c r="O27" s="5">
        <f>SUM($E20:O20)</f>
        <v>1158</v>
      </c>
      <c r="P27" s="5">
        <f>SUM($E20:P20)</f>
        <v>1158</v>
      </c>
    </row>
    <row r="28" spans="3:17" x14ac:dyDescent="0.35">
      <c r="D28" s="3" t="str">
        <f>'KPI 1'!D28</f>
        <v>ACTUAL2024/25</v>
      </c>
      <c r="E28" s="5">
        <f>SUM($E21:E21)</f>
        <v>606</v>
      </c>
      <c r="F28" s="5">
        <f>SUM($E21:F21)</f>
        <v>876</v>
      </c>
      <c r="G28" s="5">
        <f>SUM($E21:G21)</f>
        <v>995</v>
      </c>
      <c r="H28" s="5">
        <f>SUM($E21:H21)</f>
        <v>1167</v>
      </c>
      <c r="I28" s="5">
        <f>SUM($E21:I21)</f>
        <v>1333</v>
      </c>
      <c r="J28" s="5">
        <f>SUM($E21:J21)</f>
        <v>1482</v>
      </c>
      <c r="K28" s="5">
        <f>SUM($E21:K21)</f>
        <v>1679</v>
      </c>
      <c r="L28" s="5">
        <f>SUM($E21:L21)</f>
        <v>1823</v>
      </c>
      <c r="M28" s="5">
        <f>SUM($E21:M21)</f>
        <v>2050</v>
      </c>
      <c r="N28" s="5">
        <f>SUM($E21:N21)</f>
        <v>2161</v>
      </c>
      <c r="O28" s="5">
        <f>SUM($E21:O21)</f>
        <v>2284</v>
      </c>
      <c r="P28" s="5">
        <f>SUM($E21:P21)</f>
        <v>2395</v>
      </c>
    </row>
    <row r="29" spans="3:17" x14ac:dyDescent="0.35">
      <c r="D29" s="3" t="str">
        <f>'KPI 1'!D29</f>
        <v>DIFFERENCE</v>
      </c>
      <c r="E29" s="5">
        <f>SUM($E22:E22)</f>
        <v>-348</v>
      </c>
      <c r="F29" s="5">
        <f>SUM($E22:F22)</f>
        <v>-619</v>
      </c>
      <c r="G29" s="5">
        <f>SUM($E22:G22)</f>
        <v>-1007</v>
      </c>
      <c r="H29" s="5">
        <f>SUM($E22:H22)</f>
        <v>-1465</v>
      </c>
      <c r="I29" s="5">
        <f>SUM($E22:I22)</f>
        <v>-1866</v>
      </c>
      <c r="J29" s="5">
        <f>SUM($E22:J22)</f>
        <v>-2265</v>
      </c>
      <c r="K29" s="5">
        <f>SUM($E22:K22)</f>
        <v>-2623</v>
      </c>
      <c r="L29" s="5">
        <f>SUM($E22:L22)</f>
        <v>-2990</v>
      </c>
      <c r="M29" s="5">
        <f>SUM($E22:M22)</f>
        <v>-3342</v>
      </c>
      <c r="N29" s="5">
        <f>SUM($E22:N22)</f>
        <v>-3342</v>
      </c>
      <c r="O29" s="5">
        <f>SUM($E22:O22)</f>
        <v>-3342</v>
      </c>
      <c r="P29" s="5">
        <f>SUM($E22:P22)</f>
        <v>-3342</v>
      </c>
    </row>
    <row r="30" spans="3:17" x14ac:dyDescent="0.35">
      <c r="D30" s="3" t="str">
        <f>'KPI 1'!D30</f>
        <v>%REALISATION</v>
      </c>
      <c r="E30" s="9">
        <f t="shared" ref="E30:P30" si="3">E27/E26</f>
        <v>0.30399999999999999</v>
      </c>
      <c r="F30" s="9">
        <f t="shared" si="3"/>
        <v>0.38100000000000001</v>
      </c>
      <c r="G30" s="9">
        <f t="shared" si="3"/>
        <v>0.32866666666666666</v>
      </c>
      <c r="H30" s="9">
        <f t="shared" si="3"/>
        <v>0.26750000000000002</v>
      </c>
      <c r="I30" s="9">
        <f t="shared" si="3"/>
        <v>0.25359999999999999</v>
      </c>
      <c r="J30" s="9">
        <f t="shared" si="3"/>
        <v>0.245</v>
      </c>
      <c r="K30" s="9">
        <f t="shared" si="3"/>
        <v>0.25057142857142856</v>
      </c>
      <c r="L30" s="9">
        <f t="shared" si="3"/>
        <v>0.2525</v>
      </c>
      <c r="M30" s="9">
        <f t="shared" si="3"/>
        <v>0.25733333333333336</v>
      </c>
      <c r="N30" s="9">
        <f t="shared" si="3"/>
        <v>0.2316</v>
      </c>
      <c r="O30" s="9">
        <f t="shared" si="3"/>
        <v>0.21054545454545454</v>
      </c>
      <c r="P30" s="9">
        <f t="shared" si="3"/>
        <v>0.193</v>
      </c>
    </row>
  </sheetData>
  <mergeCells count="2">
    <mergeCell ref="J4:Q8"/>
    <mergeCell ref="J10:Q15"/>
  </mergeCells>
  <conditionalFormatting sqref="C3">
    <cfRule type="expression" dxfId="83" priority="2">
      <formula>S4&lt;S6</formula>
    </cfRule>
  </conditionalFormatting>
  <conditionalFormatting sqref="C4">
    <cfRule type="expression" dxfId="82" priority="1">
      <formula>AND(S4&gt;=S6,S4&lt;S5)</formula>
    </cfRule>
  </conditionalFormatting>
  <conditionalFormatting sqref="C5">
    <cfRule type="expression" dxfId="81" priority="3">
      <formula>S4&gt;=S5</formula>
    </cfRule>
  </conditionalFormatting>
  <hyperlinks>
    <hyperlink ref="L1" location="Dashboard!A1" display="Dashboard" xr:uid="{00000000-0004-0000-23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307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Dashboard!A26</f>
        <v>E</v>
      </c>
      <c r="C1" s="4" t="str">
        <f>Dashboard!B26</f>
        <v>Total accounts disconnected-sewer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495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445.5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BUDGET2526!D28</f>
        <v>55</v>
      </c>
      <c r="F19" s="5">
        <f>BUDGET2526!E28</f>
        <v>55</v>
      </c>
      <c r="G19" s="5">
        <f>BUDGET2526!F28</f>
        <v>55</v>
      </c>
      <c r="H19" s="5">
        <f>BUDGET2526!G28</f>
        <v>55</v>
      </c>
      <c r="I19" s="5">
        <f>BUDGET2526!H28</f>
        <v>55</v>
      </c>
      <c r="J19" s="5">
        <f>BUDGET2526!I28</f>
        <v>55</v>
      </c>
      <c r="K19" s="5">
        <f>BUDGET2526!J28</f>
        <v>55</v>
      </c>
      <c r="L19" s="5">
        <f>BUDGET2526!K28</f>
        <v>55</v>
      </c>
      <c r="M19" s="5">
        <f>BUDGET2526!L28</f>
        <v>55</v>
      </c>
      <c r="N19" s="5">
        <f>BUDGET2526!M28</f>
        <v>55</v>
      </c>
      <c r="O19" s="5">
        <f>BUDGET2526!N28</f>
        <v>55</v>
      </c>
      <c r="P19" s="5">
        <f>BUDGET2526!O28</f>
        <v>55</v>
      </c>
      <c r="Q19" s="5">
        <f>SUM(E19:P19)</f>
        <v>660</v>
      </c>
    </row>
    <row r="20" spans="3:17" x14ac:dyDescent="0.35">
      <c r="D20" s="3" t="str">
        <f>'KPI 1'!D20</f>
        <v>ACTUAL2025/26</v>
      </c>
      <c r="E20" s="5">
        <f>'ACTUAL 2526'!E28</f>
        <v>6</v>
      </c>
      <c r="F20" s="5">
        <f>'ACTUAL 2526'!F28</f>
        <v>3</v>
      </c>
      <c r="G20" s="5">
        <f>'ACTUAL 2526'!G28</f>
        <v>3</v>
      </c>
      <c r="H20" s="5">
        <f>'ACTUAL 2526'!H28</f>
        <v>1</v>
      </c>
      <c r="I20" s="5">
        <f>'ACTUAL 2526'!I28</f>
        <v>2</v>
      </c>
      <c r="J20" s="5">
        <f>'ACTUAL 2526'!J28</f>
        <v>0</v>
      </c>
      <c r="K20" s="5">
        <f>'ACTUAL 2526'!K28</f>
        <v>0</v>
      </c>
      <c r="L20" s="5">
        <f>'ACTUAL 2526'!L28</f>
        <v>14</v>
      </c>
      <c r="M20" s="5">
        <f>'ACTUAL 2526'!M28</f>
        <v>1</v>
      </c>
      <c r="N20" s="5">
        <f>'ACTUAL 2526'!N28</f>
        <v>0</v>
      </c>
      <c r="O20" s="5">
        <f>'ACTUAL 2526'!O28</f>
        <v>0</v>
      </c>
      <c r="P20" s="5">
        <f>'ACTUAL 2526'!P28</f>
        <v>0</v>
      </c>
      <c r="Q20" s="5">
        <f t="shared" ref="Q20:Q21" si="0">SUM(E20:P20)</f>
        <v>30</v>
      </c>
    </row>
    <row r="21" spans="3:17" x14ac:dyDescent="0.35">
      <c r="D21" s="3" t="str">
        <f>'KPI 1'!D21</f>
        <v>ACTUAL2024/25</v>
      </c>
      <c r="E21" s="5">
        <f>'Actual 202425'!E28</f>
        <v>72</v>
      </c>
      <c r="F21" s="5">
        <f>'Actual 202425'!F28</f>
        <v>2</v>
      </c>
      <c r="G21" s="5">
        <f>'Actual 202425'!G28</f>
        <v>20</v>
      </c>
      <c r="H21" s="5">
        <f>'Actual 202425'!H28</f>
        <v>44</v>
      </c>
      <c r="I21" s="5">
        <f>'Actual 202425'!I28</f>
        <v>7</v>
      </c>
      <c r="J21" s="5">
        <f>'Actual 202425'!J28</f>
        <v>4</v>
      </c>
      <c r="K21" s="5">
        <f>'Actual 202425'!K28</f>
        <v>13</v>
      </c>
      <c r="L21" s="5">
        <f>'Actual 202425'!L28</f>
        <v>14</v>
      </c>
      <c r="M21" s="5">
        <f>'Actual 202425'!M28</f>
        <v>3</v>
      </c>
      <c r="N21" s="5">
        <f>'Actual 202425'!N28</f>
        <v>5</v>
      </c>
      <c r="O21" s="5">
        <f>'Actual 202425'!O28</f>
        <v>0</v>
      </c>
      <c r="P21" s="5">
        <f>'Actual 202425'!P28</f>
        <v>0</v>
      </c>
      <c r="Q21" s="5">
        <f t="shared" si="0"/>
        <v>184</v>
      </c>
    </row>
    <row r="22" spans="3:17" x14ac:dyDescent="0.35">
      <c r="D22" s="3" t="str">
        <f>'KPI 1'!D22</f>
        <v>DIFFERENCE</v>
      </c>
      <c r="E22" s="5">
        <f t="shared" ref="E22:P22" si="1">IF(E20=0,0,E20-E19)</f>
        <v>-49</v>
      </c>
      <c r="F22" s="5">
        <f t="shared" si="1"/>
        <v>-52</v>
      </c>
      <c r="G22" s="5">
        <f t="shared" si="1"/>
        <v>-52</v>
      </c>
      <c r="H22" s="5">
        <f t="shared" si="1"/>
        <v>-54</v>
      </c>
      <c r="I22" s="5">
        <f t="shared" si="1"/>
        <v>-53</v>
      </c>
      <c r="J22" s="5">
        <f t="shared" si="1"/>
        <v>0</v>
      </c>
      <c r="K22" s="5">
        <f t="shared" si="1"/>
        <v>0</v>
      </c>
      <c r="L22" s="5">
        <f t="shared" si="1"/>
        <v>-41</v>
      </c>
      <c r="M22" s="5">
        <f t="shared" si="1"/>
        <v>-54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-355</v>
      </c>
    </row>
    <row r="23" spans="3:17" x14ac:dyDescent="0.35">
      <c r="D23" s="3" t="str">
        <f>'KPI 1'!D23</f>
        <v>%REALISATION</v>
      </c>
      <c r="E23" s="9">
        <f>E21/E19</f>
        <v>1.3090909090909091</v>
      </c>
      <c r="F23" s="9">
        <f t="shared" ref="F23:P23" si="2">F20/F19</f>
        <v>5.4545454545454543E-2</v>
      </c>
      <c r="G23" s="9">
        <f t="shared" si="2"/>
        <v>5.4545454545454543E-2</v>
      </c>
      <c r="H23" s="9">
        <f t="shared" si="2"/>
        <v>1.8181818181818181E-2</v>
      </c>
      <c r="I23" s="9">
        <f t="shared" si="2"/>
        <v>3.6363636363636362E-2</v>
      </c>
      <c r="J23" s="9">
        <f t="shared" si="2"/>
        <v>0</v>
      </c>
      <c r="K23" s="9">
        <f t="shared" si="2"/>
        <v>0</v>
      </c>
      <c r="L23" s="9">
        <f t="shared" si="2"/>
        <v>0.25454545454545452</v>
      </c>
      <c r="M23" s="9">
        <f t="shared" si="2"/>
        <v>1.8181818181818181E-2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55</v>
      </c>
      <c r="F26" s="5">
        <f>SUM($E19:F19)</f>
        <v>110</v>
      </c>
      <c r="G26" s="5">
        <f>SUM($E19:G19)</f>
        <v>165</v>
      </c>
      <c r="H26" s="5">
        <f>SUM($E19:H19)</f>
        <v>220</v>
      </c>
      <c r="I26" s="5">
        <f>SUM($E19:I19)</f>
        <v>275</v>
      </c>
      <c r="J26" s="5">
        <f>SUM($E19:J19)</f>
        <v>330</v>
      </c>
      <c r="K26" s="5">
        <f>SUM($E19:K19)</f>
        <v>385</v>
      </c>
      <c r="L26" s="5">
        <f>SUM($E19:L19)</f>
        <v>440</v>
      </c>
      <c r="M26" s="5">
        <f>SUM($E19:M19)</f>
        <v>495</v>
      </c>
      <c r="N26" s="5">
        <f>SUM($E19:N19)</f>
        <v>550</v>
      </c>
      <c r="O26" s="5">
        <f>SUM($E19:O19)</f>
        <v>605</v>
      </c>
      <c r="P26" s="5">
        <f>SUM($E19:P19)</f>
        <v>660</v>
      </c>
    </row>
    <row r="27" spans="3:17" x14ac:dyDescent="0.35">
      <c r="D27" s="3" t="str">
        <f>'KPI 1'!D27</f>
        <v>ACTUAL2025/26</v>
      </c>
      <c r="E27" s="5">
        <f>SUM($E20:E20)</f>
        <v>6</v>
      </c>
      <c r="F27" s="5">
        <f>SUM($E20:F20)</f>
        <v>9</v>
      </c>
      <c r="G27" s="5">
        <f>SUM($E20:G20)</f>
        <v>12</v>
      </c>
      <c r="H27" s="5">
        <f>SUM($E20:H20)</f>
        <v>13</v>
      </c>
      <c r="I27" s="5">
        <f>SUM($E20:I20)</f>
        <v>15</v>
      </c>
      <c r="J27" s="5">
        <f>SUM($E20:J20)</f>
        <v>15</v>
      </c>
      <c r="K27" s="5">
        <f>SUM($E20:K20)</f>
        <v>15</v>
      </c>
      <c r="L27" s="5">
        <f>SUM($E20:L20)</f>
        <v>29</v>
      </c>
      <c r="M27" s="5">
        <f>SUM($E20:M20)</f>
        <v>30</v>
      </c>
      <c r="N27" s="5">
        <f>SUM($E20:N20)</f>
        <v>30</v>
      </c>
      <c r="O27" s="5">
        <f>SUM($E20:O20)</f>
        <v>30</v>
      </c>
      <c r="P27" s="5">
        <f>SUM($E20:P20)</f>
        <v>30</v>
      </c>
    </row>
    <row r="28" spans="3:17" x14ac:dyDescent="0.35">
      <c r="D28" s="3" t="str">
        <f>'KPI 1'!D28</f>
        <v>ACTUAL2024/25</v>
      </c>
      <c r="E28" s="5">
        <f>SUM($E21:E21)</f>
        <v>72</v>
      </c>
      <c r="F28" s="5">
        <f>SUM($E21:F21)</f>
        <v>74</v>
      </c>
      <c r="G28" s="5">
        <f>SUM($E21:G21)</f>
        <v>94</v>
      </c>
      <c r="H28" s="5">
        <f>SUM($E21:H21)</f>
        <v>138</v>
      </c>
      <c r="I28" s="5">
        <f>SUM($E21:I21)</f>
        <v>145</v>
      </c>
      <c r="J28" s="5">
        <f>SUM($E21:J21)</f>
        <v>149</v>
      </c>
      <c r="K28" s="5">
        <f>SUM($E21:K21)</f>
        <v>162</v>
      </c>
      <c r="L28" s="5">
        <f>SUM($E21:L21)</f>
        <v>176</v>
      </c>
      <c r="M28" s="5">
        <f>SUM($E21:M21)</f>
        <v>179</v>
      </c>
      <c r="N28" s="5">
        <f>SUM($E21:N21)</f>
        <v>184</v>
      </c>
      <c r="O28" s="5">
        <f>SUM($E21:O21)</f>
        <v>184</v>
      </c>
      <c r="P28" s="5">
        <f>SUM($E21:P21)</f>
        <v>184</v>
      </c>
    </row>
    <row r="29" spans="3:17" x14ac:dyDescent="0.35">
      <c r="D29" s="3" t="str">
        <f>'KPI 1'!D29</f>
        <v>DIFFERENCE</v>
      </c>
      <c r="E29" s="5">
        <f>SUM($E22:E22)</f>
        <v>-49</v>
      </c>
      <c r="F29" s="5">
        <f>SUM($E22:F22)</f>
        <v>-101</v>
      </c>
      <c r="G29" s="5">
        <f>SUM($E22:G22)</f>
        <v>-153</v>
      </c>
      <c r="H29" s="5">
        <f>SUM($E22:H22)</f>
        <v>-207</v>
      </c>
      <c r="I29" s="5">
        <f>SUM($E22:I22)</f>
        <v>-260</v>
      </c>
      <c r="J29" s="5">
        <f>SUM($E22:J22)</f>
        <v>-260</v>
      </c>
      <c r="K29" s="5">
        <f>SUM($E22:K22)</f>
        <v>-260</v>
      </c>
      <c r="L29" s="5">
        <f>SUM($E22:L22)</f>
        <v>-301</v>
      </c>
      <c r="M29" s="5">
        <f>SUM($E22:M22)</f>
        <v>-355</v>
      </c>
      <c r="N29" s="5">
        <f>SUM($E22:N22)</f>
        <v>-355</v>
      </c>
      <c r="O29" s="5">
        <f>SUM($E22:O22)</f>
        <v>-355</v>
      </c>
      <c r="P29" s="5">
        <f>SUM($E22:P22)</f>
        <v>-355</v>
      </c>
    </row>
    <row r="30" spans="3:17" x14ac:dyDescent="0.35">
      <c r="D30" s="3" t="str">
        <f>'KPI 1'!D30</f>
        <v>%REALISATION</v>
      </c>
      <c r="E30" s="9">
        <f>E28/E26</f>
        <v>1.3090909090909091</v>
      </c>
      <c r="F30" s="9">
        <f t="shared" ref="F30:P30" si="3">F27/F26</f>
        <v>8.1818181818181818E-2</v>
      </c>
      <c r="G30" s="9">
        <f t="shared" si="3"/>
        <v>7.2727272727272724E-2</v>
      </c>
      <c r="H30" s="9">
        <f t="shared" si="3"/>
        <v>5.909090909090909E-2</v>
      </c>
      <c r="I30" s="9">
        <f t="shared" si="3"/>
        <v>5.4545454545454543E-2</v>
      </c>
      <c r="J30" s="9">
        <f t="shared" si="3"/>
        <v>4.5454545454545456E-2</v>
      </c>
      <c r="K30" s="9">
        <f t="shared" si="3"/>
        <v>3.896103896103896E-2</v>
      </c>
      <c r="L30" s="9">
        <f t="shared" si="3"/>
        <v>6.5909090909090903E-2</v>
      </c>
      <c r="M30" s="9">
        <f t="shared" si="3"/>
        <v>6.0606060606060608E-2</v>
      </c>
      <c r="N30" s="9">
        <f t="shared" si="3"/>
        <v>5.4545454545454543E-2</v>
      </c>
      <c r="O30" s="9">
        <f t="shared" si="3"/>
        <v>4.9586776859504134E-2</v>
      </c>
      <c r="P30" s="9">
        <f t="shared" si="3"/>
        <v>4.5454545454545456E-2</v>
      </c>
    </row>
  </sheetData>
  <mergeCells count="2">
    <mergeCell ref="J4:Q8"/>
    <mergeCell ref="J10:Q15"/>
  </mergeCells>
  <conditionalFormatting sqref="C3">
    <cfRule type="expression" dxfId="80" priority="2">
      <formula>S4&lt;S6</formula>
    </cfRule>
  </conditionalFormatting>
  <conditionalFormatting sqref="C4">
    <cfRule type="expression" dxfId="79" priority="1">
      <formula>AND(S4&gt;=S6,S4&lt;S5)</formula>
    </cfRule>
  </conditionalFormatting>
  <conditionalFormatting sqref="C5">
    <cfRule type="expression" dxfId="78" priority="3">
      <formula>S4&gt;=S5</formula>
    </cfRule>
  </conditionalFormatting>
  <hyperlinks>
    <hyperlink ref="L1" location="Dashboard!A1" display="Dashboard" xr:uid="{00000000-0004-0000-24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2096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Dashboard!A27</f>
        <v>14</v>
      </c>
      <c r="C1" s="4" t="str">
        <f>Dashboard!B27</f>
        <v>Total Collection for the month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234586603.84999999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242095761.90404791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217886185.71364313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BUDGET2526!D29</f>
        <v>25630002.571540266</v>
      </c>
      <c r="F19" s="5">
        <f>BUDGET2526!E29</f>
        <v>25997238.320406914</v>
      </c>
      <c r="G19" s="5">
        <f>BUDGET2526!F29</f>
        <v>26228921.169273566</v>
      </c>
      <c r="H19" s="5">
        <f>BUDGET2526!G29</f>
        <v>26723338.526970502</v>
      </c>
      <c r="I19" s="5">
        <f>BUDGET2526!H29</f>
        <v>26984968.457927983</v>
      </c>
      <c r="J19" s="5">
        <f>BUDGET2526!I29</f>
        <v>27296721.383644138</v>
      </c>
      <c r="K19" s="5">
        <f>BUDGET2526!J29</f>
        <v>27536999.782383684</v>
      </c>
      <c r="L19" s="5">
        <f>BUDGET2526!K29</f>
        <v>27752961.487347931</v>
      </c>
      <c r="M19" s="5">
        <f>BUDGET2526!L29</f>
        <v>27944610.204552922</v>
      </c>
      <c r="N19" s="5">
        <f>BUDGET2526!M29</f>
        <v>28079771.861253671</v>
      </c>
      <c r="O19" s="5">
        <f>BUDGET2526!N29</f>
        <v>28243358.368009515</v>
      </c>
      <c r="P19" s="5">
        <f>BUDGET2526!O29</f>
        <v>28455821.902245048</v>
      </c>
      <c r="Q19" s="5">
        <f>SUM(E19:P19)</f>
        <v>326874714.03555614</v>
      </c>
    </row>
    <row r="20" spans="3:17" x14ac:dyDescent="0.35">
      <c r="D20" s="3" t="str">
        <f>'KPI 1'!D20</f>
        <v>ACTUAL2025/26</v>
      </c>
      <c r="E20" s="5">
        <f>'ACTUAL 2526'!E29</f>
        <v>25396691</v>
      </c>
      <c r="F20" s="5">
        <f>'ACTUAL 2526'!F29</f>
        <v>22000368</v>
      </c>
      <c r="G20" s="5">
        <f>'ACTUAL 2526'!G29</f>
        <v>23442339.5</v>
      </c>
      <c r="H20" s="5">
        <f>'ACTUAL 2526'!H29</f>
        <v>29982818.599999998</v>
      </c>
      <c r="I20" s="5">
        <f>'ACTUAL 2526'!I29</f>
        <v>22433751</v>
      </c>
      <c r="J20" s="5">
        <f>'ACTUAL 2526'!J29</f>
        <v>27037162.5</v>
      </c>
      <c r="K20" s="5">
        <f>'ACTUAL 2526'!K29</f>
        <v>24586578.5</v>
      </c>
      <c r="L20" s="5">
        <f>'ACTUAL 2526'!L29</f>
        <v>27713797</v>
      </c>
      <c r="M20" s="5">
        <f>'ACTUAL 2526'!M29</f>
        <v>31993097.75</v>
      </c>
      <c r="N20" s="5">
        <f>'ACTUAL 2526'!N29</f>
        <v>0</v>
      </c>
      <c r="O20" s="5">
        <f>'ACTUAL 2526'!O29</f>
        <v>0</v>
      </c>
      <c r="P20" s="5">
        <f>'ACTUAL 2526'!P29</f>
        <v>0</v>
      </c>
      <c r="Q20" s="5">
        <f t="shared" ref="Q20:Q21" si="0">SUM(E20:P20)</f>
        <v>234586603.84999999</v>
      </c>
    </row>
    <row r="21" spans="3:17" x14ac:dyDescent="0.35">
      <c r="D21" s="3" t="str">
        <f>'KPI 1'!D21</f>
        <v>ACTUAL2024/25</v>
      </c>
      <c r="E21" s="5">
        <f>'Actual 202425'!E29</f>
        <v>22802981.900000006</v>
      </c>
      <c r="F21" s="5">
        <f>'Actual 202425'!F29</f>
        <v>15064900.050000001</v>
      </c>
      <c r="G21" s="5">
        <f>'Actual 202425'!G29</f>
        <v>17788417.170000002</v>
      </c>
      <c r="H21" s="5">
        <f>'Actual 202425'!H29</f>
        <v>18047890.949999999</v>
      </c>
      <c r="I21" s="5">
        <f>'Actual 202425'!I29</f>
        <v>20883741</v>
      </c>
      <c r="J21" s="5">
        <f>'Actual 202425'!J29</f>
        <v>15030214.25</v>
      </c>
      <c r="K21" s="5">
        <f>'Actual 202425'!K29</f>
        <v>21271031.75</v>
      </c>
      <c r="L21" s="5">
        <f>'Actual 202425'!L29</f>
        <v>18078019.350000001</v>
      </c>
      <c r="M21" s="5">
        <f>'Actual 202425'!M29</f>
        <v>16601929.5</v>
      </c>
      <c r="N21" s="5">
        <f>'Actual 202425'!N29</f>
        <v>23335360.739999998</v>
      </c>
      <c r="O21" s="5">
        <f>'Actual 202425'!O29</f>
        <v>22039395.399999999</v>
      </c>
      <c r="P21" s="5">
        <f>'Actual 202425'!P29</f>
        <v>28927934</v>
      </c>
      <c r="Q21" s="5">
        <f t="shared" si="0"/>
        <v>239871816.06000003</v>
      </c>
    </row>
    <row r="22" spans="3:17" x14ac:dyDescent="0.35">
      <c r="D22" s="3" t="str">
        <f>'KPI 1'!D22</f>
        <v>DIFFERENCE</v>
      </c>
      <c r="E22" s="5">
        <f t="shared" ref="E22:P22" si="1">IF(E20=0,0,E20-E19)</f>
        <v>-233311.57154026628</v>
      </c>
      <c r="F22" s="5">
        <f t="shared" si="1"/>
        <v>-3996870.3204069138</v>
      </c>
      <c r="G22" s="5">
        <f t="shared" si="1"/>
        <v>-2786581.6692735665</v>
      </c>
      <c r="H22" s="5">
        <f t="shared" si="1"/>
        <v>3259480.0730294958</v>
      </c>
      <c r="I22" s="5">
        <f t="shared" si="1"/>
        <v>-4551217.4579279833</v>
      </c>
      <c r="J22" s="5">
        <f t="shared" si="1"/>
        <v>-259558.88364413753</v>
      </c>
      <c r="K22" s="5">
        <f t="shared" si="1"/>
        <v>-2950421.2823836841</v>
      </c>
      <c r="L22" s="5">
        <f t="shared" si="1"/>
        <v>-39164.48734793067</v>
      </c>
      <c r="M22" s="5">
        <f t="shared" si="1"/>
        <v>4048487.5454470776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-7509158.0540479086</v>
      </c>
    </row>
    <row r="23" spans="3:17" x14ac:dyDescent="0.35">
      <c r="D23" s="3" t="str">
        <f>'KPI 1'!D23</f>
        <v>%REALISATION</v>
      </c>
      <c r="E23" s="9">
        <f t="shared" ref="E23:P23" si="2">E20/E19</f>
        <v>0.99089693530505774</v>
      </c>
      <c r="F23" s="9">
        <f t="shared" si="2"/>
        <v>0.84625788819770476</v>
      </c>
      <c r="G23" s="9">
        <f t="shared" si="2"/>
        <v>0.89375919614498034</v>
      </c>
      <c r="H23" s="9">
        <f t="shared" si="2"/>
        <v>1.1219712899920744</v>
      </c>
      <c r="I23" s="9">
        <f t="shared" si="2"/>
        <v>0.83134249480321809</v>
      </c>
      <c r="J23" s="9">
        <f t="shared" si="2"/>
        <v>0.99049120661796175</v>
      </c>
      <c r="K23" s="9">
        <f t="shared" si="2"/>
        <v>0.89285610975415108</v>
      </c>
      <c r="L23" s="9">
        <f t="shared" si="2"/>
        <v>0.99858881772434327</v>
      </c>
      <c r="M23" s="9">
        <f t="shared" si="2"/>
        <v>1.1448754345046284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25630002.571540266</v>
      </c>
      <c r="F26" s="5">
        <f>SUM($E19:F19)</f>
        <v>51627240.89194718</v>
      </c>
      <c r="G26" s="5">
        <f>SUM($E19:G19)</f>
        <v>77856162.06122075</v>
      </c>
      <c r="H26" s="5">
        <f>SUM($E19:H19)</f>
        <v>104579500.58819126</v>
      </c>
      <c r="I26" s="5">
        <f>SUM($E19:I19)</f>
        <v>131564469.04611924</v>
      </c>
      <c r="J26" s="5">
        <f>SUM($E19:J19)</f>
        <v>158861190.42976338</v>
      </c>
      <c r="K26" s="5">
        <f>SUM($E19:K19)</f>
        <v>186398190.21214706</v>
      </c>
      <c r="L26" s="5">
        <f>SUM($E19:L19)</f>
        <v>214151151.69949499</v>
      </c>
      <c r="M26" s="5">
        <f>SUM($E19:M19)</f>
        <v>242095761.90404791</v>
      </c>
      <c r="N26" s="5">
        <f>SUM($E19:N19)</f>
        <v>270175533.76530159</v>
      </c>
      <c r="O26" s="5">
        <f>SUM($E19:O19)</f>
        <v>298418892.13331109</v>
      </c>
      <c r="P26" s="5">
        <f>SUM($E19:P19)</f>
        <v>326874714.03555614</v>
      </c>
    </row>
    <row r="27" spans="3:17" x14ac:dyDescent="0.35">
      <c r="D27" s="3" t="str">
        <f>'KPI 1'!D27</f>
        <v>ACTUAL2025/26</v>
      </c>
      <c r="E27" s="5">
        <f>SUM($E20:E20)</f>
        <v>25396691</v>
      </c>
      <c r="F27" s="5">
        <f>SUM($E20:F20)</f>
        <v>47397059</v>
      </c>
      <c r="G27" s="5">
        <f>SUM($E20:G20)</f>
        <v>70839398.5</v>
      </c>
      <c r="H27" s="5">
        <f>SUM($E20:H20)</f>
        <v>100822217.09999999</v>
      </c>
      <c r="I27" s="5">
        <f>SUM($E20:I20)</f>
        <v>123255968.09999999</v>
      </c>
      <c r="J27" s="5">
        <f>SUM($E20:J20)</f>
        <v>150293130.59999999</v>
      </c>
      <c r="K27" s="5">
        <f>SUM($E20:K20)</f>
        <v>174879709.09999999</v>
      </c>
      <c r="L27" s="5">
        <f>SUM($E20:L20)</f>
        <v>202593506.09999999</v>
      </c>
      <c r="M27" s="5">
        <f>SUM($E20:M20)</f>
        <v>234586603.84999999</v>
      </c>
      <c r="N27" s="5">
        <f>SUM($E20:N20)</f>
        <v>234586603.84999999</v>
      </c>
      <c r="O27" s="5">
        <f>SUM($E20:O20)</f>
        <v>234586603.84999999</v>
      </c>
      <c r="P27" s="5">
        <f>SUM($E20:P20)</f>
        <v>234586603.84999999</v>
      </c>
    </row>
    <row r="28" spans="3:17" x14ac:dyDescent="0.35">
      <c r="D28" s="3" t="str">
        <f>'KPI 1'!D28</f>
        <v>ACTUAL2024/25</v>
      </c>
      <c r="E28" s="5">
        <f>SUM($E21:E21)</f>
        <v>22802981.900000006</v>
      </c>
      <c r="F28" s="5">
        <f>SUM($E21:F21)</f>
        <v>37867881.950000003</v>
      </c>
      <c r="G28" s="5">
        <f>SUM($E21:G21)</f>
        <v>55656299.120000005</v>
      </c>
      <c r="H28" s="5">
        <f>SUM($E21:H21)</f>
        <v>73704190.070000008</v>
      </c>
      <c r="I28" s="5">
        <f>SUM($E21:I21)</f>
        <v>94587931.070000008</v>
      </c>
      <c r="J28" s="5">
        <f>SUM($E21:J21)</f>
        <v>109618145.32000001</v>
      </c>
      <c r="K28" s="5">
        <f>SUM($E21:K21)</f>
        <v>130889177.07000001</v>
      </c>
      <c r="L28" s="5">
        <f>SUM($E21:L21)</f>
        <v>148967196.42000002</v>
      </c>
      <c r="M28" s="5">
        <f>SUM($E21:M21)</f>
        <v>165569125.92000002</v>
      </c>
      <c r="N28" s="5">
        <f>SUM($E21:N21)</f>
        <v>188904486.66000003</v>
      </c>
      <c r="O28" s="5">
        <f>SUM($E21:O21)</f>
        <v>210943882.06000003</v>
      </c>
      <c r="P28" s="5">
        <f>SUM($E21:P21)</f>
        <v>239871816.06000003</v>
      </c>
    </row>
    <row r="29" spans="3:17" x14ac:dyDescent="0.35">
      <c r="D29" s="3" t="str">
        <f>'KPI 1'!D29</f>
        <v>DIFFERENCE</v>
      </c>
      <c r="E29" s="5">
        <f>SUM($E22:E22)</f>
        <v>-233311.57154026628</v>
      </c>
      <c r="F29" s="5">
        <f>SUM($E22:F22)</f>
        <v>-4230181.89194718</v>
      </c>
      <c r="G29" s="5">
        <f>SUM($E22:G22)</f>
        <v>-7016763.5612207465</v>
      </c>
      <c r="H29" s="5">
        <f>SUM($E22:H22)</f>
        <v>-3757283.4881912507</v>
      </c>
      <c r="I29" s="5">
        <f>SUM($E22:I22)</f>
        <v>-8308500.946119234</v>
      </c>
      <c r="J29" s="5">
        <f>SUM($E22:J22)</f>
        <v>-8568059.8297633715</v>
      </c>
      <c r="K29" s="5">
        <f>SUM($E22:K22)</f>
        <v>-11518481.112147056</v>
      </c>
      <c r="L29" s="5">
        <f>SUM($E22:L22)</f>
        <v>-11557645.599494986</v>
      </c>
      <c r="M29" s="5">
        <f>SUM($E22:M22)</f>
        <v>-7509158.0540479086</v>
      </c>
      <c r="N29" s="5">
        <f>SUM($E22:N22)</f>
        <v>-7509158.0540479086</v>
      </c>
      <c r="O29" s="5">
        <f>SUM($E22:O22)</f>
        <v>-7509158.0540479086</v>
      </c>
      <c r="P29" s="5">
        <f>SUM($E22:P22)</f>
        <v>-7509158.0540479086</v>
      </c>
    </row>
    <row r="30" spans="3:17" x14ac:dyDescent="0.35">
      <c r="D30" s="3" t="str">
        <f>'KPI 1'!D30</f>
        <v>%REALISATION</v>
      </c>
      <c r="E30" s="9">
        <f t="shared" ref="E30:P30" si="3">E27/E26</f>
        <v>0.99089693530505774</v>
      </c>
      <c r="F30" s="9">
        <f t="shared" si="3"/>
        <v>0.91806298731321501</v>
      </c>
      <c r="G30" s="9">
        <f t="shared" si="3"/>
        <v>0.90987529598873307</v>
      </c>
      <c r="H30" s="9">
        <f t="shared" si="3"/>
        <v>0.96407246671614422</v>
      </c>
      <c r="I30" s="9">
        <f t="shared" si="3"/>
        <v>0.93684844391226363</v>
      </c>
      <c r="J30" s="9">
        <f t="shared" si="3"/>
        <v>0.94606574578357105</v>
      </c>
      <c r="K30" s="9">
        <f t="shared" si="3"/>
        <v>0.93820497345474529</v>
      </c>
      <c r="L30" s="9">
        <f t="shared" si="3"/>
        <v>0.94603042987266717</v>
      </c>
      <c r="M30" s="9">
        <f t="shared" si="3"/>
        <v>0.96898269513274637</v>
      </c>
      <c r="N30" s="9">
        <f t="shared" si="3"/>
        <v>0.86827478632385235</v>
      </c>
      <c r="O30" s="9">
        <f t="shared" si="3"/>
        <v>0.7860983672079459</v>
      </c>
      <c r="P30" s="9">
        <f t="shared" si="3"/>
        <v>0.7176651902920903</v>
      </c>
    </row>
  </sheetData>
  <mergeCells count="2">
    <mergeCell ref="J4:Q8"/>
    <mergeCell ref="J10:Q15"/>
  </mergeCells>
  <conditionalFormatting sqref="C3">
    <cfRule type="expression" dxfId="77" priority="2">
      <formula>S4&lt;S6</formula>
    </cfRule>
  </conditionalFormatting>
  <conditionalFormatting sqref="C4">
    <cfRule type="expression" dxfId="76" priority="1">
      <formula>AND(S4&gt;=S6,S4&lt;S5)</formula>
    </cfRule>
  </conditionalFormatting>
  <conditionalFormatting sqref="C5">
    <cfRule type="expression" dxfId="75" priority="3">
      <formula>S4&gt;=S5</formula>
    </cfRule>
  </conditionalFormatting>
  <hyperlinks>
    <hyperlink ref="L1" location="Dashboard!A1" display="Dashboard" xr:uid="{00000000-0004-0000-25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2198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Dashboard!A29</f>
        <v>15</v>
      </c>
      <c r="C1" s="4" t="str">
        <f>Dashboard!B29</f>
        <v xml:space="preserve">Collection Efficiency - in % of billing 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 t="e">
        <f>INDEX(#REF!,Actual_month)</f>
        <v>#REF!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1.04763863539285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0.94287477185356494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2">
        <f>BUDGET2526!D31</f>
        <v>1.05</v>
      </c>
      <c r="F19" s="2">
        <f>BUDGET2526!E31</f>
        <v>1.05</v>
      </c>
      <c r="G19" s="2">
        <f>BUDGET2526!F31</f>
        <v>1.05</v>
      </c>
      <c r="H19" s="2">
        <f>BUDGET2526!G31</f>
        <v>1.0524477778464649</v>
      </c>
      <c r="I19" s="2">
        <f>BUDGET2526!H31</f>
        <v>1.0513784271426654</v>
      </c>
      <c r="J19" s="2">
        <f>BUDGET2526!I31</f>
        <v>1.0501188226277136</v>
      </c>
      <c r="K19" s="2">
        <f>BUDGET2526!J31</f>
        <v>1.0491841920416387</v>
      </c>
      <c r="L19" s="2">
        <f>BUDGET2526!K31</f>
        <v>1.0483591369521301</v>
      </c>
      <c r="M19" s="2">
        <f>BUDGET2526!L31</f>
        <v>1.04763863539285</v>
      </c>
      <c r="N19" s="2">
        <f>BUDGET2526!M31</f>
        <v>1.0471457959746593</v>
      </c>
      <c r="O19" s="2">
        <f>BUDGET2526!N31</f>
        <v>1.0465479015469994</v>
      </c>
      <c r="P19" s="2">
        <f>BUDGET2526!O31</f>
        <v>1.045770418837618</v>
      </c>
      <c r="Q19" s="5"/>
    </row>
    <row r="20" spans="3:17" x14ac:dyDescent="0.35">
      <c r="D20" s="3" t="str">
        <f>'KPI 1'!D20</f>
        <v>ACTUAL2025/26</v>
      </c>
      <c r="E20" s="9">
        <f>'ACTUAL 2526'!E31</f>
        <v>0.87860094943125921</v>
      </c>
      <c r="F20" s="9">
        <f>'ACTUAL 2526'!F31</f>
        <v>0.84945327688398875</v>
      </c>
      <c r="G20" s="9">
        <f>'ACTUAL 2526'!G31</f>
        <v>0.77688392202653411</v>
      </c>
      <c r="H20" s="9">
        <f>'ACTUAL 2526'!H31</f>
        <v>1.1500914741181343</v>
      </c>
      <c r="I20" s="9">
        <f>'ACTUAL 2526'!I31</f>
        <v>0.76165625576642559</v>
      </c>
      <c r="J20" s="9">
        <f>'ACTUAL 2526'!J31</f>
        <v>1.1316312298960298</v>
      </c>
      <c r="K20" s="9">
        <f>'ACTUAL 2526'!K31</f>
        <v>1.0761742941661403</v>
      </c>
      <c r="L20" s="9">
        <f>'ACTUAL 2526'!L31</f>
        <v>0.79055073012946564</v>
      </c>
      <c r="M20" s="9">
        <f>'ACTUAL 2526'!M31</f>
        <v>1.0860912777950618</v>
      </c>
      <c r="N20" s="9">
        <f>'ACTUAL 2526'!N31</f>
        <v>0</v>
      </c>
      <c r="O20" s="9" t="e">
        <f>'ACTUAL 2526'!O31</f>
        <v>#DIV/0!</v>
      </c>
      <c r="P20" s="9" t="e">
        <f>'ACTUAL 2526'!P31</f>
        <v>#DIV/0!</v>
      </c>
      <c r="Q20" s="5"/>
    </row>
    <row r="21" spans="3:17" x14ac:dyDescent="0.35">
      <c r="D21" s="3" t="str">
        <f>'KPI 1'!D21</f>
        <v>ACTUAL2024/25</v>
      </c>
      <c r="E21" s="9">
        <f>'Actual 202425'!E31</f>
        <v>1.2706984985539898</v>
      </c>
      <c r="F21" s="9">
        <f>'Actual 202425'!F31</f>
        <v>0.87722667694710577</v>
      </c>
      <c r="G21" s="9">
        <f>'Actual 202425'!G31</f>
        <v>0.88247079867412137</v>
      </c>
      <c r="H21" s="9">
        <f>'Actual 202425'!H31</f>
        <v>0.97774035860133679</v>
      </c>
      <c r="I21" s="9">
        <f>'Actual 202425'!I31</f>
        <v>1.1466360137768676</v>
      </c>
      <c r="J21" s="9">
        <f>'Actual 202425'!J31</f>
        <v>0.76617189048180079</v>
      </c>
      <c r="K21" s="9">
        <f>'Actual 202425'!K31</f>
        <v>1.5428625299207064</v>
      </c>
      <c r="L21" s="9">
        <f>'Actual 202425'!L31</f>
        <v>0.83405302201981601</v>
      </c>
      <c r="M21" s="9">
        <f>'Actual 202425'!M31</f>
        <v>0.87567070426313254</v>
      </c>
      <c r="N21" s="9">
        <f>'Actual 202425'!N31</f>
        <v>1.1468494158563534</v>
      </c>
      <c r="O21" s="9">
        <f>'Actual 202425'!O31</f>
        <v>1.013776662117541</v>
      </c>
      <c r="P21" s="9">
        <f>'Actual 202425'!P31</f>
        <v>1.0579355818233833</v>
      </c>
      <c r="Q21" s="5"/>
    </row>
    <row r="22" spans="3:17" x14ac:dyDescent="0.35">
      <c r="D22" s="3" t="str">
        <f>'KPI 1'!D22</f>
        <v>DIFFERENCE</v>
      </c>
      <c r="E22" s="9">
        <f>E20/E19</f>
        <v>0.83676280898215161</v>
      </c>
      <c r="F22" s="9">
        <f>F20/F19</f>
        <v>0.80900312084189396</v>
      </c>
      <c r="G22" s="9">
        <f t="shared" ref="G22:P22" si="0">G20/G19</f>
        <v>0.73988944954908009</v>
      </c>
      <c r="H22" s="9">
        <f t="shared" si="0"/>
        <v>1.0927777114713182</v>
      </c>
      <c r="I22" s="9">
        <f t="shared" si="0"/>
        <v>0.72443587970164203</v>
      </c>
      <c r="J22" s="9">
        <f t="shared" si="0"/>
        <v>1.077622080008382</v>
      </c>
      <c r="K22" s="9">
        <f t="shared" si="0"/>
        <v>1.0257248463417856</v>
      </c>
      <c r="L22" s="9">
        <f t="shared" si="0"/>
        <v>0.75408388429542872</v>
      </c>
      <c r="M22" s="9">
        <f t="shared" si="0"/>
        <v>1.0367041087481397</v>
      </c>
      <c r="N22" s="9">
        <f t="shared" si="0"/>
        <v>0</v>
      </c>
      <c r="O22" s="9" t="e">
        <f t="shared" si="0"/>
        <v>#DIV/0!</v>
      </c>
      <c r="P22" s="9" t="e">
        <f t="shared" si="0"/>
        <v>#DIV/0!</v>
      </c>
    </row>
    <row r="23" spans="3:17" x14ac:dyDescent="0.35">
      <c r="D23" s="3" t="str">
        <f>'KPI 1'!D23</f>
        <v>%REALISATION</v>
      </c>
    </row>
    <row r="24" spans="3:17" x14ac:dyDescent="0.35"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3:17" x14ac:dyDescent="0.35">
      <c r="C25" s="7" t="s">
        <v>4</v>
      </c>
      <c r="D25" s="3">
        <f>'KPI 1'!D25</f>
        <v>0</v>
      </c>
      <c r="E25" s="51">
        <f>'KPI 1'!E25</f>
        <v>45839</v>
      </c>
      <c r="F25" s="51">
        <f>'KPI 1'!F25</f>
        <v>45870</v>
      </c>
      <c r="G25" s="51">
        <f>'KPI 1'!G25</f>
        <v>45901</v>
      </c>
      <c r="H25" s="51">
        <f>'KPI 1'!H25</f>
        <v>45931</v>
      </c>
      <c r="I25" s="51">
        <f>'KPI 1'!I25</f>
        <v>45962</v>
      </c>
      <c r="J25" s="51">
        <f>'KPI 1'!J25</f>
        <v>45992</v>
      </c>
      <c r="K25" s="51">
        <f>'KPI 1'!K25</f>
        <v>46023</v>
      </c>
      <c r="L25" s="51">
        <f>'KPI 1'!L25</f>
        <v>46054</v>
      </c>
      <c r="M25" s="51">
        <f>'KPI 1'!M25</f>
        <v>46082</v>
      </c>
      <c r="N25" s="51">
        <f>'KPI 1'!N25</f>
        <v>46113</v>
      </c>
      <c r="O25" s="51">
        <f>'KPI 1'!O25</f>
        <v>46143</v>
      </c>
      <c r="P25" s="51">
        <f>'KPI 1'!P25</f>
        <v>46174</v>
      </c>
    </row>
    <row r="26" spans="3:17" x14ac:dyDescent="0.35">
      <c r="D26" s="3" t="str">
        <f>'KPI 1'!D26</f>
        <v>budget2025/26</v>
      </c>
      <c r="E26" s="9">
        <f>E19</f>
        <v>1.05</v>
      </c>
      <c r="F26" s="9">
        <f t="shared" ref="F26:P26" si="1">F19</f>
        <v>1.05</v>
      </c>
      <c r="G26" s="9">
        <f t="shared" si="1"/>
        <v>1.05</v>
      </c>
      <c r="H26" s="9">
        <f t="shared" si="1"/>
        <v>1.0524477778464649</v>
      </c>
      <c r="I26" s="9">
        <f t="shared" si="1"/>
        <v>1.0513784271426654</v>
      </c>
      <c r="J26" s="9">
        <f t="shared" si="1"/>
        <v>1.0501188226277136</v>
      </c>
      <c r="K26" s="9">
        <f t="shared" si="1"/>
        <v>1.0491841920416387</v>
      </c>
      <c r="L26" s="9">
        <f t="shared" si="1"/>
        <v>1.0483591369521301</v>
      </c>
      <c r="M26" s="9">
        <f t="shared" si="1"/>
        <v>1.04763863539285</v>
      </c>
      <c r="N26" s="9">
        <f t="shared" si="1"/>
        <v>1.0471457959746593</v>
      </c>
      <c r="O26" s="9">
        <f t="shared" si="1"/>
        <v>1.0465479015469994</v>
      </c>
      <c r="P26" s="9">
        <f t="shared" si="1"/>
        <v>1.045770418837618</v>
      </c>
    </row>
    <row r="27" spans="3:17" x14ac:dyDescent="0.35">
      <c r="D27" s="3" t="str">
        <f>'KPI 1'!D27</f>
        <v>ACTUAL2025/26</v>
      </c>
      <c r="E27" s="9">
        <f>AVERAGE($E20:E20)</f>
        <v>0.87860094943125921</v>
      </c>
      <c r="F27" s="9">
        <f>AVERAGE($E20:F20)</f>
        <v>0.86402711315762404</v>
      </c>
      <c r="G27" s="9">
        <f>AVERAGE($E20:G20)</f>
        <v>0.83497938278059403</v>
      </c>
      <c r="H27" s="9">
        <f>AVERAGE($E20:H20)</f>
        <v>0.91375740561497909</v>
      </c>
      <c r="I27" s="9">
        <f>AVERAGE($E20:I20)</f>
        <v>0.88333717564526837</v>
      </c>
      <c r="J27" s="9">
        <f>AVERAGE($E20:J20)</f>
        <v>0.9247195180203952</v>
      </c>
      <c r="K27" s="9">
        <f>AVERAGE($E20:K20)</f>
        <v>0.94635591461264457</v>
      </c>
      <c r="L27" s="9">
        <f>AVERAGE($E20:L20)</f>
        <v>0.9268802665522472</v>
      </c>
      <c r="M27" s="9">
        <f>AVERAGE($E20:M20)</f>
        <v>0.94457037891256002</v>
      </c>
      <c r="N27" s="9">
        <f>AVERAGE($E20:N20)</f>
        <v>0.85011334102130398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>'KPI 1'!D28</f>
        <v>ACTUAL2024/25</v>
      </c>
      <c r="E28" s="9">
        <f>E26/E25</f>
        <v>2.2906258862540633E-5</v>
      </c>
      <c r="F28" s="9">
        <f t="shared" ref="F28:P28" si="2">F26/F25</f>
        <v>2.2890778286461739E-5</v>
      </c>
      <c r="G28" s="9">
        <f t="shared" si="2"/>
        <v>2.2875318620509358E-5</v>
      </c>
      <c r="H28" s="9">
        <f t="shared" si="2"/>
        <v>2.2913670023436567E-5</v>
      </c>
      <c r="I28" s="9">
        <f t="shared" si="2"/>
        <v>2.2874949461352105E-5</v>
      </c>
      <c r="J28" s="9">
        <f t="shared" si="2"/>
        <v>2.283264095120268E-5</v>
      </c>
      <c r="K28" s="9">
        <f t="shared" si="2"/>
        <v>2.2796953524143117E-5</v>
      </c>
      <c r="L28" s="9">
        <f t="shared" si="2"/>
        <v>2.2763693424070224E-5</v>
      </c>
      <c r="M28" s="9">
        <f t="shared" si="2"/>
        <v>2.2734226713095135E-5</v>
      </c>
      <c r="N28" s="9">
        <f t="shared" si="2"/>
        <v>2.2708255719095686E-5</v>
      </c>
      <c r="O28" s="9">
        <f t="shared" si="2"/>
        <v>2.2680534459116212E-5</v>
      </c>
      <c r="P28" s="9">
        <f t="shared" si="2"/>
        <v>2.2648469243245508E-5</v>
      </c>
    </row>
    <row r="29" spans="3:17" x14ac:dyDescent="0.35">
      <c r="D29" s="3" t="str">
        <f>'KPI 1'!D29</f>
        <v>DIFFERENCE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3:17" x14ac:dyDescent="0.35">
      <c r="D30" s="3" t="str">
        <f>'KPI 1'!D30</f>
        <v>%REALISATION</v>
      </c>
    </row>
  </sheetData>
  <mergeCells count="2">
    <mergeCell ref="J4:Q8"/>
    <mergeCell ref="J10:Q15"/>
  </mergeCells>
  <conditionalFormatting sqref="C3">
    <cfRule type="expression" dxfId="74" priority="2">
      <formula>S4&lt;S6</formula>
    </cfRule>
  </conditionalFormatting>
  <conditionalFormatting sqref="C4">
    <cfRule type="expression" dxfId="73" priority="1">
      <formula>AND(S4&gt;=S6,S4&lt;S5)</formula>
    </cfRule>
  </conditionalFormatting>
  <conditionalFormatting sqref="C5">
    <cfRule type="expression" dxfId="72" priority="3">
      <formula>S4&gt;=S5</formula>
    </cfRule>
  </conditionalFormatting>
  <hyperlinks>
    <hyperlink ref="L1" location="Dashboard!A1" display="Dashboard" xr:uid="{00000000-0004-0000-26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614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Dashboard!A32</f>
        <v>16a</v>
      </c>
      <c r="C1" s="4" t="str">
        <f>Dashboard!B32</f>
        <v>Amount Billed Water-Central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93178050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81187895.150696784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73069105.635627106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BUDGET2526!D33</f>
        <v>8942465.9244022779</v>
      </c>
      <c r="F19" s="5">
        <f>BUDGET2526!E33</f>
        <v>8996210.65412887</v>
      </c>
      <c r="G19" s="5">
        <f>BUDGET2526!F33</f>
        <v>9045864.1185453143</v>
      </c>
      <c r="H19" s="5">
        <f>BUDGET2526!G33</f>
        <v>9035851.1855140068</v>
      </c>
      <c r="I19" s="5">
        <f>BUDGET2526!H33</f>
        <v>9029894.0892549474</v>
      </c>
      <c r="J19" s="5">
        <f>BUDGET2526!I33</f>
        <v>9020852.3411238343</v>
      </c>
      <c r="K19" s="5">
        <f>BUDGET2526!J33</f>
        <v>9032887.4236083888</v>
      </c>
      <c r="L19" s="5">
        <f>BUDGET2526!K33</f>
        <v>9039569.3955904376</v>
      </c>
      <c r="M19" s="5">
        <f>BUDGET2526!L33</f>
        <v>9044300.0185286924</v>
      </c>
      <c r="N19" s="5">
        <f>BUDGET2526!M33</f>
        <v>9063999.2772918735</v>
      </c>
      <c r="O19" s="5">
        <f>BUDGET2526!N33</f>
        <v>9084168.0830310751</v>
      </c>
      <c r="P19" s="5">
        <f>BUDGET2526!O33</f>
        <v>9104601.9402058907</v>
      </c>
      <c r="Q19" s="5">
        <f>SUM(E19:P19)</f>
        <v>108440664.45122562</v>
      </c>
    </row>
    <row r="20" spans="3:17" x14ac:dyDescent="0.35">
      <c r="D20" s="3" t="str">
        <f>'KPI 1'!D20</f>
        <v>ACTUAL2025/26</v>
      </c>
      <c r="E20" s="5">
        <f>'ACTUAL 2526'!E33</f>
        <v>9210800</v>
      </c>
      <c r="F20" s="5">
        <f>'ACTUAL 2526'!F33</f>
        <v>10871060</v>
      </c>
      <c r="G20" s="5">
        <f>'ACTUAL 2526'!G33</f>
        <v>10150080</v>
      </c>
      <c r="H20" s="5">
        <f>'ACTUAL 2526'!H33</f>
        <v>11059010</v>
      </c>
      <c r="I20" s="5">
        <f>'ACTUAL 2526'!I33</f>
        <v>9188690</v>
      </c>
      <c r="J20" s="5">
        <f>'ACTUAL 2526'!J33</f>
        <v>8043560</v>
      </c>
      <c r="K20" s="5">
        <f>'ACTUAL 2526'!K33</f>
        <v>13738330</v>
      </c>
      <c r="L20" s="5">
        <f>'ACTUAL 2526'!L33</f>
        <v>10720550</v>
      </c>
      <c r="M20" s="5">
        <f>'ACTUAL 2526'!M33</f>
        <v>10195970</v>
      </c>
      <c r="N20" s="5">
        <f>'ACTUAL 2526'!N33</f>
        <v>0</v>
      </c>
      <c r="O20" s="5">
        <f>'ACTUAL 2526'!O33</f>
        <v>0</v>
      </c>
      <c r="P20" s="5">
        <f>'ACTUAL 2526'!P33</f>
        <v>0</v>
      </c>
      <c r="Q20" s="5">
        <f t="shared" ref="Q20:Q21" si="0">SUM(E20:P20)</f>
        <v>93178050</v>
      </c>
    </row>
    <row r="21" spans="3:17" x14ac:dyDescent="0.35">
      <c r="D21" s="3" t="str">
        <f>'KPI 1'!D21</f>
        <v>ACTUAL2024/25</v>
      </c>
      <c r="E21" s="5">
        <f>'Actual 202425'!E33</f>
        <v>5843053</v>
      </c>
      <c r="F21" s="5">
        <f>'Actual 202425'!F33</f>
        <v>7922759</v>
      </c>
      <c r="G21" s="5">
        <f>'Actual 202425'!G33</f>
        <v>6574586</v>
      </c>
      <c r="H21" s="5">
        <f>'Actual 202425'!H33</f>
        <v>6654857</v>
      </c>
      <c r="I21" s="5">
        <f>'Actual 202425'!I33</f>
        <v>7074189</v>
      </c>
      <c r="J21" s="5">
        <f>'Actual 202425'!J33</f>
        <v>4685457</v>
      </c>
      <c r="K21" s="5">
        <f>'Actual 202425'!K33</f>
        <v>8536944</v>
      </c>
      <c r="L21" s="5">
        <f>'Actual 202425'!L33</f>
        <v>7146065</v>
      </c>
      <c r="M21" s="5">
        <f>'Actual 202425'!M33</f>
        <v>7724897</v>
      </c>
      <c r="N21" s="5">
        <f>'Actual 202425'!N33</f>
        <v>9123070</v>
      </c>
      <c r="O21" s="5">
        <f>'Actual 202425'!O33</f>
        <v>10708050</v>
      </c>
      <c r="P21" s="5">
        <f>'Actual 202425'!P33</f>
        <v>11093770</v>
      </c>
      <c r="Q21" s="5">
        <f t="shared" si="0"/>
        <v>93087697</v>
      </c>
    </row>
    <row r="22" spans="3:17" x14ac:dyDescent="0.35">
      <c r="D22" s="3" t="str">
        <f>'KPI 1'!D22</f>
        <v>DIFFERENCE</v>
      </c>
      <c r="E22" s="5">
        <f t="shared" ref="E22:P22" si="1">IF(E20=0,0,E20-E19)</f>
        <v>268334.07559772208</v>
      </c>
      <c r="F22" s="5">
        <f t="shared" si="1"/>
        <v>1874849.34587113</v>
      </c>
      <c r="G22" s="5">
        <f t="shared" si="1"/>
        <v>1104215.8814546857</v>
      </c>
      <c r="H22" s="5">
        <f t="shared" si="1"/>
        <v>2023158.8144859932</v>
      </c>
      <c r="I22" s="5">
        <f t="shared" si="1"/>
        <v>158795.91074505262</v>
      </c>
      <c r="J22" s="5">
        <f t="shared" si="1"/>
        <v>-977292.34112383425</v>
      </c>
      <c r="K22" s="5">
        <f t="shared" si="1"/>
        <v>4705442.5763916112</v>
      </c>
      <c r="L22" s="5">
        <f t="shared" si="1"/>
        <v>1680980.6044095624</v>
      </c>
      <c r="M22" s="5">
        <f t="shared" si="1"/>
        <v>1151669.9814713076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11990154.849303231</v>
      </c>
    </row>
    <row r="23" spans="3:17" x14ac:dyDescent="0.35">
      <c r="D23" s="3" t="str">
        <f>'KPI 1'!D23</f>
        <v>%REALISATION</v>
      </c>
      <c r="E23" s="9">
        <f t="shared" ref="E23:P23" si="2">E20/E19</f>
        <v>1.0300067205026178</v>
      </c>
      <c r="F23" s="9">
        <f t="shared" si="2"/>
        <v>1.2084043402219196</v>
      </c>
      <c r="G23" s="9">
        <f t="shared" si="2"/>
        <v>1.1220685903506868</v>
      </c>
      <c r="H23" s="9">
        <f t="shared" si="2"/>
        <v>1.2239035120154986</v>
      </c>
      <c r="I23" s="9">
        <f t="shared" si="2"/>
        <v>1.0175855784326431</v>
      </c>
      <c r="J23" s="9">
        <f t="shared" si="2"/>
        <v>0.89166297106221326</v>
      </c>
      <c r="K23" s="9">
        <f t="shared" si="2"/>
        <v>1.5209234163699914</v>
      </c>
      <c r="L23" s="9">
        <f t="shared" si="2"/>
        <v>1.1859580396860006</v>
      </c>
      <c r="M23" s="9">
        <f t="shared" si="2"/>
        <v>1.1273365522054695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8942465.9244022779</v>
      </c>
      <c r="F26" s="5">
        <f>SUM($E19:F19)</f>
        <v>17938676.578531146</v>
      </c>
      <c r="G26" s="5">
        <f>SUM($E19:G19)</f>
        <v>26984540.697076462</v>
      </c>
      <c r="H26" s="5">
        <f>SUM($E19:H19)</f>
        <v>36020391.882590473</v>
      </c>
      <c r="I26" s="5">
        <f>SUM($E19:I19)</f>
        <v>45050285.971845418</v>
      </c>
      <c r="J26" s="5">
        <f>SUM($E19:J19)</f>
        <v>54071138.312969252</v>
      </c>
      <c r="K26" s="5">
        <f>SUM($E19:K19)</f>
        <v>63104025.736577645</v>
      </c>
      <c r="L26" s="5">
        <f>SUM($E19:L19)</f>
        <v>72143595.132168084</v>
      </c>
      <c r="M26" s="5">
        <f>SUM($E19:M19)</f>
        <v>81187895.150696784</v>
      </c>
      <c r="N26" s="5">
        <f>SUM($E19:N19)</f>
        <v>90251894.427988663</v>
      </c>
      <c r="O26" s="5">
        <f>SUM($E19:O19)</f>
        <v>99336062.511019737</v>
      </c>
      <c r="P26" s="5">
        <f>SUM($E19:P19)</f>
        <v>108440664.45122562</v>
      </c>
    </row>
    <row r="27" spans="3:17" x14ac:dyDescent="0.35">
      <c r="D27" s="3" t="str">
        <f>'KPI 1'!D27</f>
        <v>ACTUAL2025/26</v>
      </c>
      <c r="E27" s="5">
        <f>SUM($E20:E20)</f>
        <v>9210800</v>
      </c>
      <c r="F27" s="5">
        <f>SUM($E20:F20)</f>
        <v>20081860</v>
      </c>
      <c r="G27" s="5">
        <f>SUM($E20:G20)</f>
        <v>30231940</v>
      </c>
      <c r="H27" s="5">
        <f>SUM($E20:H20)</f>
        <v>41290950</v>
      </c>
      <c r="I27" s="5">
        <f>SUM($E20:I20)</f>
        <v>50479640</v>
      </c>
      <c r="J27" s="5">
        <f>SUM($E20:J20)</f>
        <v>58523200</v>
      </c>
      <c r="K27" s="5">
        <f>SUM($E20:K20)</f>
        <v>72261530</v>
      </c>
      <c r="L27" s="5">
        <f>SUM($E20:L20)</f>
        <v>82982080</v>
      </c>
      <c r="M27" s="5">
        <f>SUM($E20:M20)</f>
        <v>93178050</v>
      </c>
      <c r="N27" s="5">
        <f>SUM($E20:N20)</f>
        <v>93178050</v>
      </c>
      <c r="O27" s="5">
        <f>SUM($E20:O20)</f>
        <v>93178050</v>
      </c>
      <c r="P27" s="5">
        <f>SUM($E20:P20)</f>
        <v>93178050</v>
      </c>
    </row>
    <row r="28" spans="3:17" x14ac:dyDescent="0.35">
      <c r="D28" s="3" t="str">
        <f>'KPI 1'!D28</f>
        <v>ACTUAL2024/25</v>
      </c>
      <c r="E28" s="5">
        <f>SUM($E21:E21)</f>
        <v>5843053</v>
      </c>
      <c r="F28" s="5">
        <f>SUM($E21:F21)</f>
        <v>13765812</v>
      </c>
      <c r="G28" s="5">
        <f>SUM($E21:G21)</f>
        <v>20340398</v>
      </c>
      <c r="H28" s="5">
        <f>SUM($E21:H21)</f>
        <v>26995255</v>
      </c>
      <c r="I28" s="5">
        <f>SUM($E21:I21)</f>
        <v>34069444</v>
      </c>
      <c r="J28" s="5">
        <f>SUM($E21:J21)</f>
        <v>38754901</v>
      </c>
      <c r="K28" s="5">
        <f>SUM($E21:K21)</f>
        <v>47291845</v>
      </c>
      <c r="L28" s="5">
        <f>SUM($E21:L21)</f>
        <v>54437910</v>
      </c>
      <c r="M28" s="5">
        <f>SUM($E21:M21)</f>
        <v>62162807</v>
      </c>
      <c r="N28" s="5">
        <f>SUM($E21:N21)</f>
        <v>71285877</v>
      </c>
      <c r="O28" s="5">
        <f>SUM($E21:O21)</f>
        <v>81993927</v>
      </c>
      <c r="P28" s="5">
        <f>SUM($E21:P21)</f>
        <v>93087697</v>
      </c>
    </row>
    <row r="29" spans="3:17" x14ac:dyDescent="0.35">
      <c r="D29" s="3" t="str">
        <f>'KPI 1'!D29</f>
        <v>DIFFERENCE</v>
      </c>
      <c r="E29" s="5">
        <f>SUM($E22:E22)</f>
        <v>268334.07559772208</v>
      </c>
      <c r="F29" s="5">
        <f>SUM($E22:F22)</f>
        <v>2143183.4214688521</v>
      </c>
      <c r="G29" s="5">
        <f>SUM($E22:G22)</f>
        <v>3247399.3029235378</v>
      </c>
      <c r="H29" s="5">
        <f>SUM($E22:H22)</f>
        <v>5270558.117409531</v>
      </c>
      <c r="I29" s="5">
        <f>SUM($E22:I22)</f>
        <v>5429354.0281545836</v>
      </c>
      <c r="J29" s="5">
        <f>SUM($E22:J22)</f>
        <v>4452061.6870307494</v>
      </c>
      <c r="K29" s="5">
        <f>SUM($E22:K22)</f>
        <v>9157504.2634223606</v>
      </c>
      <c r="L29" s="5">
        <f>SUM($E22:L22)</f>
        <v>10838484.867831923</v>
      </c>
      <c r="M29" s="5">
        <f>SUM($E22:M22)</f>
        <v>11990154.849303231</v>
      </c>
      <c r="N29" s="5">
        <f>SUM($E22:N22)</f>
        <v>11990154.849303231</v>
      </c>
      <c r="O29" s="5">
        <f>SUM($E22:O22)</f>
        <v>11990154.849303231</v>
      </c>
      <c r="P29" s="5">
        <f>SUM($E22:P22)</f>
        <v>11990154.849303231</v>
      </c>
    </row>
    <row r="30" spans="3:17" x14ac:dyDescent="0.35">
      <c r="D30" s="3" t="str">
        <f>'KPI 1'!D30</f>
        <v>%REALISATION</v>
      </c>
      <c r="E30" s="9">
        <f t="shared" ref="E30:P30" si="3">E27/E26</f>
        <v>1.0300067205026178</v>
      </c>
      <c r="F30" s="9">
        <f t="shared" si="3"/>
        <v>1.1194727722575586</v>
      </c>
      <c r="G30" s="9">
        <f t="shared" si="3"/>
        <v>1.1203429526327038</v>
      </c>
      <c r="H30" s="9">
        <f t="shared" si="3"/>
        <v>1.1463215096212465</v>
      </c>
      <c r="I30" s="9">
        <f t="shared" si="3"/>
        <v>1.1205176373696653</v>
      </c>
      <c r="J30" s="9">
        <f t="shared" si="3"/>
        <v>1.0823371178402379</v>
      </c>
      <c r="K30" s="9">
        <f t="shared" si="3"/>
        <v>1.1451175920479237</v>
      </c>
      <c r="L30" s="9">
        <f t="shared" si="3"/>
        <v>1.1502348870745305</v>
      </c>
      <c r="M30" s="9">
        <f t="shared" si="3"/>
        <v>1.1476840214547712</v>
      </c>
      <c r="N30" s="9">
        <f t="shared" si="3"/>
        <v>1.032422095852471</v>
      </c>
      <c r="O30" s="9">
        <f t="shared" si="3"/>
        <v>0.93800828867827735</v>
      </c>
      <c r="P30" s="9">
        <f t="shared" si="3"/>
        <v>0.85925377229599664</v>
      </c>
    </row>
  </sheetData>
  <mergeCells count="2">
    <mergeCell ref="J4:Q8"/>
    <mergeCell ref="J10:Q15"/>
  </mergeCells>
  <conditionalFormatting sqref="C3">
    <cfRule type="expression" dxfId="71" priority="2">
      <formula>S4&lt;S6</formula>
    </cfRule>
  </conditionalFormatting>
  <conditionalFormatting sqref="C4">
    <cfRule type="expression" dxfId="70" priority="1">
      <formula>AND(S4&gt;=S6,S4&lt;S5)</formula>
    </cfRule>
  </conditionalFormatting>
  <conditionalFormatting sqref="C5">
    <cfRule type="expression" dxfId="69" priority="3">
      <formula>S4&gt;=S5</formula>
    </cfRule>
  </conditionalFormatting>
  <hyperlinks>
    <hyperlink ref="L1" location="Dashboard!A1" display="Dashboard" xr:uid="{00000000-0004-0000-27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076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/>
      <c r="B1" s="4" t="str">
        <f>Dashboard!A33</f>
        <v>17a</v>
      </c>
      <c r="C1" s="4" t="str">
        <f>Dashboard!B33</f>
        <v>Amount Billed Sewer-Central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51180684.299999997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45605872.148941658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41045284.93404749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BUDGET2526!D34</f>
        <v>4973474.5859431289</v>
      </c>
      <c r="F19" s="5">
        <f>BUDGET2526!E34</f>
        <v>4996935.182052915</v>
      </c>
      <c r="G19" s="5">
        <f>BUDGET2526!F34</f>
        <v>5020396.0145296101</v>
      </c>
      <c r="H19" s="5">
        <f>BUDGET2526!G34</f>
        <v>5043857.079816726</v>
      </c>
      <c r="I19" s="5">
        <f>BUDGET2526!H34</f>
        <v>5067318.3744287556</v>
      </c>
      <c r="J19" s="5">
        <f>BUDGET2526!I34</f>
        <v>5090779.8949494297</v>
      </c>
      <c r="K19" s="5">
        <f>BUDGET2526!J34</f>
        <v>5114241.6380299972</v>
      </c>
      <c r="L19" s="5">
        <f>BUDGET2526!K34</f>
        <v>5137703.6003875732</v>
      </c>
      <c r="M19" s="5">
        <f>BUDGET2526!L34</f>
        <v>5161165.778803519</v>
      </c>
      <c r="N19" s="5">
        <f>BUDGET2526!M34</f>
        <v>5184628.1701218812</v>
      </c>
      <c r="O19" s="5">
        <f>BUDGET2526!N34</f>
        <v>5208090.7712478768</v>
      </c>
      <c r="P19" s="5">
        <f>BUDGET2526!O34</f>
        <v>5231553.5791464159</v>
      </c>
      <c r="Q19" s="5">
        <f>SUM(E19:P19)</f>
        <v>61230144.66945783</v>
      </c>
    </row>
    <row r="20" spans="3:17" x14ac:dyDescent="0.35">
      <c r="D20" s="3" t="str">
        <f>'KPI 1'!D20</f>
        <v>ACTUAL2025/26</v>
      </c>
      <c r="E20" s="5">
        <f>'ACTUAL 2526'!E34</f>
        <v>5560946</v>
      </c>
      <c r="F20" s="5">
        <f>'ACTUAL 2526'!F34</f>
        <v>5918138.5</v>
      </c>
      <c r="G20" s="5">
        <f>'ACTUAL 2526'!G34</f>
        <v>5609031</v>
      </c>
      <c r="H20" s="5">
        <f>'ACTUAL 2526'!H34</f>
        <v>5721311</v>
      </c>
      <c r="I20" s="5">
        <f>'ACTUAL 2526'!I34</f>
        <v>5243878.5</v>
      </c>
      <c r="J20" s="5">
        <f>'ACTUAL 2526'!J34</f>
        <v>4788131.3</v>
      </c>
      <c r="K20" s="5">
        <f>'ACTUAL 2526'!K34</f>
        <v>6824426</v>
      </c>
      <c r="L20" s="5">
        <f>'ACTUAL 2526'!L34</f>
        <v>5693803.4999999991</v>
      </c>
      <c r="M20" s="5">
        <f>'ACTUAL 2526'!M34</f>
        <v>5821018.5000000009</v>
      </c>
      <c r="N20" s="5">
        <f>'ACTUAL 2526'!N34</f>
        <v>0</v>
      </c>
      <c r="O20" s="5">
        <f>'ACTUAL 2526'!O34</f>
        <v>0</v>
      </c>
      <c r="P20" s="5">
        <f>'ACTUAL 2526'!P34</f>
        <v>0</v>
      </c>
      <c r="Q20" s="5">
        <f t="shared" ref="Q20:Q21" si="0">SUM(E20:P20)</f>
        <v>51180684.299999997</v>
      </c>
    </row>
    <row r="21" spans="3:17" x14ac:dyDescent="0.35">
      <c r="D21" s="3" t="str">
        <f>'KPI 1'!D21</f>
        <v>ACTUAL2024/25</v>
      </c>
      <c r="E21" s="5">
        <f>'Actual 202425'!E34</f>
        <v>4056872.9</v>
      </c>
      <c r="F21" s="5">
        <f>'Actual 202425'!F34</f>
        <v>4995912.1500000004</v>
      </c>
      <c r="G21" s="5">
        <f>'Actual 202425'!G34</f>
        <v>4239319.45</v>
      </c>
      <c r="H21" s="5">
        <f>'Actual 202425'!H34</f>
        <v>4378066.2</v>
      </c>
      <c r="I21" s="5">
        <f>'Actual 202425'!I34</f>
        <v>4413150</v>
      </c>
      <c r="J21" s="5">
        <f>'Actual 202425'!J34</f>
        <v>3714209.2</v>
      </c>
      <c r="K21" s="5">
        <f>'Actual 202425'!K34</f>
        <v>5356212.7</v>
      </c>
      <c r="L21" s="5">
        <f>'Actual 202425'!L34</f>
        <v>4592748.95</v>
      </c>
      <c r="M21" s="5">
        <f>'Actual 202425'!M34</f>
        <v>4885076.95</v>
      </c>
      <c r="N21" s="5">
        <f>'Actual 202425'!N34</f>
        <v>5635043.5</v>
      </c>
      <c r="O21" s="5">
        <f>'Actual 202425'!O34</f>
        <v>6022758.5</v>
      </c>
      <c r="P21" s="5">
        <f>'Actual 202425'!P34</f>
        <v>6114211</v>
      </c>
      <c r="Q21" s="5">
        <f t="shared" si="0"/>
        <v>58403581.5</v>
      </c>
    </row>
    <row r="22" spans="3:17" x14ac:dyDescent="0.35">
      <c r="D22" s="3" t="str">
        <f>'KPI 1'!D22</f>
        <v>DIFFERENCE</v>
      </c>
      <c r="E22" s="5">
        <f t="shared" ref="E22:P22" si="1">IF(E20=0,0,E20-E19)</f>
        <v>587471.41405687109</v>
      </c>
      <c r="F22" s="5">
        <f t="shared" si="1"/>
        <v>921203.31794708502</v>
      </c>
      <c r="G22" s="5">
        <f t="shared" si="1"/>
        <v>588634.98547038995</v>
      </c>
      <c r="H22" s="5">
        <f t="shared" si="1"/>
        <v>677453.92018327396</v>
      </c>
      <c r="I22" s="5">
        <f t="shared" si="1"/>
        <v>176560.1255712444</v>
      </c>
      <c r="J22" s="5">
        <f t="shared" si="1"/>
        <v>-302648.59494942985</v>
      </c>
      <c r="K22" s="5">
        <f t="shared" si="1"/>
        <v>1710184.3619700028</v>
      </c>
      <c r="L22" s="5">
        <f t="shared" si="1"/>
        <v>556099.89961242583</v>
      </c>
      <c r="M22" s="5">
        <f t="shared" si="1"/>
        <v>659852.72119648196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5574812.1510583451</v>
      </c>
    </row>
    <row r="23" spans="3:17" x14ac:dyDescent="0.35">
      <c r="D23" s="3" t="str">
        <f>'KPI 1'!D23</f>
        <v>%REALISATION</v>
      </c>
      <c r="E23" s="9">
        <f t="shared" ref="E23:P23" si="2">E20/E19</f>
        <v>1.1181209240954566</v>
      </c>
      <c r="F23" s="9">
        <f t="shared" si="2"/>
        <v>1.1843536656740508</v>
      </c>
      <c r="G23" s="9">
        <f t="shared" si="2"/>
        <v>1.117248715791904</v>
      </c>
      <c r="H23" s="9">
        <f t="shared" si="2"/>
        <v>1.134312671723817</v>
      </c>
      <c r="I23" s="9">
        <f t="shared" si="2"/>
        <v>1.0348429114819824</v>
      </c>
      <c r="J23" s="9">
        <f t="shared" si="2"/>
        <v>0.94054966013170438</v>
      </c>
      <c r="K23" s="9">
        <f t="shared" si="2"/>
        <v>1.3343964722458372</v>
      </c>
      <c r="L23" s="9">
        <f t="shared" si="2"/>
        <v>1.1082389999241054</v>
      </c>
      <c r="M23" s="9">
        <f t="shared" si="2"/>
        <v>1.1278495497870737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4973474.5859431289</v>
      </c>
      <c r="F26" s="5">
        <f>SUM($E19:F19)</f>
        <v>9970409.767996043</v>
      </c>
      <c r="G26" s="5">
        <f>SUM($E19:G19)</f>
        <v>14990805.782525653</v>
      </c>
      <c r="H26" s="5">
        <f>SUM($E19:H19)</f>
        <v>20034662.86234238</v>
      </c>
      <c r="I26" s="5">
        <f>SUM($E19:I19)</f>
        <v>25101981.236771137</v>
      </c>
      <c r="J26" s="5">
        <f>SUM($E19:J19)</f>
        <v>30192761.131720565</v>
      </c>
      <c r="K26" s="5">
        <f>SUM($E19:K19)</f>
        <v>35307002.769750565</v>
      </c>
      <c r="L26" s="5">
        <f>SUM($E19:L19)</f>
        <v>40444706.370138139</v>
      </c>
      <c r="M26" s="5">
        <f>SUM($E19:M19)</f>
        <v>45605872.148941658</v>
      </c>
      <c r="N26" s="5">
        <f>SUM($E19:N19)</f>
        <v>50790500.319063537</v>
      </c>
      <c r="O26" s="5">
        <f>SUM($E19:O19)</f>
        <v>55998591.090311415</v>
      </c>
      <c r="P26" s="5">
        <f>SUM($E19:P19)</f>
        <v>61230144.66945783</v>
      </c>
    </row>
    <row r="27" spans="3:17" x14ac:dyDescent="0.35">
      <c r="D27" s="3" t="str">
        <f>'KPI 1'!D27</f>
        <v>ACTUAL2025/26</v>
      </c>
      <c r="E27" s="5">
        <f>SUM($E20:E20)</f>
        <v>5560946</v>
      </c>
      <c r="F27" s="5">
        <f>SUM($E20:F20)</f>
        <v>11479084.5</v>
      </c>
      <c r="G27" s="5">
        <f>SUM($E20:G20)</f>
        <v>17088115.5</v>
      </c>
      <c r="H27" s="5">
        <f>SUM($E20:H20)</f>
        <v>22809426.5</v>
      </c>
      <c r="I27" s="5">
        <f>SUM($E20:I20)</f>
        <v>28053305</v>
      </c>
      <c r="J27" s="5">
        <f>SUM($E20:J20)</f>
        <v>32841436.300000001</v>
      </c>
      <c r="K27" s="5">
        <f>SUM($E20:K20)</f>
        <v>39665862.299999997</v>
      </c>
      <c r="L27" s="5">
        <f>SUM($E20:L20)</f>
        <v>45359665.799999997</v>
      </c>
      <c r="M27" s="5">
        <f>SUM($E20:M20)</f>
        <v>51180684.299999997</v>
      </c>
      <c r="N27" s="5">
        <f>SUM($E20:N20)</f>
        <v>51180684.299999997</v>
      </c>
      <c r="O27" s="5">
        <f>SUM($E20:O20)</f>
        <v>51180684.299999997</v>
      </c>
      <c r="P27" s="5">
        <f>SUM($E20:P20)</f>
        <v>51180684.299999997</v>
      </c>
    </row>
    <row r="28" spans="3:17" x14ac:dyDescent="0.35">
      <c r="D28" s="3" t="str">
        <f>'KPI 1'!D28</f>
        <v>ACTUAL2024/25</v>
      </c>
      <c r="E28" s="5">
        <f>SUM($E21:E21)</f>
        <v>4056872.9</v>
      </c>
      <c r="F28" s="5">
        <f>SUM($E21:F21)</f>
        <v>9052785.0500000007</v>
      </c>
      <c r="G28" s="5">
        <f>SUM($E21:G21)</f>
        <v>13292104.5</v>
      </c>
      <c r="H28" s="5">
        <f>SUM($E21:H21)</f>
        <v>17670170.699999999</v>
      </c>
      <c r="I28" s="5">
        <f>SUM($E21:I21)</f>
        <v>22083320.699999999</v>
      </c>
      <c r="J28" s="5">
        <f>SUM($E21:J21)</f>
        <v>25797529.899999999</v>
      </c>
      <c r="K28" s="5">
        <f>SUM($E21:K21)</f>
        <v>31153742.599999998</v>
      </c>
      <c r="L28" s="5">
        <f>SUM($E21:L21)</f>
        <v>35746491.549999997</v>
      </c>
      <c r="M28" s="5">
        <f>SUM($E21:M21)</f>
        <v>40631568.5</v>
      </c>
      <c r="N28" s="5">
        <f>SUM($E21:N21)</f>
        <v>46266612</v>
      </c>
      <c r="O28" s="5">
        <f>SUM($E21:O21)</f>
        <v>52289370.5</v>
      </c>
      <c r="P28" s="5">
        <f>SUM($E21:P21)</f>
        <v>58403581.5</v>
      </c>
    </row>
    <row r="29" spans="3:17" x14ac:dyDescent="0.35">
      <c r="D29" s="3" t="str">
        <f>'KPI 1'!D29</f>
        <v>DIFFERENCE</v>
      </c>
      <c r="E29" s="5">
        <f>SUM($E22:E22)</f>
        <v>587471.41405687109</v>
      </c>
      <c r="F29" s="5">
        <f>SUM($E22:F22)</f>
        <v>1508674.7320039561</v>
      </c>
      <c r="G29" s="5">
        <f>SUM($E22:G22)</f>
        <v>2097309.717474346</v>
      </c>
      <c r="H29" s="5">
        <f>SUM($E22:H22)</f>
        <v>2774763.63765762</v>
      </c>
      <c r="I29" s="5">
        <f>SUM($E22:I22)</f>
        <v>2951323.7632288644</v>
      </c>
      <c r="J29" s="5">
        <f>SUM($E22:J22)</f>
        <v>2648675.1682794346</v>
      </c>
      <c r="K29" s="5">
        <f>SUM($E22:K22)</f>
        <v>4358859.5302494373</v>
      </c>
      <c r="L29" s="5">
        <f>SUM($E22:L22)</f>
        <v>4914959.4298618631</v>
      </c>
      <c r="M29" s="5">
        <f>SUM($E22:M22)</f>
        <v>5574812.1510583451</v>
      </c>
      <c r="N29" s="5">
        <f>SUM($E22:N22)</f>
        <v>5574812.1510583451</v>
      </c>
      <c r="O29" s="5">
        <f>SUM($E22:O22)</f>
        <v>5574812.1510583451</v>
      </c>
      <c r="P29" s="5">
        <f>SUM($E22:P22)</f>
        <v>5574812.1510583451</v>
      </c>
    </row>
    <row r="30" spans="3:17" x14ac:dyDescent="0.35">
      <c r="D30" s="3" t="str">
        <f>'KPI 1'!D30</f>
        <v>%REALISATION</v>
      </c>
      <c r="E30" s="9">
        <f t="shared" ref="E30:P30" si="3">E27/E26</f>
        <v>1.1181209240954566</v>
      </c>
      <c r="F30" s="9">
        <f t="shared" si="3"/>
        <v>1.1513152184423396</v>
      </c>
      <c r="G30" s="9">
        <f t="shared" si="3"/>
        <v>1.139906403158069</v>
      </c>
      <c r="H30" s="9">
        <f t="shared" si="3"/>
        <v>1.1384981447765279</v>
      </c>
      <c r="I30" s="9">
        <f t="shared" si="3"/>
        <v>1.1175733395460259</v>
      </c>
      <c r="J30" s="9">
        <f t="shared" si="3"/>
        <v>1.0877255033656639</v>
      </c>
      <c r="K30" s="9">
        <f t="shared" si="3"/>
        <v>1.1234559489140183</v>
      </c>
      <c r="L30" s="9">
        <f t="shared" si="3"/>
        <v>1.1215229351619365</v>
      </c>
      <c r="M30" s="9">
        <f t="shared" si="3"/>
        <v>1.1222389110957438</v>
      </c>
      <c r="N30" s="9">
        <f t="shared" si="3"/>
        <v>1.0076822236143637</v>
      </c>
      <c r="O30" s="9">
        <f t="shared" si="3"/>
        <v>0.91396378557915203</v>
      </c>
      <c r="P30" s="9">
        <f t="shared" si="3"/>
        <v>0.83587397312698819</v>
      </c>
    </row>
  </sheetData>
  <mergeCells count="2">
    <mergeCell ref="J4:Q8"/>
    <mergeCell ref="J10:Q15"/>
  </mergeCells>
  <conditionalFormatting sqref="C3">
    <cfRule type="expression" dxfId="68" priority="2">
      <formula>S4&lt;S6</formula>
    </cfRule>
  </conditionalFormatting>
  <conditionalFormatting sqref="C4">
    <cfRule type="expression" dxfId="67" priority="1">
      <formula>AND(S4&gt;=S6,S4&lt;S5)</formula>
    </cfRule>
  </conditionalFormatting>
  <conditionalFormatting sqref="C5">
    <cfRule type="expression" dxfId="66" priority="3">
      <formula>S4&gt;=S5</formula>
    </cfRule>
  </conditionalFormatting>
  <hyperlinks>
    <hyperlink ref="L1" location="Dashboard!A1" display="Dashboard" xr:uid="{00000000-0004-0000-28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179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/>
      <c r="B1" s="4" t="str">
        <f>Dashboard!A34</f>
        <v>18a</v>
      </c>
      <c r="C1" s="4" t="str">
        <f>Dashboard!B34</f>
        <v>othersales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7916502.5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BUDGET2526!D35</f>
        <v>0</v>
      </c>
      <c r="F19" s="5">
        <f>BUDGET2526!E35</f>
        <v>0</v>
      </c>
      <c r="G19" s="5">
        <f>BUDGET2526!F35</f>
        <v>0</v>
      </c>
      <c r="H19" s="5">
        <f>BUDGET2526!G35</f>
        <v>0</v>
      </c>
      <c r="I19" s="5">
        <f>BUDGET2526!H35</f>
        <v>0</v>
      </c>
      <c r="J19" s="5">
        <f>BUDGET2526!I35</f>
        <v>0</v>
      </c>
      <c r="K19" s="5">
        <f>BUDGET2526!J35</f>
        <v>0</v>
      </c>
      <c r="L19" s="5">
        <f>BUDGET2526!K35</f>
        <v>0</v>
      </c>
      <c r="M19" s="5">
        <f>BUDGET2526!L35</f>
        <v>0</v>
      </c>
      <c r="N19" s="5">
        <f>BUDGET2526!M35</f>
        <v>0</v>
      </c>
      <c r="O19" s="5">
        <f>BUDGET2526!N35</f>
        <v>0</v>
      </c>
      <c r="P19" s="5">
        <f>BUDGET2526!O35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'ACTUAL 2526'!E35</f>
        <v>871940</v>
      </c>
      <c r="F20" s="5">
        <f>'ACTUAL 2526'!F35</f>
        <v>904453</v>
      </c>
      <c r="G20" s="5">
        <f>'ACTUAL 2526'!G35</f>
        <v>904154</v>
      </c>
      <c r="H20" s="5">
        <f>'ACTUAL 2526'!H35</f>
        <v>1010650.5</v>
      </c>
      <c r="I20" s="5">
        <f>'ACTUAL 2526'!I35</f>
        <v>811584.5</v>
      </c>
      <c r="J20" s="5">
        <f>'ACTUAL 2526'!J35</f>
        <v>696178</v>
      </c>
      <c r="K20" s="5">
        <f>'ACTUAL 2526'!K35</f>
        <v>1284916.5</v>
      </c>
      <c r="L20" s="5">
        <f>'ACTUAL 2526'!L35</f>
        <v>922827.50000000093</v>
      </c>
      <c r="M20" s="5">
        <f>'ACTUAL 2526'!M35</f>
        <v>509798.49999999907</v>
      </c>
      <c r="N20" s="5">
        <f>'ACTUAL 2526'!N35</f>
        <v>0</v>
      </c>
      <c r="O20" s="5">
        <f>'ACTUAL 2526'!O35</f>
        <v>0</v>
      </c>
      <c r="P20" s="5">
        <f>'ACTUAL 2526'!P35</f>
        <v>0</v>
      </c>
      <c r="Q20" s="5">
        <f t="shared" ref="Q20:Q21" si="0">SUM(E20:P20)</f>
        <v>7916502.5</v>
      </c>
    </row>
    <row r="21" spans="3:17" x14ac:dyDescent="0.35">
      <c r="D21" s="3" t="str">
        <f>'KPI 1'!D21</f>
        <v>ACTUAL2024/25</v>
      </c>
      <c r="E21" s="5">
        <f>'Actual 202425'!E35</f>
        <v>794951</v>
      </c>
      <c r="F21" s="5">
        <f>'Actual 202425'!F35</f>
        <v>626850</v>
      </c>
      <c r="G21" s="5">
        <f>'Actual 202425'!G35</f>
        <v>607950</v>
      </c>
      <c r="H21" s="5">
        <f>'Actual 202425'!H35</f>
        <v>713100</v>
      </c>
      <c r="I21" s="5">
        <f>'Actual 202425'!I35</f>
        <v>489600</v>
      </c>
      <c r="J21" s="5">
        <f>'Actual 202425'!J35</f>
        <v>523900</v>
      </c>
      <c r="K21" s="5">
        <f>'Actual 202425'!K35</f>
        <v>704780</v>
      </c>
      <c r="L21" s="5">
        <f>'Actual 202425'!L35</f>
        <v>670850</v>
      </c>
      <c r="M21" s="5">
        <f>'Actual 202425'!M35</f>
        <v>755350</v>
      </c>
      <c r="N21" s="5">
        <f>'Actual 202425'!N35</f>
        <v>1189107.5</v>
      </c>
      <c r="O21" s="5">
        <f>'Actual 202425'!O35</f>
        <v>1026152.5</v>
      </c>
      <c r="P21" s="5">
        <f>'Actual 202425'!P35</f>
        <v>1000538.5</v>
      </c>
      <c r="Q21" s="5">
        <f t="shared" si="0"/>
        <v>9103129.5</v>
      </c>
    </row>
    <row r="22" spans="3:17" x14ac:dyDescent="0.35">
      <c r="D22" s="3" t="str">
        <f>'KPI 1'!D22</f>
        <v>DIFFERENCE</v>
      </c>
      <c r="E22" s="5">
        <f t="shared" ref="E22:P22" si="1">IF(E20=0,0,E20-E19)</f>
        <v>871940</v>
      </c>
      <c r="F22" s="5">
        <f t="shared" si="1"/>
        <v>904453</v>
      </c>
      <c r="G22" s="5">
        <f t="shared" si="1"/>
        <v>904154</v>
      </c>
      <c r="H22" s="5">
        <f t="shared" si="1"/>
        <v>1010650.5</v>
      </c>
      <c r="I22" s="5">
        <f t="shared" si="1"/>
        <v>811584.5</v>
      </c>
      <c r="J22" s="5">
        <f t="shared" si="1"/>
        <v>696178</v>
      </c>
      <c r="K22" s="5">
        <f t="shared" si="1"/>
        <v>1284916.5</v>
      </c>
      <c r="L22" s="5">
        <f t="shared" si="1"/>
        <v>922827.50000000093</v>
      </c>
      <c r="M22" s="5">
        <f t="shared" si="1"/>
        <v>509798.49999999907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7916502.5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871940</v>
      </c>
      <c r="F27" s="5">
        <f>SUM($E20:F20)</f>
        <v>1776393</v>
      </c>
      <c r="G27" s="5">
        <f>SUM($E20:G20)</f>
        <v>2680547</v>
      </c>
      <c r="H27" s="5">
        <f>SUM($E20:H20)</f>
        <v>3691197.5</v>
      </c>
      <c r="I27" s="5">
        <f>SUM($E20:I20)</f>
        <v>4502782</v>
      </c>
      <c r="J27" s="5">
        <f>SUM($E20:J20)</f>
        <v>5198960</v>
      </c>
      <c r="K27" s="5">
        <f>SUM($E20:K20)</f>
        <v>6483876.5</v>
      </c>
      <c r="L27" s="5">
        <f>SUM($E20:L20)</f>
        <v>7406704.0000000009</v>
      </c>
      <c r="M27" s="5">
        <f>SUM($E20:M20)</f>
        <v>7916502.5</v>
      </c>
      <c r="N27" s="5">
        <f>SUM($E20:N20)</f>
        <v>7916502.5</v>
      </c>
      <c r="O27" s="5">
        <f>SUM($E20:O20)</f>
        <v>7916502.5</v>
      </c>
      <c r="P27" s="5">
        <f>SUM($E20:P20)</f>
        <v>7916502.5</v>
      </c>
    </row>
    <row r="28" spans="3:17" x14ac:dyDescent="0.35">
      <c r="D28" s="3" t="str">
        <f>'KPI 1'!D28</f>
        <v>ACTUAL2024/25</v>
      </c>
      <c r="E28" s="5">
        <f>SUM($E21:E21)</f>
        <v>794951</v>
      </c>
      <c r="F28" s="5">
        <f>SUM($E21:F21)</f>
        <v>1421801</v>
      </c>
      <c r="G28" s="5">
        <f>SUM($E21:G21)</f>
        <v>2029751</v>
      </c>
      <c r="H28" s="5">
        <f>SUM($E21:H21)</f>
        <v>2742851</v>
      </c>
      <c r="I28" s="5">
        <f>SUM($E21:I21)</f>
        <v>3232451</v>
      </c>
      <c r="J28" s="5">
        <f>SUM($E21:J21)</f>
        <v>3756351</v>
      </c>
      <c r="K28" s="5">
        <f>SUM($E21:K21)</f>
        <v>4461131</v>
      </c>
      <c r="L28" s="5">
        <f>SUM($E21:L21)</f>
        <v>5131981</v>
      </c>
      <c r="M28" s="5">
        <f>SUM($E21:M21)</f>
        <v>5887331</v>
      </c>
      <c r="N28" s="5">
        <f>SUM($E21:N21)</f>
        <v>7076438.5</v>
      </c>
      <c r="O28" s="5">
        <f>SUM($E21:O21)</f>
        <v>8102591</v>
      </c>
      <c r="P28" s="5">
        <f>SUM($E21:P21)</f>
        <v>9103129.5</v>
      </c>
    </row>
    <row r="29" spans="3:17" x14ac:dyDescent="0.35">
      <c r="D29" s="3" t="str">
        <f>'KPI 1'!D29</f>
        <v>DIFFERENCE</v>
      </c>
      <c r="E29" s="5">
        <f>SUM($E22:E22)</f>
        <v>871940</v>
      </c>
      <c r="F29" s="5">
        <f>SUM($E22:F22)</f>
        <v>1776393</v>
      </c>
      <c r="G29" s="5">
        <f>SUM($E22:G22)</f>
        <v>2680547</v>
      </c>
      <c r="H29" s="5">
        <f>SUM($E22:H22)</f>
        <v>3691197.5</v>
      </c>
      <c r="I29" s="5">
        <f>SUM($E22:I22)</f>
        <v>4502782</v>
      </c>
      <c r="J29" s="5">
        <f>SUM($E22:J22)</f>
        <v>5198960</v>
      </c>
      <c r="K29" s="5">
        <f>SUM($E22:K22)</f>
        <v>6483876.5</v>
      </c>
      <c r="L29" s="5">
        <f>SUM($E22:L22)</f>
        <v>7406704.0000000009</v>
      </c>
      <c r="M29" s="5">
        <f>SUM($E22:M22)</f>
        <v>7916502.5</v>
      </c>
      <c r="N29" s="5">
        <f>SUM($E22:N22)</f>
        <v>7916502.5</v>
      </c>
      <c r="O29" s="5">
        <f>SUM($E22:O22)</f>
        <v>7916502.5</v>
      </c>
      <c r="P29" s="5">
        <f>SUM($E22:P22)</f>
        <v>7916502.5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65" priority="2">
      <formula>S4&lt;S6</formula>
    </cfRule>
  </conditionalFormatting>
  <conditionalFormatting sqref="C4">
    <cfRule type="expression" dxfId="64" priority="1">
      <formula>AND(S4&gt;=S6,S4&lt;S5)</formula>
    </cfRule>
  </conditionalFormatting>
  <conditionalFormatting sqref="C5">
    <cfRule type="expression" dxfId="63" priority="3">
      <formula>S4&gt;=S5</formula>
    </cfRule>
  </conditionalFormatting>
  <hyperlinks>
    <hyperlink ref="L1" location="Dashboard!A1" display="Dashboard" xr:uid="{00000000-0004-0000-29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580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Dashboard!A35</f>
        <v>19a</v>
      </c>
      <c r="C1" s="4" t="str">
        <f>Dashboard!B35</f>
        <v>Amount Billed Water &amp; Sewer-othersales-Central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152275236.80000001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126793767.29963842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114114390.56967458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BUDGET2526!D36</f>
        <v>13915940.510345407</v>
      </c>
      <c r="F19" s="5">
        <f>BUDGET2526!E36</f>
        <v>13993145.836181786</v>
      </c>
      <c r="G19" s="5">
        <f>BUDGET2526!F36</f>
        <v>14066260.133074924</v>
      </c>
      <c r="H19" s="5">
        <f>BUDGET2526!G36</f>
        <v>14079708.265330732</v>
      </c>
      <c r="I19" s="5">
        <f>BUDGET2526!H36</f>
        <v>14097212.463683702</v>
      </c>
      <c r="J19" s="5">
        <f>BUDGET2526!I36</f>
        <v>14111632.236073263</v>
      </c>
      <c r="K19" s="5">
        <f>BUDGET2526!J36</f>
        <v>14147129.061638385</v>
      </c>
      <c r="L19" s="5">
        <f>BUDGET2526!K36</f>
        <v>14177272.995978011</v>
      </c>
      <c r="M19" s="5">
        <f>BUDGET2526!L36</f>
        <v>14205465.797332212</v>
      </c>
      <c r="N19" s="5">
        <f>BUDGET2526!M36</f>
        <v>14248627.447413754</v>
      </c>
      <c r="O19" s="5">
        <f>BUDGET2526!N36</f>
        <v>14292258.854278952</v>
      </c>
      <c r="P19" s="5">
        <f>BUDGET2526!O36</f>
        <v>14336155.519352306</v>
      </c>
      <c r="Q19" s="5">
        <f>SUM(E19:P19)</f>
        <v>169670809.12068343</v>
      </c>
    </row>
    <row r="20" spans="3:17" x14ac:dyDescent="0.35">
      <c r="D20" s="3" t="str">
        <f>'KPI 1'!D20</f>
        <v>ACTUAL2025/26</v>
      </c>
      <c r="E20" s="5">
        <f>'ACTUAL 2526'!E36</f>
        <v>15643686</v>
      </c>
      <c r="F20" s="5">
        <f>'ACTUAL 2526'!F36</f>
        <v>17693651.5</v>
      </c>
      <c r="G20" s="5">
        <f>'ACTUAL 2526'!G36</f>
        <v>16663265</v>
      </c>
      <c r="H20" s="5">
        <f>'ACTUAL 2526'!H36</f>
        <v>17790971.5</v>
      </c>
      <c r="I20" s="5">
        <f>'ACTUAL 2526'!I36</f>
        <v>15244153</v>
      </c>
      <c r="J20" s="5">
        <f>'ACTUAL 2526'!J36</f>
        <v>13527869.300000001</v>
      </c>
      <c r="K20" s="5">
        <f>'ACTUAL 2526'!K36</f>
        <v>21847672.5</v>
      </c>
      <c r="L20" s="5">
        <f>'ACTUAL 2526'!L36</f>
        <v>17337181</v>
      </c>
      <c r="M20" s="5">
        <f>'ACTUAL 2526'!M36</f>
        <v>16526787</v>
      </c>
      <c r="N20" s="5">
        <f>'ACTUAL 2526'!N36</f>
        <v>0</v>
      </c>
      <c r="O20" s="5">
        <f>'ACTUAL 2526'!O36</f>
        <v>0</v>
      </c>
      <c r="P20" s="5">
        <f>'ACTUAL 2526'!P36</f>
        <v>0</v>
      </c>
      <c r="Q20" s="5">
        <f t="shared" ref="Q20:Q21" si="0">SUM(E20:P20)</f>
        <v>152275236.80000001</v>
      </c>
    </row>
    <row r="21" spans="3:17" x14ac:dyDescent="0.35">
      <c r="D21" s="3" t="str">
        <f>'KPI 1'!D21</f>
        <v>ACTUAL2024/25</v>
      </c>
      <c r="E21" s="5">
        <f>'Actual 202425'!E36</f>
        <v>10694876.9</v>
      </c>
      <c r="F21" s="5">
        <f>'Actual 202425'!F36</f>
        <v>13545521.15</v>
      </c>
      <c r="G21" s="5">
        <f>'Actual 202425'!G36</f>
        <v>11421855.449999999</v>
      </c>
      <c r="H21" s="5">
        <f>'Actual 202425'!H36</f>
        <v>11746023.199999999</v>
      </c>
      <c r="I21" s="5">
        <f>'Actual 202425'!I36</f>
        <v>11976939</v>
      </c>
      <c r="J21" s="5">
        <f>'Actual 202425'!J36</f>
        <v>8923566.1999999993</v>
      </c>
      <c r="K21" s="5">
        <f>'Actual 202425'!K36</f>
        <v>14597936.699999999</v>
      </c>
      <c r="L21" s="5">
        <f>'Actual 202425'!L36</f>
        <v>12409663.949999999</v>
      </c>
      <c r="M21" s="5">
        <f>'Actual 202425'!M36</f>
        <v>13365323.949999999</v>
      </c>
      <c r="N21" s="5">
        <f>'Actual 202425'!N36</f>
        <v>15947221</v>
      </c>
      <c r="O21" s="5">
        <f>'Actual 202425'!O36</f>
        <v>17756961</v>
      </c>
      <c r="P21" s="5">
        <f>'Actual 202425'!P36</f>
        <v>18208519.5</v>
      </c>
      <c r="Q21" s="5">
        <f t="shared" si="0"/>
        <v>160594408</v>
      </c>
    </row>
    <row r="22" spans="3:17" x14ac:dyDescent="0.35">
      <c r="D22" s="3" t="str">
        <f>'KPI 1'!D22</f>
        <v>DIFFERENCE</v>
      </c>
      <c r="E22" s="5">
        <f t="shared" ref="E22:P22" si="1">IF(E20=0,0,E20-E19)</f>
        <v>1727745.4896545932</v>
      </c>
      <c r="F22" s="5">
        <f t="shared" si="1"/>
        <v>3700505.6638182141</v>
      </c>
      <c r="G22" s="5">
        <f t="shared" si="1"/>
        <v>2597004.8669250757</v>
      </c>
      <c r="H22" s="5">
        <f t="shared" si="1"/>
        <v>3711263.2346692681</v>
      </c>
      <c r="I22" s="5">
        <f t="shared" si="1"/>
        <v>1146940.5363162979</v>
      </c>
      <c r="J22" s="5">
        <f t="shared" si="1"/>
        <v>-583762.93607326224</v>
      </c>
      <c r="K22" s="5">
        <f t="shared" si="1"/>
        <v>7700543.4383616149</v>
      </c>
      <c r="L22" s="5">
        <f t="shared" si="1"/>
        <v>3159908.0040219892</v>
      </c>
      <c r="M22" s="5">
        <f t="shared" si="1"/>
        <v>2321321.2026677877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25481469.500361577</v>
      </c>
    </row>
    <row r="23" spans="3:17" x14ac:dyDescent="0.35">
      <c r="D23" s="3" t="str">
        <f>'KPI 1'!D23</f>
        <v>%REALISATION</v>
      </c>
      <c r="E23" s="9">
        <f>E21/E19</f>
        <v>0.76853424977271212</v>
      </c>
      <c r="F23" s="9">
        <f t="shared" ref="F23:P23" si="2">F20/F19</f>
        <v>1.2644513040269969</v>
      </c>
      <c r="G23" s="9">
        <f t="shared" si="2"/>
        <v>1.184626534868253</v>
      </c>
      <c r="H23" s="9">
        <f t="shared" si="2"/>
        <v>1.2635894980727493</v>
      </c>
      <c r="I23" s="9">
        <f t="shared" si="2"/>
        <v>1.0813593850040191</v>
      </c>
      <c r="J23" s="9">
        <f t="shared" si="2"/>
        <v>0.95863250074070083</v>
      </c>
      <c r="K23" s="9">
        <f t="shared" si="2"/>
        <v>1.5443184553424729</v>
      </c>
      <c r="L23" s="9">
        <f t="shared" si="2"/>
        <v>1.2228854593488065</v>
      </c>
      <c r="M23" s="9">
        <f t="shared" si="2"/>
        <v>1.1634104249579575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13915940.510345407</v>
      </c>
      <c r="F26" s="5">
        <f>SUM($E19:F19)</f>
        <v>27909086.346527193</v>
      </c>
      <c r="G26" s="5">
        <f>SUM($E19:G19)</f>
        <v>41975346.479602113</v>
      </c>
      <c r="H26" s="5">
        <f>SUM($E19:H19)</f>
        <v>56055054.744932845</v>
      </c>
      <c r="I26" s="5">
        <f>SUM($E19:I19)</f>
        <v>70152267.208616555</v>
      </c>
      <c r="J26" s="5">
        <f>SUM($E19:J19)</f>
        <v>84263899.44468981</v>
      </c>
      <c r="K26" s="5">
        <f>SUM($E19:K19)</f>
        <v>98411028.506328195</v>
      </c>
      <c r="L26" s="5">
        <f>SUM($E19:L19)</f>
        <v>112588301.50230621</v>
      </c>
      <c r="M26" s="5">
        <f>SUM($E19:M19)</f>
        <v>126793767.29963842</v>
      </c>
      <c r="N26" s="5">
        <f>SUM($E19:N19)</f>
        <v>141042394.74705216</v>
      </c>
      <c r="O26" s="5">
        <f>SUM($E19:O19)</f>
        <v>155334653.60133111</v>
      </c>
      <c r="P26" s="5">
        <f>SUM($E19:P19)</f>
        <v>169670809.12068343</v>
      </c>
    </row>
    <row r="27" spans="3:17" x14ac:dyDescent="0.35">
      <c r="D27" s="3" t="str">
        <f>'KPI 1'!D27</f>
        <v>ACTUAL2025/26</v>
      </c>
      <c r="E27" s="5">
        <f>SUM($E20:E20)</f>
        <v>15643686</v>
      </c>
      <c r="F27" s="5">
        <f>SUM($E20:F20)</f>
        <v>33337337.5</v>
      </c>
      <c r="G27" s="5">
        <f>SUM($E20:G20)</f>
        <v>50000602.5</v>
      </c>
      <c r="H27" s="5">
        <f>SUM($E20:H20)</f>
        <v>67791574</v>
      </c>
      <c r="I27" s="5">
        <f>SUM($E20:I20)</f>
        <v>83035727</v>
      </c>
      <c r="J27" s="5">
        <f>SUM($E20:J20)</f>
        <v>96563596.299999997</v>
      </c>
      <c r="K27" s="5">
        <f>SUM($E20:K20)</f>
        <v>118411268.8</v>
      </c>
      <c r="L27" s="5">
        <f>SUM($E20:L20)</f>
        <v>135748449.80000001</v>
      </c>
      <c r="M27" s="5">
        <f>SUM($E20:M20)</f>
        <v>152275236.80000001</v>
      </c>
      <c r="N27" s="5">
        <f>SUM($E20:N20)</f>
        <v>152275236.80000001</v>
      </c>
      <c r="O27" s="5">
        <f>SUM($E20:O20)</f>
        <v>152275236.80000001</v>
      </c>
      <c r="P27" s="5">
        <f>SUM($E20:P20)</f>
        <v>152275236.80000001</v>
      </c>
    </row>
    <row r="28" spans="3:17" x14ac:dyDescent="0.35">
      <c r="D28" s="3" t="str">
        <f>'KPI 1'!D28</f>
        <v>ACTUAL2024/25</v>
      </c>
      <c r="E28" s="5">
        <f>SUM($E21:E21)</f>
        <v>10694876.9</v>
      </c>
      <c r="F28" s="5">
        <f>SUM($E21:F21)</f>
        <v>24240398.050000001</v>
      </c>
      <c r="G28" s="5">
        <f>SUM($E21:G21)</f>
        <v>35662253.5</v>
      </c>
      <c r="H28" s="5">
        <f>SUM($E21:H21)</f>
        <v>47408276.700000003</v>
      </c>
      <c r="I28" s="5">
        <f>SUM($E21:I21)</f>
        <v>59385215.700000003</v>
      </c>
      <c r="J28" s="5">
        <f>SUM($E21:J21)</f>
        <v>68308781.900000006</v>
      </c>
      <c r="K28" s="5">
        <f>SUM($E21:K21)</f>
        <v>82906718.600000009</v>
      </c>
      <c r="L28" s="5">
        <f>SUM($E21:L21)</f>
        <v>95316382.550000012</v>
      </c>
      <c r="M28" s="5">
        <f>SUM($E21:M21)</f>
        <v>108681706.50000001</v>
      </c>
      <c r="N28" s="5">
        <f>SUM($E21:N21)</f>
        <v>124628927.50000001</v>
      </c>
      <c r="O28" s="5">
        <f>SUM($E21:O21)</f>
        <v>142385888.5</v>
      </c>
      <c r="P28" s="5">
        <f>SUM($E21:P21)</f>
        <v>160594408</v>
      </c>
    </row>
    <row r="29" spans="3:17" x14ac:dyDescent="0.35">
      <c r="D29" s="3" t="str">
        <f>'KPI 1'!D29</f>
        <v>DIFFERENCE</v>
      </c>
      <c r="E29" s="5">
        <f>SUM($E22:E22)</f>
        <v>1727745.4896545932</v>
      </c>
      <c r="F29" s="5">
        <f>SUM($E22:F22)</f>
        <v>5428251.1534728073</v>
      </c>
      <c r="G29" s="5">
        <f>SUM($E22:G22)</f>
        <v>8025256.0203978829</v>
      </c>
      <c r="H29" s="5">
        <f>SUM($E22:H22)</f>
        <v>11736519.255067151</v>
      </c>
      <c r="I29" s="5">
        <f>SUM($E22:I22)</f>
        <v>12883459.791383449</v>
      </c>
      <c r="J29" s="5">
        <f>SUM($E22:J22)</f>
        <v>12299696.855310187</v>
      </c>
      <c r="K29" s="5">
        <f>SUM($E22:K22)</f>
        <v>20000240.293671802</v>
      </c>
      <c r="L29" s="5">
        <f>SUM($E22:L22)</f>
        <v>23160148.297693789</v>
      </c>
      <c r="M29" s="5">
        <f>SUM($E22:M22)</f>
        <v>25481469.500361577</v>
      </c>
      <c r="N29" s="5">
        <f>SUM($E22:N22)</f>
        <v>25481469.500361577</v>
      </c>
      <c r="O29" s="5">
        <f>SUM($E22:O22)</f>
        <v>25481469.500361577</v>
      </c>
      <c r="P29" s="5">
        <f>SUM($E22:P22)</f>
        <v>25481469.500361577</v>
      </c>
    </row>
    <row r="30" spans="3:17" x14ac:dyDescent="0.35">
      <c r="D30" s="3" t="str">
        <f>'KPI 1'!D30</f>
        <v>%REALISATION</v>
      </c>
      <c r="E30" s="9">
        <f>E28/E26</f>
        <v>0.76853424977271212</v>
      </c>
      <c r="F30" s="9">
        <f t="shared" ref="F30:P30" si="3">F27/F26</f>
        <v>1.1944976301292736</v>
      </c>
      <c r="G30" s="9">
        <f t="shared" si="3"/>
        <v>1.1911897504955142</v>
      </c>
      <c r="H30" s="9">
        <f t="shared" si="3"/>
        <v>1.2093748602774863</v>
      </c>
      <c r="I30" s="9">
        <f t="shared" si="3"/>
        <v>1.1836499418197137</v>
      </c>
      <c r="J30" s="9">
        <f t="shared" si="3"/>
        <v>1.1459663857994564</v>
      </c>
      <c r="K30" s="9">
        <f t="shared" si="3"/>
        <v>1.2032316966627954</v>
      </c>
      <c r="L30" s="9">
        <f t="shared" si="3"/>
        <v>1.2057065253552954</v>
      </c>
      <c r="M30" s="9">
        <f t="shared" si="3"/>
        <v>1.2009678396899739</v>
      </c>
      <c r="N30" s="9">
        <f t="shared" si="3"/>
        <v>1.0796416004783032</v>
      </c>
      <c r="O30" s="9">
        <f t="shared" si="3"/>
        <v>0.98030435108714931</v>
      </c>
      <c r="P30" s="9">
        <f t="shared" si="3"/>
        <v>0.89747457202075165</v>
      </c>
    </row>
  </sheetData>
  <mergeCells count="2">
    <mergeCell ref="J4:Q8"/>
    <mergeCell ref="J10:Q15"/>
  </mergeCells>
  <conditionalFormatting sqref="C3">
    <cfRule type="expression" dxfId="62" priority="2">
      <formula>S4&lt;S6</formula>
    </cfRule>
  </conditionalFormatting>
  <conditionalFormatting sqref="C4">
    <cfRule type="expression" dxfId="61" priority="1">
      <formula>AND(S4&gt;=S6,S4&lt;S5)</formula>
    </cfRule>
  </conditionalFormatting>
  <conditionalFormatting sqref="C5">
    <cfRule type="expression" dxfId="60" priority="3">
      <formula>S4&gt;=S5</formula>
    </cfRule>
  </conditionalFormatting>
  <hyperlinks>
    <hyperlink ref="L1" location="Dashboard!A1" display="Dashboard" xr:uid="{00000000-0004-0000-2A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281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7.54296875" style="3" bestFit="1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Dashboard!A36</f>
        <v>14a</v>
      </c>
      <c r="C1" s="4" t="str">
        <f>Dashboard!B36</f>
        <v>Amount Collected-Central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147824383.84999999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133133455.66462035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119820110.09815831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BUDGET2526!D37</f>
        <v>14611737.535862679</v>
      </c>
      <c r="F19" s="5">
        <f>BUDGET2526!E37</f>
        <v>14692803.127990875</v>
      </c>
      <c r="G19" s="5">
        <f>BUDGET2526!F37</f>
        <v>14769573.139728671</v>
      </c>
      <c r="H19" s="5">
        <f>BUDGET2526!G37</f>
        <v>14783693.67859727</v>
      </c>
      <c r="I19" s="5">
        <f>BUDGET2526!H37</f>
        <v>14802073.086867888</v>
      </c>
      <c r="J19" s="5">
        <f>BUDGET2526!I37</f>
        <v>14817213.847876927</v>
      </c>
      <c r="K19" s="5">
        <f>BUDGET2526!J37</f>
        <v>14854485.514720306</v>
      </c>
      <c r="L19" s="5">
        <f>BUDGET2526!K37</f>
        <v>14886136.645776913</v>
      </c>
      <c r="M19" s="5">
        <f>BUDGET2526!L37</f>
        <v>14915739.087198824</v>
      </c>
      <c r="N19" s="5">
        <f>BUDGET2526!M37</f>
        <v>14961058.819784442</v>
      </c>
      <c r="O19" s="5">
        <f>BUDGET2526!N37</f>
        <v>15006871.7969929</v>
      </c>
      <c r="P19" s="5">
        <f>BUDGET2526!O37</f>
        <v>15052963.295319922</v>
      </c>
      <c r="Q19" s="5">
        <f>SUM(E19:P19)</f>
        <v>178154349.57671762</v>
      </c>
    </row>
    <row r="20" spans="3:17" x14ac:dyDescent="0.35">
      <c r="D20" s="3" t="str">
        <f>'KPI 1'!D20</f>
        <v>ACTUAL2025/26</v>
      </c>
      <c r="E20" s="5">
        <f>'ACTUAL 2526'!E37</f>
        <v>15973822</v>
      </c>
      <c r="F20" s="5">
        <f>'ACTUAL 2526'!F37</f>
        <v>13044625</v>
      </c>
      <c r="G20" s="5">
        <f>'ACTUAL 2526'!G37</f>
        <v>14430304</v>
      </c>
      <c r="H20" s="5">
        <f>'ACTUAL 2526'!H37</f>
        <v>19741476.600000001</v>
      </c>
      <c r="I20" s="5">
        <f>'ACTUAL 2526'!I37</f>
        <v>14374630.5</v>
      </c>
      <c r="J20" s="5">
        <f>'ACTUAL 2526'!J37</f>
        <v>18112068.5</v>
      </c>
      <c r="K20" s="5">
        <f>'ACTUAL 2526'!K37</f>
        <v>13052147.5</v>
      </c>
      <c r="L20" s="5">
        <f>'ACTUAL 2526'!L37</f>
        <v>16563177.5</v>
      </c>
      <c r="M20" s="5">
        <f>'ACTUAL 2526'!M37</f>
        <v>22532132.25</v>
      </c>
      <c r="N20" s="5">
        <f>'ACTUAL 2526'!N37</f>
        <v>0</v>
      </c>
      <c r="O20" s="5">
        <f>'ACTUAL 2526'!O37</f>
        <v>0</v>
      </c>
      <c r="P20" s="5">
        <f>'ACTUAL 2526'!P37</f>
        <v>0</v>
      </c>
      <c r="Q20" s="5">
        <f t="shared" ref="Q20:Q21" si="0">SUM(E20:P20)</f>
        <v>147824383.84999999</v>
      </c>
    </row>
    <row r="21" spans="3:17" x14ac:dyDescent="0.35">
      <c r="D21" s="3" t="str">
        <f>'KPI 1'!D21</f>
        <v>ACTUAL2024/25</v>
      </c>
      <c r="E21" s="5">
        <f>'Actual 202425'!E37</f>
        <v>15577990.9</v>
      </c>
      <c r="F21" s="5">
        <f>'Actual 202425'!F37</f>
        <v>8917003.0500000007</v>
      </c>
      <c r="G21" s="5">
        <f>'Actual 202425'!G37</f>
        <v>11509367.17</v>
      </c>
      <c r="H21" s="5">
        <f>'Actual 202425'!H37</f>
        <v>11550708.949999999</v>
      </c>
      <c r="I21" s="5">
        <f>'Actual 202425'!I37</f>
        <v>15277870</v>
      </c>
      <c r="J21" s="5">
        <f>'Actual 202425'!J37</f>
        <v>9681321.25</v>
      </c>
      <c r="K21" s="5">
        <f>'Actual 202425'!K37</f>
        <v>14304089.75</v>
      </c>
      <c r="L21" s="5">
        <f>'Actual 202425'!L37</f>
        <v>12007999.1</v>
      </c>
      <c r="M21" s="5">
        <f>'Actual 202425'!M37</f>
        <v>10866767.5</v>
      </c>
      <c r="N21" s="5">
        <f>'Actual 202425'!N37</f>
        <v>16977534.75</v>
      </c>
      <c r="O21" s="5">
        <f>'Actual 202425'!O37</f>
        <v>15080179.9</v>
      </c>
      <c r="P21" s="5">
        <f>'Actual 202425'!P37</f>
        <v>19747968</v>
      </c>
      <c r="Q21" s="5">
        <f t="shared" si="0"/>
        <v>161498800.31999999</v>
      </c>
    </row>
    <row r="22" spans="3:17" x14ac:dyDescent="0.35">
      <c r="D22" s="3" t="str">
        <f>'KPI 1'!D22</f>
        <v>DIFFERENCE</v>
      </c>
      <c r="E22" s="5">
        <f t="shared" ref="E22:P22" si="1">IF(E20=0,0,E20-E19)</f>
        <v>1362084.4641373213</v>
      </c>
      <c r="F22" s="5">
        <f t="shared" si="1"/>
        <v>-1648178.1279908754</v>
      </c>
      <c r="G22" s="5">
        <f t="shared" si="1"/>
        <v>-339269.13972867094</v>
      </c>
      <c r="H22" s="5">
        <f t="shared" si="1"/>
        <v>4957782.9214027319</v>
      </c>
      <c r="I22" s="5">
        <f t="shared" si="1"/>
        <v>-427442.58686788753</v>
      </c>
      <c r="J22" s="5">
        <f t="shared" si="1"/>
        <v>3294854.6521230731</v>
      </c>
      <c r="K22" s="5">
        <f t="shared" si="1"/>
        <v>-1802338.0147203058</v>
      </c>
      <c r="L22" s="5">
        <f t="shared" si="1"/>
        <v>1677040.8542230874</v>
      </c>
      <c r="M22" s="5">
        <f t="shared" si="1"/>
        <v>7616393.1628011763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14690928.18537965</v>
      </c>
    </row>
    <row r="23" spans="3:17" x14ac:dyDescent="0.35">
      <c r="D23" s="3" t="str">
        <f>'KPI 1'!D23</f>
        <v>%REALISATION</v>
      </c>
      <c r="E23" s="9">
        <f t="shared" ref="E23:P23" si="2">E20/E19</f>
        <v>1.0932185142796507</v>
      </c>
      <c r="F23" s="9">
        <f t="shared" si="2"/>
        <v>0.88782411949351081</v>
      </c>
      <c r="G23" s="9">
        <f t="shared" si="2"/>
        <v>0.97702918449172571</v>
      </c>
      <c r="H23" s="9">
        <f t="shared" si="2"/>
        <v>1.3353548192479285</v>
      </c>
      <c r="I23" s="9">
        <f t="shared" si="2"/>
        <v>0.9711227890607359</v>
      </c>
      <c r="J23" s="9">
        <f t="shared" si="2"/>
        <v>1.2223666801296234</v>
      </c>
      <c r="K23" s="9">
        <f t="shared" si="2"/>
        <v>0.87866708591595122</v>
      </c>
      <c r="L23" s="9">
        <f t="shared" si="2"/>
        <v>1.1126578973530283</v>
      </c>
      <c r="M23" s="9">
        <f t="shared" si="2"/>
        <v>1.5106279426232263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14611737.535862679</v>
      </c>
      <c r="F26" s="5">
        <f>SUM($E19:F19)</f>
        <v>29304540.663853556</v>
      </c>
      <c r="G26" s="5">
        <f>SUM($E19:G19)</f>
        <v>44074113.803582229</v>
      </c>
      <c r="H26" s="5">
        <f>SUM($E19:H19)</f>
        <v>58857807.4821795</v>
      </c>
      <c r="I26" s="5">
        <f>SUM($E19:I19)</f>
        <v>73659880.569047391</v>
      </c>
      <c r="J26" s="5">
        <f>SUM($E19:J19)</f>
        <v>88477094.416924313</v>
      </c>
      <c r="K26" s="5">
        <f>SUM($E19:K19)</f>
        <v>103331579.93164462</v>
      </c>
      <c r="L26" s="5">
        <f>SUM($E19:L19)</f>
        <v>118217716.57742153</v>
      </c>
      <c r="M26" s="5">
        <f>SUM($E19:M19)</f>
        <v>133133455.66462035</v>
      </c>
      <c r="N26" s="5">
        <f>SUM($E19:N19)</f>
        <v>148094514.4844048</v>
      </c>
      <c r="O26" s="5">
        <f>SUM($E19:O19)</f>
        <v>163101386.2813977</v>
      </c>
      <c r="P26" s="5">
        <f>SUM($E19:P19)</f>
        <v>178154349.57671762</v>
      </c>
    </row>
    <row r="27" spans="3:17" x14ac:dyDescent="0.35">
      <c r="D27" s="3" t="str">
        <f>'KPI 1'!D27</f>
        <v>ACTUAL2025/26</v>
      </c>
      <c r="E27" s="5">
        <f>SUM($E20:E20)</f>
        <v>15973822</v>
      </c>
      <c r="F27" s="5">
        <f>SUM($E20:F20)</f>
        <v>29018447</v>
      </c>
      <c r="G27" s="5">
        <f>SUM($E20:G20)</f>
        <v>43448751</v>
      </c>
      <c r="H27" s="5">
        <f>SUM($E20:H20)</f>
        <v>63190227.600000001</v>
      </c>
      <c r="I27" s="5">
        <f>SUM($E20:I20)</f>
        <v>77564858.099999994</v>
      </c>
      <c r="J27" s="5">
        <f>SUM($E20:J20)</f>
        <v>95676926.599999994</v>
      </c>
      <c r="K27" s="5">
        <f>SUM($E20:K20)</f>
        <v>108729074.09999999</v>
      </c>
      <c r="L27" s="5">
        <f>SUM($E20:L20)</f>
        <v>125292251.59999999</v>
      </c>
      <c r="M27" s="5">
        <f>SUM($E20:M20)</f>
        <v>147824383.84999999</v>
      </c>
      <c r="N27" s="5">
        <f>SUM($E20:N20)</f>
        <v>147824383.84999999</v>
      </c>
      <c r="O27" s="5">
        <f>SUM($E20:O20)</f>
        <v>147824383.84999999</v>
      </c>
      <c r="P27" s="5">
        <f>SUM($E20:P20)</f>
        <v>147824383.84999999</v>
      </c>
    </row>
    <row r="28" spans="3:17" x14ac:dyDescent="0.35">
      <c r="D28" s="3" t="str">
        <f>'KPI 1'!D28</f>
        <v>ACTUAL2024/25</v>
      </c>
      <c r="E28" s="5">
        <f>SUM($E21:E21)</f>
        <v>15577990.9</v>
      </c>
      <c r="F28" s="5">
        <f>SUM($E21:F21)</f>
        <v>24494993.950000003</v>
      </c>
      <c r="G28" s="5">
        <f>SUM($E21:G21)</f>
        <v>36004361.120000005</v>
      </c>
      <c r="H28" s="5">
        <f>SUM($E21:H21)</f>
        <v>47555070.070000008</v>
      </c>
      <c r="I28" s="5">
        <f>SUM($E21:I21)</f>
        <v>62832940.070000008</v>
      </c>
      <c r="J28" s="5">
        <f>SUM($E21:J21)</f>
        <v>72514261.320000008</v>
      </c>
      <c r="K28" s="5">
        <f>SUM($E21:K21)</f>
        <v>86818351.070000008</v>
      </c>
      <c r="L28" s="5">
        <f>SUM($E21:L21)</f>
        <v>98826350.170000002</v>
      </c>
      <c r="M28" s="5">
        <f>SUM($E21:M21)</f>
        <v>109693117.67</v>
      </c>
      <c r="N28" s="5">
        <f>SUM($E21:N21)</f>
        <v>126670652.42</v>
      </c>
      <c r="O28" s="5">
        <f>SUM($E21:O21)</f>
        <v>141750832.31999999</v>
      </c>
      <c r="P28" s="5">
        <f>SUM($E21:P21)</f>
        <v>161498800.31999999</v>
      </c>
    </row>
    <row r="29" spans="3:17" x14ac:dyDescent="0.35">
      <c r="D29" s="3" t="str">
        <f>'KPI 1'!D29</f>
        <v>DIFFERENCE</v>
      </c>
      <c r="E29" s="5">
        <f>SUM($E22:E22)</f>
        <v>1362084.4641373213</v>
      </c>
      <c r="F29" s="5">
        <f>SUM($E22:F22)</f>
        <v>-286093.66385355406</v>
      </c>
      <c r="G29" s="5">
        <f>SUM($E22:G22)</f>
        <v>-625362.80358222499</v>
      </c>
      <c r="H29" s="5">
        <f>SUM($E22:H22)</f>
        <v>4332420.1178205069</v>
      </c>
      <c r="I29" s="5">
        <f>SUM($E22:I22)</f>
        <v>3904977.5309526194</v>
      </c>
      <c r="J29" s="5">
        <f>SUM($E22:J22)</f>
        <v>7199832.1830756925</v>
      </c>
      <c r="K29" s="5">
        <f>SUM($E22:K22)</f>
        <v>5397494.1683553867</v>
      </c>
      <c r="L29" s="5">
        <f>SUM($E22:L22)</f>
        <v>7074535.0225784741</v>
      </c>
      <c r="M29" s="5">
        <f>SUM($E22:M22)</f>
        <v>14690928.18537965</v>
      </c>
      <c r="N29" s="5">
        <f>SUM($E22:N22)</f>
        <v>14690928.18537965</v>
      </c>
      <c r="O29" s="5">
        <f>SUM($E22:O22)</f>
        <v>14690928.18537965</v>
      </c>
      <c r="P29" s="5">
        <f>SUM($E22:P22)</f>
        <v>14690928.18537965</v>
      </c>
    </row>
    <row r="30" spans="3:17" x14ac:dyDescent="0.35">
      <c r="D30" s="3" t="str">
        <f>'KPI 1'!D30</f>
        <v>%REALISATION</v>
      </c>
      <c r="E30" s="9">
        <f t="shared" ref="E30:P30" si="3">E27/E26</f>
        <v>1.0932185142796507</v>
      </c>
      <c r="F30" s="9">
        <f t="shared" si="3"/>
        <v>0.99023722408294068</v>
      </c>
      <c r="G30" s="9">
        <f t="shared" si="3"/>
        <v>0.98581110884340906</v>
      </c>
      <c r="H30" s="9">
        <f t="shared" si="3"/>
        <v>1.073608248474635</v>
      </c>
      <c r="I30" s="9">
        <f t="shared" si="3"/>
        <v>1.0530136283250167</v>
      </c>
      <c r="J30" s="9">
        <f t="shared" si="3"/>
        <v>1.08137509748171</v>
      </c>
      <c r="K30" s="9">
        <f t="shared" si="3"/>
        <v>1.0522347008719493</v>
      </c>
      <c r="L30" s="9">
        <f t="shared" si="3"/>
        <v>1.0598432724586193</v>
      </c>
      <c r="M30" s="9">
        <f t="shared" si="3"/>
        <v>1.1103473812201488</v>
      </c>
      <c r="N30" s="9">
        <f t="shared" si="3"/>
        <v>0.99817595786484548</v>
      </c>
      <c r="O30" s="9">
        <f t="shared" si="3"/>
        <v>0.90633431891841554</v>
      </c>
      <c r="P30" s="9">
        <f t="shared" si="3"/>
        <v>0.8297545594661061</v>
      </c>
    </row>
  </sheetData>
  <mergeCells count="2">
    <mergeCell ref="J4:Q8"/>
    <mergeCell ref="J10:Q15"/>
  </mergeCells>
  <conditionalFormatting sqref="C3">
    <cfRule type="expression" dxfId="59" priority="2">
      <formula>S4&lt;S6</formula>
    </cfRule>
  </conditionalFormatting>
  <conditionalFormatting sqref="C4">
    <cfRule type="expression" dxfId="58" priority="1">
      <formula>AND(S4&gt;=S6,S4&lt;S5)</formula>
    </cfRule>
  </conditionalFormatting>
  <conditionalFormatting sqref="C5">
    <cfRule type="expression" dxfId="57" priority="3">
      <formula>S4&gt;=S5</formula>
    </cfRule>
  </conditionalFormatting>
  <hyperlinks>
    <hyperlink ref="L1" location="Dashboard!A1" display="Dashboard" xr:uid="{00000000-0004-0000-2B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203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7.54296875" style="3" bestFit="1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Dashboard!A37</f>
        <v>15a</v>
      </c>
      <c r="C1" s="4" t="str">
        <f>Dashboard!B51</f>
        <v>Collection Efficiency-Eastern</v>
      </c>
      <c r="G1" s="3" t="s">
        <v>9</v>
      </c>
      <c r="I1" s="12">
        <f>INDEX($E$17:$P$17,Actual_month)</f>
        <v>0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INDEX(E26:P26,Actual_month)</f>
        <v>1.05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INDEX(E25:P25,Actual_month)</f>
        <v>46082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41473.800000000003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7" spans="3:17" x14ac:dyDescent="0.35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 t="s">
        <v>0</v>
      </c>
    </row>
    <row r="18" spans="3:17" x14ac:dyDescent="0.35">
      <c r="D18" s="7" t="s">
        <v>8</v>
      </c>
      <c r="E18" s="48">
        <f>'KPI 1'!E18</f>
        <v>45839</v>
      </c>
      <c r="F18" s="48">
        <f>'KPI 1'!F18</f>
        <v>45870</v>
      </c>
      <c r="G18" s="48">
        <f>'KPI 1'!G18</f>
        <v>45901</v>
      </c>
      <c r="H18" s="48">
        <f>'KPI 1'!H18</f>
        <v>45931</v>
      </c>
      <c r="I18" s="48">
        <f>'KPI 1'!I18</f>
        <v>45962</v>
      </c>
      <c r="J18" s="48">
        <f>'KPI 1'!J18</f>
        <v>45992</v>
      </c>
      <c r="K18" s="48">
        <f>'KPI 1'!K18</f>
        <v>46023</v>
      </c>
      <c r="L18" s="48">
        <f>'KPI 1'!L18</f>
        <v>46054</v>
      </c>
      <c r="M18" s="48">
        <f>'KPI 1'!M18</f>
        <v>46082</v>
      </c>
      <c r="N18" s="48">
        <f>'KPI 1'!N18</f>
        <v>46113</v>
      </c>
      <c r="O18" s="48">
        <f>'KPI 1'!O18</f>
        <v>46143</v>
      </c>
      <c r="P18" s="48">
        <f>'KPI 1'!P18</f>
        <v>46174</v>
      </c>
      <c r="Q18" s="5"/>
    </row>
    <row r="19" spans="3:17" x14ac:dyDescent="0.35">
      <c r="D19" s="3" t="str">
        <f>'KPI 1'!D19</f>
        <v>budget2025/26</v>
      </c>
      <c r="E19" s="9">
        <f>BUDGET2526!D52</f>
        <v>1.05</v>
      </c>
      <c r="F19" s="9">
        <f>BUDGET2526!E52</f>
        <v>1.05</v>
      </c>
      <c r="G19" s="9">
        <f>BUDGET2526!F52</f>
        <v>1.05</v>
      </c>
      <c r="H19" s="9">
        <f>BUDGET2526!G52</f>
        <v>1.05</v>
      </c>
      <c r="I19" s="9">
        <f>BUDGET2526!H52</f>
        <v>1.05</v>
      </c>
      <c r="J19" s="9">
        <f>BUDGET2526!I52</f>
        <v>1.05</v>
      </c>
      <c r="K19" s="9">
        <f>BUDGET2526!J52</f>
        <v>1.05</v>
      </c>
      <c r="L19" s="9">
        <f>BUDGET2526!K52</f>
        <v>1.05</v>
      </c>
      <c r="M19" s="9">
        <f>BUDGET2526!L52</f>
        <v>1.05</v>
      </c>
      <c r="N19" s="9">
        <f>BUDGET2526!M52</f>
        <v>1.05</v>
      </c>
      <c r="O19" s="9">
        <f>BUDGET2526!N52</f>
        <v>1.05</v>
      </c>
      <c r="P19" s="9">
        <f>BUDGET2526!O52</f>
        <v>1.05</v>
      </c>
      <c r="Q19" s="5"/>
    </row>
    <row r="20" spans="3:17" x14ac:dyDescent="0.35">
      <c r="D20" s="3" t="str">
        <f>'KPI 1'!D20</f>
        <v>ACTUAL2025/26</v>
      </c>
      <c r="E20" s="9">
        <f>'ACTUAL 2526'!E52</f>
        <v>0.92731333963897145</v>
      </c>
      <c r="F20" s="9">
        <f>'ACTUAL 2526'!F52</f>
        <v>0.83553280016174347</v>
      </c>
      <c r="G20" s="9">
        <f>'ACTUAL 2526'!G52</f>
        <v>0.88562426885282952</v>
      </c>
      <c r="H20" s="9">
        <f>'ACTUAL 2526'!H52</f>
        <v>0.91094058516851906</v>
      </c>
      <c r="I20" s="9">
        <f>'ACTUAL 2526'!I52</f>
        <v>0.87257338310062138</v>
      </c>
      <c r="J20" s="9">
        <f>'ACTUAL 2526'!J52</f>
        <v>0.91130649179977141</v>
      </c>
      <c r="K20" s="9">
        <f>'ACTUAL 2526'!K52</f>
        <v>1.0692017398989846</v>
      </c>
      <c r="L20" s="9">
        <f>'ACTUAL 2526'!L52</f>
        <v>0.97547505507405097</v>
      </c>
      <c r="M20" s="9">
        <f>'ACTUAL 2526'!M52</f>
        <v>0.83406317377196748</v>
      </c>
      <c r="N20" s="9">
        <f>'ACTUAL 2526'!N52</f>
        <v>0</v>
      </c>
      <c r="O20" s="9" t="e">
        <f>'ACTUAL 2526'!O52</f>
        <v>#DIV/0!</v>
      </c>
      <c r="P20" s="9" t="e">
        <f>'ACTUAL 2526'!P52</f>
        <v>#DIV/0!</v>
      </c>
      <c r="Q20" s="5"/>
    </row>
    <row r="21" spans="3:17" x14ac:dyDescent="0.35">
      <c r="D21" s="3" t="str">
        <f>'KPI 1'!D21</f>
        <v>ACTUAL2024/25</v>
      </c>
      <c r="E21" s="9">
        <f>'Actual 202425'!E52</f>
        <v>1.2635620833124468</v>
      </c>
      <c r="F21" s="9">
        <f>'Actual 202425'!F52</f>
        <v>0.90788943554982338</v>
      </c>
      <c r="G21" s="9">
        <f>'Actual 202425'!G52</f>
        <v>0.98819474166729571</v>
      </c>
      <c r="H21" s="9">
        <f>'Actual 202425'!H52</f>
        <v>0.94092491262636968</v>
      </c>
      <c r="I21" s="9">
        <f>'Actual 202425'!I52</f>
        <v>0.91776699329922484</v>
      </c>
      <c r="J21" s="9">
        <f>'Actual 202425'!J52</f>
        <v>0.82168480301363367</v>
      </c>
      <c r="K21" s="9">
        <f>'Actual 202425'!K52</f>
        <v>1.3215796563583668</v>
      </c>
      <c r="L21" s="9">
        <f>'Actual 202425'!L52</f>
        <v>0.88166213729395326</v>
      </c>
      <c r="M21" s="9">
        <f>'Actual 202425'!M52</f>
        <v>0.90640376920379273</v>
      </c>
      <c r="N21" s="9">
        <f>'Actual 202425'!N52</f>
        <v>1.032407837274496</v>
      </c>
      <c r="O21" s="9">
        <f>'Actual 202425'!O52</f>
        <v>1.2037412885757721</v>
      </c>
      <c r="P21" s="9">
        <f>'Actual 202425'!P52</f>
        <v>1.0007766867878969</v>
      </c>
    </row>
    <row r="22" spans="3:17" x14ac:dyDescent="0.35">
      <c r="D22" s="3" t="str">
        <f>'KPI 1'!D22</f>
        <v>DIFFERENCE</v>
      </c>
    </row>
    <row r="23" spans="3:17" x14ac:dyDescent="0.35">
      <c r="D23" s="3" t="str">
        <f>'KPI 1'!D23</f>
        <v>%REALISATION</v>
      </c>
    </row>
    <row r="24" spans="3:17" x14ac:dyDescent="0.35"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3:17" x14ac:dyDescent="0.35">
      <c r="C25" s="7" t="s">
        <v>4</v>
      </c>
      <c r="D25" s="3">
        <f>'KPI 1'!D25</f>
        <v>0</v>
      </c>
      <c r="E25" s="48">
        <f>'KPI 1'!E25</f>
        <v>45839</v>
      </c>
      <c r="F25" s="48">
        <f>'KPI 1'!F25</f>
        <v>45870</v>
      </c>
      <c r="G25" s="48">
        <f>'KPI 1'!G25</f>
        <v>45901</v>
      </c>
      <c r="H25" s="48">
        <f>'KPI 1'!H25</f>
        <v>45931</v>
      </c>
      <c r="I25" s="48">
        <f>'KPI 1'!I25</f>
        <v>45962</v>
      </c>
      <c r="J25" s="48">
        <f>'KPI 1'!J25</f>
        <v>45992</v>
      </c>
      <c r="K25" s="48">
        <f>'KPI 1'!K25</f>
        <v>46023</v>
      </c>
      <c r="L25" s="48">
        <f>'KPI 1'!L25</f>
        <v>46054</v>
      </c>
      <c r="M25" s="48">
        <f>'KPI 1'!M25</f>
        <v>46082</v>
      </c>
      <c r="N25" s="48">
        <f>'KPI 1'!N25</f>
        <v>46113</v>
      </c>
      <c r="O25" s="48">
        <f>'KPI 1'!O25</f>
        <v>46143</v>
      </c>
      <c r="P25" s="48">
        <f>'KPI 1'!P25</f>
        <v>46174</v>
      </c>
    </row>
    <row r="26" spans="3:17" x14ac:dyDescent="0.35">
      <c r="D26" s="3" t="str">
        <f>'KPI 1'!D26</f>
        <v>budget2025/26</v>
      </c>
      <c r="E26" s="9">
        <f>AVERAGE(E19:E19)</f>
        <v>1.05</v>
      </c>
      <c r="F26" s="9">
        <f t="shared" ref="F26:P26" si="0">AVERAGE(F19:F19)</f>
        <v>1.05</v>
      </c>
      <c r="G26" s="9">
        <f t="shared" si="0"/>
        <v>1.05</v>
      </c>
      <c r="H26" s="9">
        <f t="shared" si="0"/>
        <v>1.05</v>
      </c>
      <c r="I26" s="9">
        <f t="shared" si="0"/>
        <v>1.05</v>
      </c>
      <c r="J26" s="9">
        <f t="shared" si="0"/>
        <v>1.05</v>
      </c>
      <c r="K26" s="9">
        <f t="shared" si="0"/>
        <v>1.05</v>
      </c>
      <c r="L26" s="9">
        <f t="shared" si="0"/>
        <v>1.05</v>
      </c>
      <c r="M26" s="9">
        <f t="shared" si="0"/>
        <v>1.05</v>
      </c>
      <c r="N26" s="9">
        <f t="shared" si="0"/>
        <v>1.05</v>
      </c>
      <c r="O26" s="9">
        <f t="shared" si="0"/>
        <v>1.05</v>
      </c>
      <c r="P26" s="9">
        <f t="shared" si="0"/>
        <v>1.05</v>
      </c>
    </row>
    <row r="27" spans="3:17" x14ac:dyDescent="0.35">
      <c r="D27" s="3" t="str">
        <f>'KPI 1'!D27</f>
        <v>ACTUAL2025/26</v>
      </c>
      <c r="E27" s="9">
        <f>AVERAGE($E20:E20)</f>
        <v>0.92731333963897145</v>
      </c>
      <c r="F27" s="9">
        <f>AVERAGE($E20:F20)</f>
        <v>0.88142306990035746</v>
      </c>
      <c r="G27" s="9">
        <f>AVERAGE($E20:G20)</f>
        <v>0.88282346955118152</v>
      </c>
      <c r="H27" s="9">
        <f>AVERAGE($E20:H20)</f>
        <v>0.88985274845551587</v>
      </c>
      <c r="I27" s="9">
        <f>AVERAGE($E20:I20)</f>
        <v>0.88639687538453704</v>
      </c>
      <c r="J27" s="9">
        <f>AVERAGE($E20:J20)</f>
        <v>0.89054847812040938</v>
      </c>
      <c r="K27" s="9">
        <f>AVERAGE($E20:K20)</f>
        <v>0.91607037266020586</v>
      </c>
      <c r="L27" s="9">
        <f>AVERAGE($E20:L20)</f>
        <v>0.9234959579619364</v>
      </c>
      <c r="M27" s="9">
        <f>AVERAGE($E20:M20)</f>
        <v>0.91355898194082874</v>
      </c>
      <c r="N27" s="9">
        <f>AVERAGE($E20:N20)</f>
        <v>0.82220308374674589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>'KPI 1'!D28</f>
        <v>ACTUAL2024/25</v>
      </c>
      <c r="E28" s="9">
        <f t="shared" ref="E28:P28" si="1">E26/E25</f>
        <v>2.2906258862540633E-5</v>
      </c>
      <c r="F28" s="9">
        <f t="shared" si="1"/>
        <v>2.2890778286461739E-5</v>
      </c>
      <c r="G28" s="9">
        <f t="shared" si="1"/>
        <v>2.2875318620509358E-5</v>
      </c>
      <c r="H28" s="9">
        <f t="shared" si="1"/>
        <v>2.2860377522805949E-5</v>
      </c>
      <c r="I28" s="9">
        <f t="shared" si="1"/>
        <v>2.2844958879074019E-5</v>
      </c>
      <c r="J28" s="9">
        <f t="shared" si="1"/>
        <v>2.2830057401287181E-5</v>
      </c>
      <c r="K28" s="9">
        <f t="shared" si="1"/>
        <v>2.2814679616713382E-5</v>
      </c>
      <c r="L28" s="9">
        <f t="shared" si="1"/>
        <v>2.279932253441612E-5</v>
      </c>
      <c r="M28" s="9">
        <f t="shared" si="1"/>
        <v>2.2785469380669243E-5</v>
      </c>
      <c r="N28" s="9">
        <f t="shared" si="1"/>
        <v>2.2770151584151976E-5</v>
      </c>
      <c r="O28" s="9">
        <f t="shared" si="1"/>
        <v>2.2755347506664068E-5</v>
      </c>
      <c r="P28" s="9">
        <f t="shared" si="1"/>
        <v>2.274007016935938E-5</v>
      </c>
    </row>
    <row r="29" spans="3:17" x14ac:dyDescent="0.35">
      <c r="D29" s="3" t="str">
        <f>'KPI 1'!D29</f>
        <v>DIFFERENCE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3:17" x14ac:dyDescent="0.35">
      <c r="D30" s="3" t="str">
        <f>'KPI 1'!D30</f>
        <v>%REALISATION</v>
      </c>
    </row>
  </sheetData>
  <mergeCells count="2">
    <mergeCell ref="J4:Q8"/>
    <mergeCell ref="J10:Q15"/>
  </mergeCells>
  <conditionalFormatting sqref="C3">
    <cfRule type="expression" dxfId="56" priority="2">
      <formula>S4&lt;S6</formula>
    </cfRule>
  </conditionalFormatting>
  <conditionalFormatting sqref="C4">
    <cfRule type="expression" dxfId="55" priority="1">
      <formula>AND(S4&gt;=S6,S4&lt;S5)</formula>
    </cfRule>
  </conditionalFormatting>
  <conditionalFormatting sqref="C5">
    <cfRule type="expression" dxfId="54" priority="3">
      <formula>S4&gt;=S5</formula>
    </cfRule>
  </conditionalFormatting>
  <hyperlinks>
    <hyperlink ref="L1" location="Dashboard!A1" display="Dashboard" xr:uid="{00000000-0004-0000-2C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564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7.54296875" style="3" bestFit="1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Dashboard!A37</f>
        <v>15a</v>
      </c>
      <c r="C1" s="4" t="str">
        <f>Dashboard!B44</f>
        <v>Collection Efficiency-Southern</v>
      </c>
      <c r="G1" s="3" t="s">
        <v>9</v>
      </c>
      <c r="I1" s="12">
        <f>INDEX($E$17:$P$17,Actual_month)</f>
        <v>0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INDEX(E26:P26,Actual_month)</f>
        <v>1.05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INDEX(E25:P25,Actual_month)</f>
        <v>46082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41473.800000000003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7" spans="3:17" x14ac:dyDescent="0.35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 t="s">
        <v>0</v>
      </c>
    </row>
    <row r="18" spans="3:17" x14ac:dyDescent="0.35">
      <c r="D18" s="7" t="s">
        <v>8</v>
      </c>
      <c r="E18" s="48">
        <f>'KPI 1'!E18</f>
        <v>45839</v>
      </c>
      <c r="F18" s="48">
        <f>'KPI 1'!F18</f>
        <v>45870</v>
      </c>
      <c r="G18" s="48">
        <f>'KPI 1'!G18</f>
        <v>45901</v>
      </c>
      <c r="H18" s="48">
        <f>'KPI 1'!H18</f>
        <v>45931</v>
      </c>
      <c r="I18" s="48">
        <f>'KPI 1'!I18</f>
        <v>45962</v>
      </c>
      <c r="J18" s="48">
        <f>'KPI 1'!J18</f>
        <v>45992</v>
      </c>
      <c r="K18" s="48">
        <f>'KPI 1'!K18</f>
        <v>46023</v>
      </c>
      <c r="L18" s="48">
        <f>'KPI 1'!L18</f>
        <v>46054</v>
      </c>
      <c r="M18" s="48">
        <f>'KPI 1'!M18</f>
        <v>46082</v>
      </c>
      <c r="N18" s="48">
        <f>'KPI 1'!N18</f>
        <v>46113</v>
      </c>
      <c r="O18" s="48">
        <f>'KPI 1'!O18</f>
        <v>46143</v>
      </c>
      <c r="P18" s="48">
        <f>'KPI 1'!P18</f>
        <v>46174</v>
      </c>
      <c r="Q18" s="5"/>
    </row>
    <row r="19" spans="3:17" x14ac:dyDescent="0.35">
      <c r="D19" s="3" t="str">
        <f>'KPI 1'!D19</f>
        <v>budget2025/26</v>
      </c>
      <c r="E19" s="9">
        <f>BUDGET2526!D45</f>
        <v>1.05</v>
      </c>
      <c r="F19" s="9">
        <f>BUDGET2526!E45</f>
        <v>1.05</v>
      </c>
      <c r="G19" s="9">
        <f>BUDGET2526!F45</f>
        <v>1.05</v>
      </c>
      <c r="H19" s="9">
        <f>BUDGET2526!G45</f>
        <v>1.05</v>
      </c>
      <c r="I19" s="9">
        <f>BUDGET2526!H45</f>
        <v>1.05</v>
      </c>
      <c r="J19" s="9">
        <f>BUDGET2526!I45</f>
        <v>1.05</v>
      </c>
      <c r="K19" s="9">
        <f>BUDGET2526!J45</f>
        <v>1.05</v>
      </c>
      <c r="L19" s="9">
        <f>BUDGET2526!K45</f>
        <v>1.05</v>
      </c>
      <c r="M19" s="9">
        <f>BUDGET2526!L45</f>
        <v>1.05</v>
      </c>
      <c r="N19" s="9">
        <f>BUDGET2526!M45</f>
        <v>1.05</v>
      </c>
      <c r="O19" s="9">
        <f>BUDGET2526!N45</f>
        <v>1.05</v>
      </c>
      <c r="P19" s="9">
        <f>BUDGET2526!O45</f>
        <v>1.05</v>
      </c>
      <c r="Q19" s="5"/>
    </row>
    <row r="20" spans="3:17" x14ac:dyDescent="0.35">
      <c r="D20" s="3" t="str">
        <f>'KPI 1'!D20</f>
        <v>ACTUAL2025/26</v>
      </c>
      <c r="E20" s="9">
        <f>'ACTUAL 2526'!E45</f>
        <v>0.85046870036673905</v>
      </c>
      <c r="F20" s="9">
        <f>'ACTUAL 2526'!F45</f>
        <v>0.9010433090523875</v>
      </c>
      <c r="G20" s="9">
        <f>'ACTUAL 2526'!G45</f>
        <v>0.63550876394305433</v>
      </c>
      <c r="H20" s="9">
        <f>'ACTUAL 2526'!H45</f>
        <v>1.2103772783621525</v>
      </c>
      <c r="I20" s="9">
        <f>'ACTUAL 2526'!I45</f>
        <v>0.5978533737538948</v>
      </c>
      <c r="J20" s="9">
        <f>'ACTUAL 2526'!J45</f>
        <v>1.1117857950014507</v>
      </c>
      <c r="K20" s="9">
        <f>'ACTUAL 2526'!K45</f>
        <v>1.3457752965339207</v>
      </c>
      <c r="L20" s="9">
        <f>'ACTUAL 2526'!L45</f>
        <v>0.77822245311012184</v>
      </c>
      <c r="M20" s="9">
        <f>'ACTUAL 2526'!M45</f>
        <v>0.74787416705433074</v>
      </c>
      <c r="N20" s="9">
        <f>'ACTUAL 2526'!N45</f>
        <v>0</v>
      </c>
      <c r="O20" s="9" t="e">
        <f>'ACTUAL 2526'!O45</f>
        <v>#DIV/0!</v>
      </c>
      <c r="P20" s="9" t="e">
        <f>'ACTUAL 2526'!P45</f>
        <v>#DIV/0!</v>
      </c>
      <c r="Q20" s="5"/>
    </row>
    <row r="21" spans="3:17" x14ac:dyDescent="0.35">
      <c r="D21" s="3" t="str">
        <f>'KPI 1'!D21</f>
        <v>ACTUAL2024/25</v>
      </c>
      <c r="E21" s="9">
        <f>'Actual 202425'!E45</f>
        <v>1.3874895268685736</v>
      </c>
      <c r="F21" s="9">
        <f>'Actual 202425'!F45</f>
        <v>0.98338109911052052</v>
      </c>
      <c r="G21" s="9">
        <f>'Actual 202425'!G45</f>
        <v>0.92104896499677036</v>
      </c>
      <c r="H21" s="9">
        <f>'Actual 202425'!H45</f>
        <v>0.91796628736875696</v>
      </c>
      <c r="I21" s="9">
        <f>'Actual 202425'!I45</f>
        <v>0.8326349590707276</v>
      </c>
      <c r="J21" s="9">
        <f>'Actual 202425'!J45</f>
        <v>0.63314203031489913</v>
      </c>
      <c r="K21" s="9">
        <f>'Actual 202425'!K45</f>
        <v>1.5103287894820563</v>
      </c>
      <c r="L21" s="9">
        <f>'Actual 202425'!L45</f>
        <v>0.84465704343185621</v>
      </c>
      <c r="M21" s="9">
        <f>'Actual 202425'!M45</f>
        <v>0.85777803547528275</v>
      </c>
      <c r="N21" s="9">
        <f>'Actual 202425'!N45</f>
        <v>0.84017236847012511</v>
      </c>
      <c r="O21" s="9">
        <f>'Actual 202425'!O45</f>
        <v>1.1997510101976292</v>
      </c>
      <c r="P21" s="9">
        <f>'Actual 202425'!P45</f>
        <v>0.92929663458709766</v>
      </c>
    </row>
    <row r="22" spans="3:17" x14ac:dyDescent="0.35">
      <c r="D22" s="3" t="str">
        <f>'KPI 1'!D22</f>
        <v>DIFFERENCE</v>
      </c>
    </row>
    <row r="23" spans="3:17" x14ac:dyDescent="0.35">
      <c r="D23" s="3" t="str">
        <f>'KPI 1'!D23</f>
        <v>%REALISATION</v>
      </c>
    </row>
    <row r="24" spans="3:17" x14ac:dyDescent="0.35"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3:17" x14ac:dyDescent="0.35">
      <c r="C25" s="7" t="s">
        <v>4</v>
      </c>
      <c r="D25" s="3">
        <f>'KPI 1'!D25</f>
        <v>0</v>
      </c>
      <c r="E25" s="48">
        <f>'KPI 1'!E25</f>
        <v>45839</v>
      </c>
      <c r="F25" s="48">
        <f>'KPI 1'!F25</f>
        <v>45870</v>
      </c>
      <c r="G25" s="48">
        <f>'KPI 1'!G25</f>
        <v>45901</v>
      </c>
      <c r="H25" s="48">
        <f>'KPI 1'!H25</f>
        <v>45931</v>
      </c>
      <c r="I25" s="48">
        <f>'KPI 1'!I25</f>
        <v>45962</v>
      </c>
      <c r="J25" s="48">
        <f>'KPI 1'!J25</f>
        <v>45992</v>
      </c>
      <c r="K25" s="48">
        <f>'KPI 1'!K25</f>
        <v>46023</v>
      </c>
      <c r="L25" s="48">
        <f>'KPI 1'!L25</f>
        <v>46054</v>
      </c>
      <c r="M25" s="48">
        <f>'KPI 1'!M25</f>
        <v>46082</v>
      </c>
      <c r="N25" s="48">
        <f>'KPI 1'!N25</f>
        <v>46113</v>
      </c>
      <c r="O25" s="48">
        <f>'KPI 1'!O25</f>
        <v>46143</v>
      </c>
      <c r="P25" s="48">
        <f>'KPI 1'!P25</f>
        <v>46174</v>
      </c>
    </row>
    <row r="26" spans="3:17" x14ac:dyDescent="0.35">
      <c r="D26" s="3" t="str">
        <f>'KPI 1'!D26</f>
        <v>budget2025/26</v>
      </c>
      <c r="E26" s="9">
        <f>AVERAGE(E19:E19)</f>
        <v>1.05</v>
      </c>
      <c r="F26" s="9">
        <f t="shared" ref="F26:P26" si="0">AVERAGE(F19:F19)</f>
        <v>1.05</v>
      </c>
      <c r="G26" s="9">
        <f t="shared" si="0"/>
        <v>1.05</v>
      </c>
      <c r="H26" s="9">
        <f t="shared" si="0"/>
        <v>1.05</v>
      </c>
      <c r="I26" s="9">
        <f t="shared" si="0"/>
        <v>1.05</v>
      </c>
      <c r="J26" s="9">
        <f t="shared" si="0"/>
        <v>1.05</v>
      </c>
      <c r="K26" s="9">
        <f t="shared" si="0"/>
        <v>1.05</v>
      </c>
      <c r="L26" s="9">
        <f t="shared" si="0"/>
        <v>1.05</v>
      </c>
      <c r="M26" s="9">
        <f t="shared" si="0"/>
        <v>1.05</v>
      </c>
      <c r="N26" s="9">
        <f t="shared" si="0"/>
        <v>1.05</v>
      </c>
      <c r="O26" s="9">
        <f t="shared" si="0"/>
        <v>1.05</v>
      </c>
      <c r="P26" s="9">
        <f t="shared" si="0"/>
        <v>1.05</v>
      </c>
    </row>
    <row r="27" spans="3:17" x14ac:dyDescent="0.35">
      <c r="D27" s="3" t="str">
        <f>'KPI 1'!D27</f>
        <v>ACTUAL2025/26</v>
      </c>
      <c r="E27" s="9">
        <f>AVERAGE($E20:E20)</f>
        <v>0.85046870036673905</v>
      </c>
      <c r="F27" s="9">
        <f>AVERAGE($E20:F20)</f>
        <v>0.87575600470956327</v>
      </c>
      <c r="G27" s="9">
        <f>AVERAGE($E20:G20)</f>
        <v>0.795673591120727</v>
      </c>
      <c r="H27" s="9">
        <f>AVERAGE($E20:H20)</f>
        <v>0.89934951293108334</v>
      </c>
      <c r="I27" s="9">
        <f>AVERAGE($E20:I20)</f>
        <v>0.83905028509564572</v>
      </c>
      <c r="J27" s="9">
        <f>AVERAGE($E20:J20)</f>
        <v>0.8845062034132799</v>
      </c>
      <c r="K27" s="9">
        <f>AVERAGE($E20:K20)</f>
        <v>0.95040178814480003</v>
      </c>
      <c r="L27" s="9">
        <f>AVERAGE($E20:L20)</f>
        <v>0.92887937126546527</v>
      </c>
      <c r="M27" s="9">
        <f>AVERAGE($E20:M20)</f>
        <v>0.90876768190867252</v>
      </c>
      <c r="N27" s="9">
        <f>AVERAGE($E20:N20)</f>
        <v>0.81789091371780531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>'KPI 1'!D28</f>
        <v>ACTUAL2024/25</v>
      </c>
      <c r="E28" s="9">
        <f t="shared" ref="E28:P28" si="1">E26/E25</f>
        <v>2.2906258862540633E-5</v>
      </c>
      <c r="F28" s="9">
        <f t="shared" si="1"/>
        <v>2.2890778286461739E-5</v>
      </c>
      <c r="G28" s="9">
        <f t="shared" si="1"/>
        <v>2.2875318620509358E-5</v>
      </c>
      <c r="H28" s="9">
        <f t="shared" si="1"/>
        <v>2.2860377522805949E-5</v>
      </c>
      <c r="I28" s="9">
        <f t="shared" si="1"/>
        <v>2.2844958879074019E-5</v>
      </c>
      <c r="J28" s="9">
        <f t="shared" si="1"/>
        <v>2.2830057401287181E-5</v>
      </c>
      <c r="K28" s="9">
        <f t="shared" si="1"/>
        <v>2.2814679616713382E-5</v>
      </c>
      <c r="L28" s="9">
        <f t="shared" si="1"/>
        <v>2.279932253441612E-5</v>
      </c>
      <c r="M28" s="9">
        <f t="shared" si="1"/>
        <v>2.2785469380669243E-5</v>
      </c>
      <c r="N28" s="9">
        <f t="shared" si="1"/>
        <v>2.2770151584151976E-5</v>
      </c>
      <c r="O28" s="9">
        <f t="shared" si="1"/>
        <v>2.2755347506664068E-5</v>
      </c>
      <c r="P28" s="9">
        <f t="shared" si="1"/>
        <v>2.274007016935938E-5</v>
      </c>
    </row>
    <row r="29" spans="3:17" x14ac:dyDescent="0.35">
      <c r="D29" s="3" t="str">
        <f>'KPI 1'!D29</f>
        <v>DIFFERENCE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3:17" x14ac:dyDescent="0.35">
      <c r="D30" s="3" t="str">
        <f>'KPI 1'!D30</f>
        <v>%REALISATION</v>
      </c>
    </row>
  </sheetData>
  <mergeCells count="2">
    <mergeCell ref="J4:Q8"/>
    <mergeCell ref="J10:Q15"/>
  </mergeCells>
  <conditionalFormatting sqref="C3">
    <cfRule type="expression" dxfId="53" priority="2">
      <formula>S4&lt;S6</formula>
    </cfRule>
  </conditionalFormatting>
  <conditionalFormatting sqref="C4">
    <cfRule type="expression" dxfId="52" priority="1">
      <formula>AND(S4&gt;=S6,S4&lt;S5)</formula>
    </cfRule>
  </conditionalFormatting>
  <conditionalFormatting sqref="C5">
    <cfRule type="expression" dxfId="51" priority="3">
      <formula>S4&gt;=S5</formula>
    </cfRule>
  </conditionalFormatting>
  <hyperlinks>
    <hyperlink ref="L1" location="Dashboard!A1" display="Dashboard" xr:uid="{00000000-0004-0000-2D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366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7.54296875" style="3" bestFit="1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Dashboard!A37</f>
        <v>15a</v>
      </c>
      <c r="C1" s="4" t="str">
        <f>Dashboard!B37</f>
        <v>Collection Efficiency-Central</v>
      </c>
      <c r="G1" s="3" t="s">
        <v>9</v>
      </c>
      <c r="I1" s="12">
        <f>INDEX($E$17:$P$17,Actual_month)</f>
        <v>0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INDEX(E26:P26,Actual_month)</f>
        <v>1.05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INDEX(E25:P25,Actual_month)</f>
        <v>46082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41473.800000000003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7" spans="3:17" x14ac:dyDescent="0.35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 t="s">
        <v>0</v>
      </c>
    </row>
    <row r="18" spans="3:17" x14ac:dyDescent="0.35">
      <c r="D18" s="7" t="s">
        <v>8</v>
      </c>
      <c r="E18" s="48">
        <f>'KPI 1'!E18</f>
        <v>45839</v>
      </c>
      <c r="F18" s="48">
        <f>'KPI 1'!F18</f>
        <v>45870</v>
      </c>
      <c r="G18" s="48">
        <f>'KPI 1'!G18</f>
        <v>45901</v>
      </c>
      <c r="H18" s="48">
        <f>'KPI 1'!H18</f>
        <v>45931</v>
      </c>
      <c r="I18" s="48">
        <f>'KPI 1'!I18</f>
        <v>45962</v>
      </c>
      <c r="J18" s="48">
        <f>'KPI 1'!J18</f>
        <v>45992</v>
      </c>
      <c r="K18" s="48">
        <f>'KPI 1'!K18</f>
        <v>46023</v>
      </c>
      <c r="L18" s="48">
        <f>'KPI 1'!L18</f>
        <v>46054</v>
      </c>
      <c r="M18" s="48">
        <f>'KPI 1'!M18</f>
        <v>46082</v>
      </c>
      <c r="N18" s="48">
        <f>'KPI 1'!N18</f>
        <v>46113</v>
      </c>
      <c r="O18" s="48">
        <f>'KPI 1'!O18</f>
        <v>46143</v>
      </c>
      <c r="P18" s="48">
        <f>'KPI 1'!P18</f>
        <v>46174</v>
      </c>
      <c r="Q18" s="5"/>
    </row>
    <row r="19" spans="3:17" x14ac:dyDescent="0.35">
      <c r="D19" s="3" t="str">
        <f>'KPI 1'!D19</f>
        <v>budget2025/26</v>
      </c>
      <c r="E19" s="9">
        <f>BUDGET2526!D38</f>
        <v>1.05</v>
      </c>
      <c r="F19" s="9">
        <f>BUDGET2526!E38</f>
        <v>1.05</v>
      </c>
      <c r="G19" s="9">
        <f>BUDGET2526!F38</f>
        <v>1.05</v>
      </c>
      <c r="H19" s="9">
        <f>BUDGET2526!G38</f>
        <v>1.05</v>
      </c>
      <c r="I19" s="9">
        <f>BUDGET2526!H38</f>
        <v>1.05</v>
      </c>
      <c r="J19" s="9">
        <f>BUDGET2526!I38</f>
        <v>1.05</v>
      </c>
      <c r="K19" s="9">
        <f>BUDGET2526!J38</f>
        <v>1.05</v>
      </c>
      <c r="L19" s="9">
        <f>BUDGET2526!K38</f>
        <v>1.05</v>
      </c>
      <c r="M19" s="9">
        <f>BUDGET2526!L38</f>
        <v>1.05</v>
      </c>
      <c r="N19" s="9">
        <f>BUDGET2526!M38</f>
        <v>1.05</v>
      </c>
      <c r="O19" s="9">
        <f>BUDGET2526!N38</f>
        <v>1.05</v>
      </c>
      <c r="P19" s="9">
        <f>BUDGET2526!O38</f>
        <v>1.05</v>
      </c>
      <c r="Q19" s="5"/>
    </row>
    <row r="20" spans="3:17" x14ac:dyDescent="0.35">
      <c r="D20" s="3" t="str">
        <f>'KPI 1'!D20</f>
        <v>ACTUAL2025/26</v>
      </c>
      <c r="E20" s="9">
        <f>'ACTUAL 2526'!E38</f>
        <v>0.8772718726527986</v>
      </c>
      <c r="F20" s="9">
        <f>'ACTUAL 2526'!F38</f>
        <v>0.83385878494365073</v>
      </c>
      <c r="G20" s="9">
        <f>'ACTUAL 2526'!G38</f>
        <v>0.81556393263425586</v>
      </c>
      <c r="H20" s="9">
        <f>'ACTUAL 2526'!H38</f>
        <v>1.1847303994745328</v>
      </c>
      <c r="I20" s="9">
        <f>'ACTUAL 2526'!I38</f>
        <v>0.8079733307425061</v>
      </c>
      <c r="J20" s="9">
        <f>'ACTUAL 2526'!J38</f>
        <v>1.1881321645092384</v>
      </c>
      <c r="K20" s="9">
        <f>'ACTUAL 2526'!K38</f>
        <v>0.96483394469223616</v>
      </c>
      <c r="L20" s="9">
        <f>'ACTUAL 2526'!L38</f>
        <v>0.75812091654156755</v>
      </c>
      <c r="M20" s="9">
        <f>'ACTUAL 2526'!M38</f>
        <v>1.2996422111530128</v>
      </c>
      <c r="N20" s="9">
        <f>'ACTUAL 2526'!N38</f>
        <v>0</v>
      </c>
      <c r="O20" s="9" t="e">
        <f>'ACTUAL 2526'!O38</f>
        <v>#DIV/0!</v>
      </c>
      <c r="P20" s="9" t="e">
        <f>'ACTUAL 2526'!P38</f>
        <v>#DIV/0!</v>
      </c>
      <c r="Q20" s="5"/>
    </row>
    <row r="21" spans="3:17" x14ac:dyDescent="0.35">
      <c r="D21" s="3" t="str">
        <f>'KPI 1'!D21</f>
        <v>ACTUAL2024/25</v>
      </c>
      <c r="E21" s="9">
        <f>'Actual 202425'!E38</f>
        <v>1.2607233697930083</v>
      </c>
      <c r="F21" s="9">
        <f>'Actual 202425'!F38</f>
        <v>0.8337639725427789</v>
      </c>
      <c r="G21" s="9">
        <f>'Actual 202425'!G38</f>
        <v>0.84968064665418941</v>
      </c>
      <c r="H21" s="9">
        <f>'Actual 202425'!H38</f>
        <v>1.0112813106910752</v>
      </c>
      <c r="I21" s="9">
        <f>'Actual 202425'!I38</f>
        <v>1.3006844733628655</v>
      </c>
      <c r="J21" s="9">
        <f>'Actual 202425'!J38</f>
        <v>0.80833017935550977</v>
      </c>
      <c r="K21" s="9">
        <f>'Actual 202425'!K38</f>
        <v>1.6029566464134037</v>
      </c>
      <c r="L21" s="9">
        <f>'Actual 202425'!L38</f>
        <v>0.82258194063822732</v>
      </c>
      <c r="M21" s="9">
        <f>'Actual 202425'!M38</f>
        <v>0.87566976380532857</v>
      </c>
      <c r="N21" s="9">
        <f>'Actual 202425'!N38</f>
        <v>1.2702673585401574</v>
      </c>
      <c r="O21" s="9">
        <f>'Actual 202425'!O38</f>
        <v>0.94563058353552631</v>
      </c>
      <c r="P21" s="9">
        <f>'Actual 202425'!P38</f>
        <v>1.1121254363288853</v>
      </c>
    </row>
    <row r="22" spans="3:17" x14ac:dyDescent="0.35">
      <c r="D22" s="3" t="str">
        <f>'KPI 1'!D22</f>
        <v>DIFFERENCE</v>
      </c>
    </row>
    <row r="23" spans="3:17" x14ac:dyDescent="0.35">
      <c r="D23" s="3" t="str">
        <f>'KPI 1'!D23</f>
        <v>%REALISATION</v>
      </c>
    </row>
    <row r="24" spans="3:17" x14ac:dyDescent="0.35"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3:17" x14ac:dyDescent="0.35">
      <c r="C25" s="7" t="s">
        <v>4</v>
      </c>
      <c r="D25" s="3">
        <f>'KPI 1'!D25</f>
        <v>0</v>
      </c>
      <c r="E25" s="48">
        <f>'KPI 1'!E25</f>
        <v>45839</v>
      </c>
      <c r="F25" s="48">
        <f>'KPI 1'!F25</f>
        <v>45870</v>
      </c>
      <c r="G25" s="48">
        <f>'KPI 1'!G25</f>
        <v>45901</v>
      </c>
      <c r="H25" s="48">
        <f>'KPI 1'!H25</f>
        <v>45931</v>
      </c>
      <c r="I25" s="48">
        <f>'KPI 1'!I25</f>
        <v>45962</v>
      </c>
      <c r="J25" s="48">
        <f>'KPI 1'!J25</f>
        <v>45992</v>
      </c>
      <c r="K25" s="48">
        <f>'KPI 1'!K25</f>
        <v>46023</v>
      </c>
      <c r="L25" s="48">
        <f>'KPI 1'!L25</f>
        <v>46054</v>
      </c>
      <c r="M25" s="48">
        <f>'KPI 1'!M25</f>
        <v>46082</v>
      </c>
      <c r="N25" s="48">
        <f>'KPI 1'!N25</f>
        <v>46113</v>
      </c>
      <c r="O25" s="48">
        <f>'KPI 1'!O25</f>
        <v>46143</v>
      </c>
      <c r="P25" s="48">
        <f>'KPI 1'!P25</f>
        <v>46174</v>
      </c>
    </row>
    <row r="26" spans="3:17" x14ac:dyDescent="0.35">
      <c r="D26" s="3" t="str">
        <f>'KPI 1'!D26</f>
        <v>budget2025/26</v>
      </c>
      <c r="E26" s="9">
        <f>AVERAGE(E19:E19)</f>
        <v>1.05</v>
      </c>
      <c r="F26" s="9">
        <f t="shared" ref="F26:P26" si="0">AVERAGE(F19:F19)</f>
        <v>1.05</v>
      </c>
      <c r="G26" s="9">
        <f t="shared" si="0"/>
        <v>1.05</v>
      </c>
      <c r="H26" s="9">
        <f t="shared" si="0"/>
        <v>1.05</v>
      </c>
      <c r="I26" s="9">
        <f t="shared" si="0"/>
        <v>1.05</v>
      </c>
      <c r="J26" s="9">
        <f t="shared" si="0"/>
        <v>1.05</v>
      </c>
      <c r="K26" s="9">
        <f t="shared" si="0"/>
        <v>1.05</v>
      </c>
      <c r="L26" s="9">
        <f t="shared" si="0"/>
        <v>1.05</v>
      </c>
      <c r="M26" s="9">
        <f t="shared" si="0"/>
        <v>1.05</v>
      </c>
      <c r="N26" s="9">
        <f t="shared" si="0"/>
        <v>1.05</v>
      </c>
      <c r="O26" s="9">
        <f t="shared" si="0"/>
        <v>1.05</v>
      </c>
      <c r="P26" s="9">
        <f t="shared" si="0"/>
        <v>1.05</v>
      </c>
    </row>
    <row r="27" spans="3:17" x14ac:dyDescent="0.35">
      <c r="D27" s="3" t="str">
        <f>'KPI 1'!D27</f>
        <v>ACTUAL2025/26</v>
      </c>
      <c r="E27" s="9">
        <f>AVERAGE($E20:E20)</f>
        <v>0.8772718726527986</v>
      </c>
      <c r="F27" s="9">
        <f>AVERAGE($E20:F20)</f>
        <v>0.85556532879822467</v>
      </c>
      <c r="G27" s="9">
        <f>AVERAGE($E20:G20)</f>
        <v>0.84223153007690177</v>
      </c>
      <c r="H27" s="9">
        <f>AVERAGE($E20:H20)</f>
        <v>0.92785624742630946</v>
      </c>
      <c r="I27" s="9">
        <f>AVERAGE($E20:I20)</f>
        <v>0.90387966408954878</v>
      </c>
      <c r="J27" s="9">
        <f>AVERAGE($E20:J20)</f>
        <v>0.95125508082616372</v>
      </c>
      <c r="K27" s="9">
        <f>AVERAGE($E20:K20)</f>
        <v>0.95319491852131688</v>
      </c>
      <c r="L27" s="9">
        <f>AVERAGE($E20:L20)</f>
        <v>0.92881066827384828</v>
      </c>
      <c r="M27" s="9">
        <f>AVERAGE($E20:M20)</f>
        <v>0.97001417303819992</v>
      </c>
      <c r="N27" s="9">
        <f>AVERAGE($E20:N20)</f>
        <v>0.87301275573437986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>'KPI 1'!D28</f>
        <v>ACTUAL2024/25</v>
      </c>
      <c r="E28" s="9">
        <f t="shared" ref="E28:P28" si="1">E26/E25</f>
        <v>2.2906258862540633E-5</v>
      </c>
      <c r="F28" s="9">
        <f t="shared" si="1"/>
        <v>2.2890778286461739E-5</v>
      </c>
      <c r="G28" s="9">
        <f t="shared" si="1"/>
        <v>2.2875318620509358E-5</v>
      </c>
      <c r="H28" s="9">
        <f t="shared" si="1"/>
        <v>2.2860377522805949E-5</v>
      </c>
      <c r="I28" s="9">
        <f t="shared" si="1"/>
        <v>2.2844958879074019E-5</v>
      </c>
      <c r="J28" s="9">
        <f t="shared" si="1"/>
        <v>2.2830057401287181E-5</v>
      </c>
      <c r="K28" s="9">
        <f t="shared" si="1"/>
        <v>2.2814679616713382E-5</v>
      </c>
      <c r="L28" s="9">
        <f t="shared" si="1"/>
        <v>2.279932253441612E-5</v>
      </c>
      <c r="M28" s="9">
        <f t="shared" si="1"/>
        <v>2.2785469380669243E-5</v>
      </c>
      <c r="N28" s="9">
        <f t="shared" si="1"/>
        <v>2.2770151584151976E-5</v>
      </c>
      <c r="O28" s="9">
        <f t="shared" si="1"/>
        <v>2.2755347506664068E-5</v>
      </c>
      <c r="P28" s="9">
        <f t="shared" si="1"/>
        <v>2.274007016935938E-5</v>
      </c>
    </row>
    <row r="29" spans="3:17" x14ac:dyDescent="0.35">
      <c r="D29" s="3" t="str">
        <f>'KPI 1'!D29</f>
        <v>DIFFERENCE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3:17" x14ac:dyDescent="0.35">
      <c r="D30" s="3" t="str">
        <f>'KPI 1'!D30</f>
        <v>%REALISATION</v>
      </c>
    </row>
  </sheetData>
  <mergeCells count="2">
    <mergeCell ref="J4:Q8"/>
    <mergeCell ref="J10:Q15"/>
  </mergeCells>
  <conditionalFormatting sqref="C3">
    <cfRule type="expression" dxfId="50" priority="2">
      <formula>S4&lt;S6</formula>
    </cfRule>
  </conditionalFormatting>
  <conditionalFormatting sqref="C4">
    <cfRule type="expression" dxfId="49" priority="1">
      <formula>AND(S4&gt;=S6,S4&lt;S5)</formula>
    </cfRule>
  </conditionalFormatting>
  <conditionalFormatting sqref="C5">
    <cfRule type="expression" dxfId="48" priority="3">
      <formula>S4&gt;=S5</formula>
    </cfRule>
  </conditionalFormatting>
  <hyperlinks>
    <hyperlink ref="L1" location="Dashboard!A1" display="Dashboard" xr:uid="{00000000-0004-0000-2E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305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Dashboard!A39</f>
        <v>16b</v>
      </c>
      <c r="C1" s="4" t="str">
        <f>Dashboard!B39</f>
        <v>Amount Billed Water-Southern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54746640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52436202.998806134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47192582.698925525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BUDGET2526!D40</f>
        <v>5065118.2414229233</v>
      </c>
      <c r="F19" s="5">
        <f>BUDGET2526!E40</f>
        <v>5186854.0401342409</v>
      </c>
      <c r="G19" s="5">
        <f>BUDGET2526!F40</f>
        <v>5320132.9536295589</v>
      </c>
      <c r="H19" s="5">
        <f>BUDGET2526!G40</f>
        <v>5584553.7091985717</v>
      </c>
      <c r="I19" s="5">
        <f>BUDGET2526!H40</f>
        <v>5827594.1459915433</v>
      </c>
      <c r="J19" s="5">
        <f>BUDGET2526!I40</f>
        <v>6061586.3943221532</v>
      </c>
      <c r="K19" s="5">
        <f>BUDGET2526!J40</f>
        <v>6268878.0953539293</v>
      </c>
      <c r="L19" s="5">
        <f>BUDGET2526!K40</f>
        <v>6470621.56846534</v>
      </c>
      <c r="M19" s="5">
        <f>BUDGET2526!L40</f>
        <v>6650863.8502878789</v>
      </c>
      <c r="N19" s="5">
        <f>BUDGET2526!M40</f>
        <v>6799132.4271202534</v>
      </c>
      <c r="O19" s="5">
        <f>BUDGET2526!N40</f>
        <v>6946856.215867538</v>
      </c>
      <c r="P19" s="5">
        <f>BUDGET2526!O40</f>
        <v>7091067.9020263534</v>
      </c>
      <c r="Q19" s="5">
        <f>SUM(E19:P19)</f>
        <v>73273259.543820277</v>
      </c>
    </row>
    <row r="20" spans="3:17" x14ac:dyDescent="0.35">
      <c r="D20" s="3" t="str">
        <f>'KPI 1'!D20</f>
        <v>ACTUAL2025/26</v>
      </c>
      <c r="E20" s="5">
        <f>'ACTUAL 2526'!E40</f>
        <v>5272370</v>
      </c>
      <c r="F20" s="5">
        <f>'ACTUAL 2526'!F40</f>
        <v>7465830</v>
      </c>
      <c r="G20" s="5">
        <f>'ACTUAL 2526'!G40</f>
        <v>5039430</v>
      </c>
      <c r="H20" s="5">
        <f>'ACTUAL 2526'!H40</f>
        <v>7076450</v>
      </c>
      <c r="I20" s="5">
        <f>'ACTUAL 2526'!I40</f>
        <v>4791020</v>
      </c>
      <c r="J20" s="5">
        <f>'ACTUAL 2526'!J40</f>
        <v>5179850</v>
      </c>
      <c r="K20" s="5">
        <f>'ACTUAL 2526'!K40</f>
        <v>8044460</v>
      </c>
      <c r="L20" s="5">
        <f>'ACTUAL 2526'!L40</f>
        <v>6986830</v>
      </c>
      <c r="M20" s="5">
        <f>'ACTUAL 2526'!M40</f>
        <v>4890400</v>
      </c>
      <c r="N20" s="5">
        <f>'ACTUAL 2526'!N40</f>
        <v>0</v>
      </c>
      <c r="O20" s="5">
        <f>'ACTUAL 2526'!O40</f>
        <v>0</v>
      </c>
      <c r="P20" s="5">
        <f>'ACTUAL 2526'!P40</f>
        <v>0</v>
      </c>
      <c r="Q20" s="5">
        <f t="shared" ref="Q20:Q21" si="0">SUM(E20:P20)</f>
        <v>54746640</v>
      </c>
    </row>
    <row r="21" spans="3:17" x14ac:dyDescent="0.35">
      <c r="D21" s="3" t="str">
        <f>'KPI 1'!D21</f>
        <v>ACTUAL2024/25</v>
      </c>
      <c r="E21" s="5">
        <f>'Actual 202425'!E40</f>
        <v>3209469</v>
      </c>
      <c r="F21" s="5">
        <f>'Actual 202425'!F40</f>
        <v>3501347</v>
      </c>
      <c r="G21" s="5">
        <f>'Actual 202425'!G40</f>
        <v>3856856</v>
      </c>
      <c r="H21" s="5">
        <f>'Actual 202425'!H40</f>
        <v>3641147</v>
      </c>
      <c r="I21" s="5">
        <f>'Actual 202425'!I40</f>
        <v>4692660</v>
      </c>
      <c r="J21" s="5">
        <f>'Actual 202425'!J40</f>
        <v>2552870</v>
      </c>
      <c r="K21" s="5">
        <f>'Actual 202425'!K40</f>
        <v>4084599</v>
      </c>
      <c r="L21" s="5">
        <f>'Actual 202425'!L40</f>
        <v>3854228</v>
      </c>
      <c r="M21" s="5">
        <f>'Actual 202425'!M40</f>
        <v>4053585</v>
      </c>
      <c r="N21" s="5">
        <f>'Actual 202425'!N40</f>
        <v>2884277</v>
      </c>
      <c r="O21" s="5">
        <f>'Actual 202425'!O40</f>
        <v>5352660</v>
      </c>
      <c r="P21" s="5">
        <f>'Actual 202425'!P40</f>
        <v>5996360</v>
      </c>
      <c r="Q21" s="5">
        <f t="shared" si="0"/>
        <v>47680058</v>
      </c>
    </row>
    <row r="22" spans="3:17" x14ac:dyDescent="0.35">
      <c r="D22" s="3" t="str">
        <f>'KPI 1'!D22</f>
        <v>DIFFERENCE</v>
      </c>
      <c r="E22" s="5">
        <f t="shared" ref="E22:P22" si="1">IF(E20=0,0,E20-E19)</f>
        <v>207251.75857707672</v>
      </c>
      <c r="F22" s="5">
        <f t="shared" si="1"/>
        <v>2278975.9598657591</v>
      </c>
      <c r="G22" s="5">
        <f t="shared" si="1"/>
        <v>-280702.95362955891</v>
      </c>
      <c r="H22" s="5">
        <f t="shared" si="1"/>
        <v>1491896.2908014283</v>
      </c>
      <c r="I22" s="5">
        <f t="shared" si="1"/>
        <v>-1036574.1459915433</v>
      </c>
      <c r="J22" s="5">
        <f t="shared" si="1"/>
        <v>-881736.39432215318</v>
      </c>
      <c r="K22" s="5">
        <f t="shared" si="1"/>
        <v>1775581.9046460707</v>
      </c>
      <c r="L22" s="5">
        <f t="shared" si="1"/>
        <v>516208.43153466005</v>
      </c>
      <c r="M22" s="5">
        <f t="shared" si="1"/>
        <v>-1760463.8502878789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2310437.0011938605</v>
      </c>
    </row>
    <row r="23" spans="3:17" x14ac:dyDescent="0.35">
      <c r="D23" s="3" t="str">
        <f>'KPI 1'!D23</f>
        <v>%REALISATION</v>
      </c>
      <c r="E23" s="9">
        <f t="shared" ref="E23:P23" si="2">E20/E19</f>
        <v>1.0409174571448612</v>
      </c>
      <c r="F23" s="9">
        <f t="shared" si="2"/>
        <v>1.4393753790316368</v>
      </c>
      <c r="G23" s="9">
        <f t="shared" si="2"/>
        <v>0.9472376055117091</v>
      </c>
      <c r="H23" s="9">
        <f t="shared" si="2"/>
        <v>1.2671469142366842</v>
      </c>
      <c r="I23" s="9">
        <f t="shared" si="2"/>
        <v>0.82212657230007324</v>
      </c>
      <c r="J23" s="9">
        <f t="shared" si="2"/>
        <v>0.85453702430966427</v>
      </c>
      <c r="K23" s="9">
        <f t="shared" si="2"/>
        <v>1.2832375869554733</v>
      </c>
      <c r="L23" s="9">
        <f t="shared" si="2"/>
        <v>1.0797772557199774</v>
      </c>
      <c r="M23" s="9">
        <f t="shared" si="2"/>
        <v>0.73530297869325978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5065118.2414229233</v>
      </c>
      <c r="F26" s="5">
        <f>SUM($E19:F19)</f>
        <v>10251972.281557165</v>
      </c>
      <c r="G26" s="5">
        <f>SUM($E19:G19)</f>
        <v>15572105.235186724</v>
      </c>
      <c r="H26" s="5">
        <f>SUM($E19:H19)</f>
        <v>21156658.944385298</v>
      </c>
      <c r="I26" s="5">
        <f>SUM($E19:I19)</f>
        <v>26984253.090376839</v>
      </c>
      <c r="J26" s="5">
        <f>SUM($E19:J19)</f>
        <v>33045839.484698992</v>
      </c>
      <c r="K26" s="5">
        <f>SUM($E19:K19)</f>
        <v>39314717.58005292</v>
      </c>
      <c r="L26" s="5">
        <f>SUM($E19:L19)</f>
        <v>45785339.148518257</v>
      </c>
      <c r="M26" s="5">
        <f>SUM($E19:M19)</f>
        <v>52436202.998806134</v>
      </c>
      <c r="N26" s="5">
        <f>SUM($E19:N19)</f>
        <v>59235335.425926387</v>
      </c>
      <c r="O26" s="5">
        <f>SUM($E19:O19)</f>
        <v>66182191.641793922</v>
      </c>
      <c r="P26" s="5">
        <f>SUM($E19:P19)</f>
        <v>73273259.543820277</v>
      </c>
    </row>
    <row r="27" spans="3:17" x14ac:dyDescent="0.35">
      <c r="D27" s="3" t="str">
        <f>'KPI 1'!D27</f>
        <v>ACTUAL2025/26</v>
      </c>
      <c r="E27" s="5">
        <f>SUM($E20:E20)</f>
        <v>5272370</v>
      </c>
      <c r="F27" s="5">
        <f>SUM($E20:F20)</f>
        <v>12738200</v>
      </c>
      <c r="G27" s="5">
        <f>SUM($E20:G20)</f>
        <v>17777630</v>
      </c>
      <c r="H27" s="5">
        <f>SUM($E20:H20)</f>
        <v>24854080</v>
      </c>
      <c r="I27" s="5">
        <f>SUM($E20:I20)</f>
        <v>29645100</v>
      </c>
      <c r="J27" s="5">
        <f>SUM($E20:J20)</f>
        <v>34824950</v>
      </c>
      <c r="K27" s="5">
        <f>SUM($E20:K20)</f>
        <v>42869410</v>
      </c>
      <c r="L27" s="5">
        <f>SUM($E20:L20)</f>
        <v>49856240</v>
      </c>
      <c r="M27" s="5">
        <f>SUM($E20:M20)</f>
        <v>54746640</v>
      </c>
      <c r="N27" s="5">
        <f>SUM($E20:N20)</f>
        <v>54746640</v>
      </c>
      <c r="O27" s="5">
        <f>SUM($E20:O20)</f>
        <v>54746640</v>
      </c>
      <c r="P27" s="5">
        <f>SUM($E20:P20)</f>
        <v>54746640</v>
      </c>
    </row>
    <row r="28" spans="3:17" x14ac:dyDescent="0.35">
      <c r="D28" s="3" t="str">
        <f>'KPI 1'!D28</f>
        <v>ACTUAL2024/25</v>
      </c>
      <c r="E28" s="5">
        <f>SUM($E21:E21)</f>
        <v>3209469</v>
      </c>
      <c r="F28" s="5">
        <f>SUM($E21:F21)</f>
        <v>6710816</v>
      </c>
      <c r="G28" s="5">
        <f>SUM($E21:G21)</f>
        <v>10567672</v>
      </c>
      <c r="H28" s="5">
        <f>SUM($E21:H21)</f>
        <v>14208819</v>
      </c>
      <c r="I28" s="5">
        <f>SUM($E21:I21)</f>
        <v>18901479</v>
      </c>
      <c r="J28" s="5">
        <f>SUM($E21:J21)</f>
        <v>21454349</v>
      </c>
      <c r="K28" s="5">
        <f>SUM($E21:K21)</f>
        <v>25538948</v>
      </c>
      <c r="L28" s="5">
        <f>SUM($E21:L21)</f>
        <v>29393176</v>
      </c>
      <c r="M28" s="5">
        <f>SUM($E21:M21)</f>
        <v>33446761</v>
      </c>
      <c r="N28" s="5">
        <f>SUM($E21:N21)</f>
        <v>36331038</v>
      </c>
      <c r="O28" s="5">
        <f>SUM($E21:O21)</f>
        <v>41683698</v>
      </c>
      <c r="P28" s="5">
        <f>SUM($E21:P21)</f>
        <v>47680058</v>
      </c>
    </row>
    <row r="29" spans="3:17" x14ac:dyDescent="0.35">
      <c r="D29" s="3" t="str">
        <f>'KPI 1'!D29</f>
        <v>DIFFERENCE</v>
      </c>
      <c r="E29" s="5">
        <f>SUM($E22:E22)</f>
        <v>207251.75857707672</v>
      </c>
      <c r="F29" s="5">
        <f>SUM($E22:F22)</f>
        <v>2486227.7184428358</v>
      </c>
      <c r="G29" s="5">
        <f>SUM($E22:G22)</f>
        <v>2205524.7648132769</v>
      </c>
      <c r="H29" s="5">
        <f>SUM($E22:H22)</f>
        <v>3697421.0556147052</v>
      </c>
      <c r="I29" s="5">
        <f>SUM($E22:I22)</f>
        <v>2660846.9096231619</v>
      </c>
      <c r="J29" s="5">
        <f>SUM($E22:J22)</f>
        <v>1779110.5153010087</v>
      </c>
      <c r="K29" s="5">
        <f>SUM($E22:K22)</f>
        <v>3554692.4199470794</v>
      </c>
      <c r="L29" s="5">
        <f>SUM($E22:L22)</f>
        <v>4070900.8514817394</v>
      </c>
      <c r="M29" s="5">
        <f>SUM($E22:M22)</f>
        <v>2310437.0011938605</v>
      </c>
      <c r="N29" s="5">
        <f>SUM($E22:N22)</f>
        <v>2310437.0011938605</v>
      </c>
      <c r="O29" s="5">
        <f>SUM($E22:O22)</f>
        <v>2310437.0011938605</v>
      </c>
      <c r="P29" s="5">
        <f>SUM($E22:P22)</f>
        <v>2310437.0011938605</v>
      </c>
    </row>
    <row r="30" spans="3:17" x14ac:dyDescent="0.35">
      <c r="D30" s="3" t="str">
        <f>'KPI 1'!D30</f>
        <v>%REALISATION</v>
      </c>
      <c r="E30" s="9">
        <f t="shared" ref="E30:P30" si="3">E27/E26</f>
        <v>1.0409174571448612</v>
      </c>
      <c r="F30" s="9">
        <f t="shared" si="3"/>
        <v>1.2425121381683255</v>
      </c>
      <c r="G30" s="9">
        <f t="shared" si="3"/>
        <v>1.1416330503488812</v>
      </c>
      <c r="H30" s="9">
        <f t="shared" si="3"/>
        <v>1.1747639391141176</v>
      </c>
      <c r="I30" s="9">
        <f t="shared" si="3"/>
        <v>1.0986073952357078</v>
      </c>
      <c r="J30" s="9">
        <f t="shared" si="3"/>
        <v>1.053837655300746</v>
      </c>
      <c r="K30" s="9">
        <f t="shared" si="3"/>
        <v>1.0904163285087574</v>
      </c>
      <c r="L30" s="9">
        <f t="shared" si="3"/>
        <v>1.0889127595686596</v>
      </c>
      <c r="M30" s="9">
        <f t="shared" si="3"/>
        <v>1.0440618669747401</v>
      </c>
      <c r="N30" s="9">
        <f t="shared" si="3"/>
        <v>0.92422267226730759</v>
      </c>
      <c r="O30" s="9">
        <f t="shared" si="3"/>
        <v>0.82721104638407905</v>
      </c>
      <c r="P30" s="9">
        <f t="shared" si="3"/>
        <v>0.7471571531120349</v>
      </c>
    </row>
  </sheetData>
  <mergeCells count="2">
    <mergeCell ref="J4:Q8"/>
    <mergeCell ref="J10:Q15"/>
  </mergeCells>
  <conditionalFormatting sqref="C3">
    <cfRule type="expression" dxfId="47" priority="2">
      <formula>S4&lt;S6</formula>
    </cfRule>
  </conditionalFormatting>
  <conditionalFormatting sqref="C4">
    <cfRule type="expression" dxfId="46" priority="1">
      <formula>AND(S4&gt;=S6,S4&lt;S5)</formula>
    </cfRule>
  </conditionalFormatting>
  <conditionalFormatting sqref="C5">
    <cfRule type="expression" dxfId="45" priority="3">
      <formula>S4&gt;=S5</formula>
    </cfRule>
  </conditionalFormatting>
  <hyperlinks>
    <hyperlink ref="L1" location="Dashboard!A1" display="Dashboard" xr:uid="{00000000-0004-0000-2F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408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Dashboard!A40</f>
        <v>17b</v>
      </c>
      <c r="C1" s="4" t="str">
        <f>Dashboard!B40</f>
        <v>Amount Billed Sewer-Southern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BUDGET2526!D41</f>
        <v>0</v>
      </c>
      <c r="F19" s="5">
        <f>BUDGET2526!E41</f>
        <v>0</v>
      </c>
      <c r="G19" s="5">
        <f>BUDGET2526!F41</f>
        <v>0</v>
      </c>
      <c r="H19" s="5">
        <f>BUDGET2526!G41</f>
        <v>0</v>
      </c>
      <c r="I19" s="5">
        <f>BUDGET2526!H41</f>
        <v>0</v>
      </c>
      <c r="J19" s="5">
        <f>BUDGET2526!I41</f>
        <v>0</v>
      </c>
      <c r="K19" s="5">
        <f>BUDGET2526!J41</f>
        <v>0</v>
      </c>
      <c r="L19" s="5">
        <f>BUDGET2526!K41</f>
        <v>0</v>
      </c>
      <c r="M19" s="5">
        <f>BUDGET2526!L41</f>
        <v>0</v>
      </c>
      <c r="N19" s="5">
        <f>BUDGET2526!M41</f>
        <v>0</v>
      </c>
      <c r="O19" s="5">
        <f>BUDGET2526!N41</f>
        <v>0</v>
      </c>
      <c r="P19" s="5">
        <f>BUDGET2526!O41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'ACTUAL 2526'!E41</f>
        <v>0</v>
      </c>
      <c r="F20" s="5">
        <f>'ACTUAL 2526'!F41</f>
        <v>0</v>
      </c>
      <c r="G20" s="5">
        <f>'ACTUAL 2526'!G41</f>
        <v>0</v>
      </c>
      <c r="H20" s="5">
        <f>'ACTUAL 2526'!H41</f>
        <v>0</v>
      </c>
      <c r="I20" s="5">
        <f>'ACTUAL 2526'!I41</f>
        <v>0</v>
      </c>
      <c r="J20" s="5">
        <f>'ACTUAL 2526'!J41</f>
        <v>0</v>
      </c>
      <c r="K20" s="5">
        <f>'ACTUAL 2526'!K41</f>
        <v>0</v>
      </c>
      <c r="L20" s="5">
        <f>'ACTUAL 2526'!L41</f>
        <v>0</v>
      </c>
      <c r="M20" s="5">
        <f>'ACTUAL 2526'!M41</f>
        <v>0</v>
      </c>
      <c r="N20" s="5">
        <f>'ACTUAL 2526'!N41</f>
        <v>0</v>
      </c>
      <c r="O20" s="5">
        <f>'ACTUAL 2526'!O41</f>
        <v>0</v>
      </c>
      <c r="P20" s="5">
        <f>'ACTUAL 2526'!P41</f>
        <v>0</v>
      </c>
      <c r="Q20" s="5">
        <f t="shared" ref="Q20:Q21" si="0">SUM(E20:P20)</f>
        <v>0</v>
      </c>
    </row>
    <row r="21" spans="3:17" x14ac:dyDescent="0.35">
      <c r="D21" s="3" t="str">
        <f>'KPI 1'!D21</f>
        <v>ACTUAL2024/25</v>
      </c>
      <c r="E21" s="5">
        <f>'Actual 202425'!E41</f>
        <v>0</v>
      </c>
      <c r="F21" s="5">
        <f>'Actual 202425'!F41</f>
        <v>0</v>
      </c>
      <c r="G21" s="5">
        <f>'Actual 202425'!G41</f>
        <v>0</v>
      </c>
      <c r="H21" s="5">
        <f>'Actual 202425'!H41</f>
        <v>0</v>
      </c>
      <c r="I21" s="5">
        <f>'Actual 202425'!I41</f>
        <v>0</v>
      </c>
      <c r="J21" s="5">
        <f>'Actual 202425'!J41</f>
        <v>0</v>
      </c>
      <c r="K21" s="5">
        <f>'Actual 202425'!K41</f>
        <v>0</v>
      </c>
      <c r="L21" s="5">
        <f>'Actual 202425'!L41</f>
        <v>0</v>
      </c>
      <c r="M21" s="5">
        <f>'Actual 202425'!M41</f>
        <v>0</v>
      </c>
      <c r="N21" s="5">
        <f>'Actual 202425'!N41</f>
        <v>0</v>
      </c>
      <c r="O21" s="5">
        <f>'Actual 202425'!O41</f>
        <v>0</v>
      </c>
      <c r="P21" s="5">
        <f>'Actual 202425'!P41</f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0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>'KPI 1'!D28</f>
        <v>ACTUAL2024/25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44" priority="2">
      <formula>S4&lt;S6</formula>
    </cfRule>
  </conditionalFormatting>
  <conditionalFormatting sqref="C4">
    <cfRule type="expression" dxfId="43" priority="1">
      <formula>AND(S4&gt;=S6,S4&lt;S5)</formula>
    </cfRule>
  </conditionalFormatting>
  <conditionalFormatting sqref="C5">
    <cfRule type="expression" dxfId="42" priority="3">
      <formula>S4&gt;=S5</formula>
    </cfRule>
  </conditionalFormatting>
  <hyperlinks>
    <hyperlink ref="L1" location="Dashboard!A1" display="Dashboard" xr:uid="{00000000-0004-0000-30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510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Dashboard!A41</f>
        <v>18b</v>
      </c>
      <c r="C1" s="4" t="str">
        <f>Dashboard!B41</f>
        <v>othersales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4946482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BUDGET2526!D42</f>
        <v>0</v>
      </c>
      <c r="F19" s="5">
        <f>BUDGET2526!E42</f>
        <v>0</v>
      </c>
      <c r="G19" s="5">
        <f>BUDGET2526!F42</f>
        <v>0</v>
      </c>
      <c r="H19" s="5">
        <f>BUDGET2526!G42</f>
        <v>0</v>
      </c>
      <c r="I19" s="5">
        <f>BUDGET2526!H42</f>
        <v>0</v>
      </c>
      <c r="J19" s="5">
        <f>BUDGET2526!I42</f>
        <v>0</v>
      </c>
      <c r="K19" s="5">
        <f>BUDGET2526!J42</f>
        <v>0</v>
      </c>
      <c r="L19" s="5">
        <f>BUDGET2526!K42</f>
        <v>0</v>
      </c>
      <c r="M19" s="5">
        <f>BUDGET2526!L42</f>
        <v>0</v>
      </c>
      <c r="N19" s="5">
        <f>BUDGET2526!M42</f>
        <v>0</v>
      </c>
      <c r="O19" s="5">
        <f>BUDGET2526!N42</f>
        <v>0</v>
      </c>
      <c r="P19" s="5">
        <f>BUDGET2526!O42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'ACTUAL 2526'!E42</f>
        <v>630818.5</v>
      </c>
      <c r="F20" s="5">
        <f>'ACTUAL 2526'!F42</f>
        <v>696791.5</v>
      </c>
      <c r="G20" s="5">
        <f>'ACTUAL 2526'!G42</f>
        <v>547121.5</v>
      </c>
      <c r="H20" s="5">
        <f>'ACTUAL 2526'!H42</f>
        <v>633322.5</v>
      </c>
      <c r="I20" s="5">
        <f>'ACTUAL 2526'!I42</f>
        <v>416851</v>
      </c>
      <c r="J20" s="5">
        <f>'ACTUAL 2526'!J42</f>
        <v>500992.5</v>
      </c>
      <c r="K20" s="5">
        <f>'ACTUAL 2526'!K42</f>
        <v>746723</v>
      </c>
      <c r="L20" s="5">
        <f>'ACTUAL 2526'!L42</f>
        <v>529341.5</v>
      </c>
      <c r="M20" s="5">
        <f>'ACTUAL 2526'!M42</f>
        <v>244520</v>
      </c>
      <c r="N20" s="5">
        <f>'ACTUAL 2526'!N42</f>
        <v>0</v>
      </c>
      <c r="O20" s="5">
        <f>'ACTUAL 2526'!O42</f>
        <v>0</v>
      </c>
      <c r="P20" s="5">
        <f>'ACTUAL 2526'!P42</f>
        <v>0</v>
      </c>
      <c r="Q20" s="5">
        <f t="shared" ref="Q20:Q21" si="0">SUM(E20:P20)</f>
        <v>4946482</v>
      </c>
    </row>
    <row r="21" spans="3:17" x14ac:dyDescent="0.35">
      <c r="D21" s="3" t="str">
        <f>'KPI 1'!D21</f>
        <v>ACTUAL2024/25</v>
      </c>
      <c r="E21" s="5">
        <f>'Actual 202425'!E42</f>
        <v>467850</v>
      </c>
      <c r="F21" s="5">
        <f>'Actual 202425'!F42</f>
        <v>324100</v>
      </c>
      <c r="G21" s="5">
        <f>'Actual 202425'!G42</f>
        <v>254600</v>
      </c>
      <c r="H21" s="5">
        <f>'Actual 202425'!H42</f>
        <v>227600</v>
      </c>
      <c r="I21" s="5">
        <f>'Actual 202425'!I42</f>
        <v>234950</v>
      </c>
      <c r="J21" s="5">
        <f>'Actual 202425'!J42</f>
        <v>338950</v>
      </c>
      <c r="K21" s="5">
        <f>'Actual 202425'!K42</f>
        <v>495150</v>
      </c>
      <c r="L21" s="5">
        <f>'Actual 202425'!L42</f>
        <v>284992</v>
      </c>
      <c r="M21" s="5">
        <f>'Actual 202425'!M42</f>
        <v>370600</v>
      </c>
      <c r="N21" s="5">
        <f>'Actual 202425'!N42</f>
        <v>539558</v>
      </c>
      <c r="O21" s="5">
        <f>'Actual 202425'!O42</f>
        <v>443033</v>
      </c>
      <c r="P21" s="5">
        <f>'Actual 202425'!P42</f>
        <v>469818</v>
      </c>
      <c r="Q21" s="5">
        <f t="shared" si="0"/>
        <v>4451201</v>
      </c>
    </row>
    <row r="22" spans="3:17" x14ac:dyDescent="0.35">
      <c r="D22" s="3" t="str">
        <f>'KPI 1'!D22</f>
        <v>DIFFERENCE</v>
      </c>
      <c r="E22" s="5">
        <f t="shared" ref="E22:P22" si="1">IF(E20=0,0,E20-E19)</f>
        <v>630818.5</v>
      </c>
      <c r="F22" s="5">
        <f t="shared" si="1"/>
        <v>696791.5</v>
      </c>
      <c r="G22" s="5">
        <f t="shared" si="1"/>
        <v>547121.5</v>
      </c>
      <c r="H22" s="5">
        <f t="shared" si="1"/>
        <v>633322.5</v>
      </c>
      <c r="I22" s="5">
        <f t="shared" si="1"/>
        <v>416851</v>
      </c>
      <c r="J22" s="5">
        <f t="shared" si="1"/>
        <v>500992.5</v>
      </c>
      <c r="K22" s="5">
        <f t="shared" si="1"/>
        <v>746723</v>
      </c>
      <c r="L22" s="5">
        <f t="shared" si="1"/>
        <v>529341.5</v>
      </c>
      <c r="M22" s="5">
        <f t="shared" si="1"/>
        <v>244520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4946482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630818.5</v>
      </c>
      <c r="F27" s="5">
        <f>SUM($E20:F20)</f>
        <v>1327610</v>
      </c>
      <c r="G27" s="5">
        <f>SUM($E20:G20)</f>
        <v>1874731.5</v>
      </c>
      <c r="H27" s="5">
        <f>SUM($E20:H20)</f>
        <v>2508054</v>
      </c>
      <c r="I27" s="5">
        <f>SUM($E20:I20)</f>
        <v>2924905</v>
      </c>
      <c r="J27" s="5">
        <f>SUM($E20:J20)</f>
        <v>3425897.5</v>
      </c>
      <c r="K27" s="5">
        <f>SUM($E20:K20)</f>
        <v>4172620.5</v>
      </c>
      <c r="L27" s="5">
        <f>SUM($E20:L20)</f>
        <v>4701962</v>
      </c>
      <c r="M27" s="5">
        <f>SUM($E20:M20)</f>
        <v>4946482</v>
      </c>
      <c r="N27" s="5">
        <f>SUM($E20:N20)</f>
        <v>4946482</v>
      </c>
      <c r="O27" s="5">
        <f>SUM($E20:O20)</f>
        <v>4946482</v>
      </c>
      <c r="P27" s="5">
        <f>SUM($E20:P20)</f>
        <v>4946482</v>
      </c>
    </row>
    <row r="28" spans="3:17" x14ac:dyDescent="0.35">
      <c r="D28" s="3" t="str">
        <f>'KPI 1'!D28</f>
        <v>ACTUAL2024/25</v>
      </c>
      <c r="E28" s="5">
        <f>SUM($E21:E21)</f>
        <v>467850</v>
      </c>
      <c r="F28" s="5">
        <f>SUM($E21:F21)</f>
        <v>791950</v>
      </c>
      <c r="G28" s="5">
        <f>SUM($E21:G21)</f>
        <v>1046550</v>
      </c>
      <c r="H28" s="5">
        <f>SUM($E21:H21)</f>
        <v>1274150</v>
      </c>
      <c r="I28" s="5">
        <f>SUM($E21:I21)</f>
        <v>1509100</v>
      </c>
      <c r="J28" s="5">
        <f>SUM($E21:J21)</f>
        <v>1848050</v>
      </c>
      <c r="K28" s="5">
        <f>SUM($E21:K21)</f>
        <v>2343200</v>
      </c>
      <c r="L28" s="5">
        <f>SUM($E21:L21)</f>
        <v>2628192</v>
      </c>
      <c r="M28" s="5">
        <f>SUM($E21:M21)</f>
        <v>2998792</v>
      </c>
      <c r="N28" s="5">
        <f>SUM($E21:N21)</f>
        <v>3538350</v>
      </c>
      <c r="O28" s="5">
        <f>SUM($E21:O21)</f>
        <v>3981383</v>
      </c>
      <c r="P28" s="5">
        <f>SUM($E21:P21)</f>
        <v>4451201</v>
      </c>
    </row>
    <row r="29" spans="3:17" x14ac:dyDescent="0.35">
      <c r="D29" s="3" t="str">
        <f>'KPI 1'!D29</f>
        <v>DIFFERENCE</v>
      </c>
      <c r="E29" s="5">
        <f>SUM($E22:E22)</f>
        <v>630818.5</v>
      </c>
      <c r="F29" s="5">
        <f>SUM($E22:F22)</f>
        <v>1327610</v>
      </c>
      <c r="G29" s="5">
        <f>SUM($E22:G22)</f>
        <v>1874731.5</v>
      </c>
      <c r="H29" s="5">
        <f>SUM($E22:H22)</f>
        <v>2508054</v>
      </c>
      <c r="I29" s="5">
        <f>SUM($E22:I22)</f>
        <v>2924905</v>
      </c>
      <c r="J29" s="5">
        <f>SUM($E22:J22)</f>
        <v>3425897.5</v>
      </c>
      <c r="K29" s="5">
        <f>SUM($E22:K22)</f>
        <v>4172620.5</v>
      </c>
      <c r="L29" s="5">
        <f>SUM($E22:L22)</f>
        <v>4701962</v>
      </c>
      <c r="M29" s="5">
        <f>SUM($E22:M22)</f>
        <v>4946482</v>
      </c>
      <c r="N29" s="5">
        <f>SUM($E22:N22)</f>
        <v>4946482</v>
      </c>
      <c r="O29" s="5">
        <f>SUM($E22:O22)</f>
        <v>4946482</v>
      </c>
      <c r="P29" s="5">
        <f>SUM($E22:P22)</f>
        <v>4946482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41" priority="2">
      <formula>S4&lt;S6</formula>
    </cfRule>
  </conditionalFormatting>
  <conditionalFormatting sqref="C4">
    <cfRule type="expression" dxfId="40" priority="1">
      <formula>AND(S4&gt;=S6,S4&lt;S5)</formula>
    </cfRule>
  </conditionalFormatting>
  <conditionalFormatting sqref="C5">
    <cfRule type="expression" dxfId="39" priority="3">
      <formula>S4&gt;=S5</formula>
    </cfRule>
  </conditionalFormatting>
  <hyperlinks>
    <hyperlink ref="L1" location="Dashboard!A1" display="Dashboard" xr:uid="{00000000-0004-0000-31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683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Dashboard!A42</f>
        <v>19b</v>
      </c>
      <c r="C1" s="4" t="str">
        <f>Dashboard!B42</f>
        <v>Amount Billed Water &amp; Sewer-OTHER SALES-Southern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59693122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52436202.998806134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47192582.698925525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BUDGET2526!D43</f>
        <v>5065118.2414229233</v>
      </c>
      <c r="F19" s="5">
        <f>BUDGET2526!E43</f>
        <v>5186854.0401342409</v>
      </c>
      <c r="G19" s="5">
        <f>BUDGET2526!F43</f>
        <v>5320132.9536295589</v>
      </c>
      <c r="H19" s="5">
        <f>BUDGET2526!G43</f>
        <v>5584553.7091985717</v>
      </c>
      <c r="I19" s="5">
        <f>BUDGET2526!H43</f>
        <v>5827594.1459915433</v>
      </c>
      <c r="J19" s="5">
        <f>BUDGET2526!I43</f>
        <v>6061586.3943221532</v>
      </c>
      <c r="K19" s="5">
        <f>BUDGET2526!J43</f>
        <v>6268878.0953539293</v>
      </c>
      <c r="L19" s="5">
        <f>BUDGET2526!K43</f>
        <v>6470621.56846534</v>
      </c>
      <c r="M19" s="5">
        <f>BUDGET2526!L43</f>
        <v>6650863.8502878789</v>
      </c>
      <c r="N19" s="5">
        <f>BUDGET2526!M43</f>
        <v>6799132.4271202534</v>
      </c>
      <c r="O19" s="5">
        <f>BUDGET2526!N43</f>
        <v>6946856.215867538</v>
      </c>
      <c r="P19" s="5">
        <f>BUDGET2526!O43</f>
        <v>7091067.9020263534</v>
      </c>
      <c r="Q19" s="5">
        <f>SUM(E19:P19)</f>
        <v>73273259.543820277</v>
      </c>
    </row>
    <row r="20" spans="3:17" x14ac:dyDescent="0.35">
      <c r="D20" s="3" t="str">
        <f>'KPI 1'!D20</f>
        <v>ACTUAL2025/26</v>
      </c>
      <c r="E20" s="5">
        <f>'ACTUAL 2526'!E43</f>
        <v>5903188.5</v>
      </c>
      <c r="F20" s="5">
        <f>'ACTUAL 2526'!F43</f>
        <v>8162621.5</v>
      </c>
      <c r="G20" s="5">
        <f>'ACTUAL 2526'!G43</f>
        <v>5586551.5</v>
      </c>
      <c r="H20" s="5">
        <f>'ACTUAL 2526'!H43</f>
        <v>7709772.5</v>
      </c>
      <c r="I20" s="5">
        <f>'ACTUAL 2526'!I43</f>
        <v>5207871</v>
      </c>
      <c r="J20" s="5">
        <f>'ACTUAL 2526'!J43</f>
        <v>5680842.5</v>
      </c>
      <c r="K20" s="5">
        <f>'ACTUAL 2526'!K43</f>
        <v>8791183</v>
      </c>
      <c r="L20" s="5">
        <f>'ACTUAL 2526'!L43</f>
        <v>7516171.5</v>
      </c>
      <c r="M20" s="5">
        <f>'ACTUAL 2526'!M43</f>
        <v>5134920</v>
      </c>
      <c r="N20" s="5">
        <f>'ACTUAL 2526'!N43</f>
        <v>0</v>
      </c>
      <c r="O20" s="5">
        <f>'ACTUAL 2526'!O43</f>
        <v>0</v>
      </c>
      <c r="P20" s="5">
        <f>'ACTUAL 2526'!P43</f>
        <v>0</v>
      </c>
      <c r="Q20" s="5">
        <f t="shared" ref="Q20:Q21" si="0">SUM(E20:P20)</f>
        <v>59693122</v>
      </c>
    </row>
    <row r="21" spans="3:17" x14ac:dyDescent="0.35">
      <c r="D21" s="3" t="str">
        <f>'KPI 1'!D21</f>
        <v>ACTUAL2024/25</v>
      </c>
      <c r="E21" s="5">
        <f>'Actual 202425'!E43</f>
        <v>3677319</v>
      </c>
      <c r="F21" s="5">
        <f>'Actual 202425'!F43</f>
        <v>3825447</v>
      </c>
      <c r="G21" s="5">
        <f>'Actual 202425'!G43</f>
        <v>4111456</v>
      </c>
      <c r="H21" s="5">
        <f>'Actual 202425'!H43</f>
        <v>3868747</v>
      </c>
      <c r="I21" s="5">
        <f>'Actual 202425'!I43</f>
        <v>4927610</v>
      </c>
      <c r="J21" s="5">
        <f>'Actual 202425'!J43</f>
        <v>2891820</v>
      </c>
      <c r="K21" s="5">
        <f>'Actual 202425'!K43</f>
        <v>4579749</v>
      </c>
      <c r="L21" s="5">
        <f>'Actual 202425'!L43</f>
        <v>4139220</v>
      </c>
      <c r="M21" s="5">
        <f>'Actual 202425'!M43</f>
        <v>4424185</v>
      </c>
      <c r="N21" s="5">
        <f>'Actual 202425'!N43</f>
        <v>3423835</v>
      </c>
      <c r="O21" s="5">
        <f>'Actual 202425'!O43</f>
        <v>5795693</v>
      </c>
      <c r="P21" s="5">
        <f>'Actual 202425'!P43</f>
        <v>6466178</v>
      </c>
      <c r="Q21" s="5">
        <f t="shared" si="0"/>
        <v>52131259</v>
      </c>
    </row>
    <row r="22" spans="3:17" x14ac:dyDescent="0.35">
      <c r="D22" s="3" t="str">
        <f>'KPI 1'!D22</f>
        <v>DIFFERENCE</v>
      </c>
      <c r="E22" s="5">
        <f t="shared" ref="E22:P22" si="1">IF(E20=0,0,E20-E19)</f>
        <v>838070.25857707672</v>
      </c>
      <c r="F22" s="5">
        <f t="shared" si="1"/>
        <v>2975767.4598657591</v>
      </c>
      <c r="G22" s="5">
        <f t="shared" si="1"/>
        <v>266418.54637044109</v>
      </c>
      <c r="H22" s="5">
        <f t="shared" si="1"/>
        <v>2125218.7908014283</v>
      </c>
      <c r="I22" s="5">
        <f t="shared" si="1"/>
        <v>-619723.14599154331</v>
      </c>
      <c r="J22" s="5">
        <f t="shared" si="1"/>
        <v>-380743.89432215318</v>
      </c>
      <c r="K22" s="5">
        <f t="shared" si="1"/>
        <v>2522304.9046460707</v>
      </c>
      <c r="L22" s="5">
        <f t="shared" si="1"/>
        <v>1045549.93153466</v>
      </c>
      <c r="M22" s="5">
        <f t="shared" si="1"/>
        <v>-1515943.8502878789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7256919.0011938605</v>
      </c>
    </row>
    <row r="23" spans="3:17" x14ac:dyDescent="0.35">
      <c r="D23" s="3" t="str">
        <f>'KPI 1'!D23</f>
        <v>%REALISATION</v>
      </c>
      <c r="E23" s="9">
        <f t="shared" ref="E23:P23" si="2">E20/E19</f>
        <v>1.1654591696839915</v>
      </c>
      <c r="F23" s="9">
        <f t="shared" si="2"/>
        <v>1.5737133601293209</v>
      </c>
      <c r="G23" s="9">
        <f t="shared" si="2"/>
        <v>1.0500774226307037</v>
      </c>
      <c r="H23" s="9">
        <f t="shared" si="2"/>
        <v>1.3805530220437998</v>
      </c>
      <c r="I23" s="9">
        <f t="shared" si="2"/>
        <v>0.89365711982228302</v>
      </c>
      <c r="J23" s="9">
        <f t="shared" si="2"/>
        <v>0.9371874176900632</v>
      </c>
      <c r="K23" s="9">
        <f t="shared" si="2"/>
        <v>1.4023534779716698</v>
      </c>
      <c r="L23" s="9">
        <f t="shared" si="2"/>
        <v>1.161584157019808</v>
      </c>
      <c r="M23" s="9">
        <f t="shared" si="2"/>
        <v>0.77206812762792276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5065118.2414229233</v>
      </c>
      <c r="F26" s="5">
        <f>SUM($E19:F19)</f>
        <v>10251972.281557165</v>
      </c>
      <c r="G26" s="5">
        <f>SUM($E19:G19)</f>
        <v>15572105.235186724</v>
      </c>
      <c r="H26" s="5">
        <f>SUM($E19:H19)</f>
        <v>21156658.944385298</v>
      </c>
      <c r="I26" s="5">
        <f>SUM($E19:I19)</f>
        <v>26984253.090376839</v>
      </c>
      <c r="J26" s="5">
        <f>SUM($E19:J19)</f>
        <v>33045839.484698992</v>
      </c>
      <c r="K26" s="5">
        <f>SUM($E19:K19)</f>
        <v>39314717.58005292</v>
      </c>
      <c r="L26" s="5">
        <f>SUM($E19:L19)</f>
        <v>45785339.148518257</v>
      </c>
      <c r="M26" s="5">
        <f>SUM($E19:M19)</f>
        <v>52436202.998806134</v>
      </c>
      <c r="N26" s="5">
        <f>SUM($E19:N19)</f>
        <v>59235335.425926387</v>
      </c>
      <c r="O26" s="5">
        <f>SUM($E19:O19)</f>
        <v>66182191.641793922</v>
      </c>
      <c r="P26" s="5">
        <f>SUM($E19:P19)</f>
        <v>73273259.543820277</v>
      </c>
    </row>
    <row r="27" spans="3:17" x14ac:dyDescent="0.35">
      <c r="D27" s="3" t="str">
        <f>'KPI 1'!D27</f>
        <v>ACTUAL2025/26</v>
      </c>
      <c r="E27" s="5">
        <f>SUM($E20:E20)</f>
        <v>5903188.5</v>
      </c>
      <c r="F27" s="5">
        <f>SUM($E20:F20)</f>
        <v>14065810</v>
      </c>
      <c r="G27" s="5">
        <f>SUM($E20:G20)</f>
        <v>19652361.5</v>
      </c>
      <c r="H27" s="5">
        <f>SUM($E20:H20)</f>
        <v>27362134</v>
      </c>
      <c r="I27" s="5">
        <f>SUM($E20:I20)</f>
        <v>32570005</v>
      </c>
      <c r="J27" s="5">
        <f>SUM($E20:J20)</f>
        <v>38250847.5</v>
      </c>
      <c r="K27" s="5">
        <f>SUM($E20:K20)</f>
        <v>47042030.5</v>
      </c>
      <c r="L27" s="5">
        <f>SUM($E20:L20)</f>
        <v>54558202</v>
      </c>
      <c r="M27" s="5">
        <f>SUM($E20:M20)</f>
        <v>59693122</v>
      </c>
      <c r="N27" s="5">
        <f>SUM($E20:N20)</f>
        <v>59693122</v>
      </c>
      <c r="O27" s="5">
        <f>SUM($E20:O20)</f>
        <v>59693122</v>
      </c>
      <c r="P27" s="5">
        <f>SUM($E20:P20)</f>
        <v>59693122</v>
      </c>
    </row>
    <row r="28" spans="3:17" x14ac:dyDescent="0.35">
      <c r="D28" s="3" t="str">
        <f>'KPI 1'!D28</f>
        <v>ACTUAL2024/25</v>
      </c>
      <c r="E28" s="5">
        <f>SUM($E21:E21)</f>
        <v>3677319</v>
      </c>
      <c r="F28" s="5">
        <f>SUM($E21:F21)</f>
        <v>7502766</v>
      </c>
      <c r="G28" s="5">
        <f>SUM($E21:G21)</f>
        <v>11614222</v>
      </c>
      <c r="H28" s="5">
        <f>SUM($E21:H21)</f>
        <v>15482969</v>
      </c>
      <c r="I28" s="5">
        <f>SUM($E21:I21)</f>
        <v>20410579</v>
      </c>
      <c r="J28" s="5">
        <f>SUM($E21:J21)</f>
        <v>23302399</v>
      </c>
      <c r="K28" s="5">
        <f>SUM($E21:K21)</f>
        <v>27882148</v>
      </c>
      <c r="L28" s="5">
        <f>SUM($E21:L21)</f>
        <v>32021368</v>
      </c>
      <c r="M28" s="5">
        <f>SUM($E21:M21)</f>
        <v>36445553</v>
      </c>
      <c r="N28" s="5">
        <f>SUM($E21:N21)</f>
        <v>39869388</v>
      </c>
      <c r="O28" s="5">
        <f>SUM($E21:O21)</f>
        <v>45665081</v>
      </c>
      <c r="P28" s="5">
        <f>SUM($E21:P21)</f>
        <v>52131259</v>
      </c>
    </row>
    <row r="29" spans="3:17" x14ac:dyDescent="0.35">
      <c r="D29" s="3" t="str">
        <f>'KPI 1'!D29</f>
        <v>DIFFERENCE</v>
      </c>
      <c r="E29" s="5">
        <f>SUM($E22:E22)</f>
        <v>838070.25857707672</v>
      </c>
      <c r="F29" s="5">
        <f>SUM($E22:F22)</f>
        <v>3813837.7184428358</v>
      </c>
      <c r="G29" s="5">
        <f>SUM($E22:G22)</f>
        <v>4080256.2648132769</v>
      </c>
      <c r="H29" s="5">
        <f>SUM($E22:H22)</f>
        <v>6205475.0556147052</v>
      </c>
      <c r="I29" s="5">
        <f>SUM($E22:I22)</f>
        <v>5585751.9096231619</v>
      </c>
      <c r="J29" s="5">
        <f>SUM($E22:J22)</f>
        <v>5205008.0153010087</v>
      </c>
      <c r="K29" s="5">
        <f>SUM($E22:K22)</f>
        <v>7727312.9199470794</v>
      </c>
      <c r="L29" s="5">
        <f>SUM($E22:L22)</f>
        <v>8772862.8514817394</v>
      </c>
      <c r="M29" s="5">
        <f>SUM($E22:M22)</f>
        <v>7256919.0011938605</v>
      </c>
      <c r="N29" s="5">
        <f>SUM($E22:N22)</f>
        <v>7256919.0011938605</v>
      </c>
      <c r="O29" s="5">
        <f>SUM($E22:O22)</f>
        <v>7256919.0011938605</v>
      </c>
      <c r="P29" s="5">
        <f>SUM($E22:P22)</f>
        <v>7256919.0011938605</v>
      </c>
    </row>
    <row r="30" spans="3:17" x14ac:dyDescent="0.35">
      <c r="D30" s="3" t="str">
        <f>'KPI 1'!D30</f>
        <v>%REALISATION</v>
      </c>
      <c r="E30" s="9">
        <f t="shared" ref="E30:P30" si="3">E27/E26</f>
        <v>1.1654591696839915</v>
      </c>
      <c r="F30" s="9">
        <f t="shared" si="3"/>
        <v>1.3720101472868549</v>
      </c>
      <c r="G30" s="9">
        <f t="shared" si="3"/>
        <v>1.2620234196461459</v>
      </c>
      <c r="H30" s="9">
        <f t="shared" si="3"/>
        <v>1.2933107288786518</v>
      </c>
      <c r="I30" s="9">
        <f t="shared" si="3"/>
        <v>1.2070004269125076</v>
      </c>
      <c r="J30" s="9">
        <f t="shared" si="3"/>
        <v>1.157508724137907</v>
      </c>
      <c r="K30" s="9">
        <f t="shared" si="3"/>
        <v>1.1965501317467859</v>
      </c>
      <c r="L30" s="9">
        <f t="shared" si="3"/>
        <v>1.1916085588669416</v>
      </c>
      <c r="M30" s="9">
        <f t="shared" si="3"/>
        <v>1.1383952038128904</v>
      </c>
      <c r="N30" s="9">
        <f t="shared" si="3"/>
        <v>1.0077282684529756</v>
      </c>
      <c r="O30" s="9">
        <f t="shared" si="3"/>
        <v>0.9019514240792218</v>
      </c>
      <c r="P30" s="9">
        <f t="shared" si="3"/>
        <v>0.81466448158077609</v>
      </c>
    </row>
  </sheetData>
  <mergeCells count="2">
    <mergeCell ref="J4:Q8"/>
    <mergeCell ref="J10:Q15"/>
  </mergeCells>
  <conditionalFormatting sqref="C3">
    <cfRule type="expression" dxfId="38" priority="2">
      <formula>S4&lt;S6</formula>
    </cfRule>
  </conditionalFormatting>
  <conditionalFormatting sqref="C4">
    <cfRule type="expression" dxfId="37" priority="1">
      <formula>AND(S4&gt;=S6,S4&lt;S5)</formula>
    </cfRule>
  </conditionalFormatting>
  <conditionalFormatting sqref="C5">
    <cfRule type="expression" dxfId="36" priority="3">
      <formula>S4&gt;=S5</formula>
    </cfRule>
  </conditionalFormatting>
  <hyperlinks>
    <hyperlink ref="L1" location="Dashboard!A1" display="Dashboard" xr:uid="{00000000-0004-0000-32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715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Dashboard!A32</f>
        <v>16a</v>
      </c>
      <c r="C1" s="4" t="str">
        <f>Dashboard!B46</f>
        <v>Amount Billed Water-Eastern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31884730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27396591.850497052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24656932.665447347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BUDGET2526!D47</f>
        <v>2936883.6119525721</v>
      </c>
      <c r="F19" s="5">
        <f>BUDGET2526!E47</f>
        <v>2978463.0835146657</v>
      </c>
      <c r="G19" s="5">
        <f>BUDGET2526!F47</f>
        <v>3015830.7056028978</v>
      </c>
      <c r="H19" s="5">
        <f>BUDGET2526!G47</f>
        <v>3030322.8830651944</v>
      </c>
      <c r="I19" s="5">
        <f>BUDGET2526!H47</f>
        <v>3045939.5425312831</v>
      </c>
      <c r="J19" s="5">
        <f>BUDGET2526!I47</f>
        <v>3057489.0423317845</v>
      </c>
      <c r="K19" s="5">
        <f>BUDGET2526!J47</f>
        <v>3090862.2588154608</v>
      </c>
      <c r="L19" s="5">
        <f>BUDGET2526!K47</f>
        <v>3110836.8137219953</v>
      </c>
      <c r="M19" s="5">
        <f>BUDGET2526!L47</f>
        <v>3129963.9089611997</v>
      </c>
      <c r="N19" s="5">
        <f>BUDGET2526!M47</f>
        <v>3149896.0733656478</v>
      </c>
      <c r="O19" s="5">
        <f>BUDGET2526!N47</f>
        <v>3169903.4788791663</v>
      </c>
      <c r="P19" s="5">
        <f>BUDGET2526!O47</f>
        <v>3189917.9355455334</v>
      </c>
      <c r="Q19" s="5">
        <f>SUM(E19:P19)</f>
        <v>36906309.338287398</v>
      </c>
    </row>
    <row r="20" spans="3:17" x14ac:dyDescent="0.35">
      <c r="D20" s="3" t="str">
        <f>'KPI 1'!D20</f>
        <v>ACTUAL2025/26</v>
      </c>
      <c r="E20" s="5">
        <f>'ACTUAL 2526'!E47</f>
        <v>3905900</v>
      </c>
      <c r="F20" s="5">
        <f>'ACTUAL 2526'!F47</f>
        <v>3733170</v>
      </c>
      <c r="G20" s="5">
        <f>'ACTUAL 2526'!G47</f>
        <v>3207580</v>
      </c>
      <c r="H20" s="5">
        <f>'ACTUAL 2526'!H47</f>
        <v>3549060</v>
      </c>
      <c r="I20" s="5">
        <f>'ACTUAL 2526'!I47</f>
        <v>3057070</v>
      </c>
      <c r="J20" s="5">
        <f>'ACTUAL 2526'!J47</f>
        <v>3217900</v>
      </c>
      <c r="K20" s="5">
        <f>'ACTUAL 2526'!K47</f>
        <v>3825280</v>
      </c>
      <c r="L20" s="5">
        <f>'ACTUAL 2526'!L47</f>
        <v>4123770</v>
      </c>
      <c r="M20" s="5">
        <f>'ACTUAL 2526'!M47</f>
        <v>3265000</v>
      </c>
      <c r="N20" s="5">
        <f>'ACTUAL 2526'!N47</f>
        <v>0</v>
      </c>
      <c r="O20" s="5">
        <f>'ACTUAL 2526'!O47</f>
        <v>0</v>
      </c>
      <c r="P20" s="5">
        <f>'ACTUAL 2526'!P47</f>
        <v>0</v>
      </c>
      <c r="Q20" s="5">
        <f t="shared" ref="Q20:Q21" si="0">SUM(E20:P20)</f>
        <v>31884730</v>
      </c>
    </row>
    <row r="21" spans="3:17" x14ac:dyDescent="0.35">
      <c r="D21" s="3" t="str">
        <f>'KPI 1'!D21</f>
        <v>ACTUAL2024/25</v>
      </c>
      <c r="E21" s="5">
        <f>'Actual 202425'!E47</f>
        <v>2130898</v>
      </c>
      <c r="F21" s="5">
        <f>'Actual 202425'!F47</f>
        <v>2494851</v>
      </c>
      <c r="G21" s="5">
        <f>'Actual 202425'!G47</f>
        <v>2586807</v>
      </c>
      <c r="H21" s="5">
        <f>'Actual 202425'!H47</f>
        <v>2312515</v>
      </c>
      <c r="I21" s="5">
        <f>'Actual 202425'!I47</f>
        <v>2408145</v>
      </c>
      <c r="J21" s="5">
        <f>'Actual 202425'!J47</f>
        <v>1739352</v>
      </c>
      <c r="K21" s="5">
        <f>'Actual 202425'!K47</f>
        <v>2146405</v>
      </c>
      <c r="L21" s="5">
        <f>'Actual 202425'!L47</f>
        <v>2060613</v>
      </c>
      <c r="M21" s="5">
        <f>'Actual 202425'!M47</f>
        <v>2172698</v>
      </c>
      <c r="N21" s="5">
        <f>'Actual 202425'!N47</f>
        <v>1949510</v>
      </c>
      <c r="O21" s="5">
        <f>'Actual 202425'!O47</f>
        <v>3454620</v>
      </c>
      <c r="P21" s="5">
        <f>'Actual 202425'!P47</f>
        <v>3809030</v>
      </c>
      <c r="Q21" s="5">
        <f t="shared" si="0"/>
        <v>29265444</v>
      </c>
    </row>
    <row r="22" spans="3:17" x14ac:dyDescent="0.35">
      <c r="D22" s="3" t="str">
        <f>'KPI 1'!D22</f>
        <v>DIFFERENCE</v>
      </c>
      <c r="E22" s="5">
        <f t="shared" ref="E22:P22" si="1">IF(E20=0,0,E20-E19)</f>
        <v>969016.38804742787</v>
      </c>
      <c r="F22" s="5">
        <f t="shared" si="1"/>
        <v>754706.91648533428</v>
      </c>
      <c r="G22" s="5">
        <f t="shared" si="1"/>
        <v>191749.2943971022</v>
      </c>
      <c r="H22" s="5">
        <f t="shared" si="1"/>
        <v>518737.11693480564</v>
      </c>
      <c r="I22" s="5">
        <f t="shared" si="1"/>
        <v>11130.457468716893</v>
      </c>
      <c r="J22" s="5">
        <f t="shared" si="1"/>
        <v>160410.9576682155</v>
      </c>
      <c r="K22" s="5">
        <f t="shared" si="1"/>
        <v>734417.74118453916</v>
      </c>
      <c r="L22" s="5">
        <f t="shared" si="1"/>
        <v>1012933.1862780047</v>
      </c>
      <c r="M22" s="5">
        <f t="shared" si="1"/>
        <v>135036.09103880031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4488138.1495029461</v>
      </c>
    </row>
    <row r="23" spans="3:17" x14ac:dyDescent="0.35">
      <c r="D23" s="3" t="str">
        <f>'KPI 1'!D23</f>
        <v>%REALISATION</v>
      </c>
      <c r="E23" s="9">
        <f>E21/E19</f>
        <v>0.72556433333879489</v>
      </c>
      <c r="F23" s="9">
        <f t="shared" ref="F23:P23" si="2">F20/F19</f>
        <v>1.2533880378314981</v>
      </c>
      <c r="G23" s="9">
        <f t="shared" si="2"/>
        <v>1.0635809211839593</v>
      </c>
      <c r="H23" s="9">
        <f t="shared" si="2"/>
        <v>1.1711821271039273</v>
      </c>
      <c r="I23" s="9">
        <f t="shared" si="2"/>
        <v>1.0036541951385769</v>
      </c>
      <c r="J23" s="9">
        <f t="shared" si="2"/>
        <v>1.0524649329718869</v>
      </c>
      <c r="K23" s="9">
        <f t="shared" si="2"/>
        <v>1.2376093399470984</v>
      </c>
      <c r="L23" s="9">
        <f t="shared" si="2"/>
        <v>1.32561437546641</v>
      </c>
      <c r="M23" s="9">
        <f t="shared" si="2"/>
        <v>1.0431430185671429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2936883.6119525721</v>
      </c>
      <c r="F26" s="5">
        <f>SUM($E19:F19)</f>
        <v>5915346.6954672374</v>
      </c>
      <c r="G26" s="5">
        <f>SUM($E19:G19)</f>
        <v>8931177.4010701347</v>
      </c>
      <c r="H26" s="5">
        <f>SUM($E19:H19)</f>
        <v>11961500.284135329</v>
      </c>
      <c r="I26" s="5">
        <f>SUM($E19:I19)</f>
        <v>15007439.826666612</v>
      </c>
      <c r="J26" s="5">
        <f>SUM($E19:J19)</f>
        <v>18064928.868998397</v>
      </c>
      <c r="K26" s="5">
        <f>SUM($E19:K19)</f>
        <v>21155791.127813857</v>
      </c>
      <c r="L26" s="5">
        <f>SUM($E19:L19)</f>
        <v>24266627.941535853</v>
      </c>
      <c r="M26" s="5">
        <f>SUM($E19:M19)</f>
        <v>27396591.850497052</v>
      </c>
      <c r="N26" s="5">
        <f>SUM($E19:N19)</f>
        <v>30546487.923862699</v>
      </c>
      <c r="O26" s="5">
        <f>SUM($E19:O19)</f>
        <v>33716391.402741864</v>
      </c>
      <c r="P26" s="5">
        <f>SUM($E19:P19)</f>
        <v>36906309.338287398</v>
      </c>
    </row>
    <row r="27" spans="3:17" x14ac:dyDescent="0.35">
      <c r="D27" s="3" t="str">
        <f>'KPI 1'!D27</f>
        <v>ACTUAL2025/26</v>
      </c>
      <c r="E27" s="5">
        <f>SUM($E20:E20)</f>
        <v>3905900</v>
      </c>
      <c r="F27" s="5">
        <f>SUM($E20:F20)</f>
        <v>7639070</v>
      </c>
      <c r="G27" s="5">
        <f>SUM($E20:G20)</f>
        <v>10846650</v>
      </c>
      <c r="H27" s="5">
        <f>SUM($E20:H20)</f>
        <v>14395710</v>
      </c>
      <c r="I27" s="5">
        <f>SUM($E20:I20)</f>
        <v>17452780</v>
      </c>
      <c r="J27" s="5">
        <f>SUM($E20:J20)</f>
        <v>20670680</v>
      </c>
      <c r="K27" s="5">
        <f>SUM($E20:K20)</f>
        <v>24495960</v>
      </c>
      <c r="L27" s="5">
        <f>SUM($E20:L20)</f>
        <v>28619730</v>
      </c>
      <c r="M27" s="5">
        <f>SUM($E20:M20)</f>
        <v>31884730</v>
      </c>
      <c r="N27" s="5">
        <f>SUM($E20:N20)</f>
        <v>31884730</v>
      </c>
      <c r="O27" s="5">
        <f>SUM($E20:O20)</f>
        <v>31884730</v>
      </c>
      <c r="P27" s="5">
        <f>SUM($E20:P20)</f>
        <v>31884730</v>
      </c>
    </row>
    <row r="28" spans="3:17" x14ac:dyDescent="0.35">
      <c r="D28" s="3" t="str">
        <f>'KPI 1'!D28</f>
        <v>ACTUAL2024/25</v>
      </c>
      <c r="E28" s="5">
        <f>SUM($E21:E21)</f>
        <v>2130898</v>
      </c>
      <c r="F28" s="5">
        <f>SUM($E21:F21)</f>
        <v>4625749</v>
      </c>
      <c r="G28" s="5">
        <f>SUM($E21:G21)</f>
        <v>7212556</v>
      </c>
      <c r="H28" s="5">
        <f>SUM($E21:H21)</f>
        <v>9525071</v>
      </c>
      <c r="I28" s="5">
        <f>SUM($E21:I21)</f>
        <v>11933216</v>
      </c>
      <c r="J28" s="5">
        <f>SUM($E21:J21)</f>
        <v>13672568</v>
      </c>
      <c r="K28" s="5">
        <f>SUM($E21:K21)</f>
        <v>15818973</v>
      </c>
      <c r="L28" s="5">
        <f>SUM($E21:L21)</f>
        <v>17879586</v>
      </c>
      <c r="M28" s="5">
        <f>SUM($E21:M21)</f>
        <v>20052284</v>
      </c>
      <c r="N28" s="5">
        <f>SUM($E21:N21)</f>
        <v>22001794</v>
      </c>
      <c r="O28" s="5">
        <f>SUM($E21:O21)</f>
        <v>25456414</v>
      </c>
      <c r="P28" s="5">
        <f>SUM($E21:P21)</f>
        <v>29265444</v>
      </c>
    </row>
    <row r="29" spans="3:17" x14ac:dyDescent="0.35">
      <c r="D29" s="3" t="str">
        <f>'KPI 1'!D29</f>
        <v>DIFFERENCE</v>
      </c>
      <c r="E29" s="5">
        <f>SUM($E22:E22)</f>
        <v>969016.38804742787</v>
      </c>
      <c r="F29" s="5">
        <f>SUM($E22:F22)</f>
        <v>1723723.3045327622</v>
      </c>
      <c r="G29" s="5">
        <f>SUM($E22:G22)</f>
        <v>1915472.5989298644</v>
      </c>
      <c r="H29" s="5">
        <f>SUM($E22:H22)</f>
        <v>2434209.71586467</v>
      </c>
      <c r="I29" s="5">
        <f>SUM($E22:I22)</f>
        <v>2445340.1733333869</v>
      </c>
      <c r="J29" s="5">
        <f>SUM($E22:J22)</f>
        <v>2605751.1310016024</v>
      </c>
      <c r="K29" s="5">
        <f>SUM($E22:K22)</f>
        <v>3340168.8721861416</v>
      </c>
      <c r="L29" s="5">
        <f>SUM($E22:L22)</f>
        <v>4353102.0584641462</v>
      </c>
      <c r="M29" s="5">
        <f>SUM($E22:M22)</f>
        <v>4488138.1495029461</v>
      </c>
      <c r="N29" s="5">
        <f>SUM($E22:N22)</f>
        <v>4488138.1495029461</v>
      </c>
      <c r="O29" s="5">
        <f>SUM($E22:O22)</f>
        <v>4488138.1495029461</v>
      </c>
      <c r="P29" s="5">
        <f>SUM($E22:P22)</f>
        <v>4488138.1495029461</v>
      </c>
    </row>
    <row r="30" spans="3:17" x14ac:dyDescent="0.35">
      <c r="D30" s="3" t="str">
        <f>'KPI 1'!D30</f>
        <v>%REALISATION</v>
      </c>
      <c r="E30" s="9">
        <f>E28/E26</f>
        <v>0.72556433333879489</v>
      </c>
      <c r="F30" s="9">
        <f t="shared" ref="F30:P30" si="3">F27/F26</f>
        <v>1.2913985254412228</v>
      </c>
      <c r="G30" s="9">
        <f t="shared" si="3"/>
        <v>1.2144703338554617</v>
      </c>
      <c r="H30" s="9">
        <f t="shared" si="3"/>
        <v>1.2035037125813717</v>
      </c>
      <c r="I30" s="9">
        <f t="shared" si="3"/>
        <v>1.162941860942083</v>
      </c>
      <c r="J30" s="9">
        <f t="shared" si="3"/>
        <v>1.1442436419151025</v>
      </c>
      <c r="K30" s="9">
        <f t="shared" si="3"/>
        <v>1.1578843755833252</v>
      </c>
      <c r="L30" s="9">
        <f t="shared" si="3"/>
        <v>1.1793863601054015</v>
      </c>
      <c r="M30" s="9">
        <f t="shared" si="3"/>
        <v>1.1638210392735957</v>
      </c>
      <c r="N30" s="9">
        <f t="shared" si="3"/>
        <v>1.0438100144105888</v>
      </c>
      <c r="O30" s="9">
        <f t="shared" si="3"/>
        <v>0.94567445309129639</v>
      </c>
      <c r="P30" s="9">
        <f t="shared" si="3"/>
        <v>0.86393710375483401</v>
      </c>
    </row>
  </sheetData>
  <mergeCells count="2">
    <mergeCell ref="J4:Q8"/>
    <mergeCell ref="J10:Q15"/>
  </mergeCells>
  <conditionalFormatting sqref="C3">
    <cfRule type="expression" dxfId="35" priority="2">
      <formula>S4&lt;S6</formula>
    </cfRule>
  </conditionalFormatting>
  <conditionalFormatting sqref="C4">
    <cfRule type="expression" dxfId="34" priority="1">
      <formula>AND(S4&gt;=S6,S4&lt;S5)</formula>
    </cfRule>
  </conditionalFormatting>
  <conditionalFormatting sqref="C5">
    <cfRule type="expression" dxfId="33" priority="3">
      <formula>S4&gt;=S5</formula>
    </cfRule>
  </conditionalFormatting>
  <hyperlinks>
    <hyperlink ref="L1" location="Dashboard!A1" display="Dashboard" xr:uid="{00000000-0004-0000-33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752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/>
      <c r="B1" s="4" t="str">
        <f>Dashboard!A33</f>
        <v>17a</v>
      </c>
      <c r="C1" s="4" t="str">
        <f>Dashboard!B47</f>
        <v>Amount Billed Sewer-Eastern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1087947.5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902756.63968866528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812480.97571979882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BUDGET2526!D48</f>
        <v>96809.505999981353</v>
      </c>
      <c r="F19" s="5">
        <f>BUDGET2526!E48</f>
        <v>97684.242144150659</v>
      </c>
      <c r="G19" s="5">
        <f>BUDGET2526!F48</f>
        <v>98558.741921406414</v>
      </c>
      <c r="H19" s="5">
        <f>BUDGET2526!G48</f>
        <v>99433.008888245269</v>
      </c>
      <c r="I19" s="5">
        <f>BUDGET2526!H48</f>
        <v>100307.04653016933</v>
      </c>
      <c r="J19" s="5">
        <f>BUDGET2526!I48</f>
        <v>101180.85826344904</v>
      </c>
      <c r="K19" s="5">
        <f>BUDGET2526!J48</f>
        <v>102054.44743683365</v>
      </c>
      <c r="L19" s="5">
        <f>BUDGET2526!K48</f>
        <v>102927.8173332109</v>
      </c>
      <c r="M19" s="5">
        <f>BUDGET2526!L48</f>
        <v>103800.97117121863</v>
      </c>
      <c r="N19" s="5">
        <f>BUDGET2526!M48</f>
        <v>104673.91210680854</v>
      </c>
      <c r="O19" s="5">
        <f>BUDGET2526!N48</f>
        <v>105546.64323476522</v>
      </c>
      <c r="P19" s="5">
        <f>BUDGET2526!O48</f>
        <v>106419.1675901808</v>
      </c>
      <c r="Q19" s="5">
        <f>SUM(E19:P19)</f>
        <v>1219396.3626204198</v>
      </c>
    </row>
    <row r="20" spans="3:17" x14ac:dyDescent="0.35">
      <c r="D20" s="3" t="str">
        <f>'KPI 1'!D20</f>
        <v>ACTUAL2025/26</v>
      </c>
      <c r="E20" s="5">
        <f>'ACTUAL 2526'!E48</f>
        <v>142375</v>
      </c>
      <c r="F20" s="5">
        <f>'ACTUAL 2526'!F48</f>
        <v>128227.5</v>
      </c>
      <c r="G20" s="5">
        <f>'ACTUAL 2526'!G48</f>
        <v>111505</v>
      </c>
      <c r="H20" s="5">
        <f>'ACTUAL 2526'!H48</f>
        <v>110110</v>
      </c>
      <c r="I20" s="5">
        <f>'ACTUAL 2526'!I48</f>
        <v>99255</v>
      </c>
      <c r="J20" s="5">
        <f>'ACTUAL 2526'!J48</f>
        <v>117272.5</v>
      </c>
      <c r="K20" s="5">
        <f>'ACTUAL 2526'!K48</f>
        <v>133717.5</v>
      </c>
      <c r="L20" s="5">
        <f>'ACTUAL 2526'!L48</f>
        <v>132787.5</v>
      </c>
      <c r="M20" s="5">
        <f>'ACTUAL 2526'!M48</f>
        <v>112697.5</v>
      </c>
      <c r="N20" s="5">
        <f>'ACTUAL 2526'!N48</f>
        <v>0</v>
      </c>
      <c r="O20" s="5">
        <f>'ACTUAL 2526'!O48</f>
        <v>0</v>
      </c>
      <c r="P20" s="5">
        <f>'ACTUAL 2526'!P48</f>
        <v>0</v>
      </c>
      <c r="Q20" s="5">
        <f t="shared" ref="Q20:Q21" si="0">SUM(E20:P20)</f>
        <v>1087947.5</v>
      </c>
    </row>
    <row r="21" spans="3:17" x14ac:dyDescent="0.35">
      <c r="D21" s="3" t="str">
        <f>'KPI 1'!D21</f>
        <v>ACTUAL2024/25</v>
      </c>
      <c r="E21" s="5">
        <f>'Actual 202425'!E48</f>
        <v>52477.5</v>
      </c>
      <c r="F21" s="5">
        <f>'Actual 202425'!F48</f>
        <v>64442.5</v>
      </c>
      <c r="G21" s="5">
        <f>'Actual 202425'!G48</f>
        <v>60608.25</v>
      </c>
      <c r="H21" s="5">
        <f>'Actual 202425'!H48</f>
        <v>59066.5</v>
      </c>
      <c r="I21" s="5">
        <f>'Actual 202425'!I48</f>
        <v>69893.5</v>
      </c>
      <c r="J21" s="5">
        <f>'Actual 202425'!J48</f>
        <v>49893.5</v>
      </c>
      <c r="K21" s="5">
        <f>'Actual 202425'!K48</f>
        <v>68763.5</v>
      </c>
      <c r="L21" s="5">
        <f>'Actual 202425'!L48</f>
        <v>74154.25</v>
      </c>
      <c r="M21" s="5">
        <f>'Actual 202425'!M48</f>
        <v>78705.5</v>
      </c>
      <c r="N21" s="5">
        <f>'Actual 202425'!N48</f>
        <v>75535.25</v>
      </c>
      <c r="O21" s="5">
        <f>'Actual 202425'!O48</f>
        <v>110252.5</v>
      </c>
      <c r="P21" s="5">
        <f>'Actual 202425'!P48</f>
        <v>110152.5</v>
      </c>
      <c r="Q21" s="5">
        <f t="shared" si="0"/>
        <v>873945.25</v>
      </c>
    </row>
    <row r="22" spans="3:17" x14ac:dyDescent="0.35">
      <c r="D22" s="3" t="str">
        <f>'KPI 1'!D22</f>
        <v>DIFFERENCE</v>
      </c>
      <c r="E22" s="5">
        <f t="shared" ref="E22:P22" si="1">IF(E20=0,0,E20-E19)</f>
        <v>45565.494000018647</v>
      </c>
      <c r="F22" s="5">
        <f t="shared" si="1"/>
        <v>30543.257855849341</v>
      </c>
      <c r="G22" s="5">
        <f t="shared" si="1"/>
        <v>12946.258078593586</v>
      </c>
      <c r="H22" s="5">
        <f t="shared" si="1"/>
        <v>10676.991111754731</v>
      </c>
      <c r="I22" s="5">
        <f t="shared" si="1"/>
        <v>-1052.046530169333</v>
      </c>
      <c r="J22" s="5">
        <f t="shared" si="1"/>
        <v>16091.641736550955</v>
      </c>
      <c r="K22" s="5">
        <f t="shared" si="1"/>
        <v>31663.052563166348</v>
      </c>
      <c r="L22" s="5">
        <f t="shared" si="1"/>
        <v>29859.6826667891</v>
      </c>
      <c r="M22" s="5">
        <f t="shared" si="1"/>
        <v>8896.5288287813746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185190.86031133478</v>
      </c>
    </row>
    <row r="23" spans="3:17" x14ac:dyDescent="0.35">
      <c r="D23" s="3" t="str">
        <f>'KPI 1'!D23</f>
        <v>%REALISATION</v>
      </c>
      <c r="E23" s="9">
        <f t="shared" ref="E23:P23" si="2">E20/E19</f>
        <v>1.4706716920963054</v>
      </c>
      <c r="F23" s="9">
        <f t="shared" si="2"/>
        <v>1.3126733358976903</v>
      </c>
      <c r="G23" s="9">
        <f t="shared" si="2"/>
        <v>1.1313557562343612</v>
      </c>
      <c r="H23" s="9">
        <f t="shared" si="2"/>
        <v>1.1073787390237262</v>
      </c>
      <c r="I23" s="9">
        <f t="shared" si="2"/>
        <v>0.98951173854119101</v>
      </c>
      <c r="J23" s="9">
        <f t="shared" si="2"/>
        <v>1.1590383992854898</v>
      </c>
      <c r="K23" s="9">
        <f t="shared" si="2"/>
        <v>1.3102564695454759</v>
      </c>
      <c r="L23" s="9">
        <f t="shared" si="2"/>
        <v>1.2901031367460516</v>
      </c>
      <c r="M23" s="9">
        <f t="shared" si="2"/>
        <v>1.0857075683242563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96809.505999981353</v>
      </c>
      <c r="F26" s="5">
        <f>SUM($E19:F19)</f>
        <v>194493.74814413203</v>
      </c>
      <c r="G26" s="5">
        <f>SUM($E19:G19)</f>
        <v>293052.49006553844</v>
      </c>
      <c r="H26" s="5">
        <f>SUM($E19:H19)</f>
        <v>392485.49895378371</v>
      </c>
      <c r="I26" s="5">
        <f>SUM($E19:I19)</f>
        <v>492792.54548395303</v>
      </c>
      <c r="J26" s="5">
        <f>SUM($E19:J19)</f>
        <v>593973.40374740213</v>
      </c>
      <c r="K26" s="5">
        <f>SUM($E19:K19)</f>
        <v>696027.85118423577</v>
      </c>
      <c r="L26" s="5">
        <f>SUM($E19:L19)</f>
        <v>798955.66851744661</v>
      </c>
      <c r="M26" s="5">
        <f>SUM($E19:M19)</f>
        <v>902756.63968866528</v>
      </c>
      <c r="N26" s="5">
        <f>SUM($E19:N19)</f>
        <v>1007430.5517954738</v>
      </c>
      <c r="O26" s="5">
        <f>SUM($E19:O19)</f>
        <v>1112977.1950302389</v>
      </c>
      <c r="P26" s="5">
        <f>SUM($E19:P19)</f>
        <v>1219396.3626204198</v>
      </c>
    </row>
    <row r="27" spans="3:17" x14ac:dyDescent="0.35">
      <c r="D27" s="3" t="str">
        <f>'KPI 1'!D27</f>
        <v>ACTUAL2025/26</v>
      </c>
      <c r="E27" s="5">
        <f>SUM($E20:E20)</f>
        <v>142375</v>
      </c>
      <c r="F27" s="5">
        <f>SUM($E20:F20)</f>
        <v>270602.5</v>
      </c>
      <c r="G27" s="5">
        <f>SUM($E20:G20)</f>
        <v>382107.5</v>
      </c>
      <c r="H27" s="5">
        <f>SUM($E20:H20)</f>
        <v>492217.5</v>
      </c>
      <c r="I27" s="5">
        <f>SUM($E20:I20)</f>
        <v>591472.5</v>
      </c>
      <c r="J27" s="5">
        <f>SUM($E20:J20)</f>
        <v>708745</v>
      </c>
      <c r="K27" s="5">
        <f>SUM($E20:K20)</f>
        <v>842462.5</v>
      </c>
      <c r="L27" s="5">
        <f>SUM($E20:L20)</f>
        <v>975250</v>
      </c>
      <c r="M27" s="5">
        <f>SUM($E20:M20)</f>
        <v>1087947.5</v>
      </c>
      <c r="N27" s="5">
        <f>SUM($E20:N20)</f>
        <v>1087947.5</v>
      </c>
      <c r="O27" s="5">
        <f>SUM($E20:O20)</f>
        <v>1087947.5</v>
      </c>
      <c r="P27" s="5">
        <f>SUM($E20:P20)</f>
        <v>1087947.5</v>
      </c>
    </row>
    <row r="28" spans="3:17" x14ac:dyDescent="0.35">
      <c r="D28" s="3" t="str">
        <f>'KPI 1'!D28</f>
        <v>ACTUAL2024/25</v>
      </c>
      <c r="E28" s="5">
        <f>SUM($E21:E21)</f>
        <v>52477.5</v>
      </c>
      <c r="F28" s="5">
        <f>SUM($E21:F21)</f>
        <v>116920</v>
      </c>
      <c r="G28" s="5">
        <f>SUM($E21:G21)</f>
        <v>177528.25</v>
      </c>
      <c r="H28" s="5">
        <f>SUM($E21:H21)</f>
        <v>236594.75</v>
      </c>
      <c r="I28" s="5">
        <f>SUM($E21:I21)</f>
        <v>306488.25</v>
      </c>
      <c r="J28" s="5">
        <f>SUM($E21:J21)</f>
        <v>356381.75</v>
      </c>
      <c r="K28" s="5">
        <f>SUM($E21:K21)</f>
        <v>425145.25</v>
      </c>
      <c r="L28" s="5">
        <f>SUM($E21:L21)</f>
        <v>499299.5</v>
      </c>
      <c r="M28" s="5">
        <f>SUM($E21:M21)</f>
        <v>578005</v>
      </c>
      <c r="N28" s="5">
        <f>SUM($E21:N21)</f>
        <v>653540.25</v>
      </c>
      <c r="O28" s="5">
        <f>SUM($E21:O21)</f>
        <v>763792.75</v>
      </c>
      <c r="P28" s="5">
        <f>SUM($E21:P21)</f>
        <v>873945.25</v>
      </c>
    </row>
    <row r="29" spans="3:17" x14ac:dyDescent="0.35">
      <c r="D29" s="3" t="str">
        <f>'KPI 1'!D29</f>
        <v>DIFFERENCE</v>
      </c>
      <c r="E29" s="5">
        <f>SUM($E22:E22)</f>
        <v>45565.494000018647</v>
      </c>
      <c r="F29" s="5">
        <f>SUM($E22:F22)</f>
        <v>76108.751855867988</v>
      </c>
      <c r="G29" s="5">
        <f>SUM($E22:G22)</f>
        <v>89055.009934461574</v>
      </c>
      <c r="H29" s="5">
        <f>SUM($E22:H22)</f>
        <v>99732.001046216305</v>
      </c>
      <c r="I29" s="5">
        <f>SUM($E22:I22)</f>
        <v>98679.954516046972</v>
      </c>
      <c r="J29" s="5">
        <f>SUM($E22:J22)</f>
        <v>114771.59625259793</v>
      </c>
      <c r="K29" s="5">
        <f>SUM($E22:K22)</f>
        <v>146434.64881576429</v>
      </c>
      <c r="L29" s="5">
        <f>SUM($E22:L22)</f>
        <v>176294.33148255339</v>
      </c>
      <c r="M29" s="5">
        <f>SUM($E22:M22)</f>
        <v>185190.86031133478</v>
      </c>
      <c r="N29" s="5">
        <f>SUM($E22:N22)</f>
        <v>185190.86031133478</v>
      </c>
      <c r="O29" s="5">
        <f>SUM($E22:O22)</f>
        <v>185190.86031133478</v>
      </c>
      <c r="P29" s="5">
        <f>SUM($E22:P22)</f>
        <v>185190.86031133478</v>
      </c>
    </row>
    <row r="30" spans="3:17" x14ac:dyDescent="0.35">
      <c r="D30" s="3" t="str">
        <f>'KPI 1'!D30</f>
        <v>%REALISATION</v>
      </c>
      <c r="E30" s="9">
        <f t="shared" ref="E30:P30" si="3">E27/E26</f>
        <v>1.4706716920963054</v>
      </c>
      <c r="F30" s="9">
        <f t="shared" si="3"/>
        <v>1.391317214985577</v>
      </c>
      <c r="G30" s="9">
        <f t="shared" si="3"/>
        <v>1.3038875728868411</v>
      </c>
      <c r="H30" s="9">
        <f t="shared" si="3"/>
        <v>1.2541036581276599</v>
      </c>
      <c r="I30" s="9">
        <f t="shared" si="3"/>
        <v>1.2002464432962092</v>
      </c>
      <c r="J30" s="9">
        <f t="shared" si="3"/>
        <v>1.1932268272089277</v>
      </c>
      <c r="K30" s="9">
        <f t="shared" si="3"/>
        <v>1.2103861915390561</v>
      </c>
      <c r="L30" s="9">
        <f t="shared" si="3"/>
        <v>1.2206559618128596</v>
      </c>
      <c r="M30" s="9">
        <f t="shared" si="3"/>
        <v>1.2051392946555362</v>
      </c>
      <c r="N30" s="9">
        <f t="shared" si="3"/>
        <v>1.0799230756512461</v>
      </c>
      <c r="O30" s="9">
        <f t="shared" si="3"/>
        <v>0.97751104412381162</v>
      </c>
      <c r="P30" s="9">
        <f t="shared" si="3"/>
        <v>0.89220169368232083</v>
      </c>
    </row>
  </sheetData>
  <mergeCells count="2">
    <mergeCell ref="J4:Q8"/>
    <mergeCell ref="J10:Q15"/>
  </mergeCells>
  <conditionalFormatting sqref="C3">
    <cfRule type="expression" dxfId="32" priority="2">
      <formula>S4&lt;S6</formula>
    </cfRule>
  </conditionalFormatting>
  <conditionalFormatting sqref="C4">
    <cfRule type="expression" dxfId="31" priority="1">
      <formula>AND(S4&gt;=S6,S4&lt;S5)</formula>
    </cfRule>
  </conditionalFormatting>
  <conditionalFormatting sqref="C5">
    <cfRule type="expression" dxfId="30" priority="3">
      <formula>S4&gt;=S5</formula>
    </cfRule>
  </conditionalFormatting>
  <hyperlinks>
    <hyperlink ref="L1" location="Dashboard!A1" display="Dashboard" xr:uid="{00000000-0004-0000-34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854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/>
      <c r="B1" s="4" t="str">
        <f>Dashboard!A34</f>
        <v>18a</v>
      </c>
      <c r="C1" s="4" t="str">
        <f>Dashboard!B34</f>
        <v>othersales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3111636.5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BUDGET2526!D49</f>
        <v>0</v>
      </c>
      <c r="F19" s="5">
        <f>BUDGET2526!E49</f>
        <v>0</v>
      </c>
      <c r="G19" s="5">
        <f>BUDGET2526!F49</f>
        <v>0</v>
      </c>
      <c r="H19" s="5">
        <f>BUDGET2526!G49</f>
        <v>0</v>
      </c>
      <c r="I19" s="5">
        <f>BUDGET2526!H49</f>
        <v>0</v>
      </c>
      <c r="J19" s="5">
        <f>BUDGET2526!I49</f>
        <v>0</v>
      </c>
      <c r="K19" s="5">
        <f>BUDGET2526!J49</f>
        <v>0</v>
      </c>
      <c r="L19" s="5">
        <f>BUDGET2526!K49</f>
        <v>0</v>
      </c>
      <c r="M19" s="5">
        <f>BUDGET2526!L49</f>
        <v>0</v>
      </c>
      <c r="N19" s="5">
        <f>BUDGET2526!M49</f>
        <v>0</v>
      </c>
      <c r="O19" s="5">
        <f>BUDGET2526!N49</f>
        <v>0</v>
      </c>
      <c r="P19" s="5">
        <f>BUDGET2526!O49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'ACTUAL 2526'!E49</f>
        <v>304295</v>
      </c>
      <c r="F20" s="5">
        <f>'ACTUAL 2526'!F49</f>
        <v>457158.5</v>
      </c>
      <c r="G20" s="5">
        <f>'ACTUAL 2526'!G49</f>
        <v>500601</v>
      </c>
      <c r="H20" s="5">
        <f>'ACTUAL 2526'!H49</f>
        <v>294431</v>
      </c>
      <c r="I20" s="5">
        <f>'ACTUAL 2526'!I49</f>
        <v>283853.5</v>
      </c>
      <c r="J20" s="5">
        <f>'ACTUAL 2526'!J49</f>
        <v>302395</v>
      </c>
      <c r="K20" s="5">
        <f>'ACTUAL 2526'!K49</f>
        <v>458464</v>
      </c>
      <c r="L20" s="5">
        <f>'ACTUAL 2526'!L49</f>
        <v>347188.5</v>
      </c>
      <c r="M20" s="5">
        <f>'ACTUAL 2526'!M49</f>
        <v>163250</v>
      </c>
      <c r="N20" s="5">
        <f>'ACTUAL 2526'!N49</f>
        <v>0</v>
      </c>
      <c r="O20" s="5">
        <f>'ACTUAL 2526'!O49</f>
        <v>0</v>
      </c>
      <c r="P20" s="5">
        <f>'ACTUAL 2526'!P49</f>
        <v>0</v>
      </c>
      <c r="Q20" s="5">
        <f t="shared" ref="Q20:Q21" si="0">SUM(E20:P20)</f>
        <v>3111636.5</v>
      </c>
    </row>
    <row r="21" spans="3:17" x14ac:dyDescent="0.35">
      <c r="D21" s="3" t="str">
        <f>'KPI 1'!D21</f>
        <v>ACTUAL2024/25</v>
      </c>
      <c r="E21" s="5">
        <f>'Actual 202425'!E49</f>
        <v>603155</v>
      </c>
      <c r="F21" s="5">
        <f>'Actual 202425'!F49</f>
        <v>229252</v>
      </c>
      <c r="G21" s="5">
        <f>'Actual 202425'!G49</f>
        <v>246550</v>
      </c>
      <c r="H21" s="5">
        <f>'Actual 202425'!H49</f>
        <v>226700</v>
      </c>
      <c r="I21" s="5">
        <f>'Actual 202425'!I49</f>
        <v>234700</v>
      </c>
      <c r="J21" s="5">
        <f>'Actual 202425'!J49</f>
        <v>177600</v>
      </c>
      <c r="K21" s="5">
        <f>'Actual 202425'!K49</f>
        <v>282050</v>
      </c>
      <c r="L21" s="5">
        <f>'Actual 202425'!L49</f>
        <v>275450</v>
      </c>
      <c r="M21" s="5">
        <f>'Actual 202425'!M49</f>
        <v>306450</v>
      </c>
      <c r="N21" s="5">
        <f>'Actual 202425'!N49</f>
        <v>343791</v>
      </c>
      <c r="O21" s="5">
        <f>'Actual 202425'!O49</f>
        <v>226231</v>
      </c>
      <c r="P21" s="5">
        <f>'Actual 202425'!P49</f>
        <v>311951.5</v>
      </c>
      <c r="Q21" s="5">
        <f t="shared" si="0"/>
        <v>3463880.5</v>
      </c>
    </row>
    <row r="22" spans="3:17" x14ac:dyDescent="0.35">
      <c r="D22" s="3" t="str">
        <f>'KPI 1'!D22</f>
        <v>DIFFERENCE</v>
      </c>
      <c r="E22" s="5">
        <f t="shared" ref="E22:P22" si="1">IF(E20=0,0,E20-E19)</f>
        <v>304295</v>
      </c>
      <c r="F22" s="5">
        <f t="shared" si="1"/>
        <v>457158.5</v>
      </c>
      <c r="G22" s="5">
        <f t="shared" si="1"/>
        <v>500601</v>
      </c>
      <c r="H22" s="5">
        <f t="shared" si="1"/>
        <v>294431</v>
      </c>
      <c r="I22" s="5">
        <f t="shared" si="1"/>
        <v>283853.5</v>
      </c>
      <c r="J22" s="5">
        <f t="shared" si="1"/>
        <v>302395</v>
      </c>
      <c r="K22" s="5">
        <f t="shared" si="1"/>
        <v>458464</v>
      </c>
      <c r="L22" s="5">
        <f t="shared" si="1"/>
        <v>347188.5</v>
      </c>
      <c r="M22" s="5">
        <f t="shared" si="1"/>
        <v>163250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3111636.5</v>
      </c>
    </row>
    <row r="23" spans="3:17" x14ac:dyDescent="0.35">
      <c r="D23" s="3" t="str">
        <f>'KPI 1'!D23</f>
        <v>%REALISATION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>'KPI 1'!D27</f>
        <v>ACTUAL2025/26</v>
      </c>
      <c r="E27" s="5">
        <f>SUM($E20:E20)</f>
        <v>304295</v>
      </c>
      <c r="F27" s="5">
        <f>SUM($E20:F20)</f>
        <v>761453.5</v>
      </c>
      <c r="G27" s="5">
        <f>SUM($E20:G20)</f>
        <v>1262054.5</v>
      </c>
      <c r="H27" s="5">
        <f>SUM($E20:H20)</f>
        <v>1556485.5</v>
      </c>
      <c r="I27" s="5">
        <f>SUM($E20:I20)</f>
        <v>1840339</v>
      </c>
      <c r="J27" s="5">
        <f>SUM($E20:J20)</f>
        <v>2142734</v>
      </c>
      <c r="K27" s="5">
        <f>SUM($E20:K20)</f>
        <v>2601198</v>
      </c>
      <c r="L27" s="5">
        <f>SUM($E20:L20)</f>
        <v>2948386.5</v>
      </c>
      <c r="M27" s="5">
        <f>SUM($E20:M20)</f>
        <v>3111636.5</v>
      </c>
      <c r="N27" s="5">
        <f>SUM($E20:N20)</f>
        <v>3111636.5</v>
      </c>
      <c r="O27" s="5">
        <f>SUM($E20:O20)</f>
        <v>3111636.5</v>
      </c>
      <c r="P27" s="5">
        <f>SUM($E20:P20)</f>
        <v>3111636.5</v>
      </c>
    </row>
    <row r="28" spans="3:17" x14ac:dyDescent="0.35">
      <c r="D28" s="3" t="str">
        <f>'KPI 1'!D28</f>
        <v>ACTUAL2024/25</v>
      </c>
      <c r="E28" s="5">
        <f>SUM($E21:E21)</f>
        <v>603155</v>
      </c>
      <c r="F28" s="5">
        <f>SUM($E21:F21)</f>
        <v>832407</v>
      </c>
      <c r="G28" s="5">
        <f>SUM($E21:G21)</f>
        <v>1078957</v>
      </c>
      <c r="H28" s="5">
        <f>SUM($E21:H21)</f>
        <v>1305657</v>
      </c>
      <c r="I28" s="5">
        <f>SUM($E21:I21)</f>
        <v>1540357</v>
      </c>
      <c r="J28" s="5">
        <f>SUM($E21:J21)</f>
        <v>1717957</v>
      </c>
      <c r="K28" s="5">
        <f>SUM($E21:K21)</f>
        <v>2000007</v>
      </c>
      <c r="L28" s="5">
        <f>SUM($E21:L21)</f>
        <v>2275457</v>
      </c>
      <c r="M28" s="5">
        <f>SUM($E21:M21)</f>
        <v>2581907</v>
      </c>
      <c r="N28" s="5">
        <f>SUM($E21:N21)</f>
        <v>2925698</v>
      </c>
      <c r="O28" s="5">
        <f>SUM($E21:O21)</f>
        <v>3151929</v>
      </c>
      <c r="P28" s="5">
        <f>SUM($E21:P21)</f>
        <v>3463880.5</v>
      </c>
    </row>
    <row r="29" spans="3:17" x14ac:dyDescent="0.35">
      <c r="D29" s="3" t="str">
        <f>'KPI 1'!D29</f>
        <v>DIFFERENCE</v>
      </c>
      <c r="E29" s="5">
        <f>SUM($E22:E22)</f>
        <v>304295</v>
      </c>
      <c r="F29" s="5">
        <f>SUM($E22:F22)</f>
        <v>761453.5</v>
      </c>
      <c r="G29" s="5">
        <f>SUM($E22:G22)</f>
        <v>1262054.5</v>
      </c>
      <c r="H29" s="5">
        <f>SUM($E22:H22)</f>
        <v>1556485.5</v>
      </c>
      <c r="I29" s="5">
        <f>SUM($E22:I22)</f>
        <v>1840339</v>
      </c>
      <c r="J29" s="5">
        <f>SUM($E22:J22)</f>
        <v>2142734</v>
      </c>
      <c r="K29" s="5">
        <f>SUM($E22:K22)</f>
        <v>2601198</v>
      </c>
      <c r="L29" s="5">
        <f>SUM($E22:L22)</f>
        <v>2948386.5</v>
      </c>
      <c r="M29" s="5">
        <f>SUM($E22:M22)</f>
        <v>3111636.5</v>
      </c>
      <c r="N29" s="5">
        <f>SUM($E22:N22)</f>
        <v>3111636.5</v>
      </c>
      <c r="O29" s="5">
        <f>SUM($E22:O22)</f>
        <v>3111636.5</v>
      </c>
      <c r="P29" s="5">
        <f>SUM($E22:P22)</f>
        <v>3111636.5</v>
      </c>
    </row>
    <row r="30" spans="3:17" x14ac:dyDescent="0.35">
      <c r="D30" s="3" t="str">
        <f>'KPI 1'!D30</f>
        <v>%REALISATION</v>
      </c>
      <c r="E30" s="9" t="e">
        <f>E28/E26</f>
        <v>#DIV/0!</v>
      </c>
      <c r="F30" s="9" t="e">
        <f t="shared" ref="F30:P30" si="3">F27/F26</f>
        <v>#DIV/0!</v>
      </c>
      <c r="G30" s="9" t="e">
        <f t="shared" si="3"/>
        <v>#DIV/0!</v>
      </c>
      <c r="H30" s="9" t="e">
        <f t="shared" si="3"/>
        <v>#DIV/0!</v>
      </c>
      <c r="I30" s="9" t="e">
        <f t="shared" si="3"/>
        <v>#DIV/0!</v>
      </c>
      <c r="J30" s="9" t="e">
        <f t="shared" si="3"/>
        <v>#DIV/0!</v>
      </c>
      <c r="K30" s="9" t="e">
        <f t="shared" si="3"/>
        <v>#DIV/0!</v>
      </c>
      <c r="L30" s="9" t="e">
        <f t="shared" si="3"/>
        <v>#DIV/0!</v>
      </c>
      <c r="M30" s="9" t="e">
        <f t="shared" si="3"/>
        <v>#DIV/0!</v>
      </c>
      <c r="N30" s="9" t="e">
        <f t="shared" si="3"/>
        <v>#DIV/0!</v>
      </c>
      <c r="O30" s="9" t="e">
        <f t="shared" si="3"/>
        <v>#DIV/0!</v>
      </c>
      <c r="P30" s="9" t="e">
        <f t="shared" si="3"/>
        <v>#DIV/0!</v>
      </c>
    </row>
  </sheetData>
  <mergeCells count="2">
    <mergeCell ref="J4:Q8"/>
    <mergeCell ref="J10:Q15"/>
  </mergeCells>
  <conditionalFormatting sqref="C3">
    <cfRule type="expression" dxfId="29" priority="2">
      <formula>S4&lt;S6</formula>
    </cfRule>
  </conditionalFormatting>
  <conditionalFormatting sqref="C4">
    <cfRule type="expression" dxfId="28" priority="1">
      <formula>AND(S4&gt;=S6,S4&lt;S5)</formula>
    </cfRule>
  </conditionalFormatting>
  <conditionalFormatting sqref="C5">
    <cfRule type="expression" dxfId="27" priority="3">
      <formula>S4&gt;=S5</formula>
    </cfRule>
  </conditionalFormatting>
  <hyperlinks>
    <hyperlink ref="L1" location="Dashboard!A1" display="Dashboard" xr:uid="{00000000-0004-0000-35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956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Dashboard!A35</f>
        <v>19a</v>
      </c>
      <c r="C1" s="4" t="str">
        <f>Dashboard!B49</f>
        <v>Amount Billed Water &amp; Sewer-othersales-Eastern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36084314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28299348.490185719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25469413.641167149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BUDGET2526!D50</f>
        <v>3033693.1179525536</v>
      </c>
      <c r="F19" s="5">
        <f>BUDGET2526!E50</f>
        <v>3076147.3256588164</v>
      </c>
      <c r="G19" s="5">
        <f>BUDGET2526!F50</f>
        <v>3114389.447524304</v>
      </c>
      <c r="H19" s="5">
        <f>BUDGET2526!G50</f>
        <v>3129755.8919534395</v>
      </c>
      <c r="I19" s="5">
        <f>BUDGET2526!H50</f>
        <v>3146246.5890614525</v>
      </c>
      <c r="J19" s="5">
        <f>BUDGET2526!I50</f>
        <v>3158669.9005952338</v>
      </c>
      <c r="K19" s="5">
        <f>BUDGET2526!J50</f>
        <v>3192916.7062522946</v>
      </c>
      <c r="L19" s="5">
        <f>BUDGET2526!K50</f>
        <v>3213764.6310552061</v>
      </c>
      <c r="M19" s="5">
        <f>BUDGET2526!L50</f>
        <v>3233764.8801324181</v>
      </c>
      <c r="N19" s="5">
        <f>BUDGET2526!M50</f>
        <v>3254569.9854724566</v>
      </c>
      <c r="O19" s="5">
        <f>BUDGET2526!N50</f>
        <v>3275450.1221139315</v>
      </c>
      <c r="P19" s="5">
        <f>BUDGET2526!O50</f>
        <v>3296337.1031357143</v>
      </c>
      <c r="Q19" s="5">
        <f>SUM(E19:P19)</f>
        <v>38125705.700907819</v>
      </c>
    </row>
    <row r="20" spans="3:17" x14ac:dyDescent="0.35">
      <c r="D20" s="3" t="str">
        <f>'KPI 1'!D20</f>
        <v>ACTUAL2025/26</v>
      </c>
      <c r="E20" s="5">
        <f>'ACTUAL 2526'!E50</f>
        <v>4352570</v>
      </c>
      <c r="F20" s="5">
        <f>'ACTUAL 2526'!F50</f>
        <v>4318556</v>
      </c>
      <c r="G20" s="5">
        <f>'ACTUAL 2526'!G50</f>
        <v>3819686</v>
      </c>
      <c r="H20" s="5">
        <f>'ACTUAL 2526'!H50</f>
        <v>3953601</v>
      </c>
      <c r="I20" s="5">
        <f>'ACTUAL 2526'!I50</f>
        <v>3440178.5</v>
      </c>
      <c r="J20" s="5">
        <f>'ACTUAL 2526'!J50</f>
        <v>3637567.5</v>
      </c>
      <c r="K20" s="5">
        <f>'ACTUAL 2526'!K50</f>
        <v>4417461.5</v>
      </c>
      <c r="L20" s="5">
        <f>'ACTUAL 2526'!L50</f>
        <v>4603746</v>
      </c>
      <c r="M20" s="5">
        <f>'ACTUAL 2526'!M50</f>
        <v>3540947.5</v>
      </c>
      <c r="N20" s="5">
        <f>'ACTUAL 2526'!N50</f>
        <v>0</v>
      </c>
      <c r="O20" s="5">
        <f>'ACTUAL 2526'!O50</f>
        <v>0</v>
      </c>
      <c r="P20" s="5">
        <f>'ACTUAL 2526'!P50</f>
        <v>0</v>
      </c>
      <c r="Q20" s="5">
        <f t="shared" ref="Q20:Q21" si="0">SUM(E20:P20)</f>
        <v>36084314</v>
      </c>
    </row>
    <row r="21" spans="3:17" x14ac:dyDescent="0.35">
      <c r="D21" s="3" t="str">
        <f>'KPI 1'!D21</f>
        <v>ACTUAL2024/25</v>
      </c>
      <c r="E21" s="5">
        <f>'Actual 202425'!E50</f>
        <v>2786530.5</v>
      </c>
      <c r="F21" s="5">
        <f>'Actual 202425'!F50</f>
        <v>2788545.5</v>
      </c>
      <c r="G21" s="5">
        <f>'Actual 202425'!G50</f>
        <v>2893965.25</v>
      </c>
      <c r="H21" s="5">
        <f>'Actual 202425'!H50</f>
        <v>2598281.5</v>
      </c>
      <c r="I21" s="5">
        <f>'Actual 202425'!I50</f>
        <v>2712738.5</v>
      </c>
      <c r="J21" s="5">
        <f>'Actual 202425'!J50</f>
        <v>1966845.5</v>
      </c>
      <c r="K21" s="5">
        <f>'Actual 202425'!K50</f>
        <v>2497218.5</v>
      </c>
      <c r="L21" s="5">
        <f>'Actual 202425'!L50</f>
        <v>2410217.25</v>
      </c>
      <c r="M21" s="5">
        <f>'Actual 202425'!M50</f>
        <v>2557853.5</v>
      </c>
      <c r="N21" s="5">
        <f>'Actual 202425'!N50</f>
        <v>2368836.25</v>
      </c>
      <c r="O21" s="5">
        <f>'Actual 202425'!O50</f>
        <v>3791103.5</v>
      </c>
      <c r="P21" s="5">
        <f>'Actual 202425'!P50</f>
        <v>4231134</v>
      </c>
      <c r="Q21" s="5">
        <f t="shared" si="0"/>
        <v>33603269.75</v>
      </c>
    </row>
    <row r="22" spans="3:17" x14ac:dyDescent="0.35">
      <c r="D22" s="3" t="str">
        <f>'KPI 1'!D22</f>
        <v>DIFFERENCE</v>
      </c>
      <c r="E22" s="5">
        <f t="shared" ref="E22:P22" si="1">IF(E20=0,0,E20-E19)</f>
        <v>1318876.8820474464</v>
      </c>
      <c r="F22" s="5">
        <f t="shared" si="1"/>
        <v>1242408.6743411836</v>
      </c>
      <c r="G22" s="5">
        <f t="shared" si="1"/>
        <v>705296.55247569596</v>
      </c>
      <c r="H22" s="5">
        <f t="shared" si="1"/>
        <v>823845.10804656055</v>
      </c>
      <c r="I22" s="5">
        <f t="shared" si="1"/>
        <v>293931.91093854746</v>
      </c>
      <c r="J22" s="5">
        <f t="shared" si="1"/>
        <v>478897.59940476622</v>
      </c>
      <c r="K22" s="5">
        <f t="shared" si="1"/>
        <v>1224544.7937477054</v>
      </c>
      <c r="L22" s="5">
        <f t="shared" si="1"/>
        <v>1389981.3689447939</v>
      </c>
      <c r="M22" s="5">
        <f t="shared" si="1"/>
        <v>307182.61986758187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7784965.509814281</v>
      </c>
    </row>
    <row r="23" spans="3:17" x14ac:dyDescent="0.35">
      <c r="D23" s="3" t="str">
        <f>'KPI 1'!D23</f>
        <v>%REALISATION</v>
      </c>
      <c r="E23" s="9">
        <f t="shared" ref="E23:P23" si="2">E20/E19</f>
        <v>1.4347430114940432</v>
      </c>
      <c r="F23" s="9">
        <f t="shared" si="2"/>
        <v>1.4038846462189836</v>
      </c>
      <c r="G23" s="9">
        <f t="shared" si="2"/>
        <v>1.2264638268140651</v>
      </c>
      <c r="H23" s="9">
        <f t="shared" si="2"/>
        <v>1.2632298289347919</v>
      </c>
      <c r="I23" s="9">
        <f t="shared" si="2"/>
        <v>1.0934230368212268</v>
      </c>
      <c r="J23" s="9">
        <f t="shared" si="2"/>
        <v>1.1516136900897813</v>
      </c>
      <c r="K23" s="9">
        <f t="shared" si="2"/>
        <v>1.3835191789844785</v>
      </c>
      <c r="L23" s="9">
        <f t="shared" si="2"/>
        <v>1.432508764180533</v>
      </c>
      <c r="M23" s="9">
        <f t="shared" si="2"/>
        <v>1.0949922555454938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3033693.1179525536</v>
      </c>
      <c r="F26" s="5">
        <f>SUM($E19:F19)</f>
        <v>6109840.4436113704</v>
      </c>
      <c r="G26" s="5">
        <f>SUM($E19:G19)</f>
        <v>9224229.891135674</v>
      </c>
      <c r="H26" s="5">
        <f>SUM($E19:H19)</f>
        <v>12353985.783089112</v>
      </c>
      <c r="I26" s="5">
        <f>SUM($E19:I19)</f>
        <v>15500232.372150565</v>
      </c>
      <c r="J26" s="5">
        <f>SUM($E19:J19)</f>
        <v>18658902.272745799</v>
      </c>
      <c r="K26" s="5">
        <f>SUM($E19:K19)</f>
        <v>21851818.978998095</v>
      </c>
      <c r="L26" s="5">
        <f>SUM($E19:L19)</f>
        <v>25065583.610053301</v>
      </c>
      <c r="M26" s="5">
        <f>SUM($E19:M19)</f>
        <v>28299348.490185719</v>
      </c>
      <c r="N26" s="5">
        <f>SUM($E19:N19)</f>
        <v>31553918.475658175</v>
      </c>
      <c r="O26" s="5">
        <f>SUM($E19:O19)</f>
        <v>34829368.597772107</v>
      </c>
      <c r="P26" s="5">
        <f>SUM($E19:P19)</f>
        <v>38125705.700907819</v>
      </c>
    </row>
    <row r="27" spans="3:17" x14ac:dyDescent="0.35">
      <c r="D27" s="3" t="str">
        <f>'KPI 1'!D27</f>
        <v>ACTUAL2025/26</v>
      </c>
      <c r="E27" s="5">
        <f>SUM($E20:E20)</f>
        <v>4352570</v>
      </c>
      <c r="F27" s="5">
        <f>SUM($E20:F20)</f>
        <v>8671126</v>
      </c>
      <c r="G27" s="5">
        <f>SUM($E20:G20)</f>
        <v>12490812</v>
      </c>
      <c r="H27" s="5">
        <f>SUM($E20:H20)</f>
        <v>16444413</v>
      </c>
      <c r="I27" s="5">
        <f>SUM($E20:I20)</f>
        <v>19884591.5</v>
      </c>
      <c r="J27" s="5">
        <f>SUM($E20:J20)</f>
        <v>23522159</v>
      </c>
      <c r="K27" s="5">
        <f>SUM($E20:K20)</f>
        <v>27939620.5</v>
      </c>
      <c r="L27" s="5">
        <f>SUM($E20:L20)</f>
        <v>32543366.5</v>
      </c>
      <c r="M27" s="5">
        <f>SUM($E20:M20)</f>
        <v>36084314</v>
      </c>
      <c r="N27" s="5">
        <f>SUM($E20:N20)</f>
        <v>36084314</v>
      </c>
      <c r="O27" s="5">
        <f>SUM($E20:O20)</f>
        <v>36084314</v>
      </c>
      <c r="P27" s="5">
        <f>SUM($E20:P20)</f>
        <v>36084314</v>
      </c>
    </row>
    <row r="28" spans="3:17" x14ac:dyDescent="0.35">
      <c r="D28" s="3" t="str">
        <f>'KPI 1'!D28</f>
        <v>ACTUAL2024/25</v>
      </c>
      <c r="E28" s="5">
        <f>SUM($E21:E21)</f>
        <v>2786530.5</v>
      </c>
      <c r="F28" s="5">
        <f>SUM($E21:F21)</f>
        <v>5575076</v>
      </c>
      <c r="G28" s="5">
        <f>SUM($E21:G21)</f>
        <v>8469041.25</v>
      </c>
      <c r="H28" s="5">
        <f>SUM($E21:H21)</f>
        <v>11067322.75</v>
      </c>
      <c r="I28" s="5">
        <f>SUM($E21:I21)</f>
        <v>13780061.25</v>
      </c>
      <c r="J28" s="5">
        <f>SUM($E21:J21)</f>
        <v>15746906.75</v>
      </c>
      <c r="K28" s="5">
        <f>SUM($E21:K21)</f>
        <v>18244125.25</v>
      </c>
      <c r="L28" s="5">
        <f>SUM($E21:L21)</f>
        <v>20654342.5</v>
      </c>
      <c r="M28" s="5">
        <f>SUM($E21:M21)</f>
        <v>23212196</v>
      </c>
      <c r="N28" s="5">
        <f>SUM($E21:N21)</f>
        <v>25581032.25</v>
      </c>
      <c r="O28" s="5">
        <f>SUM($E21:O21)</f>
        <v>29372135.75</v>
      </c>
      <c r="P28" s="5">
        <f>SUM($E21:P21)</f>
        <v>33603269.75</v>
      </c>
    </row>
    <row r="29" spans="3:17" x14ac:dyDescent="0.35">
      <c r="D29" s="3" t="str">
        <f>'KPI 1'!D29</f>
        <v>DIFFERENCE</v>
      </c>
      <c r="E29" s="5">
        <f>SUM($E22:E22)</f>
        <v>1318876.8820474464</v>
      </c>
      <c r="F29" s="5">
        <f>SUM($E22:F22)</f>
        <v>2561285.5563886301</v>
      </c>
      <c r="G29" s="5">
        <f>SUM($E22:G22)</f>
        <v>3266582.108864326</v>
      </c>
      <c r="H29" s="5">
        <f>SUM($E22:H22)</f>
        <v>4090427.2169108866</v>
      </c>
      <c r="I29" s="5">
        <f>SUM($E22:I22)</f>
        <v>4384359.1278494336</v>
      </c>
      <c r="J29" s="5">
        <f>SUM($E22:J22)</f>
        <v>4863256.7272541998</v>
      </c>
      <c r="K29" s="5">
        <f>SUM($E22:K22)</f>
        <v>6087801.5210019052</v>
      </c>
      <c r="L29" s="5">
        <f>SUM($E22:L22)</f>
        <v>7477782.8899466991</v>
      </c>
      <c r="M29" s="5">
        <f>SUM($E22:M22)</f>
        <v>7784965.509814281</v>
      </c>
      <c r="N29" s="5">
        <f>SUM($E22:N22)</f>
        <v>7784965.509814281</v>
      </c>
      <c r="O29" s="5">
        <f>SUM($E22:O22)</f>
        <v>7784965.509814281</v>
      </c>
      <c r="P29" s="5">
        <f>SUM($E22:P22)</f>
        <v>7784965.509814281</v>
      </c>
    </row>
    <row r="30" spans="3:17" x14ac:dyDescent="0.35">
      <c r="D30" s="3" t="str">
        <f>'KPI 1'!D30</f>
        <v>%REALISATION</v>
      </c>
      <c r="E30" s="9">
        <f t="shared" ref="E30:P30" si="3">E27/E26</f>
        <v>1.4347430114940432</v>
      </c>
      <c r="F30" s="9">
        <f t="shared" si="3"/>
        <v>1.4192066192279678</v>
      </c>
      <c r="G30" s="9">
        <f t="shared" si="3"/>
        <v>1.3541306046593067</v>
      </c>
      <c r="H30" s="9">
        <f t="shared" si="3"/>
        <v>1.3311018232277807</v>
      </c>
      <c r="I30" s="9">
        <f t="shared" si="3"/>
        <v>1.2828576386846213</v>
      </c>
      <c r="J30" s="9">
        <f t="shared" si="3"/>
        <v>1.2606400235215196</v>
      </c>
      <c r="K30" s="9">
        <f t="shared" si="3"/>
        <v>1.2785947259975439</v>
      </c>
      <c r="L30" s="9">
        <f t="shared" si="3"/>
        <v>1.2983286966814334</v>
      </c>
      <c r="M30" s="9">
        <f t="shared" si="3"/>
        <v>1.27509345356534</v>
      </c>
      <c r="N30" s="9">
        <f t="shared" si="3"/>
        <v>1.1435763208882197</v>
      </c>
      <c r="O30" s="9">
        <f t="shared" si="3"/>
        <v>1.0360312418155111</v>
      </c>
      <c r="P30" s="9">
        <f t="shared" si="3"/>
        <v>0.94645629075243032</v>
      </c>
    </row>
  </sheetData>
  <mergeCells count="2">
    <mergeCell ref="J4:Q8"/>
    <mergeCell ref="J10:Q15"/>
  </mergeCells>
  <conditionalFormatting sqref="C3">
    <cfRule type="expression" dxfId="26" priority="2">
      <formula>S4&lt;S6</formula>
    </cfRule>
  </conditionalFormatting>
  <conditionalFormatting sqref="C4">
    <cfRule type="expression" dxfId="25" priority="1">
      <formula>AND(S4&gt;=S6,S4&lt;S5)</formula>
    </cfRule>
  </conditionalFormatting>
  <conditionalFormatting sqref="C5">
    <cfRule type="expression" dxfId="24" priority="3">
      <formula>S4&gt;=S5</formula>
    </cfRule>
  </conditionalFormatting>
  <hyperlinks>
    <hyperlink ref="L1" location="Dashboard!A1" display="Dashboard" xr:uid="{00000000-0004-0000-36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059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7.54296875" style="3" bestFit="1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Dashboard!A36</f>
        <v>14a</v>
      </c>
      <c r="C1" s="4" t="str">
        <f>Dashboard!B50</f>
        <v>Amount Collected-Eastern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33487523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29714315.91469501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26742884.323225509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BUDGET2526!D51</f>
        <v>3185377.7738501811</v>
      </c>
      <c r="F19" s="5">
        <f>BUDGET2526!E51</f>
        <v>3229954.6919417572</v>
      </c>
      <c r="G19" s="5">
        <f>BUDGET2526!F51</f>
        <v>3270108.9199005193</v>
      </c>
      <c r="H19" s="5">
        <f>BUDGET2526!G51</f>
        <v>3286243.6865511118</v>
      </c>
      <c r="I19" s="5">
        <f>BUDGET2526!H51</f>
        <v>3303558.9185145255</v>
      </c>
      <c r="J19" s="5">
        <f>BUDGET2526!I51</f>
        <v>3316603.3956249957</v>
      </c>
      <c r="K19" s="5">
        <f>BUDGET2526!J51</f>
        <v>3352562.5415649093</v>
      </c>
      <c r="L19" s="5">
        <f>BUDGET2526!K51</f>
        <v>3374452.8626079666</v>
      </c>
      <c r="M19" s="5">
        <f>BUDGET2526!L51</f>
        <v>3395453.1241390393</v>
      </c>
      <c r="N19" s="5">
        <f>BUDGET2526!M51</f>
        <v>3417298.4847460794</v>
      </c>
      <c r="O19" s="5">
        <f>BUDGET2526!N51</f>
        <v>3439222.6282196282</v>
      </c>
      <c r="P19" s="5">
        <f>BUDGET2526!O51</f>
        <v>3461153.9582925001</v>
      </c>
      <c r="Q19" s="5">
        <f>SUM(E19:P19)</f>
        <v>40031990.985953219</v>
      </c>
    </row>
    <row r="20" spans="3:17" x14ac:dyDescent="0.35">
      <c r="D20" s="3" t="str">
        <f>'KPI 1'!D20</f>
        <v>ACTUAL2025/26</v>
      </c>
      <c r="E20" s="5">
        <f>'ACTUAL 2526'!E51</f>
        <v>3923587</v>
      </c>
      <c r="F20" s="5">
        <f>'ACTUAL 2526'!F51</f>
        <v>3636715</v>
      </c>
      <c r="G20" s="5">
        <f>'ACTUAL 2526'!G51</f>
        <v>3824618</v>
      </c>
      <c r="H20" s="5">
        <f>'ACTUAL 2526'!H51</f>
        <v>3479507</v>
      </c>
      <c r="I20" s="5">
        <f>'ACTUAL 2526'!I51</f>
        <v>3449807</v>
      </c>
      <c r="J20" s="5">
        <f>'ACTUAL 2526'!J51</f>
        <v>3135057</v>
      </c>
      <c r="K20" s="5">
        <f>'ACTUAL 2526'!K51</f>
        <v>3889293.5</v>
      </c>
      <c r="L20" s="5">
        <f>'ACTUAL 2526'!L51</f>
        <v>4309123.5</v>
      </c>
      <c r="M20" s="5">
        <f>'ACTUAL 2526'!M51</f>
        <v>3839815</v>
      </c>
      <c r="N20" s="5">
        <f>'ACTUAL 2526'!N51</f>
        <v>0</v>
      </c>
      <c r="O20" s="5">
        <f>'ACTUAL 2526'!O51</f>
        <v>0</v>
      </c>
      <c r="P20" s="5">
        <f>'ACTUAL 2526'!P51</f>
        <v>0</v>
      </c>
      <c r="Q20" s="5">
        <f t="shared" ref="Q20:Q21" si="0">SUM(E20:P20)</f>
        <v>33487523</v>
      </c>
    </row>
    <row r="21" spans="3:17" x14ac:dyDescent="0.35">
      <c r="D21" s="3" t="str">
        <f>'KPI 1'!D21</f>
        <v>ACTUAL2024/25</v>
      </c>
      <c r="E21" s="5">
        <f>'Actual 202425'!E51</f>
        <v>3402918</v>
      </c>
      <c r="F21" s="5">
        <f>'Actual 202425'!F51</f>
        <v>2531691</v>
      </c>
      <c r="G21" s="5">
        <f>'Actual 202425'!G51</f>
        <v>2755626</v>
      </c>
      <c r="H21" s="5">
        <f>'Actual 202425'!H51</f>
        <v>2723004</v>
      </c>
      <c r="I21" s="5">
        <f>'Actual 202425'!I51</f>
        <v>2384617</v>
      </c>
      <c r="J21" s="5">
        <f>'Actual 202425'!J51</f>
        <v>2229016</v>
      </c>
      <c r="K21" s="5">
        <f>'Actual 202425'!K51</f>
        <v>2599343</v>
      </c>
      <c r="L21" s="5">
        <f>'Actual 202425'!L51</f>
        <v>2201703</v>
      </c>
      <c r="M21" s="5">
        <f>'Actual 202425'!M51</f>
        <v>2184630</v>
      </c>
      <c r="N21" s="5">
        <f>'Actual 202425'!N51</f>
        <v>2640748</v>
      </c>
      <c r="O21" s="5">
        <f>'Actual 202425'!O51</f>
        <v>2851466</v>
      </c>
      <c r="P21" s="5">
        <f>'Actual 202425'!P51</f>
        <v>3794048</v>
      </c>
      <c r="Q21" s="5">
        <f t="shared" si="0"/>
        <v>32298810</v>
      </c>
    </row>
    <row r="22" spans="3:17" x14ac:dyDescent="0.35">
      <c r="D22" s="3" t="str">
        <f>'KPI 1'!D22</f>
        <v>DIFFERENCE</v>
      </c>
      <c r="E22" s="5">
        <f t="shared" ref="E22:P22" si="1">IF(E20=0,0,E20-E19)</f>
        <v>738209.22614981886</v>
      </c>
      <c r="F22" s="5">
        <f t="shared" si="1"/>
        <v>406760.30805824278</v>
      </c>
      <c r="G22" s="5">
        <f t="shared" si="1"/>
        <v>554509.08009948069</v>
      </c>
      <c r="H22" s="5">
        <f t="shared" si="1"/>
        <v>193263.31344888825</v>
      </c>
      <c r="I22" s="5">
        <f t="shared" si="1"/>
        <v>146248.08148547448</v>
      </c>
      <c r="J22" s="5">
        <f t="shared" si="1"/>
        <v>-181546.3956249957</v>
      </c>
      <c r="K22" s="5">
        <f t="shared" si="1"/>
        <v>536730.95843509072</v>
      </c>
      <c r="L22" s="5">
        <f t="shared" si="1"/>
        <v>934670.63739203336</v>
      </c>
      <c r="M22" s="5">
        <f t="shared" si="1"/>
        <v>444361.87586096069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3773207.0853049941</v>
      </c>
    </row>
    <row r="23" spans="3:17" x14ac:dyDescent="0.35">
      <c r="D23" s="3" t="str">
        <f>'KPI 1'!D23</f>
        <v>%REALISATION</v>
      </c>
      <c r="E23" s="9">
        <f t="shared" ref="E23:P23" si="2">E20/E19</f>
        <v>1.2317493492326161</v>
      </c>
      <c r="F23" s="9">
        <f t="shared" si="2"/>
        <v>1.1259337504247497</v>
      </c>
      <c r="G23" s="9">
        <f t="shared" si="2"/>
        <v>1.1695689940860898</v>
      </c>
      <c r="H23" s="9">
        <f t="shared" si="2"/>
        <v>1.0588097937593048</v>
      </c>
      <c r="I23" s="9">
        <f t="shared" si="2"/>
        <v>1.0442698571730744</v>
      </c>
      <c r="J23" s="9">
        <f t="shared" si="2"/>
        <v>0.94526134904629311</v>
      </c>
      <c r="K23" s="9">
        <f t="shared" si="2"/>
        <v>1.1600957332728998</v>
      </c>
      <c r="L23" s="9">
        <f t="shared" si="2"/>
        <v>1.2769843513741268</v>
      </c>
      <c r="M23" s="9">
        <f t="shared" si="2"/>
        <v>1.1308696835488294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3185377.7738501811</v>
      </c>
      <c r="F26" s="5">
        <f>SUM($E19:F19)</f>
        <v>6415332.4657919388</v>
      </c>
      <c r="G26" s="5">
        <f>SUM($E19:G19)</f>
        <v>9685441.3856924586</v>
      </c>
      <c r="H26" s="5">
        <f>SUM($E19:H19)</f>
        <v>12971685.072243571</v>
      </c>
      <c r="I26" s="5">
        <f>SUM($E19:I19)</f>
        <v>16275243.990758097</v>
      </c>
      <c r="J26" s="5">
        <f>SUM($E19:J19)</f>
        <v>19591847.386383094</v>
      </c>
      <c r="K26" s="5">
        <f>SUM($E19:K19)</f>
        <v>22944409.927948002</v>
      </c>
      <c r="L26" s="5">
        <f>SUM($E19:L19)</f>
        <v>26318862.790555969</v>
      </c>
      <c r="M26" s="5">
        <f>SUM($E19:M19)</f>
        <v>29714315.91469501</v>
      </c>
      <c r="N26" s="5">
        <f>SUM($E19:N19)</f>
        <v>33131614.399441089</v>
      </c>
      <c r="O26" s="5">
        <f>SUM($E19:O19)</f>
        <v>36570837.02766072</v>
      </c>
      <c r="P26" s="5">
        <f>SUM($E19:P19)</f>
        <v>40031990.985953219</v>
      </c>
    </row>
    <row r="27" spans="3:17" x14ac:dyDescent="0.35">
      <c r="D27" s="3" t="str">
        <f>'KPI 1'!D27</f>
        <v>ACTUAL2025/26</v>
      </c>
      <c r="E27" s="5">
        <f>SUM($E20:E20)</f>
        <v>3923587</v>
      </c>
      <c r="F27" s="5">
        <f>SUM($E20:F20)</f>
        <v>7560302</v>
      </c>
      <c r="G27" s="5">
        <f>SUM($E20:G20)</f>
        <v>11384920</v>
      </c>
      <c r="H27" s="5">
        <f>SUM($E20:H20)</f>
        <v>14864427</v>
      </c>
      <c r="I27" s="5">
        <f>SUM($E20:I20)</f>
        <v>18314234</v>
      </c>
      <c r="J27" s="5">
        <f>SUM($E20:J20)</f>
        <v>21449291</v>
      </c>
      <c r="K27" s="5">
        <f>SUM($E20:K20)</f>
        <v>25338584.5</v>
      </c>
      <c r="L27" s="5">
        <f>SUM($E20:L20)</f>
        <v>29647708</v>
      </c>
      <c r="M27" s="5">
        <f>SUM($E20:M20)</f>
        <v>33487523</v>
      </c>
      <c r="N27" s="5">
        <f>SUM($E20:N20)</f>
        <v>33487523</v>
      </c>
      <c r="O27" s="5">
        <f>SUM($E20:O20)</f>
        <v>33487523</v>
      </c>
      <c r="P27" s="5">
        <f>SUM($E20:P20)</f>
        <v>33487523</v>
      </c>
    </row>
    <row r="28" spans="3:17" x14ac:dyDescent="0.35">
      <c r="D28" s="3" t="str">
        <f>'KPI 1'!D28</f>
        <v>ACTUAL2024/25</v>
      </c>
      <c r="E28" s="5">
        <f>SUM($E21:E21)</f>
        <v>3402918</v>
      </c>
      <c r="F28" s="5">
        <f>SUM($E21:F21)</f>
        <v>5934609</v>
      </c>
      <c r="G28" s="5">
        <f>SUM($E21:G21)</f>
        <v>8690235</v>
      </c>
      <c r="H28" s="5">
        <f>SUM($E21:H21)</f>
        <v>11413239</v>
      </c>
      <c r="I28" s="5">
        <f>SUM($E21:I21)</f>
        <v>13797856</v>
      </c>
      <c r="J28" s="5">
        <f>SUM($E21:J21)</f>
        <v>16026872</v>
      </c>
      <c r="K28" s="5">
        <f>SUM($E21:K21)</f>
        <v>18626215</v>
      </c>
      <c r="L28" s="5">
        <f>SUM($E21:L21)</f>
        <v>20827918</v>
      </c>
      <c r="M28" s="5">
        <f>SUM($E21:M21)</f>
        <v>23012548</v>
      </c>
      <c r="N28" s="5">
        <f>SUM($E21:N21)</f>
        <v>25653296</v>
      </c>
      <c r="O28" s="5">
        <f>SUM($E21:O21)</f>
        <v>28504762</v>
      </c>
      <c r="P28" s="5">
        <f>SUM($E21:P21)</f>
        <v>32298810</v>
      </c>
    </row>
    <row r="29" spans="3:17" x14ac:dyDescent="0.35">
      <c r="D29" s="3" t="str">
        <f>'KPI 1'!D29</f>
        <v>DIFFERENCE</v>
      </c>
      <c r="E29" s="5">
        <f>SUM($E22:E22)</f>
        <v>738209.22614981886</v>
      </c>
      <c r="F29" s="5">
        <f>SUM($E22:F22)</f>
        <v>1144969.5342080616</v>
      </c>
      <c r="G29" s="5">
        <f>SUM($E22:G22)</f>
        <v>1699478.6143075423</v>
      </c>
      <c r="H29" s="5">
        <f>SUM($E22:H22)</f>
        <v>1892741.9277564306</v>
      </c>
      <c r="I29" s="5">
        <f>SUM($E22:I22)</f>
        <v>2038990.0092419051</v>
      </c>
      <c r="J29" s="5">
        <f>SUM($E22:J22)</f>
        <v>1857443.6136169094</v>
      </c>
      <c r="K29" s="5">
        <f>SUM($E22:K22)</f>
        <v>2394174.5720520001</v>
      </c>
      <c r="L29" s="5">
        <f>SUM($E22:L22)</f>
        <v>3328845.2094440334</v>
      </c>
      <c r="M29" s="5">
        <f>SUM($E22:M22)</f>
        <v>3773207.0853049941</v>
      </c>
      <c r="N29" s="5">
        <f>SUM($E22:N22)</f>
        <v>3773207.0853049941</v>
      </c>
      <c r="O29" s="5">
        <f>SUM($E22:O22)</f>
        <v>3773207.0853049941</v>
      </c>
      <c r="P29" s="5">
        <f>SUM($E22:P22)</f>
        <v>3773207.0853049941</v>
      </c>
    </row>
    <row r="30" spans="3:17" x14ac:dyDescent="0.35">
      <c r="D30" s="3" t="str">
        <f>'KPI 1'!D30</f>
        <v>%REALISATION</v>
      </c>
      <c r="E30" s="9">
        <f t="shared" ref="E30:P30" si="3">E27/E26</f>
        <v>1.2317493492326161</v>
      </c>
      <c r="F30" s="9">
        <f t="shared" si="3"/>
        <v>1.1784739201457302</v>
      </c>
      <c r="G30" s="9">
        <f t="shared" si="3"/>
        <v>1.1754673376907787</v>
      </c>
      <c r="H30" s="9">
        <f t="shared" si="3"/>
        <v>1.1459133425777088</v>
      </c>
      <c r="I30" s="9">
        <f t="shared" si="3"/>
        <v>1.1252816861240142</v>
      </c>
      <c r="J30" s="9">
        <f t="shared" si="3"/>
        <v>1.0948069662337143</v>
      </c>
      <c r="K30" s="9">
        <f t="shared" si="3"/>
        <v>1.1043467484921334</v>
      </c>
      <c r="L30" s="9">
        <f t="shared" si="3"/>
        <v>1.1264813467031154</v>
      </c>
      <c r="M30" s="9">
        <f t="shared" si="3"/>
        <v>1.1269828016952252</v>
      </c>
      <c r="N30" s="9">
        <f t="shared" si="3"/>
        <v>1.0107422655675031</v>
      </c>
      <c r="O30" s="9">
        <f t="shared" si="3"/>
        <v>0.91568926832796782</v>
      </c>
      <c r="P30" s="9">
        <f t="shared" si="3"/>
        <v>0.83651904827192836</v>
      </c>
    </row>
  </sheetData>
  <mergeCells count="2">
    <mergeCell ref="J4:Q8"/>
    <mergeCell ref="J10:Q15"/>
  </mergeCells>
  <conditionalFormatting sqref="C3">
    <cfRule type="expression" dxfId="23" priority="2">
      <formula>S4&lt;S6</formula>
    </cfRule>
  </conditionalFormatting>
  <conditionalFormatting sqref="C4">
    <cfRule type="expression" dxfId="22" priority="1">
      <formula>AND(S4&gt;=S6,S4&lt;S5)</formula>
    </cfRule>
  </conditionalFormatting>
  <conditionalFormatting sqref="C5">
    <cfRule type="expression" dxfId="21" priority="3">
      <formula>S4&gt;=S5</formula>
    </cfRule>
  </conditionalFormatting>
  <hyperlinks>
    <hyperlink ref="L1" location="Dashboard!A1" display="Dashboard" xr:uid="{00000000-0004-0000-37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161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7.54296875" style="3" bestFit="1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str">
        <f>Dashboard!A43</f>
        <v>14b</v>
      </c>
      <c r="C1" s="4" t="s">
        <v>48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53274697.5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55058013.148746446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49552211.833871804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BUDGET2526!D44</f>
        <v>5318374.1534940694</v>
      </c>
      <c r="F19" s="5">
        <f>BUDGET2526!E44</f>
        <v>5446196.7421409534</v>
      </c>
      <c r="G19" s="5">
        <f>BUDGET2526!F44</f>
        <v>5586139.6013110373</v>
      </c>
      <c r="H19" s="5">
        <f>BUDGET2526!G44</f>
        <v>5863781.3946585003</v>
      </c>
      <c r="I19" s="5">
        <f>BUDGET2526!H44</f>
        <v>6118973.8532911204</v>
      </c>
      <c r="J19" s="5">
        <f>BUDGET2526!I44</f>
        <v>6364665.7140382612</v>
      </c>
      <c r="K19" s="5">
        <f>BUDGET2526!J44</f>
        <v>6582322.0001216261</v>
      </c>
      <c r="L19" s="5">
        <f>BUDGET2526!K44</f>
        <v>6794152.6468886072</v>
      </c>
      <c r="M19" s="5">
        <f>BUDGET2526!L44</f>
        <v>6983407.0428022733</v>
      </c>
      <c r="N19" s="5">
        <f>BUDGET2526!M44</f>
        <v>7139089.0484762667</v>
      </c>
      <c r="O19" s="5">
        <f>BUDGET2526!N44</f>
        <v>7294199.0266609155</v>
      </c>
      <c r="P19" s="5">
        <f>BUDGET2526!O44</f>
        <v>7445621.2971276715</v>
      </c>
      <c r="Q19" s="5">
        <f>SUM(E19:P19)</f>
        <v>76936922.521011293</v>
      </c>
    </row>
    <row r="20" spans="3:17" x14ac:dyDescent="0.35">
      <c r="D20" s="3" t="str">
        <f>'KPI 1'!D20</f>
        <v>ACTUAL2025/26</v>
      </c>
      <c r="E20" s="5">
        <f>'ACTUAL 2526'!E44</f>
        <v>5499282</v>
      </c>
      <c r="F20" s="5">
        <f>'ACTUAL 2526'!F44</f>
        <v>5319028.5</v>
      </c>
      <c r="G20" s="5">
        <f>'ACTUAL 2526'!G44</f>
        <v>5187417.5</v>
      </c>
      <c r="H20" s="5">
        <f>'ACTUAL 2526'!H44</f>
        <v>6761835</v>
      </c>
      <c r="I20" s="5">
        <f>'ACTUAL 2526'!I44</f>
        <v>4609313.5</v>
      </c>
      <c r="J20" s="5">
        <f>'ACTUAL 2526'!J44</f>
        <v>5790037</v>
      </c>
      <c r="K20" s="5">
        <f>'ACTUAL 2526'!K44</f>
        <v>7645137.5</v>
      </c>
      <c r="L20" s="5">
        <f>'ACTUAL 2526'!L44</f>
        <v>6841496</v>
      </c>
      <c r="M20" s="5">
        <f>'ACTUAL 2526'!M44</f>
        <v>5621150.5</v>
      </c>
      <c r="N20" s="5">
        <f>'ACTUAL 2526'!N44</f>
        <v>0</v>
      </c>
      <c r="O20" s="5">
        <f>'ACTUAL 2526'!O44</f>
        <v>0</v>
      </c>
      <c r="P20" s="5">
        <f>'ACTUAL 2526'!P44</f>
        <v>0</v>
      </c>
      <c r="Q20" s="5">
        <f t="shared" ref="Q20:Q21" si="0">SUM(E20:P20)</f>
        <v>53274697.5</v>
      </c>
    </row>
    <row r="21" spans="3:17" x14ac:dyDescent="0.35">
      <c r="D21" s="3" t="str">
        <f>'KPI 1'!D21</f>
        <v>ACTUAL2024/25</v>
      </c>
      <c r="E21" s="5">
        <f>'Actual 202425'!E44</f>
        <v>3822073</v>
      </c>
      <c r="F21" s="5">
        <f>'Actual 202425'!F44</f>
        <v>3616206</v>
      </c>
      <c r="G21" s="5">
        <f>'Actual 202425'!G44</f>
        <v>3523424</v>
      </c>
      <c r="H21" s="5">
        <f>'Actual 202425'!H44</f>
        <v>3774178</v>
      </c>
      <c r="I21" s="5">
        <f>'Actual 202425'!I44</f>
        <v>3221254</v>
      </c>
      <c r="J21" s="5">
        <f>'Actual 202425'!J44</f>
        <v>3119877</v>
      </c>
      <c r="K21" s="5">
        <f>'Actual 202425'!K44</f>
        <v>4367599</v>
      </c>
      <c r="L21" s="5">
        <f>'Actual 202425'!L44</f>
        <v>3868317.25</v>
      </c>
      <c r="M21" s="5">
        <f>'Actual 202425'!M44</f>
        <v>3550532</v>
      </c>
      <c r="N21" s="5">
        <f>'Actual 202425'!N44</f>
        <v>3717077.99</v>
      </c>
      <c r="O21" s="5">
        <f>'Actual 202425'!O44</f>
        <v>4107749.5</v>
      </c>
      <c r="P21" s="5">
        <f>'Actual 202425'!P44</f>
        <v>5385918</v>
      </c>
      <c r="Q21" s="5">
        <f t="shared" si="0"/>
        <v>46074205.740000002</v>
      </c>
    </row>
    <row r="22" spans="3:17" x14ac:dyDescent="0.35">
      <c r="D22" s="3" t="str">
        <f>'KPI 1'!D22</f>
        <v>DIFFERENCE</v>
      </c>
      <c r="E22" s="5">
        <f t="shared" ref="E22:P22" si="1">IF(E20=0,0,E20-E19)</f>
        <v>180907.84650593065</v>
      </c>
      <c r="F22" s="5">
        <f t="shared" si="1"/>
        <v>-127168.24214095343</v>
      </c>
      <c r="G22" s="5">
        <f t="shared" si="1"/>
        <v>-398722.10131103732</v>
      </c>
      <c r="H22" s="5">
        <f t="shared" si="1"/>
        <v>898053.60534149967</v>
      </c>
      <c r="I22" s="5">
        <f t="shared" si="1"/>
        <v>-1509660.3532911204</v>
      </c>
      <c r="J22" s="5">
        <f t="shared" si="1"/>
        <v>-574628.71403826121</v>
      </c>
      <c r="K22" s="5">
        <f t="shared" si="1"/>
        <v>1062815.4998783739</v>
      </c>
      <c r="L22" s="5">
        <f t="shared" si="1"/>
        <v>47343.353111392818</v>
      </c>
      <c r="M22" s="5">
        <f t="shared" si="1"/>
        <v>-1362256.5428022733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-1783315.6487464486</v>
      </c>
    </row>
    <row r="23" spans="3:17" x14ac:dyDescent="0.35">
      <c r="D23" s="3" t="str">
        <f>'KPI 1'!D23</f>
        <v>%REALISATION</v>
      </c>
      <c r="E23" s="9">
        <f>E21/E19</f>
        <v>0.71865440258447622</v>
      </c>
      <c r="F23" s="9">
        <f t="shared" ref="F23:P23" si="2">F20/F19</f>
        <v>0.97665008295477729</v>
      </c>
      <c r="G23" s="9">
        <f t="shared" si="2"/>
        <v>0.92862296151398371</v>
      </c>
      <c r="H23" s="9">
        <f t="shared" si="2"/>
        <v>1.1531526407446848</v>
      </c>
      <c r="I23" s="9">
        <f t="shared" si="2"/>
        <v>0.7532821042405432</v>
      </c>
      <c r="J23" s="9">
        <f t="shared" si="2"/>
        <v>0.90971580600520341</v>
      </c>
      <c r="K23" s="9">
        <f t="shared" si="2"/>
        <v>1.1614651334071373</v>
      </c>
      <c r="L23" s="9">
        <f t="shared" si="2"/>
        <v>1.0069682498424692</v>
      </c>
      <c r="M23" s="9">
        <f t="shared" si="2"/>
        <v>0.80492952301751663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>
        <f>SUM($E19:E19)</f>
        <v>5318374.1534940694</v>
      </c>
      <c r="F26" s="5">
        <f>SUM($E19:F19)</f>
        <v>10764570.895635024</v>
      </c>
      <c r="G26" s="5">
        <f>SUM($E19:G19)</f>
        <v>16350710.496946061</v>
      </c>
      <c r="H26" s="5">
        <f>SUM($E19:H19)</f>
        <v>22214491.891604561</v>
      </c>
      <c r="I26" s="5">
        <f>SUM($E19:I19)</f>
        <v>28333465.744895682</v>
      </c>
      <c r="J26" s="5">
        <f>SUM($E19:J19)</f>
        <v>34698131.458933942</v>
      </c>
      <c r="K26" s="5">
        <f>SUM($E19:K19)</f>
        <v>41280453.459055565</v>
      </c>
      <c r="L26" s="5">
        <f>SUM($E19:L19)</f>
        <v>48074606.105944172</v>
      </c>
      <c r="M26" s="5">
        <f>SUM($E19:M19)</f>
        <v>55058013.148746446</v>
      </c>
      <c r="N26" s="5">
        <f>SUM($E19:N19)</f>
        <v>62197102.19722271</v>
      </c>
      <c r="O26" s="5">
        <f>SUM($E19:O19)</f>
        <v>69491301.223883629</v>
      </c>
      <c r="P26" s="5">
        <f>SUM($E19:P19)</f>
        <v>76936922.521011293</v>
      </c>
    </row>
    <row r="27" spans="3:17" x14ac:dyDescent="0.35">
      <c r="D27" s="3" t="str">
        <f>'KPI 1'!D27</f>
        <v>ACTUAL2025/26</v>
      </c>
      <c r="E27" s="5">
        <f>SUM($E20:E20)</f>
        <v>5499282</v>
      </c>
      <c r="F27" s="5">
        <f>SUM($E20:F20)</f>
        <v>10818310.5</v>
      </c>
      <c r="G27" s="5">
        <f>SUM($E20:G20)</f>
        <v>16005728</v>
      </c>
      <c r="H27" s="5">
        <f>SUM($E20:H20)</f>
        <v>22767563</v>
      </c>
      <c r="I27" s="5">
        <f>SUM($E20:I20)</f>
        <v>27376876.5</v>
      </c>
      <c r="J27" s="5">
        <f>SUM($E20:J20)</f>
        <v>33166913.5</v>
      </c>
      <c r="K27" s="5">
        <f>SUM($E20:K20)</f>
        <v>40812051</v>
      </c>
      <c r="L27" s="5">
        <f>SUM($E20:L20)</f>
        <v>47653547</v>
      </c>
      <c r="M27" s="5">
        <f>SUM($E20:M20)</f>
        <v>53274697.5</v>
      </c>
      <c r="N27" s="5">
        <f>SUM($E20:N20)</f>
        <v>53274697.5</v>
      </c>
      <c r="O27" s="5">
        <f>SUM($E20:O20)</f>
        <v>53274697.5</v>
      </c>
      <c r="P27" s="5">
        <f>SUM($E20:P20)</f>
        <v>53274697.5</v>
      </c>
    </row>
    <row r="28" spans="3:17" x14ac:dyDescent="0.35">
      <c r="D28" s="3" t="str">
        <f>'KPI 1'!D28</f>
        <v>ACTUAL2024/25</v>
      </c>
      <c r="E28" s="5">
        <f>SUM($E21:E21)</f>
        <v>3822073</v>
      </c>
      <c r="F28" s="5">
        <f>SUM($E21:F21)</f>
        <v>7438279</v>
      </c>
      <c r="G28" s="5">
        <f>SUM($E21:G21)</f>
        <v>10961703</v>
      </c>
      <c r="H28" s="5">
        <f>SUM($E21:H21)</f>
        <v>14735881</v>
      </c>
      <c r="I28" s="5">
        <f>SUM($E21:I21)</f>
        <v>17957135</v>
      </c>
      <c r="J28" s="5">
        <f>SUM($E21:J21)</f>
        <v>21077012</v>
      </c>
      <c r="K28" s="5">
        <f>SUM($E21:K21)</f>
        <v>25444611</v>
      </c>
      <c r="L28" s="5">
        <f>SUM($E21:L21)</f>
        <v>29312928.25</v>
      </c>
      <c r="M28" s="5">
        <f>SUM($E21:M21)</f>
        <v>32863460.25</v>
      </c>
      <c r="N28" s="5">
        <f>SUM($E21:N21)</f>
        <v>36580538.240000002</v>
      </c>
      <c r="O28" s="5">
        <f>SUM($E21:O21)</f>
        <v>40688287.740000002</v>
      </c>
      <c r="P28" s="5">
        <f>SUM($E21:P21)</f>
        <v>46074205.740000002</v>
      </c>
    </row>
    <row r="29" spans="3:17" x14ac:dyDescent="0.35">
      <c r="D29" s="3" t="str">
        <f>'KPI 1'!D29</f>
        <v>DIFFERENCE</v>
      </c>
      <c r="E29" s="5">
        <f>SUM($E22:E22)</f>
        <v>180907.84650593065</v>
      </c>
      <c r="F29" s="5">
        <f>SUM($E22:F22)</f>
        <v>53739.604364977218</v>
      </c>
      <c r="G29" s="5">
        <f>SUM($E22:G22)</f>
        <v>-344982.4969460601</v>
      </c>
      <c r="H29" s="5">
        <f>SUM($E22:H22)</f>
        <v>553071.10839543957</v>
      </c>
      <c r="I29" s="5">
        <f>SUM($E22:I22)</f>
        <v>-956589.24489568081</v>
      </c>
      <c r="J29" s="5">
        <f>SUM($E22:J22)</f>
        <v>-1531217.958933942</v>
      </c>
      <c r="K29" s="5">
        <f>SUM($E22:K22)</f>
        <v>-468402.45905556809</v>
      </c>
      <c r="L29" s="5">
        <f>SUM($E22:L22)</f>
        <v>-421059.10594417527</v>
      </c>
      <c r="M29" s="5">
        <f>SUM($E22:M22)</f>
        <v>-1783315.6487464486</v>
      </c>
      <c r="N29" s="5">
        <f>SUM($E22:N22)</f>
        <v>-1783315.6487464486</v>
      </c>
      <c r="O29" s="5">
        <f>SUM($E22:O22)</f>
        <v>-1783315.6487464486</v>
      </c>
      <c r="P29" s="5">
        <f>SUM($E22:P22)</f>
        <v>-1783315.6487464486</v>
      </c>
    </row>
    <row r="30" spans="3:17" x14ac:dyDescent="0.35">
      <c r="D30" s="3" t="str">
        <f>'KPI 1'!D30</f>
        <v>%REALISATION</v>
      </c>
      <c r="E30" s="9">
        <f>E28/E26</f>
        <v>0.71865440258447622</v>
      </c>
      <c r="F30" s="9">
        <f t="shared" ref="F30:P30" si="3">F27/F26</f>
        <v>1.0049922662859481</v>
      </c>
      <c r="G30" s="9">
        <f t="shared" si="3"/>
        <v>0.97890106995592052</v>
      </c>
      <c r="H30" s="9">
        <f t="shared" si="3"/>
        <v>1.0248968606211721</v>
      </c>
      <c r="I30" s="9">
        <f t="shared" si="3"/>
        <v>0.96623818443149645</v>
      </c>
      <c r="J30" s="9">
        <f t="shared" si="3"/>
        <v>0.95587030498324743</v>
      </c>
      <c r="K30" s="9">
        <f t="shared" si="3"/>
        <v>0.98865316584954288</v>
      </c>
      <c r="L30" s="9">
        <f t="shared" si="3"/>
        <v>0.99124154850033996</v>
      </c>
      <c r="M30" s="9">
        <f t="shared" si="3"/>
        <v>0.96761024332773171</v>
      </c>
      <c r="N30" s="9">
        <f t="shared" si="3"/>
        <v>0.85654629585586828</v>
      </c>
      <c r="O30" s="9">
        <f t="shared" si="3"/>
        <v>0.76663836425169563</v>
      </c>
      <c r="P30" s="9">
        <f t="shared" si="3"/>
        <v>0.69244643214642232</v>
      </c>
    </row>
  </sheetData>
  <mergeCells count="2">
    <mergeCell ref="J4:Q8"/>
    <mergeCell ref="J10:Q15"/>
  </mergeCells>
  <conditionalFormatting sqref="C3">
    <cfRule type="expression" dxfId="20" priority="2">
      <formula>S4&lt;S6</formula>
    </cfRule>
  </conditionalFormatting>
  <conditionalFormatting sqref="C4">
    <cfRule type="expression" dxfId="19" priority="1">
      <formula>AND(S4&gt;=S6,S4&lt;S5)</formula>
    </cfRule>
  </conditionalFormatting>
  <conditionalFormatting sqref="C5">
    <cfRule type="expression" dxfId="18" priority="3">
      <formula>S4&gt;=S5</formula>
    </cfRule>
  </conditionalFormatting>
  <hyperlinks>
    <hyperlink ref="L1" location="Dashboard!A1" display="Dashboard" xr:uid="{00000000-0004-0000-38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612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30"/>
  <sheetViews>
    <sheetView topLeftCell="A7" workbookViewId="0"/>
  </sheetViews>
  <sheetFormatPr defaultColWidth="9.1796875" defaultRowHeight="14.5" x14ac:dyDescent="0.35"/>
  <cols>
    <col min="1" max="1" width="9.1796875" style="3"/>
    <col min="2" max="2" width="7.54296875" style="3" bestFit="1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Dashboard!A52</f>
        <v>19</v>
      </c>
      <c r="C1" s="4" t="str">
        <f>Dashboard!B52</f>
        <v>Collection Efficiency-</v>
      </c>
      <c r="G1" s="3" t="s">
        <v>9</v>
      </c>
      <c r="I1" s="12">
        <f>INDEX($E$17:$P$17,Actual_month)</f>
        <v>0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INDEX(E26:P26,Actual_month)</f>
        <v>0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INDEX(E25:P25,Actual_month)</f>
        <v>46082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41473.800000000003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7" spans="3:17" x14ac:dyDescent="0.35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 t="s">
        <v>0</v>
      </c>
    </row>
    <row r="18" spans="3:17" x14ac:dyDescent="0.35">
      <c r="C18" s="7" t="s">
        <v>8</v>
      </c>
      <c r="E18" s="48">
        <f>'KPI 1'!E18</f>
        <v>45839</v>
      </c>
      <c r="F18" s="48">
        <f>'KPI 1'!F18</f>
        <v>45870</v>
      </c>
      <c r="G18" s="48">
        <f>'KPI 1'!G18</f>
        <v>45901</v>
      </c>
      <c r="H18" s="48">
        <f>'KPI 1'!H18</f>
        <v>45931</v>
      </c>
      <c r="I18" s="48">
        <f>'KPI 1'!I18</f>
        <v>45962</v>
      </c>
      <c r="J18" s="48">
        <f>'KPI 1'!J18</f>
        <v>45992</v>
      </c>
      <c r="K18" s="48">
        <f>'KPI 1'!K18</f>
        <v>46023</v>
      </c>
      <c r="L18" s="48">
        <f>'KPI 1'!L18</f>
        <v>46054</v>
      </c>
      <c r="M18" s="48">
        <f>'KPI 1'!M18</f>
        <v>46082</v>
      </c>
      <c r="N18" s="48">
        <f>'KPI 1'!N18</f>
        <v>46113</v>
      </c>
      <c r="O18" s="48">
        <f>'KPI 1'!O18</f>
        <v>46143</v>
      </c>
      <c r="P18" s="48">
        <f>'KPI 1'!P18</f>
        <v>46174</v>
      </c>
      <c r="Q18" s="5"/>
    </row>
    <row r="19" spans="3:17" x14ac:dyDescent="0.35">
      <c r="D19" s="3" t="str">
        <f>'KPI 1'!D19</f>
        <v>budget2025/26</v>
      </c>
      <c r="E19" s="9">
        <f>BUDGET2526!D46</f>
        <v>0</v>
      </c>
      <c r="F19" s="9">
        <f>BUDGET2526!E46</f>
        <v>0</v>
      </c>
      <c r="G19" s="9">
        <f>BUDGET2526!F46</f>
        <v>0</v>
      </c>
      <c r="H19" s="9">
        <f>BUDGET2526!G46</f>
        <v>0</v>
      </c>
      <c r="I19" s="9">
        <f>BUDGET2526!H46</f>
        <v>0</v>
      </c>
      <c r="J19" s="9">
        <f>BUDGET2526!I46</f>
        <v>0</v>
      </c>
      <c r="K19" s="9">
        <f>BUDGET2526!J46</f>
        <v>0</v>
      </c>
      <c r="L19" s="9">
        <f>BUDGET2526!K46</f>
        <v>0</v>
      </c>
      <c r="M19" s="9">
        <f>BUDGET2526!L46</f>
        <v>0</v>
      </c>
      <c r="N19" s="9">
        <f>BUDGET2526!M46</f>
        <v>0</v>
      </c>
      <c r="O19" s="9">
        <f>BUDGET2526!N46</f>
        <v>0</v>
      </c>
      <c r="P19" s="9">
        <f>BUDGET2526!O46</f>
        <v>0</v>
      </c>
      <c r="Q19" s="5"/>
    </row>
    <row r="20" spans="3:17" x14ac:dyDescent="0.35">
      <c r="D20" s="3" t="str">
        <f>'KPI 1'!D20</f>
        <v>ACTUAL2025/26</v>
      </c>
      <c r="E20" s="9">
        <f>Actual2223!D45</f>
        <v>0</v>
      </c>
      <c r="F20" s="9">
        <f>Actual2223!E45</f>
        <v>0</v>
      </c>
      <c r="G20" s="9">
        <f>Actual2223!F45</f>
        <v>0</v>
      </c>
      <c r="H20" s="9">
        <f>Actual2223!G45</f>
        <v>0</v>
      </c>
      <c r="I20" s="9">
        <f>Actual2223!H45</f>
        <v>0</v>
      </c>
      <c r="J20" s="9">
        <f>Actual2223!I45</f>
        <v>0</v>
      </c>
      <c r="K20" s="9">
        <f>Actual2223!J45</f>
        <v>0</v>
      </c>
      <c r="L20" s="9">
        <f>Actual2223!K45</f>
        <v>0</v>
      </c>
      <c r="M20" s="9">
        <f>Actual2223!L45</f>
        <v>0</v>
      </c>
      <c r="N20" s="9">
        <f>Actual2223!M45</f>
        <v>0</v>
      </c>
      <c r="O20" s="9">
        <f>Actual2223!N45</f>
        <v>0</v>
      </c>
      <c r="P20" s="9">
        <f>Actual2223!O45</f>
        <v>0</v>
      </c>
      <c r="Q20" s="5"/>
    </row>
    <row r="21" spans="3:17" x14ac:dyDescent="0.35">
      <c r="D21" s="3" t="str">
        <f>'KPI 1'!D21</f>
        <v>ACTUAL2024/25</v>
      </c>
      <c r="E21" s="9" t="e">
        <f>ACTUAL2122!#REF!</f>
        <v>#REF!</v>
      </c>
      <c r="F21" s="9" t="e">
        <f>ACTUAL2122!#REF!</f>
        <v>#REF!</v>
      </c>
      <c r="G21" s="9" t="e">
        <f>ACTUAL2122!#REF!</f>
        <v>#REF!</v>
      </c>
      <c r="H21" s="9" t="e">
        <f>ACTUAL2122!#REF!</f>
        <v>#REF!</v>
      </c>
      <c r="I21" s="9" t="e">
        <f>ACTUAL2122!#REF!</f>
        <v>#REF!</v>
      </c>
      <c r="J21" s="9" t="e">
        <f>ACTUAL2122!#REF!</f>
        <v>#REF!</v>
      </c>
      <c r="K21" s="9" t="e">
        <f>ACTUAL2122!#REF!</f>
        <v>#REF!</v>
      </c>
      <c r="L21" s="9" t="e">
        <f>ACTUAL2122!#REF!</f>
        <v>#REF!</v>
      </c>
      <c r="M21" s="9" t="e">
        <f>ACTUAL2122!#REF!</f>
        <v>#REF!</v>
      </c>
      <c r="N21" s="9" t="e">
        <f>ACTUAL2122!#REF!</f>
        <v>#REF!</v>
      </c>
      <c r="O21" s="9" t="e">
        <f>ACTUAL2122!#REF!</f>
        <v>#REF!</v>
      </c>
      <c r="P21" s="9" t="e">
        <f>ACTUAL2122!#REF!</f>
        <v>#REF!</v>
      </c>
    </row>
    <row r="22" spans="3:17" x14ac:dyDescent="0.35">
      <c r="D22" s="3" t="str">
        <f>'KPI 1'!D22</f>
        <v>DIFFERENCE</v>
      </c>
    </row>
    <row r="23" spans="3:17" x14ac:dyDescent="0.35">
      <c r="D23" s="3" t="str">
        <f>'KPI 1'!D23</f>
        <v>%REALISATION</v>
      </c>
    </row>
    <row r="24" spans="3:17" x14ac:dyDescent="0.35"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3:17" x14ac:dyDescent="0.35">
      <c r="C25" s="7" t="s">
        <v>4</v>
      </c>
      <c r="D25" s="3">
        <f>'KPI 1'!D25</f>
        <v>0</v>
      </c>
      <c r="E25" s="48">
        <f>'KPI 1'!E25</f>
        <v>45839</v>
      </c>
      <c r="F25" s="48">
        <f>'KPI 1'!F25</f>
        <v>45870</v>
      </c>
      <c r="G25" s="48">
        <f>'KPI 1'!G25</f>
        <v>45901</v>
      </c>
      <c r="H25" s="48">
        <f>'KPI 1'!H25</f>
        <v>45931</v>
      </c>
      <c r="I25" s="48">
        <f>'KPI 1'!I25</f>
        <v>45962</v>
      </c>
      <c r="J25" s="48">
        <f>'KPI 1'!J25</f>
        <v>45992</v>
      </c>
      <c r="K25" s="48">
        <f>'KPI 1'!K25</f>
        <v>46023</v>
      </c>
      <c r="L25" s="48">
        <f>'KPI 1'!L25</f>
        <v>46054</v>
      </c>
      <c r="M25" s="48">
        <f>'KPI 1'!M25</f>
        <v>46082</v>
      </c>
      <c r="N25" s="48">
        <f>'KPI 1'!N25</f>
        <v>46113</v>
      </c>
      <c r="O25" s="48">
        <f>'KPI 1'!O25</f>
        <v>46143</v>
      </c>
      <c r="P25" s="48">
        <f>'KPI 1'!P25</f>
        <v>46174</v>
      </c>
    </row>
    <row r="26" spans="3:17" x14ac:dyDescent="0.35">
      <c r="D26" s="3" t="str">
        <f>'KPI 1'!D26</f>
        <v>budget2025/26</v>
      </c>
      <c r="E26" s="9">
        <f>AVERAGE(E19:E19)</f>
        <v>0</v>
      </c>
      <c r="F26" s="9">
        <f t="shared" ref="F26:P26" si="0">AVERAGE(F19:F19)</f>
        <v>0</v>
      </c>
      <c r="G26" s="9">
        <f t="shared" si="0"/>
        <v>0</v>
      </c>
      <c r="H26" s="9">
        <f t="shared" si="0"/>
        <v>0</v>
      </c>
      <c r="I26" s="9">
        <f t="shared" si="0"/>
        <v>0</v>
      </c>
      <c r="J26" s="9">
        <f t="shared" si="0"/>
        <v>0</v>
      </c>
      <c r="K26" s="9">
        <f t="shared" si="0"/>
        <v>0</v>
      </c>
      <c r="L26" s="9">
        <f t="shared" si="0"/>
        <v>0</v>
      </c>
      <c r="M26" s="9">
        <f t="shared" si="0"/>
        <v>0</v>
      </c>
      <c r="N26" s="9">
        <f>AVERAGE(N19:N19)</f>
        <v>0</v>
      </c>
      <c r="O26" s="9">
        <f t="shared" si="0"/>
        <v>0</v>
      </c>
      <c r="P26" s="9">
        <f t="shared" si="0"/>
        <v>0</v>
      </c>
    </row>
    <row r="27" spans="3:17" x14ac:dyDescent="0.35">
      <c r="D27" s="3" t="str">
        <f>'KPI 1'!D27</f>
        <v>ACTUAL2025/26</v>
      </c>
      <c r="E27" s="9">
        <f>AVERAGE($E20:E20)</f>
        <v>0</v>
      </c>
      <c r="F27" s="9">
        <f>AVERAGE($E20:F20)</f>
        <v>0</v>
      </c>
      <c r="G27" s="9">
        <f>AVERAGE($E20:G20)</f>
        <v>0</v>
      </c>
      <c r="H27" s="9">
        <f>AVERAGE($E20:H20)</f>
        <v>0</v>
      </c>
      <c r="I27" s="9">
        <f>AVERAGE($E20:I20)</f>
        <v>0</v>
      </c>
      <c r="J27" s="9">
        <f>AVERAGE($E20:J20)</f>
        <v>0</v>
      </c>
      <c r="K27" s="9">
        <f>AVERAGE($E20:K20)</f>
        <v>0</v>
      </c>
      <c r="L27" s="9">
        <f>AVERAGE($E20:L20)</f>
        <v>0</v>
      </c>
      <c r="M27" s="9">
        <f>AVERAGE($E20:M20)</f>
        <v>0</v>
      </c>
      <c r="N27" s="9">
        <f>AVERAGE($E20:N20)</f>
        <v>0</v>
      </c>
      <c r="O27" s="9">
        <f>AVERAGE($E20:O20)</f>
        <v>0</v>
      </c>
      <c r="P27" s="9">
        <f>AVERAGE($E20:P20)</f>
        <v>0</v>
      </c>
    </row>
    <row r="28" spans="3:17" x14ac:dyDescent="0.35">
      <c r="D28" s="3" t="str">
        <f>'KPI 1'!D28</f>
        <v>ACTUAL2024/25</v>
      </c>
      <c r="E28" s="9">
        <f t="shared" ref="E28:P28" si="1">E26/E25</f>
        <v>0</v>
      </c>
      <c r="F28" s="9">
        <f t="shared" si="1"/>
        <v>0</v>
      </c>
      <c r="G28" s="9">
        <f t="shared" si="1"/>
        <v>0</v>
      </c>
      <c r="H28" s="9">
        <f t="shared" si="1"/>
        <v>0</v>
      </c>
      <c r="I28" s="9">
        <f t="shared" si="1"/>
        <v>0</v>
      </c>
      <c r="J28" s="9">
        <f t="shared" si="1"/>
        <v>0</v>
      </c>
      <c r="K28" s="9">
        <f t="shared" si="1"/>
        <v>0</v>
      </c>
      <c r="L28" s="9">
        <f t="shared" si="1"/>
        <v>0</v>
      </c>
      <c r="M28" s="9">
        <f t="shared" si="1"/>
        <v>0</v>
      </c>
      <c r="N28" s="9">
        <f t="shared" si="1"/>
        <v>0</v>
      </c>
      <c r="O28" s="9">
        <f t="shared" si="1"/>
        <v>0</v>
      </c>
      <c r="P28" s="9">
        <f t="shared" si="1"/>
        <v>0</v>
      </c>
    </row>
    <row r="29" spans="3:17" x14ac:dyDescent="0.35">
      <c r="D29" s="3" t="str">
        <f>'KPI 1'!D29</f>
        <v>DIFFERENCE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3:17" x14ac:dyDescent="0.35">
      <c r="D30" s="3" t="str">
        <f>'KPI 1'!D30</f>
        <v>%REALISATION</v>
      </c>
    </row>
  </sheetData>
  <mergeCells count="2">
    <mergeCell ref="J4:Q8"/>
    <mergeCell ref="J10:Q15"/>
  </mergeCells>
  <conditionalFormatting sqref="C3">
    <cfRule type="expression" dxfId="17" priority="2">
      <formula>S4&lt;S6</formula>
    </cfRule>
  </conditionalFormatting>
  <conditionalFormatting sqref="C4">
    <cfRule type="expression" dxfId="16" priority="1">
      <formula>AND(S4&gt;=S6,S4&lt;S5)</formula>
    </cfRule>
  </conditionalFormatting>
  <conditionalFormatting sqref="C5">
    <cfRule type="expression" dxfId="15" priority="3">
      <formula>S4&gt;=S5</formula>
    </cfRule>
  </conditionalFormatting>
  <hyperlinks>
    <hyperlink ref="L1" location="Dashboard!A1" display="Dashboard" xr:uid="{00000000-0004-0000-39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8177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>
        <f>Dashboard!A54</f>
        <v>20</v>
      </c>
      <c r="C1" s="4" t="str">
        <f>Dashboard!B54</f>
        <v>Amount receivables as at close of the month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205010129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f>BUDGET2526!D55</f>
        <v>0</v>
      </c>
      <c r="F19" s="5">
        <f>BUDGET2526!E55</f>
        <v>0</v>
      </c>
      <c r="G19" s="5">
        <f>BUDGET2526!F55</f>
        <v>0</v>
      </c>
      <c r="H19" s="5">
        <f>BUDGET2526!G55</f>
        <v>0</v>
      </c>
      <c r="I19" s="5">
        <f>BUDGET2526!H55</f>
        <v>0</v>
      </c>
      <c r="J19" s="5">
        <f>BUDGET2526!I55</f>
        <v>0</v>
      </c>
      <c r="K19" s="5">
        <f>BUDGET2526!J55</f>
        <v>0</v>
      </c>
      <c r="L19" s="5">
        <f>BUDGET2526!K55</f>
        <v>0</v>
      </c>
      <c r="M19" s="5">
        <f>BUDGET2526!L55</f>
        <v>0</v>
      </c>
      <c r="N19" s="5">
        <f>BUDGET2526!M55</f>
        <v>0</v>
      </c>
      <c r="O19" s="5">
        <f>BUDGET2526!N55</f>
        <v>0</v>
      </c>
      <c r="P19" s="5">
        <f>BUDGET2526!O55</f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5">
        <f>'ACTUAL 2526'!E55</f>
        <v>188094265.59999999</v>
      </c>
      <c r="F20" s="5">
        <f>'ACTUAL 2526'!F55</f>
        <v>196574552.30000001</v>
      </c>
      <c r="G20" s="5">
        <f>'ACTUAL 2526'!G55</f>
        <v>198769120</v>
      </c>
      <c r="H20" s="5">
        <f>'ACTUAL 2526'!H55</f>
        <v>199021725.5</v>
      </c>
      <c r="I20" s="5">
        <f>'ACTUAL 2526'!I55</f>
        <v>200377339.40000001</v>
      </c>
      <c r="J20" s="5">
        <f>'ACTUAL 2526'!J55</f>
        <v>196285940</v>
      </c>
      <c r="K20" s="5">
        <f>'ACTUAL 2526'!K55</f>
        <v>206653217.69999999</v>
      </c>
      <c r="L20" s="5">
        <f>'ACTUAL 2526'!L55</f>
        <v>208370783.69999999</v>
      </c>
      <c r="M20" s="5">
        <f>'ACTUAL 2526'!M55</f>
        <v>205010129</v>
      </c>
      <c r="N20" s="5">
        <f>'ACTUAL 2526'!N55</f>
        <v>0</v>
      </c>
      <c r="O20" s="5">
        <f>'ACTUAL 2526'!O55</f>
        <v>0</v>
      </c>
      <c r="P20" s="5">
        <f>'ACTUAL 2526'!P55</f>
        <v>0</v>
      </c>
      <c r="Q20" s="5">
        <f t="shared" ref="Q20:Q21" si="0">SUM(E20:P20)</f>
        <v>1799157073.2</v>
      </c>
    </row>
    <row r="21" spans="3:17" x14ac:dyDescent="0.35">
      <c r="D21" s="3" t="str">
        <f>'KPI 1'!D21</f>
        <v>ACTUAL2024/25</v>
      </c>
      <c r="E21" s="5">
        <f>'Actual 202425'!E55</f>
        <v>173130367.5</v>
      </c>
      <c r="F21" s="5">
        <f>'Actual 202425'!F55</f>
        <v>178136205.59999999</v>
      </c>
      <c r="G21" s="5">
        <f>'Actual 202425'!G55</f>
        <v>178607959.30000001</v>
      </c>
      <c r="H21" s="5">
        <f>'Actual 202425'!H55</f>
        <v>178920672.69999999</v>
      </c>
      <c r="I21" s="5">
        <f>'Actual 202425'!I55</f>
        <v>178826151.40000001</v>
      </c>
      <c r="J21" s="5">
        <f>'Actual 202425'!J55</f>
        <v>176260483.80000001</v>
      </c>
      <c r="K21" s="5">
        <f>'Actual 202425'!K55</f>
        <v>176746489.69999999</v>
      </c>
      <c r="L21" s="5">
        <f>'Actual 202425'!L55</f>
        <v>176654248.40000001</v>
      </c>
      <c r="M21" s="5">
        <f>'Actual 202425'!M55</f>
        <v>183336585.40000001</v>
      </c>
      <c r="N21" s="5">
        <f>'Actual 202425'!N55</f>
        <v>177570277.19999999</v>
      </c>
      <c r="O21" s="5">
        <f>'Actual 202425'!O55</f>
        <v>187035966.90000001</v>
      </c>
      <c r="P21" s="5">
        <f>'Actual 202425'!P55</f>
        <v>187225998.19999999</v>
      </c>
      <c r="Q21" s="5">
        <f t="shared" si="0"/>
        <v>2152451406.1000004</v>
      </c>
    </row>
    <row r="22" spans="3:17" x14ac:dyDescent="0.35">
      <c r="D22" s="3" t="str">
        <f>'KPI 1'!D22</f>
        <v>DIFFERENCE</v>
      </c>
      <c r="E22" s="5">
        <f>ACTUAL2021!D105</f>
        <v>0</v>
      </c>
      <c r="F22" s="5">
        <f>ACTUAL2021!E105</f>
        <v>0</v>
      </c>
      <c r="G22" s="5">
        <f>ACTUAL2021!F105</f>
        <v>0</v>
      </c>
      <c r="H22" s="5">
        <f>ACTUAL2021!G105</f>
        <v>0</v>
      </c>
      <c r="I22" s="5">
        <f>ACTUAL2021!H105</f>
        <v>0</v>
      </c>
      <c r="J22" s="5">
        <f>ACTUAL2021!I105</f>
        <v>0</v>
      </c>
      <c r="K22" s="5">
        <f>IF(K20=0,0,K20-K19)</f>
        <v>206653217.69999999</v>
      </c>
      <c r="L22" s="5">
        <f t="shared" ref="L22:P22" si="1">IF(L20=0,0,L20-L19)</f>
        <v>208370783.69999999</v>
      </c>
      <c r="M22" s="5">
        <f t="shared" si="1"/>
        <v>205010129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620034130.39999998</v>
      </c>
    </row>
    <row r="23" spans="3:17" x14ac:dyDescent="0.35">
      <c r="D23" s="3" t="str">
        <f>'KPI 1'!D23</f>
        <v>%REALISATION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3:17" x14ac:dyDescent="0.35">
      <c r="E24" s="49">
        <f>E18</f>
        <v>45839</v>
      </c>
      <c r="F24" s="49">
        <f t="shared" ref="F24:P24" si="2">F18</f>
        <v>45870</v>
      </c>
      <c r="G24" s="49">
        <f t="shared" si="2"/>
        <v>45901</v>
      </c>
      <c r="H24" s="49">
        <f t="shared" si="2"/>
        <v>45931</v>
      </c>
      <c r="I24" s="49">
        <f t="shared" si="2"/>
        <v>45962</v>
      </c>
      <c r="J24" s="49">
        <f t="shared" si="2"/>
        <v>45992</v>
      </c>
      <c r="K24" s="49">
        <f t="shared" si="2"/>
        <v>46023</v>
      </c>
      <c r="L24" s="49">
        <f t="shared" si="2"/>
        <v>46054</v>
      </c>
      <c r="M24" s="49">
        <f t="shared" si="2"/>
        <v>46082</v>
      </c>
      <c r="N24" s="49">
        <f t="shared" si="2"/>
        <v>46113</v>
      </c>
      <c r="O24" s="49">
        <f t="shared" si="2"/>
        <v>46143</v>
      </c>
      <c r="P24" s="49">
        <f t="shared" si="2"/>
        <v>46174</v>
      </c>
    </row>
    <row r="25" spans="3:17" x14ac:dyDescent="0.35">
      <c r="C25" s="7" t="s">
        <v>4</v>
      </c>
      <c r="D25" s="3">
        <f>'KPI 1'!D25</f>
        <v>0</v>
      </c>
      <c r="E25" s="5"/>
      <c r="F25" s="5"/>
      <c r="G25" s="5"/>
      <c r="H25" s="5"/>
      <c r="I25" s="5"/>
      <c r="J25" s="5"/>
      <c r="K25" s="11"/>
      <c r="L25" s="11"/>
      <c r="M25" s="11"/>
      <c r="N25" s="11"/>
      <c r="O25" s="11"/>
      <c r="P25" s="11"/>
    </row>
    <row r="26" spans="3:17" x14ac:dyDescent="0.35">
      <c r="D26" s="3" t="str">
        <f>'KPI 1'!D26</f>
        <v>budget2025/26</v>
      </c>
      <c r="E26" s="5">
        <f>AVERAGE(E19:E19)</f>
        <v>0</v>
      </c>
      <c r="F26" s="5">
        <f t="shared" ref="F26:P26" si="3">AVERAGE(F19:F19)</f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>'KPI 1'!D27</f>
        <v>ACTUAL2025/26</v>
      </c>
      <c r="E27" s="5">
        <f>E20</f>
        <v>188094265.59999999</v>
      </c>
      <c r="F27" s="5">
        <f t="shared" ref="F27:P27" si="4">F20</f>
        <v>196574552.30000001</v>
      </c>
      <c r="G27" s="5">
        <f t="shared" si="4"/>
        <v>198769120</v>
      </c>
      <c r="H27" s="5">
        <f t="shared" si="4"/>
        <v>199021725.5</v>
      </c>
      <c r="I27" s="5">
        <f t="shared" si="4"/>
        <v>200377339.40000001</v>
      </c>
      <c r="J27" s="5">
        <f t="shared" si="4"/>
        <v>196285940</v>
      </c>
      <c r="K27" s="5">
        <f t="shared" si="4"/>
        <v>206653217.69999999</v>
      </c>
      <c r="L27" s="5">
        <f t="shared" si="4"/>
        <v>208370783.69999999</v>
      </c>
      <c r="M27" s="5">
        <f t="shared" si="4"/>
        <v>205010129</v>
      </c>
      <c r="N27" s="5">
        <f t="shared" si="4"/>
        <v>0</v>
      </c>
      <c r="O27" s="5">
        <f t="shared" si="4"/>
        <v>0</v>
      </c>
      <c r="P27" s="5">
        <f t="shared" si="4"/>
        <v>0</v>
      </c>
    </row>
    <row r="28" spans="3:17" x14ac:dyDescent="0.35">
      <c r="D28" s="3" t="str">
        <f>'KPI 1'!D28</f>
        <v>ACTUAL2024/25</v>
      </c>
      <c r="E28" s="5">
        <f>E21</f>
        <v>173130367.5</v>
      </c>
      <c r="F28" s="5">
        <f t="shared" ref="F28:P28" si="5">F21</f>
        <v>178136205.59999999</v>
      </c>
      <c r="G28" s="5">
        <f t="shared" si="5"/>
        <v>178607959.30000001</v>
      </c>
      <c r="H28" s="5">
        <f t="shared" si="5"/>
        <v>178920672.69999999</v>
      </c>
      <c r="I28" s="5">
        <f t="shared" si="5"/>
        <v>178826151.40000001</v>
      </c>
      <c r="J28" s="5">
        <f t="shared" si="5"/>
        <v>176260483.80000001</v>
      </c>
      <c r="K28" s="5">
        <f t="shared" si="5"/>
        <v>176746489.69999999</v>
      </c>
      <c r="L28" s="5">
        <f t="shared" si="5"/>
        <v>176654248.40000001</v>
      </c>
      <c r="M28" s="5">
        <f t="shared" si="5"/>
        <v>183336585.40000001</v>
      </c>
      <c r="N28" s="5">
        <f t="shared" si="5"/>
        <v>177570277.19999999</v>
      </c>
      <c r="O28" s="5">
        <f t="shared" si="5"/>
        <v>187035966.90000001</v>
      </c>
      <c r="P28" s="5">
        <f t="shared" si="5"/>
        <v>187225998.19999999</v>
      </c>
    </row>
    <row r="29" spans="3:17" x14ac:dyDescent="0.35">
      <c r="D29" s="3" t="str">
        <f>'KPI 1'!D29</f>
        <v>DIFFERENCE</v>
      </c>
      <c r="E29" s="5">
        <f>ACTUAL2021!D113</f>
        <v>0</v>
      </c>
      <c r="F29" s="5">
        <f>ACTUAL2021!E113</f>
        <v>0</v>
      </c>
      <c r="G29" s="5">
        <f>ACTUAL2021!F113</f>
        <v>0</v>
      </c>
      <c r="H29" s="5">
        <f>ACTUAL2021!G113</f>
        <v>0</v>
      </c>
      <c r="I29" s="5">
        <f>ACTUAL2021!H113</f>
        <v>0</v>
      </c>
      <c r="J29" s="5">
        <f>ACTUAL2021!I113</f>
        <v>0</v>
      </c>
      <c r="K29" s="5">
        <f>SUM($E22:K22)</f>
        <v>206653217.69999999</v>
      </c>
      <c r="L29" s="5">
        <f>SUM($E22:L22)</f>
        <v>415024001.39999998</v>
      </c>
      <c r="M29" s="5">
        <f>SUM($E22:M22)</f>
        <v>620034130.39999998</v>
      </c>
      <c r="N29" s="5">
        <f>SUM($E22:N22)</f>
        <v>620034130.39999998</v>
      </c>
      <c r="O29" s="5">
        <f>SUM($E22:O22)</f>
        <v>620034130.39999998</v>
      </c>
      <c r="P29" s="5">
        <f>SUM($E22:P22)</f>
        <v>620034130.39999998</v>
      </c>
    </row>
    <row r="30" spans="3:17" x14ac:dyDescent="0.35">
      <c r="D30" s="3" t="str">
        <f>'KPI 1'!D30</f>
        <v>%REALISATION</v>
      </c>
      <c r="E30" s="5">
        <f>ACTUAL2021!D114</f>
        <v>0</v>
      </c>
      <c r="F30" s="5">
        <f>ACTUAL2021!E114</f>
        <v>0</v>
      </c>
      <c r="G30" s="5">
        <f>ACTUAL2021!F114</f>
        <v>0</v>
      </c>
      <c r="H30" s="5">
        <f>ACTUAL2021!G114</f>
        <v>0</v>
      </c>
      <c r="I30" s="5">
        <f>ACTUAL2021!H114</f>
        <v>0</v>
      </c>
      <c r="J30" s="5">
        <f>ACTUAL2021!I114</f>
        <v>0</v>
      </c>
      <c r="K30" s="9" t="e">
        <f t="shared" ref="K30:P30" si="6">K27/K26</f>
        <v>#DIV/0!</v>
      </c>
      <c r="L30" s="9" t="e">
        <f t="shared" si="6"/>
        <v>#DIV/0!</v>
      </c>
      <c r="M30" s="9" t="e">
        <f t="shared" si="6"/>
        <v>#DIV/0!</v>
      </c>
      <c r="N30" s="9" t="e">
        <f t="shared" si="6"/>
        <v>#DIV/0!</v>
      </c>
      <c r="O30" s="9" t="e">
        <f t="shared" si="6"/>
        <v>#DIV/0!</v>
      </c>
      <c r="P30" s="9" t="e">
        <f t="shared" si="6"/>
        <v>#DIV/0!</v>
      </c>
    </row>
  </sheetData>
  <mergeCells count="2">
    <mergeCell ref="J4:Q8"/>
    <mergeCell ref="J10:Q15"/>
  </mergeCells>
  <conditionalFormatting sqref="C3">
    <cfRule type="expression" dxfId="14" priority="2">
      <formula>S4&lt;S6</formula>
    </cfRule>
  </conditionalFormatting>
  <conditionalFormatting sqref="C4">
    <cfRule type="expression" dxfId="13" priority="1">
      <formula>AND(S4&gt;=S6,S4&lt;S5)</formula>
    </cfRule>
  </conditionalFormatting>
  <conditionalFormatting sqref="C5">
    <cfRule type="expression" dxfId="12" priority="3">
      <formula>S4&gt;=S5</formula>
    </cfRule>
  </conditionalFormatting>
  <hyperlinks>
    <hyperlink ref="L1" location="Dashboard!A1" display="Dashboard" xr:uid="{00000000-0004-0000-3A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662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e">
        <f>Dashboard!#REF!</f>
        <v>#REF!</v>
      </c>
      <c r="C1" s="4" t="e">
        <f>Dashboard!#REF!</f>
        <v>#REF!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 t="e">
        <f>INDEX(E27:P27,Actual_month)</f>
        <v>#REF!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 t="e">
        <f>INDEX(E26:P26,Actual_month)</f>
        <v>#REF!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 t="e">
        <f>+S5*R6</f>
        <v>#REF!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 t="e">
        <f>BUDGET2526!#REF!</f>
        <v>#REF!</v>
      </c>
      <c r="F19" s="5" t="e">
        <f>BUDGET2526!#REF!</f>
        <v>#REF!</v>
      </c>
      <c r="G19" s="5" t="e">
        <f>BUDGET2526!#REF!</f>
        <v>#REF!</v>
      </c>
      <c r="H19" s="5" t="e">
        <f>BUDGET2526!#REF!</f>
        <v>#REF!</v>
      </c>
      <c r="I19" s="5" t="e">
        <f>BUDGET2526!#REF!</f>
        <v>#REF!</v>
      </c>
      <c r="J19" s="5" t="e">
        <f>BUDGET2526!#REF!</f>
        <v>#REF!</v>
      </c>
      <c r="K19" s="5" t="e">
        <f>BUDGET2526!#REF!</f>
        <v>#REF!</v>
      </c>
      <c r="L19" s="5" t="e">
        <f>BUDGET2526!#REF!</f>
        <v>#REF!</v>
      </c>
      <c r="M19" s="5" t="e">
        <f>BUDGET2526!#REF!</f>
        <v>#REF!</v>
      </c>
      <c r="N19" s="5" t="e">
        <f>BUDGET2526!#REF!</f>
        <v>#REF!</v>
      </c>
      <c r="O19" s="5" t="e">
        <f>BUDGET2526!#REF!</f>
        <v>#REF!</v>
      </c>
      <c r="P19" s="5" t="e">
        <f>BUDGET2526!#REF!</f>
        <v>#REF!</v>
      </c>
      <c r="Q19" s="5" t="e">
        <f>SUM(E19:P19)</f>
        <v>#REF!</v>
      </c>
    </row>
    <row r="20" spans="3:17" x14ac:dyDescent="0.35">
      <c r="D20" s="3" t="str">
        <f>'KPI 1'!D20</f>
        <v>ACTUAL2025/26</v>
      </c>
      <c r="E20" s="5" t="e">
        <f>Actual2223!#REF!</f>
        <v>#REF!</v>
      </c>
      <c r="F20" s="5" t="e">
        <f>Actual2223!#REF!</f>
        <v>#REF!</v>
      </c>
      <c r="G20" s="5" t="e">
        <f>Actual2223!#REF!</f>
        <v>#REF!</v>
      </c>
      <c r="H20" s="5" t="e">
        <f>Actual2223!#REF!</f>
        <v>#REF!</v>
      </c>
      <c r="I20" s="5" t="e">
        <f>Actual2223!#REF!</f>
        <v>#REF!</v>
      </c>
      <c r="J20" s="5" t="e">
        <f>Actual2223!#REF!</f>
        <v>#REF!</v>
      </c>
      <c r="K20" s="5" t="e">
        <f>Actual2223!#REF!</f>
        <v>#REF!</v>
      </c>
      <c r="L20" s="5" t="e">
        <f>Actual2223!#REF!</f>
        <v>#REF!</v>
      </c>
      <c r="M20" s="5" t="e">
        <f>Actual2223!#REF!</f>
        <v>#REF!</v>
      </c>
      <c r="N20" s="5" t="e">
        <f>Actual2223!#REF!</f>
        <v>#REF!</v>
      </c>
      <c r="O20" s="5" t="e">
        <f>Actual2223!#REF!</f>
        <v>#REF!</v>
      </c>
      <c r="P20" s="5" t="e">
        <f>Actual2223!#REF!</f>
        <v>#REF!</v>
      </c>
      <c r="Q20" s="5" t="e">
        <f t="shared" ref="Q20:Q21" si="0">SUM(E20:P20)</f>
        <v>#REF!</v>
      </c>
    </row>
    <row r="21" spans="3:17" x14ac:dyDescent="0.35">
      <c r="D21" s="3" t="str">
        <f>'KPI 1'!D21</f>
        <v>ACTUAL2024/25</v>
      </c>
      <c r="E21" s="5" t="e">
        <f>ACTUAL2122!#REF!</f>
        <v>#REF!</v>
      </c>
      <c r="F21" s="5" t="e">
        <f>ACTUAL2122!#REF!</f>
        <v>#REF!</v>
      </c>
      <c r="G21" s="5" t="e">
        <f>ACTUAL2122!#REF!</f>
        <v>#REF!</v>
      </c>
      <c r="H21" s="5" t="e">
        <f>ACTUAL2122!#REF!</f>
        <v>#REF!</v>
      </c>
      <c r="I21" s="5" t="e">
        <f>ACTUAL2122!#REF!</f>
        <v>#REF!</v>
      </c>
      <c r="J21" s="5" t="e">
        <f>ACTUAL2122!#REF!</f>
        <v>#REF!</v>
      </c>
      <c r="K21" s="5" t="e">
        <f>ACTUAL2122!#REF!</f>
        <v>#REF!</v>
      </c>
      <c r="L21" s="5" t="e">
        <f>ACTUAL2122!#REF!</f>
        <v>#REF!</v>
      </c>
      <c r="M21" s="5" t="e">
        <f>ACTUAL2122!#REF!</f>
        <v>#REF!</v>
      </c>
      <c r="N21" s="5" t="e">
        <f>ACTUAL2122!#REF!</f>
        <v>#REF!</v>
      </c>
      <c r="O21" s="5" t="e">
        <f>ACTUAL2122!#REF!</f>
        <v>#REF!</v>
      </c>
      <c r="P21" s="5" t="e">
        <f>ACTUAL2122!#REF!</f>
        <v>#REF!</v>
      </c>
      <c r="Q21" s="5" t="e">
        <f t="shared" si="0"/>
        <v>#REF!</v>
      </c>
    </row>
    <row r="22" spans="3:17" x14ac:dyDescent="0.35">
      <c r="D22" s="3" t="str">
        <f>'KPI 1'!D22</f>
        <v>DIFFERENCE</v>
      </c>
      <c r="E22" s="5" t="e">
        <f t="shared" ref="E22:P22" si="1">IF(E20=0,0,E20-E19)</f>
        <v>#REF!</v>
      </c>
      <c r="F22" s="5" t="e">
        <f t="shared" si="1"/>
        <v>#REF!</v>
      </c>
      <c r="G22" s="5" t="e">
        <f t="shared" si="1"/>
        <v>#REF!</v>
      </c>
      <c r="H22" s="5" t="e">
        <f t="shared" si="1"/>
        <v>#REF!</v>
      </c>
      <c r="I22" s="5" t="e">
        <f t="shared" si="1"/>
        <v>#REF!</v>
      </c>
      <c r="J22" s="5" t="e">
        <f t="shared" si="1"/>
        <v>#REF!</v>
      </c>
      <c r="K22" s="5" t="e">
        <f t="shared" si="1"/>
        <v>#REF!</v>
      </c>
      <c r="L22" s="5" t="e">
        <f t="shared" si="1"/>
        <v>#REF!</v>
      </c>
      <c r="M22" s="5" t="e">
        <f t="shared" si="1"/>
        <v>#REF!</v>
      </c>
      <c r="N22" s="5" t="e">
        <f t="shared" si="1"/>
        <v>#REF!</v>
      </c>
      <c r="O22" s="5" t="e">
        <f t="shared" si="1"/>
        <v>#REF!</v>
      </c>
      <c r="P22" s="5" t="e">
        <f t="shared" si="1"/>
        <v>#REF!</v>
      </c>
      <c r="Q22" s="5" t="e">
        <f>SUM(E22:P22)</f>
        <v>#REF!</v>
      </c>
    </row>
    <row r="23" spans="3:17" x14ac:dyDescent="0.35">
      <c r="D23" s="3" t="str">
        <f>'KPI 1'!D23</f>
        <v>%REALISATION</v>
      </c>
      <c r="E23" s="9" t="e">
        <f>E21/E19</f>
        <v>#REF!</v>
      </c>
      <c r="F23" s="9" t="e">
        <f t="shared" ref="F23:P23" si="2">F20/F19</f>
        <v>#REF!</v>
      </c>
      <c r="G23" s="9" t="e">
        <f t="shared" si="2"/>
        <v>#REF!</v>
      </c>
      <c r="H23" s="9" t="e">
        <f t="shared" si="2"/>
        <v>#REF!</v>
      </c>
      <c r="I23" s="9" t="e">
        <f t="shared" si="2"/>
        <v>#REF!</v>
      </c>
      <c r="J23" s="9" t="e">
        <f t="shared" si="2"/>
        <v>#REF!</v>
      </c>
      <c r="K23" s="9" t="e">
        <f t="shared" si="2"/>
        <v>#REF!</v>
      </c>
      <c r="L23" s="9" t="e">
        <f t="shared" si="2"/>
        <v>#REF!</v>
      </c>
      <c r="M23" s="9" t="e">
        <f t="shared" si="2"/>
        <v>#REF!</v>
      </c>
      <c r="N23" s="9" t="e">
        <f t="shared" si="2"/>
        <v>#REF!</v>
      </c>
      <c r="O23" s="9" t="e">
        <f t="shared" si="2"/>
        <v>#REF!</v>
      </c>
      <c r="P23" s="9" t="e">
        <f t="shared" si="2"/>
        <v>#REF!</v>
      </c>
    </row>
    <row r="24" spans="3:17" x14ac:dyDescent="0.35"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 t="e">
        <f>SUM($E19:E19)</f>
        <v>#REF!</v>
      </c>
      <c r="F26" s="5" t="e">
        <f>SUM($E19:F19)</f>
        <v>#REF!</v>
      </c>
      <c r="G26" s="5" t="e">
        <f>SUM($E19:G19)</f>
        <v>#REF!</v>
      </c>
      <c r="H26" s="5" t="e">
        <f>SUM($E19:H19)</f>
        <v>#REF!</v>
      </c>
      <c r="I26" s="5" t="e">
        <f>SUM($E19:I19)</f>
        <v>#REF!</v>
      </c>
      <c r="J26" s="5" t="e">
        <f>SUM($E19:J19)</f>
        <v>#REF!</v>
      </c>
      <c r="K26" s="5" t="e">
        <f>SUM($E19:K19)</f>
        <v>#REF!</v>
      </c>
      <c r="L26" s="5" t="e">
        <f>SUM($E19:L19)</f>
        <v>#REF!</v>
      </c>
      <c r="M26" s="5" t="e">
        <f>SUM($E19:M19)</f>
        <v>#REF!</v>
      </c>
      <c r="N26" s="5" t="e">
        <f>SUM($E19:N19)</f>
        <v>#REF!</v>
      </c>
      <c r="O26" s="5" t="e">
        <f>SUM($E19:O19)</f>
        <v>#REF!</v>
      </c>
      <c r="P26" s="5" t="e">
        <f>SUM($E19:P19)</f>
        <v>#REF!</v>
      </c>
    </row>
    <row r="27" spans="3:17" x14ac:dyDescent="0.35">
      <c r="D27" s="3" t="str">
        <f>'KPI 1'!D27</f>
        <v>ACTUAL2025/26</v>
      </c>
      <c r="E27" s="5" t="e">
        <f>SUM($E20:E20)</f>
        <v>#REF!</v>
      </c>
      <c r="F27" s="5" t="e">
        <f>SUM($E20:F20)</f>
        <v>#REF!</v>
      </c>
      <c r="G27" s="5" t="e">
        <f>SUM($E20:G20)</f>
        <v>#REF!</v>
      </c>
      <c r="H27" s="5" t="e">
        <f>SUM($E20:H20)</f>
        <v>#REF!</v>
      </c>
      <c r="I27" s="5" t="e">
        <f>SUM($E20:I20)</f>
        <v>#REF!</v>
      </c>
      <c r="J27" s="5" t="e">
        <f>SUM($E20:J20)</f>
        <v>#REF!</v>
      </c>
      <c r="K27" s="5" t="e">
        <f>SUM($E20:K20)</f>
        <v>#REF!</v>
      </c>
      <c r="L27" s="5" t="e">
        <f>SUM($E20:L20)</f>
        <v>#REF!</v>
      </c>
      <c r="M27" s="5" t="e">
        <f>SUM($E20:M20)</f>
        <v>#REF!</v>
      </c>
      <c r="N27" s="5" t="e">
        <f>SUM($E20:N20)</f>
        <v>#REF!</v>
      </c>
      <c r="O27" s="5" t="e">
        <f>SUM($E20:O20)</f>
        <v>#REF!</v>
      </c>
      <c r="P27" s="5" t="e">
        <f>SUM($E20:P20)</f>
        <v>#REF!</v>
      </c>
    </row>
    <row r="28" spans="3:17" x14ac:dyDescent="0.35">
      <c r="D28" s="3" t="str">
        <f>'KPI 1'!D28</f>
        <v>ACTUAL2024/25</v>
      </c>
      <c r="E28" s="5" t="e">
        <f>SUM($E21:E21)</f>
        <v>#REF!</v>
      </c>
      <c r="F28" s="5" t="e">
        <f>SUM($E21:F21)</f>
        <v>#REF!</v>
      </c>
      <c r="G28" s="5" t="e">
        <f>SUM($E21:G21)</f>
        <v>#REF!</v>
      </c>
      <c r="H28" s="5" t="e">
        <f>SUM($E21:H21)</f>
        <v>#REF!</v>
      </c>
      <c r="I28" s="5" t="e">
        <f>SUM($E21:I21)</f>
        <v>#REF!</v>
      </c>
      <c r="J28" s="5" t="e">
        <f>SUM($E21:J21)</f>
        <v>#REF!</v>
      </c>
      <c r="K28" s="5" t="e">
        <f>SUM($E21:K21)</f>
        <v>#REF!</v>
      </c>
      <c r="L28" s="5" t="e">
        <f>SUM($E21:L21)</f>
        <v>#REF!</v>
      </c>
      <c r="M28" s="5" t="e">
        <f>SUM($E21:M21)</f>
        <v>#REF!</v>
      </c>
      <c r="N28" s="5" t="e">
        <f>SUM($E21:N21)</f>
        <v>#REF!</v>
      </c>
      <c r="O28" s="5" t="e">
        <f>SUM($E21:O21)</f>
        <v>#REF!</v>
      </c>
      <c r="P28" s="5" t="e">
        <f>SUM($E21:P21)</f>
        <v>#REF!</v>
      </c>
    </row>
    <row r="29" spans="3:17" x14ac:dyDescent="0.35">
      <c r="D29" s="3" t="str">
        <f>'KPI 1'!D29</f>
        <v>DIFFERENCE</v>
      </c>
      <c r="E29" s="5" t="e">
        <f>SUM($E22:E22)</f>
        <v>#REF!</v>
      </c>
      <c r="F29" s="5" t="e">
        <f>SUM($E22:F22)</f>
        <v>#REF!</v>
      </c>
      <c r="G29" s="5" t="e">
        <f>SUM($E22:G22)</f>
        <v>#REF!</v>
      </c>
      <c r="H29" s="5" t="e">
        <f>SUM($E22:H22)</f>
        <v>#REF!</v>
      </c>
      <c r="I29" s="5" t="e">
        <f>SUM($E22:I22)</f>
        <v>#REF!</v>
      </c>
      <c r="J29" s="5" t="e">
        <f>SUM($E22:J22)</f>
        <v>#REF!</v>
      </c>
      <c r="K29" s="5" t="e">
        <f>SUM($E22:K22)</f>
        <v>#REF!</v>
      </c>
      <c r="L29" s="5" t="e">
        <f>SUM($E22:L22)</f>
        <v>#REF!</v>
      </c>
      <c r="M29" s="5" t="e">
        <f>SUM($E22:M22)</f>
        <v>#REF!</v>
      </c>
      <c r="N29" s="5" t="e">
        <f>SUM($E22:N22)</f>
        <v>#REF!</v>
      </c>
      <c r="O29" s="5" t="e">
        <f>SUM($E22:O22)</f>
        <v>#REF!</v>
      </c>
      <c r="P29" s="5" t="e">
        <f>SUM($E22:P22)</f>
        <v>#REF!</v>
      </c>
    </row>
    <row r="30" spans="3:17" x14ac:dyDescent="0.35">
      <c r="D30" s="3" t="str">
        <f>'KPI 1'!D30</f>
        <v>%REALISATION</v>
      </c>
      <c r="E30" s="9" t="e">
        <f>E28/E26</f>
        <v>#REF!</v>
      </c>
      <c r="F30" s="9" t="e">
        <f t="shared" ref="F30:P30" si="3">F27/F26</f>
        <v>#REF!</v>
      </c>
      <c r="G30" s="9" t="e">
        <f t="shared" si="3"/>
        <v>#REF!</v>
      </c>
      <c r="H30" s="9" t="e">
        <f t="shared" si="3"/>
        <v>#REF!</v>
      </c>
      <c r="I30" s="9" t="e">
        <f t="shared" si="3"/>
        <v>#REF!</v>
      </c>
      <c r="J30" s="9" t="e">
        <f t="shared" si="3"/>
        <v>#REF!</v>
      </c>
      <c r="K30" s="9" t="e">
        <f t="shared" si="3"/>
        <v>#REF!</v>
      </c>
      <c r="L30" s="9" t="e">
        <f t="shared" si="3"/>
        <v>#REF!</v>
      </c>
      <c r="M30" s="9" t="e">
        <f t="shared" si="3"/>
        <v>#REF!</v>
      </c>
      <c r="N30" s="9" t="e">
        <f t="shared" si="3"/>
        <v>#REF!</v>
      </c>
      <c r="O30" s="9" t="e">
        <f t="shared" si="3"/>
        <v>#REF!</v>
      </c>
      <c r="P30" s="9" t="e">
        <f t="shared" si="3"/>
        <v>#REF!</v>
      </c>
    </row>
  </sheetData>
  <mergeCells count="2">
    <mergeCell ref="J4:Q8"/>
    <mergeCell ref="J10:Q15"/>
  </mergeCells>
  <conditionalFormatting sqref="C3">
    <cfRule type="expression" dxfId="11" priority="2">
      <formula>S4&lt;S6</formula>
    </cfRule>
  </conditionalFormatting>
  <conditionalFormatting sqref="C4">
    <cfRule type="expression" dxfId="10" priority="1">
      <formula>AND(S4&gt;=S6,S4&lt;S5)</formula>
    </cfRule>
  </conditionalFormatting>
  <conditionalFormatting sqref="C5">
    <cfRule type="expression" dxfId="9" priority="3">
      <formula>S4&gt;=S5</formula>
    </cfRule>
  </conditionalFormatting>
  <hyperlinks>
    <hyperlink ref="L1" location="Dashboard!A1" display="Dashboard" xr:uid="{00000000-0004-0000-3B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8193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6" width="11.1796875" style="3" customWidth="1"/>
    <col min="7" max="7" width="13.54296875" style="3" bestFit="1" customWidth="1"/>
    <col min="8" max="10" width="11.1796875" style="3" customWidth="1"/>
    <col min="11" max="11" width="12.453125" style="3" bestFit="1" customWidth="1"/>
    <col min="12" max="12" width="14" style="3" bestFit="1" customWidth="1"/>
    <col min="13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e">
        <f>Dashboard!#REF!</f>
        <v>#REF!</v>
      </c>
      <c r="C1" s="4" t="e">
        <f>Dashboard!#REF!</f>
        <v>#REF!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>
        <f>INDEX(E27:P27,Actual_month)</f>
        <v>-283993.75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>
        <f>INDEX(E26:P26,Actual_month)</f>
        <v>0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>
        <f>+S5*R6</f>
        <v>0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f>SUM(E19:P19)</f>
        <v>0</v>
      </c>
    </row>
    <row r="20" spans="3:17" x14ac:dyDescent="0.35">
      <c r="D20" s="3" t="str">
        <f>'KPI 1'!D20</f>
        <v>ACTUAL2025/26</v>
      </c>
      <c r="E20" s="69">
        <f>'ACTUAL 2526'!E56</f>
        <v>0</v>
      </c>
      <c r="F20" s="69">
        <f>'ACTUAL 2526'!F56</f>
        <v>-11881</v>
      </c>
      <c r="G20" s="69">
        <f>'ACTUAL 2526'!G56</f>
        <v>-388037</v>
      </c>
      <c r="H20" s="69">
        <f>'ACTUAL 2526'!H56</f>
        <v>31990.5</v>
      </c>
      <c r="I20" s="69">
        <f>'ACTUAL 2526'!I56</f>
        <v>3831</v>
      </c>
      <c r="J20" s="69">
        <f>'ACTUAL 2526'!J56</f>
        <v>0</v>
      </c>
      <c r="K20" s="69">
        <f>'ACTUAL 2526'!K56</f>
        <v>-2061</v>
      </c>
      <c r="L20" s="69">
        <f>'ACTUAL 2526'!L56</f>
        <v>-7836.25</v>
      </c>
      <c r="M20" s="69">
        <f>'ACTUAL 2526'!M56</f>
        <v>90000</v>
      </c>
      <c r="N20" s="69">
        <f>'ACTUAL 2526'!N56</f>
        <v>0</v>
      </c>
      <c r="O20" s="69">
        <f>'ACTUAL 2526'!O56</f>
        <v>0</v>
      </c>
      <c r="P20" s="69">
        <f>'ACTUAL 2526'!P56</f>
        <v>0</v>
      </c>
      <c r="Q20" s="5">
        <f t="shared" ref="Q20:Q21" si="0">SUM(E20:P20)</f>
        <v>-283993.75</v>
      </c>
    </row>
    <row r="21" spans="3:17" x14ac:dyDescent="0.35">
      <c r="D21" s="3" t="str">
        <f>'KPI 1'!D21</f>
        <v>ACTUAL2024/25</v>
      </c>
      <c r="E21" s="69">
        <f>'Actual 202425'!E56</f>
        <v>-148115</v>
      </c>
      <c r="F21" s="69">
        <f>'Actual 202425'!F56</f>
        <v>-141982</v>
      </c>
      <c r="G21" s="69">
        <f>'Actual 202425'!G56</f>
        <v>-89777.5</v>
      </c>
      <c r="H21" s="69">
        <f>'Actual 202425'!H56</f>
        <v>-123502</v>
      </c>
      <c r="I21" s="69">
        <f>'Actual 202425'!I56</f>
        <v>-140220.70000000001</v>
      </c>
      <c r="J21" s="69">
        <f>'Actual 202425'!J56</f>
        <v>-348511</v>
      </c>
      <c r="K21" s="69">
        <f>'Actual 202425'!K56</f>
        <v>-198423</v>
      </c>
      <c r="L21" s="69">
        <f>'Actual 202425'!L56</f>
        <v>-664.5</v>
      </c>
      <c r="M21" s="69">
        <f>'Actual 202425'!M56</f>
        <v>-55634.8</v>
      </c>
      <c r="N21" s="69">
        <f>'Actual 202425'!N56</f>
        <v>-986702.55</v>
      </c>
      <c r="O21" s="69">
        <f>'Actual 202425'!O56</f>
        <v>-25274.5</v>
      </c>
      <c r="P21" s="69">
        <f>'Actual 202425'!P56</f>
        <v>-46950</v>
      </c>
      <c r="Q21" s="5">
        <f t="shared" si="0"/>
        <v>-2305757.5499999998</v>
      </c>
    </row>
    <row r="22" spans="3:17" x14ac:dyDescent="0.35">
      <c r="D22" s="3" t="str">
        <f>'KPI 1'!D22</f>
        <v>DIFFERENCE</v>
      </c>
      <c r="E22" s="5">
        <f>ACTUAL2021!D105</f>
        <v>0</v>
      </c>
      <c r="F22" s="5">
        <f t="shared" ref="F22:P22" si="1">IF(F20=0,0,F20-F19)</f>
        <v>-11881</v>
      </c>
      <c r="G22" s="5">
        <f t="shared" si="1"/>
        <v>-388037</v>
      </c>
      <c r="H22" s="5">
        <f t="shared" si="1"/>
        <v>31990.5</v>
      </c>
      <c r="I22" s="5">
        <f t="shared" si="1"/>
        <v>3831</v>
      </c>
      <c r="J22" s="5">
        <f t="shared" si="1"/>
        <v>0</v>
      </c>
      <c r="K22" s="5">
        <f t="shared" si="1"/>
        <v>-2061</v>
      </c>
      <c r="L22" s="5">
        <f t="shared" si="1"/>
        <v>-7836.25</v>
      </c>
      <c r="M22" s="5">
        <f t="shared" si="1"/>
        <v>90000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>SUM(E22:P22)</f>
        <v>-283993.75</v>
      </c>
    </row>
    <row r="23" spans="3:17" x14ac:dyDescent="0.35">
      <c r="D23" s="3" t="str">
        <f>'KPI 1'!D23</f>
        <v>%REALISATION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3:17" x14ac:dyDescent="0.35">
      <c r="E24" s="49">
        <f>E18</f>
        <v>45839</v>
      </c>
      <c r="F24" s="49">
        <f t="shared" ref="F24:P24" si="2">F18</f>
        <v>45870</v>
      </c>
      <c r="G24" s="49">
        <f t="shared" si="2"/>
        <v>45901</v>
      </c>
      <c r="H24" s="49">
        <f t="shared" si="2"/>
        <v>45931</v>
      </c>
      <c r="I24" s="49">
        <f t="shared" si="2"/>
        <v>45962</v>
      </c>
      <c r="J24" s="49">
        <f t="shared" si="2"/>
        <v>45992</v>
      </c>
      <c r="K24" s="49">
        <f t="shared" si="2"/>
        <v>46023</v>
      </c>
      <c r="L24" s="49">
        <f t="shared" si="2"/>
        <v>46054</v>
      </c>
      <c r="M24" s="49">
        <f t="shared" si="2"/>
        <v>46082</v>
      </c>
      <c r="N24" s="49">
        <f t="shared" si="2"/>
        <v>46113</v>
      </c>
      <c r="O24" s="49">
        <f t="shared" si="2"/>
        <v>46143</v>
      </c>
      <c r="P24" s="49">
        <f t="shared" si="2"/>
        <v>46174</v>
      </c>
    </row>
    <row r="25" spans="3:17" x14ac:dyDescent="0.35">
      <c r="C25" s="7" t="s">
        <v>4</v>
      </c>
      <c r="D25" s="3">
        <f>'KPI 1'!D25</f>
        <v>0</v>
      </c>
      <c r="E25" s="5"/>
      <c r="F25" s="5"/>
      <c r="G25" s="5"/>
      <c r="H25" s="5"/>
      <c r="I25" s="5"/>
      <c r="J25" s="5"/>
      <c r="K25" s="11"/>
      <c r="L25" s="11"/>
      <c r="M25" s="11"/>
      <c r="N25" s="11"/>
      <c r="O25" s="11"/>
      <c r="P25" s="11"/>
    </row>
    <row r="26" spans="3:17" x14ac:dyDescent="0.35">
      <c r="D26" s="3" t="str">
        <f>'KPI 1'!D26</f>
        <v>budget2025/26</v>
      </c>
      <c r="E26" s="5">
        <f>AVERAGE(E19:E19)</f>
        <v>0</v>
      </c>
      <c r="F26" s="5">
        <f t="shared" ref="F26:P26" si="3">AVERAGE(F19:F19)</f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>'KPI 1'!D27</f>
        <v>ACTUAL2025/26</v>
      </c>
      <c r="E27" s="5">
        <f>AVERAGE(E20:E20)</f>
        <v>0</v>
      </c>
      <c r="F27" s="5">
        <f>SUM($E20:F20)</f>
        <v>-11881</v>
      </c>
      <c r="G27" s="5">
        <f>SUM($E20:G20)</f>
        <v>-399918</v>
      </c>
      <c r="H27" s="5">
        <f>SUM($E20:H20)</f>
        <v>-367927.5</v>
      </c>
      <c r="I27" s="5">
        <f>SUM($E20:I20)</f>
        <v>-364096.5</v>
      </c>
      <c r="J27" s="5">
        <f>SUM($E20:J20)</f>
        <v>-364096.5</v>
      </c>
      <c r="K27" s="5">
        <f>SUM($E20:K20)</f>
        <v>-366157.5</v>
      </c>
      <c r="L27" s="5">
        <f>SUM($E20:L20)</f>
        <v>-373993.75</v>
      </c>
      <c r="M27" s="5">
        <f>SUM($E20:M20)</f>
        <v>-283993.75</v>
      </c>
      <c r="N27" s="5">
        <f>SUM($E20:N20)</f>
        <v>-283993.75</v>
      </c>
      <c r="O27" s="5">
        <f>SUM($E20:O20)</f>
        <v>-283993.75</v>
      </c>
      <c r="P27" s="5">
        <f>SUM($E20:P20)</f>
        <v>-283993.75</v>
      </c>
      <c r="Q27" s="5"/>
    </row>
    <row r="28" spans="3:17" x14ac:dyDescent="0.35">
      <c r="D28" s="3" t="str">
        <f>'KPI 1'!D28</f>
        <v>ACTUAL2024/25</v>
      </c>
      <c r="E28" s="5">
        <f>E21</f>
        <v>-148115</v>
      </c>
      <c r="F28" s="5">
        <f t="shared" ref="F28:P28" si="4">F21</f>
        <v>-141982</v>
      </c>
      <c r="G28" s="5">
        <f t="shared" si="4"/>
        <v>-89777.5</v>
      </c>
      <c r="H28" s="5">
        <f t="shared" si="4"/>
        <v>-123502</v>
      </c>
      <c r="I28" s="5">
        <f t="shared" si="4"/>
        <v>-140220.70000000001</v>
      </c>
      <c r="J28" s="5">
        <f t="shared" si="4"/>
        <v>-348511</v>
      </c>
      <c r="K28" s="5">
        <f t="shared" si="4"/>
        <v>-198423</v>
      </c>
      <c r="L28" s="5">
        <f t="shared" si="4"/>
        <v>-664.5</v>
      </c>
      <c r="M28" s="5">
        <f t="shared" si="4"/>
        <v>-55634.8</v>
      </c>
      <c r="N28" s="5">
        <f t="shared" si="4"/>
        <v>-986702.55</v>
      </c>
      <c r="O28" s="5">
        <f t="shared" si="4"/>
        <v>-25274.5</v>
      </c>
      <c r="P28" s="5">
        <f t="shared" si="4"/>
        <v>-46950</v>
      </c>
    </row>
    <row r="29" spans="3:17" x14ac:dyDescent="0.35">
      <c r="D29" s="3" t="str">
        <f>'KPI 1'!D29</f>
        <v>DIFFERENCE</v>
      </c>
      <c r="E29" s="5">
        <f t="shared" ref="E29:P29" si="5">IF(E27=0,0,E27-E26)</f>
        <v>0</v>
      </c>
      <c r="F29" s="5">
        <f t="shared" si="5"/>
        <v>-11881</v>
      </c>
      <c r="G29" s="5">
        <f t="shared" si="5"/>
        <v>-399918</v>
      </c>
      <c r="H29" s="5">
        <f t="shared" si="5"/>
        <v>-367927.5</v>
      </c>
      <c r="I29" s="5">
        <f t="shared" si="5"/>
        <v>-364096.5</v>
      </c>
      <c r="J29" s="5">
        <f t="shared" si="5"/>
        <v>-364096.5</v>
      </c>
      <c r="K29" s="5">
        <f t="shared" si="5"/>
        <v>-366157.5</v>
      </c>
      <c r="L29" s="5">
        <f t="shared" si="5"/>
        <v>-373993.75</v>
      </c>
      <c r="M29" s="5">
        <f t="shared" si="5"/>
        <v>-283993.75</v>
      </c>
      <c r="N29" s="5">
        <f t="shared" si="5"/>
        <v>-283993.75</v>
      </c>
      <c r="O29" s="5">
        <f t="shared" si="5"/>
        <v>-283993.75</v>
      </c>
      <c r="P29" s="5">
        <f t="shared" si="5"/>
        <v>-283993.75</v>
      </c>
    </row>
    <row r="30" spans="3:17" x14ac:dyDescent="0.35">
      <c r="D30" s="3" t="str">
        <f>'KPI 1'!D30</f>
        <v>%REALISATION</v>
      </c>
      <c r="E30" s="5">
        <f>ACTUAL2021!D114</f>
        <v>0</v>
      </c>
      <c r="F30" s="5">
        <f>ACTUAL2021!E114</f>
        <v>0</v>
      </c>
      <c r="G30" s="5">
        <f>ACTUAL2021!F114</f>
        <v>0</v>
      </c>
      <c r="H30" s="5">
        <f>ACTUAL2021!G114</f>
        <v>0</v>
      </c>
      <c r="I30" s="5">
        <f>ACTUAL2021!H114</f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</row>
  </sheetData>
  <mergeCells count="2">
    <mergeCell ref="J4:Q8"/>
    <mergeCell ref="J10:Q15"/>
  </mergeCells>
  <conditionalFormatting sqref="C3">
    <cfRule type="expression" dxfId="8" priority="2">
      <formula>S4&lt;S6</formula>
    </cfRule>
  </conditionalFormatting>
  <conditionalFormatting sqref="C4">
    <cfRule type="expression" dxfId="7" priority="1">
      <formula>AND(S4&gt;=S6,S4&lt;S5)</formula>
    </cfRule>
  </conditionalFormatting>
  <conditionalFormatting sqref="C5">
    <cfRule type="expression" dxfId="6" priority="3">
      <formula>S4&gt;=S5</formula>
    </cfRule>
  </conditionalFormatting>
  <hyperlinks>
    <hyperlink ref="L1" location="Dashboard!A1" display="Dashboard" xr:uid="{00000000-0004-0000-3C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7649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e">
        <f>Dashboard!#REF!</f>
        <v>#REF!</v>
      </c>
      <c r="C1" s="4" t="s">
        <v>46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 t="e">
        <f>INDEX(E27:P27,Actual_month)</f>
        <v>#REF!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 t="e">
        <f>INDEX(E26:P26,Actual_month)</f>
        <v>#REF!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 t="e">
        <f>+S5*R6</f>
        <v>#REF!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 t="e">
        <f>BUDGET2526!#REF!</f>
        <v>#REF!</v>
      </c>
      <c r="F19" s="5" t="e">
        <f>BUDGET2526!#REF!</f>
        <v>#REF!</v>
      </c>
      <c r="G19" s="5" t="e">
        <f>BUDGET2526!#REF!</f>
        <v>#REF!</v>
      </c>
      <c r="H19" s="5" t="e">
        <f>BUDGET2526!#REF!</f>
        <v>#REF!</v>
      </c>
      <c r="I19" s="5" t="e">
        <f>BUDGET2526!#REF!</f>
        <v>#REF!</v>
      </c>
      <c r="J19" s="5" t="e">
        <f>BUDGET2526!#REF!</f>
        <v>#REF!</v>
      </c>
      <c r="K19" s="5" t="e">
        <f>BUDGET2526!#REF!</f>
        <v>#REF!</v>
      </c>
      <c r="L19" s="5" t="e">
        <f>BUDGET2526!#REF!</f>
        <v>#REF!</v>
      </c>
      <c r="M19" s="5" t="e">
        <f>BUDGET2526!#REF!</f>
        <v>#REF!</v>
      </c>
      <c r="N19" s="5" t="e">
        <f>BUDGET2526!#REF!</f>
        <v>#REF!</v>
      </c>
      <c r="O19" s="5" t="e">
        <f>BUDGET2526!#REF!</f>
        <v>#REF!</v>
      </c>
      <c r="P19" s="5" t="e">
        <f>BUDGET2526!#REF!</f>
        <v>#REF!</v>
      </c>
      <c r="Q19" s="5" t="e">
        <f>SUM(E19:P19)</f>
        <v>#REF!</v>
      </c>
    </row>
    <row r="20" spans="3:17" x14ac:dyDescent="0.35">
      <c r="D20" s="3" t="str">
        <f>'KPI 1'!D20</f>
        <v>ACTUAL2025/26</v>
      </c>
      <c r="E20" s="5" t="e">
        <f>Actual2223!#REF!</f>
        <v>#REF!</v>
      </c>
      <c r="F20" s="5" t="e">
        <f>Actual2223!#REF!</f>
        <v>#REF!</v>
      </c>
      <c r="G20" s="5" t="e">
        <f>Actual2223!#REF!</f>
        <v>#REF!</v>
      </c>
      <c r="H20" s="5" t="e">
        <f>Actual2223!#REF!</f>
        <v>#REF!</v>
      </c>
      <c r="I20" s="5" t="e">
        <f>Actual2223!#REF!</f>
        <v>#REF!</v>
      </c>
      <c r="J20" s="5" t="e">
        <f>Actual2223!#REF!</f>
        <v>#REF!</v>
      </c>
      <c r="K20" s="5" t="e">
        <f>Actual2223!#REF!</f>
        <v>#REF!</v>
      </c>
      <c r="L20" s="5" t="e">
        <f>Actual2223!#REF!</f>
        <v>#REF!</v>
      </c>
      <c r="M20" s="5" t="e">
        <f>Actual2223!#REF!</f>
        <v>#REF!</v>
      </c>
      <c r="N20" s="5" t="e">
        <f>Actual2223!#REF!</f>
        <v>#REF!</v>
      </c>
      <c r="O20" s="5" t="e">
        <f>Actual2223!#REF!</f>
        <v>#REF!</v>
      </c>
      <c r="P20" s="5" t="e">
        <f>Actual2223!#REF!</f>
        <v>#REF!</v>
      </c>
      <c r="Q20" s="5" t="e">
        <f t="shared" ref="Q20:Q21" si="0">SUM(E20:P20)</f>
        <v>#REF!</v>
      </c>
    </row>
    <row r="21" spans="3:17" x14ac:dyDescent="0.35">
      <c r="D21" s="3" t="str">
        <f>'KPI 1'!D21</f>
        <v>ACTUAL2024/25</v>
      </c>
      <c r="E21" s="5" t="e">
        <f>ACTUAL2122!#REF!</f>
        <v>#REF!</v>
      </c>
      <c r="F21" s="5" t="e">
        <f>ACTUAL2122!#REF!</f>
        <v>#REF!</v>
      </c>
      <c r="G21" s="5" t="e">
        <f>ACTUAL2122!#REF!</f>
        <v>#REF!</v>
      </c>
      <c r="H21" s="5" t="e">
        <f>ACTUAL2122!#REF!</f>
        <v>#REF!</v>
      </c>
      <c r="I21" s="5" t="e">
        <f>ACTUAL2122!#REF!</f>
        <v>#REF!</v>
      </c>
      <c r="J21" s="5" t="e">
        <f>ACTUAL2122!#REF!</f>
        <v>#REF!</v>
      </c>
      <c r="K21" s="5" t="e">
        <f>ACTUAL2122!#REF!</f>
        <v>#REF!</v>
      </c>
      <c r="L21" s="5" t="e">
        <f>ACTUAL2122!#REF!</f>
        <v>#REF!</v>
      </c>
      <c r="M21" s="5" t="e">
        <f>ACTUAL2122!#REF!</f>
        <v>#REF!</v>
      </c>
      <c r="N21" s="5" t="e">
        <f>ACTUAL2122!#REF!</f>
        <v>#REF!</v>
      </c>
      <c r="O21" s="5" t="e">
        <f>ACTUAL2122!#REF!</f>
        <v>#REF!</v>
      </c>
      <c r="P21" s="5" t="e">
        <f>ACTUAL2122!#REF!</f>
        <v>#REF!</v>
      </c>
      <c r="Q21" s="5" t="e">
        <f t="shared" si="0"/>
        <v>#REF!</v>
      </c>
    </row>
    <row r="22" spans="3:17" x14ac:dyDescent="0.35">
      <c r="D22" s="3" t="str">
        <f>'KPI 1'!D22</f>
        <v>DIFFERENCE</v>
      </c>
      <c r="E22" s="5" t="e">
        <f t="shared" ref="E22:P22" si="1">IF(E20=0,0,E20-E19)</f>
        <v>#REF!</v>
      </c>
      <c r="F22" s="5" t="e">
        <f t="shared" si="1"/>
        <v>#REF!</v>
      </c>
      <c r="G22" s="5" t="e">
        <f t="shared" si="1"/>
        <v>#REF!</v>
      </c>
      <c r="H22" s="5" t="e">
        <f t="shared" si="1"/>
        <v>#REF!</v>
      </c>
      <c r="I22" s="5" t="e">
        <f t="shared" si="1"/>
        <v>#REF!</v>
      </c>
      <c r="J22" s="5" t="e">
        <f t="shared" si="1"/>
        <v>#REF!</v>
      </c>
      <c r="K22" s="5" t="e">
        <f t="shared" si="1"/>
        <v>#REF!</v>
      </c>
      <c r="L22" s="5" t="e">
        <f t="shared" si="1"/>
        <v>#REF!</v>
      </c>
      <c r="M22" s="5" t="e">
        <f t="shared" si="1"/>
        <v>#REF!</v>
      </c>
      <c r="N22" s="5" t="e">
        <f t="shared" si="1"/>
        <v>#REF!</v>
      </c>
      <c r="O22" s="5" t="e">
        <f t="shared" si="1"/>
        <v>#REF!</v>
      </c>
      <c r="P22" s="5" t="e">
        <f t="shared" si="1"/>
        <v>#REF!</v>
      </c>
      <c r="Q22" s="5" t="e">
        <f>SUM(E22:P22)</f>
        <v>#REF!</v>
      </c>
    </row>
    <row r="23" spans="3:17" x14ac:dyDescent="0.35">
      <c r="D23" s="3" t="str">
        <f>'KPI 1'!D23</f>
        <v>%REALISATION</v>
      </c>
      <c r="E23" s="9" t="e">
        <f>E21/E19</f>
        <v>#REF!</v>
      </c>
      <c r="F23" s="9" t="e">
        <f t="shared" ref="F23:P23" si="2">F20/F19</f>
        <v>#REF!</v>
      </c>
      <c r="G23" s="9" t="e">
        <f t="shared" si="2"/>
        <v>#REF!</v>
      </c>
      <c r="H23" s="9" t="e">
        <f t="shared" si="2"/>
        <v>#REF!</v>
      </c>
      <c r="I23" s="9" t="e">
        <f t="shared" si="2"/>
        <v>#REF!</v>
      </c>
      <c r="J23" s="9" t="e">
        <f t="shared" si="2"/>
        <v>#REF!</v>
      </c>
      <c r="K23" s="9" t="e">
        <f t="shared" si="2"/>
        <v>#REF!</v>
      </c>
      <c r="L23" s="9" t="e">
        <f t="shared" si="2"/>
        <v>#REF!</v>
      </c>
      <c r="M23" s="9" t="e">
        <f t="shared" si="2"/>
        <v>#REF!</v>
      </c>
      <c r="N23" s="9" t="e">
        <f t="shared" si="2"/>
        <v>#REF!</v>
      </c>
      <c r="O23" s="9" t="e">
        <f t="shared" si="2"/>
        <v>#REF!</v>
      </c>
      <c r="P23" s="9" t="e">
        <f t="shared" si="2"/>
        <v>#REF!</v>
      </c>
    </row>
    <row r="24" spans="3:17" x14ac:dyDescent="0.35">
      <c r="E24" s="49" t="e">
        <f>#REF!</f>
        <v>#REF!</v>
      </c>
      <c r="F24" s="49" t="e">
        <f>#REF!</f>
        <v>#REF!</v>
      </c>
      <c r="G24" s="49" t="e">
        <f>#REF!</f>
        <v>#REF!</v>
      </c>
      <c r="H24" s="49" t="e">
        <f>#REF!</f>
        <v>#REF!</v>
      </c>
      <c r="I24" s="49" t="e">
        <f>#REF!</f>
        <v>#REF!</v>
      </c>
      <c r="J24" s="49" t="e">
        <f>#REF!</f>
        <v>#REF!</v>
      </c>
      <c r="K24" s="49" t="e">
        <f>#REF!</f>
        <v>#REF!</v>
      </c>
      <c r="L24" s="49" t="e">
        <f>#REF!</f>
        <v>#REF!</v>
      </c>
      <c r="M24" s="49" t="e">
        <f>#REF!</f>
        <v>#REF!</v>
      </c>
      <c r="N24" s="49" t="e">
        <f>#REF!</f>
        <v>#REF!</v>
      </c>
      <c r="O24" s="49" t="e">
        <f>#REF!</f>
        <v>#REF!</v>
      </c>
      <c r="P24" s="49" t="e">
        <f>#REF!</f>
        <v>#REF!</v>
      </c>
    </row>
    <row r="25" spans="3:17" x14ac:dyDescent="0.35">
      <c r="C25" s="7" t="s">
        <v>4</v>
      </c>
      <c r="D25" s="3">
        <f>'KPI 1'!D25</f>
        <v>0</v>
      </c>
      <c r="E25" s="11">
        <f>'KPI 1'!E25</f>
        <v>45839</v>
      </c>
      <c r="F25" s="11">
        <f>'KPI 1'!F25</f>
        <v>45870</v>
      </c>
      <c r="G25" s="11">
        <f>'KPI 1'!G25</f>
        <v>45901</v>
      </c>
      <c r="H25" s="11">
        <f>'KPI 1'!H25</f>
        <v>45931</v>
      </c>
      <c r="I25" s="11">
        <f>'KPI 1'!I25</f>
        <v>45962</v>
      </c>
      <c r="J25" s="11">
        <f>'KPI 1'!J25</f>
        <v>45992</v>
      </c>
      <c r="K25" s="11">
        <f>'KPI 1'!K25</f>
        <v>46023</v>
      </c>
      <c r="L25" s="11">
        <f>'KPI 1'!L25</f>
        <v>46054</v>
      </c>
      <c r="M25" s="11">
        <f>'KPI 1'!M25</f>
        <v>46082</v>
      </c>
      <c r="N25" s="11">
        <f>'KPI 1'!N25</f>
        <v>46113</v>
      </c>
      <c r="O25" s="11">
        <f>'KPI 1'!O25</f>
        <v>46143</v>
      </c>
      <c r="P25" s="11">
        <f>'KPI 1'!P25</f>
        <v>46174</v>
      </c>
    </row>
    <row r="26" spans="3:17" x14ac:dyDescent="0.35">
      <c r="D26" s="3" t="str">
        <f>'KPI 1'!D26</f>
        <v>budget2025/26</v>
      </c>
      <c r="E26" s="5" t="e">
        <f>SUM($E19:E19)</f>
        <v>#REF!</v>
      </c>
      <c r="F26" s="5" t="e">
        <f>SUM($E19:F19)</f>
        <v>#REF!</v>
      </c>
      <c r="G26" s="5" t="e">
        <f>SUM($E19:G19)</f>
        <v>#REF!</v>
      </c>
      <c r="H26" s="5" t="e">
        <f>SUM($E19:H19)</f>
        <v>#REF!</v>
      </c>
      <c r="I26" s="5" t="e">
        <f>SUM($E19:I19)</f>
        <v>#REF!</v>
      </c>
      <c r="J26" s="5" t="e">
        <f>SUM($E19:J19)</f>
        <v>#REF!</v>
      </c>
      <c r="K26" s="5" t="e">
        <f>SUM($E19:K19)</f>
        <v>#REF!</v>
      </c>
      <c r="L26" s="5" t="e">
        <f>SUM($E19:L19)</f>
        <v>#REF!</v>
      </c>
      <c r="M26" s="5" t="e">
        <f>SUM($E19:M19)</f>
        <v>#REF!</v>
      </c>
      <c r="N26" s="5" t="e">
        <f>SUM($E19:N19)</f>
        <v>#REF!</v>
      </c>
      <c r="O26" s="5" t="e">
        <f>SUM($E19:O19)</f>
        <v>#REF!</v>
      </c>
      <c r="P26" s="5" t="e">
        <f>SUM($E19:P19)</f>
        <v>#REF!</v>
      </c>
    </row>
    <row r="27" spans="3:17" x14ac:dyDescent="0.35">
      <c r="D27" s="3" t="str">
        <f>'KPI 1'!D27</f>
        <v>ACTUAL2025/26</v>
      </c>
      <c r="E27" s="5" t="e">
        <f>SUM($E20:E20)</f>
        <v>#REF!</v>
      </c>
      <c r="F27" s="5" t="e">
        <f>SUM($E20:F20)</f>
        <v>#REF!</v>
      </c>
      <c r="G27" s="5" t="e">
        <f>SUM($E20:G20)</f>
        <v>#REF!</v>
      </c>
      <c r="H27" s="5" t="e">
        <f>SUM($E20:H20)</f>
        <v>#REF!</v>
      </c>
      <c r="I27" s="5" t="e">
        <f>SUM($E20:I20)</f>
        <v>#REF!</v>
      </c>
      <c r="J27" s="5" t="e">
        <f>SUM($E20:J20)</f>
        <v>#REF!</v>
      </c>
      <c r="K27" s="5" t="e">
        <f>SUM($E20:K20)</f>
        <v>#REF!</v>
      </c>
      <c r="L27" s="5" t="e">
        <f>SUM($E20:L20)</f>
        <v>#REF!</v>
      </c>
      <c r="M27" s="5" t="e">
        <f>SUM($E20:M20)</f>
        <v>#REF!</v>
      </c>
      <c r="N27" s="5" t="e">
        <f>SUM($E20:N20)</f>
        <v>#REF!</v>
      </c>
      <c r="O27" s="5" t="e">
        <f>SUM($E20:O20)</f>
        <v>#REF!</v>
      </c>
      <c r="P27" s="5" t="e">
        <f>SUM($E20:P20)</f>
        <v>#REF!</v>
      </c>
    </row>
    <row r="28" spans="3:17" x14ac:dyDescent="0.35">
      <c r="D28" s="3" t="str">
        <f>'KPI 1'!D28</f>
        <v>ACTUAL2024/25</v>
      </c>
      <c r="E28" s="5" t="e">
        <f>SUM($E21:E21)</f>
        <v>#REF!</v>
      </c>
      <c r="F28" s="5" t="e">
        <f>SUM($E21:F21)</f>
        <v>#REF!</v>
      </c>
      <c r="G28" s="5" t="e">
        <f>SUM($E21:G21)</f>
        <v>#REF!</v>
      </c>
      <c r="H28" s="5" t="e">
        <f>SUM($E21:H21)</f>
        <v>#REF!</v>
      </c>
      <c r="I28" s="5" t="e">
        <f>SUM($E21:I21)</f>
        <v>#REF!</v>
      </c>
      <c r="J28" s="5" t="e">
        <f>SUM($E21:J21)</f>
        <v>#REF!</v>
      </c>
      <c r="K28" s="5" t="e">
        <f>SUM($E21:K21)</f>
        <v>#REF!</v>
      </c>
      <c r="L28" s="5" t="e">
        <f>SUM($E21:L21)</f>
        <v>#REF!</v>
      </c>
      <c r="M28" s="5" t="e">
        <f>SUM($E21:M21)</f>
        <v>#REF!</v>
      </c>
      <c r="N28" s="5" t="e">
        <f>SUM($E21:N21)</f>
        <v>#REF!</v>
      </c>
      <c r="O28" s="5" t="e">
        <f>SUM($E21:O21)</f>
        <v>#REF!</v>
      </c>
      <c r="P28" s="5" t="e">
        <f>SUM($E21:P21)</f>
        <v>#REF!</v>
      </c>
    </row>
    <row r="29" spans="3:17" x14ac:dyDescent="0.35">
      <c r="D29" s="3" t="str">
        <f>'KPI 1'!D29</f>
        <v>DIFFERENCE</v>
      </c>
      <c r="E29" s="5" t="e">
        <f>SUM($E22:E22)</f>
        <v>#REF!</v>
      </c>
      <c r="F29" s="5" t="e">
        <f>SUM($E22:F22)</f>
        <v>#REF!</v>
      </c>
      <c r="G29" s="5" t="e">
        <f>SUM($E22:G22)</f>
        <v>#REF!</v>
      </c>
      <c r="H29" s="5" t="e">
        <f>SUM($E22:H22)</f>
        <v>#REF!</v>
      </c>
      <c r="I29" s="5" t="e">
        <f>SUM($E22:I22)</f>
        <v>#REF!</v>
      </c>
      <c r="J29" s="5" t="e">
        <f>SUM($E22:J22)</f>
        <v>#REF!</v>
      </c>
      <c r="K29" s="5" t="e">
        <f>SUM($E22:K22)</f>
        <v>#REF!</v>
      </c>
      <c r="L29" s="5" t="e">
        <f>SUM($E22:L22)</f>
        <v>#REF!</v>
      </c>
      <c r="M29" s="5" t="e">
        <f>SUM($E22:M22)</f>
        <v>#REF!</v>
      </c>
      <c r="N29" s="5" t="e">
        <f>SUM($E22:N22)</f>
        <v>#REF!</v>
      </c>
      <c r="O29" s="5" t="e">
        <f>SUM($E22:O22)</f>
        <v>#REF!</v>
      </c>
      <c r="P29" s="5" t="e">
        <f>SUM($E22:P22)</f>
        <v>#REF!</v>
      </c>
    </row>
    <row r="30" spans="3:17" x14ac:dyDescent="0.35">
      <c r="D30" s="3" t="str">
        <f>'KPI 1'!D30</f>
        <v>%REALISATION</v>
      </c>
      <c r="E30" s="9" t="e">
        <f>E28/E26</f>
        <v>#REF!</v>
      </c>
      <c r="F30" s="9" t="e">
        <f t="shared" ref="F30:P30" si="3">F27/F26</f>
        <v>#REF!</v>
      </c>
      <c r="G30" s="9" t="e">
        <f t="shared" si="3"/>
        <v>#REF!</v>
      </c>
      <c r="H30" s="9" t="e">
        <f t="shared" si="3"/>
        <v>#REF!</v>
      </c>
      <c r="I30" s="9" t="e">
        <f t="shared" si="3"/>
        <v>#REF!</v>
      </c>
      <c r="J30" s="9" t="e">
        <f t="shared" si="3"/>
        <v>#REF!</v>
      </c>
      <c r="K30" s="9" t="e">
        <f t="shared" si="3"/>
        <v>#REF!</v>
      </c>
      <c r="L30" s="9" t="e">
        <f t="shared" si="3"/>
        <v>#REF!</v>
      </c>
      <c r="M30" s="9" t="e">
        <f t="shared" si="3"/>
        <v>#REF!</v>
      </c>
      <c r="N30" s="9" t="e">
        <f t="shared" si="3"/>
        <v>#REF!</v>
      </c>
      <c r="O30" s="9" t="e">
        <f t="shared" si="3"/>
        <v>#REF!</v>
      </c>
      <c r="P30" s="9" t="e">
        <f t="shared" si="3"/>
        <v>#REF!</v>
      </c>
    </row>
  </sheetData>
  <mergeCells count="2">
    <mergeCell ref="J4:Q8"/>
    <mergeCell ref="J10:Q15"/>
  </mergeCells>
  <conditionalFormatting sqref="C3">
    <cfRule type="expression" dxfId="5" priority="2">
      <formula>S4&lt;S6</formula>
    </cfRule>
  </conditionalFormatting>
  <conditionalFormatting sqref="C4">
    <cfRule type="expression" dxfId="4" priority="1">
      <formula>AND(S4&gt;=S6,S4&lt;S5)</formula>
    </cfRule>
  </conditionalFormatting>
  <conditionalFormatting sqref="C5">
    <cfRule type="expression" dxfId="3" priority="3">
      <formula>S4&gt;=S5</formula>
    </cfRule>
  </conditionalFormatting>
  <hyperlinks>
    <hyperlink ref="L1" location="Dashboard!A1" display="Dashboard" xr:uid="{00000000-0004-0000-3D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0241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30"/>
  <sheetViews>
    <sheetView workbookViewId="0"/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453125" style="3" customWidth="1"/>
    <col min="4" max="4" width="21.4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5</v>
      </c>
      <c r="B1" s="4" t="e">
        <f>Dashboard!#REF!</f>
        <v>#REF!</v>
      </c>
      <c r="C1" s="4" t="e">
        <f>Dashboard!#REF!</f>
        <v>#REF!</v>
      </c>
      <c r="G1" s="3" t="s">
        <v>9</v>
      </c>
      <c r="I1" s="12">
        <f>INDEX($E$18:$P$18,Actual_month)</f>
        <v>46082</v>
      </c>
      <c r="L1" s="16" t="s">
        <v>19</v>
      </c>
      <c r="R1" s="5"/>
    </row>
    <row r="2" spans="1:19" x14ac:dyDescent="0.35">
      <c r="A2" s="3" t="s">
        <v>13</v>
      </c>
      <c r="C2" s="3" t="s">
        <v>36</v>
      </c>
      <c r="R2" s="6"/>
    </row>
    <row r="3" spans="1:19" ht="25.5" customHeight="1" thickBot="1" x14ac:dyDescent="0.4">
      <c r="C3" s="1" t="s">
        <v>6</v>
      </c>
      <c r="E3" s="10"/>
      <c r="F3" s="10"/>
      <c r="G3" s="10"/>
      <c r="H3" s="10"/>
      <c r="I3" s="10"/>
      <c r="J3" s="3" t="s">
        <v>7</v>
      </c>
      <c r="K3" s="10"/>
      <c r="M3" s="10"/>
      <c r="N3" s="10"/>
      <c r="O3" s="10"/>
      <c r="P3" s="10"/>
    </row>
    <row r="4" spans="1:19" ht="25.5" customHeight="1" x14ac:dyDescent="0.35">
      <c r="C4" s="1" t="s">
        <v>6</v>
      </c>
      <c r="E4" s="10"/>
      <c r="F4" s="10"/>
      <c r="G4" s="10"/>
      <c r="H4" s="10"/>
      <c r="I4" s="10"/>
      <c r="J4" s="98"/>
      <c r="K4" s="99"/>
      <c r="L4" s="99"/>
      <c r="M4" s="99"/>
      <c r="N4" s="99"/>
      <c r="O4" s="99"/>
      <c r="P4" s="99"/>
      <c r="Q4" s="100"/>
      <c r="R4" s="3" t="s">
        <v>23</v>
      </c>
      <c r="S4" s="5" t="e">
        <f>INDEX(E27:P27,Actual_month)</f>
        <v>#REF!</v>
      </c>
    </row>
    <row r="5" spans="1:19" ht="25.5" customHeight="1" x14ac:dyDescent="0.35">
      <c r="C5" s="1" t="s">
        <v>6</v>
      </c>
      <c r="E5" s="10"/>
      <c r="F5" s="10"/>
      <c r="G5" s="10"/>
      <c r="H5" s="10"/>
      <c r="I5" s="10"/>
      <c r="J5" s="101"/>
      <c r="K5" s="102"/>
      <c r="L5" s="102"/>
      <c r="M5" s="102"/>
      <c r="N5" s="102"/>
      <c r="O5" s="102"/>
      <c r="P5" s="102"/>
      <c r="Q5" s="103"/>
      <c r="R5" s="3" t="s">
        <v>24</v>
      </c>
      <c r="S5" s="5" t="e">
        <f>INDEX(E26:P26,Actual_month)</f>
        <v>#REF!</v>
      </c>
    </row>
    <row r="6" spans="1:19" x14ac:dyDescent="0.35">
      <c r="J6" s="101"/>
      <c r="K6" s="102"/>
      <c r="L6" s="102"/>
      <c r="M6" s="102"/>
      <c r="N6" s="102"/>
      <c r="O6" s="102"/>
      <c r="P6" s="102"/>
      <c r="Q6" s="103"/>
      <c r="R6" s="6">
        <v>0.9</v>
      </c>
      <c r="S6" s="5" t="e">
        <f>+S5*R6</f>
        <v>#REF!</v>
      </c>
    </row>
    <row r="7" spans="1:19" x14ac:dyDescent="0.35">
      <c r="J7" s="101"/>
      <c r="K7" s="102"/>
      <c r="L7" s="102"/>
      <c r="M7" s="102"/>
      <c r="N7" s="102"/>
      <c r="O7" s="102"/>
      <c r="P7" s="102"/>
      <c r="Q7" s="103"/>
    </row>
    <row r="8" spans="1:19" ht="15" thickBot="1" x14ac:dyDescent="0.4">
      <c r="J8" s="104"/>
      <c r="K8" s="105"/>
      <c r="L8" s="105"/>
      <c r="M8" s="105"/>
      <c r="N8" s="105"/>
      <c r="O8" s="105"/>
      <c r="P8" s="105"/>
      <c r="Q8" s="106"/>
    </row>
    <row r="9" spans="1:19" ht="15" thickBot="1" x14ac:dyDescent="0.4">
      <c r="J9" s="3" t="s">
        <v>12</v>
      </c>
    </row>
    <row r="10" spans="1:19" x14ac:dyDescent="0.35">
      <c r="J10" s="98"/>
      <c r="K10" s="99"/>
      <c r="L10" s="99"/>
      <c r="M10" s="99"/>
      <c r="N10" s="99"/>
      <c r="O10" s="99"/>
      <c r="P10" s="99"/>
      <c r="Q10" s="100"/>
    </row>
    <row r="11" spans="1:19" x14ac:dyDescent="0.35">
      <c r="J11" s="101"/>
      <c r="K11" s="102"/>
      <c r="L11" s="102"/>
      <c r="M11" s="102"/>
      <c r="N11" s="102"/>
      <c r="O11" s="102"/>
      <c r="P11" s="102"/>
      <c r="Q11" s="103"/>
    </row>
    <row r="12" spans="1:19" x14ac:dyDescent="0.35">
      <c r="J12" s="101"/>
      <c r="K12" s="102"/>
      <c r="L12" s="102"/>
      <c r="M12" s="102"/>
      <c r="N12" s="102"/>
      <c r="O12" s="102"/>
      <c r="P12" s="102"/>
      <c r="Q12" s="103"/>
    </row>
    <row r="13" spans="1:19" x14ac:dyDescent="0.35">
      <c r="J13" s="101"/>
      <c r="K13" s="102"/>
      <c r="L13" s="102"/>
      <c r="M13" s="102"/>
      <c r="N13" s="102"/>
      <c r="O13" s="102"/>
      <c r="P13" s="102"/>
      <c r="Q13" s="103"/>
    </row>
    <row r="14" spans="1:19" x14ac:dyDescent="0.35">
      <c r="J14" s="101"/>
      <c r="K14" s="102"/>
      <c r="L14" s="102"/>
      <c r="M14" s="102"/>
      <c r="N14" s="102"/>
      <c r="O14" s="102"/>
      <c r="P14" s="102"/>
      <c r="Q14" s="103"/>
    </row>
    <row r="15" spans="1:19" ht="15" thickBot="1" x14ac:dyDescent="0.4">
      <c r="J15" s="104"/>
      <c r="K15" s="105"/>
      <c r="L15" s="105"/>
      <c r="M15" s="105"/>
      <c r="N15" s="105"/>
      <c r="O15" s="105"/>
      <c r="P15" s="105"/>
      <c r="Q15" s="106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budget2025/26</v>
      </c>
      <c r="E19" s="5" t="e">
        <f>BUDGET2526!#REF!</f>
        <v>#REF!</v>
      </c>
      <c r="F19" s="5" t="e">
        <f>BUDGET2526!#REF!</f>
        <v>#REF!</v>
      </c>
      <c r="G19" s="5" t="e">
        <f>BUDGET2526!#REF!</f>
        <v>#REF!</v>
      </c>
      <c r="H19" s="5" t="e">
        <f>BUDGET2526!#REF!</f>
        <v>#REF!</v>
      </c>
      <c r="I19" s="5" t="e">
        <f>BUDGET2526!#REF!</f>
        <v>#REF!</v>
      </c>
      <c r="J19" s="5" t="e">
        <f>BUDGET2526!#REF!</f>
        <v>#REF!</v>
      </c>
      <c r="K19" s="5" t="e">
        <f>BUDGET2526!#REF!</f>
        <v>#REF!</v>
      </c>
      <c r="L19" s="5" t="e">
        <f>BUDGET2526!#REF!</f>
        <v>#REF!</v>
      </c>
      <c r="M19" s="5" t="e">
        <f>BUDGET2526!#REF!</f>
        <v>#REF!</v>
      </c>
      <c r="N19" s="5" t="e">
        <f>BUDGET2526!#REF!</f>
        <v>#REF!</v>
      </c>
      <c r="O19" s="5" t="e">
        <f>BUDGET2526!#REF!</f>
        <v>#REF!</v>
      </c>
      <c r="P19" s="5" t="e">
        <f>BUDGET2526!#REF!</f>
        <v>#REF!</v>
      </c>
      <c r="Q19" s="5" t="e">
        <f>SUM(E19:P19)</f>
        <v>#REF!</v>
      </c>
    </row>
    <row r="20" spans="3:17" x14ac:dyDescent="0.35">
      <c r="D20" s="3" t="str">
        <f>'KPI 1'!D20</f>
        <v>ACTUAL2025/26</v>
      </c>
      <c r="E20" s="5" t="e">
        <f>ACTUAL2122!#REF!</f>
        <v>#REF!</v>
      </c>
      <c r="F20" s="5" t="e">
        <f>ACTUAL2122!#REF!</f>
        <v>#REF!</v>
      </c>
      <c r="G20" s="5" t="e">
        <f>ACTUAL2122!#REF!</f>
        <v>#REF!</v>
      </c>
      <c r="H20" s="5" t="e">
        <f>ACTUAL2122!#REF!</f>
        <v>#REF!</v>
      </c>
      <c r="I20" s="5" t="e">
        <f>ACTUAL2122!#REF!</f>
        <v>#REF!</v>
      </c>
      <c r="J20" s="5" t="e">
        <f>ACTUAL2122!#REF!</f>
        <v>#REF!</v>
      </c>
      <c r="K20" s="5" t="e">
        <f>ACTUAL2122!#REF!</f>
        <v>#REF!</v>
      </c>
      <c r="L20" s="5" t="e">
        <f>ACTUAL2122!#REF!</f>
        <v>#REF!</v>
      </c>
      <c r="M20" s="5" t="e">
        <f>ACTUAL2122!#REF!</f>
        <v>#REF!</v>
      </c>
      <c r="N20" s="5" t="e">
        <f>ACTUAL2122!#REF!</f>
        <v>#REF!</v>
      </c>
      <c r="O20" s="5" t="e">
        <f>ACTUAL2122!#REF!</f>
        <v>#REF!</v>
      </c>
      <c r="P20" s="5" t="e">
        <f>ACTUAL2122!#REF!</f>
        <v>#REF!</v>
      </c>
      <c r="Q20" s="5" t="e">
        <f t="shared" ref="Q20:Q21" si="0">SUM(E20:P20)</f>
        <v>#REF!</v>
      </c>
    </row>
    <row r="21" spans="3:17" x14ac:dyDescent="0.35">
      <c r="D21" s="3" t="str">
        <f>'KPI 1'!D21</f>
        <v>ACTUAL2024/25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f t="shared" si="0"/>
        <v>0</v>
      </c>
    </row>
    <row r="22" spans="3:17" x14ac:dyDescent="0.35">
      <c r="D22" s="3" t="str">
        <f>'KPI 1'!D22</f>
        <v>DIFFERENCE</v>
      </c>
      <c r="E22" s="5">
        <f>ACTUAL2021!D105</f>
        <v>0</v>
      </c>
      <c r="F22" s="5">
        <f>ACTUAL2021!E105</f>
        <v>0</v>
      </c>
      <c r="G22" s="5">
        <f>ACTUAL2021!F105</f>
        <v>0</v>
      </c>
      <c r="H22" s="5">
        <f>ACTUAL2021!G105</f>
        <v>0</v>
      </c>
      <c r="I22" s="5">
        <f>ACTUAL2021!H105</f>
        <v>0</v>
      </c>
      <c r="J22" s="5">
        <f>ACTUAL2021!I105</f>
        <v>0</v>
      </c>
      <c r="K22" s="5" t="e">
        <f t="shared" ref="K22:P22" si="1">IF(K20=0,0,K20-K19)</f>
        <v>#REF!</v>
      </c>
      <c r="L22" s="5" t="e">
        <f t="shared" si="1"/>
        <v>#REF!</v>
      </c>
      <c r="M22" s="5" t="e">
        <f t="shared" si="1"/>
        <v>#REF!</v>
      </c>
      <c r="N22" s="5" t="e">
        <f t="shared" si="1"/>
        <v>#REF!</v>
      </c>
      <c r="O22" s="5" t="e">
        <f t="shared" si="1"/>
        <v>#REF!</v>
      </c>
      <c r="P22" s="5" t="e">
        <f t="shared" si="1"/>
        <v>#REF!</v>
      </c>
      <c r="Q22" s="5" t="e">
        <f>SUM(E22:P22)</f>
        <v>#REF!</v>
      </c>
    </row>
    <row r="23" spans="3:17" x14ac:dyDescent="0.35">
      <c r="D23" s="3" t="str">
        <f>'KPI 1'!D23</f>
        <v>%REALISATION</v>
      </c>
      <c r="E23" s="5">
        <f>ACTUAL2021!D106</f>
        <v>0</v>
      </c>
      <c r="F23" s="5">
        <f>ACTUAL2021!E106</f>
        <v>0</v>
      </c>
      <c r="G23" s="5">
        <f>ACTUAL2021!F106</f>
        <v>0</v>
      </c>
      <c r="H23" s="5">
        <f>ACTUAL2021!G106</f>
        <v>0</v>
      </c>
      <c r="I23" s="5">
        <f>ACTUAL2021!H106</f>
        <v>0</v>
      </c>
      <c r="J23" s="5">
        <f>ACTUAL2021!I106</f>
        <v>0</v>
      </c>
      <c r="K23" s="9" t="e">
        <f t="shared" ref="K23:P23" si="2">K20/K19</f>
        <v>#REF!</v>
      </c>
      <c r="L23" s="9" t="e">
        <f t="shared" si="2"/>
        <v>#REF!</v>
      </c>
      <c r="M23" s="9" t="e">
        <f t="shared" si="2"/>
        <v>#REF!</v>
      </c>
      <c r="N23" s="9" t="e">
        <f t="shared" si="2"/>
        <v>#REF!</v>
      </c>
      <c r="O23" s="9" t="e">
        <f t="shared" si="2"/>
        <v>#REF!</v>
      </c>
      <c r="P23" s="9" t="e">
        <f t="shared" si="2"/>
        <v>#REF!</v>
      </c>
    </row>
    <row r="24" spans="3:17" x14ac:dyDescent="0.35">
      <c r="E24" s="49">
        <f>E18</f>
        <v>45839</v>
      </c>
      <c r="F24" s="49">
        <f t="shared" ref="F24:P24" si="3">F18</f>
        <v>45870</v>
      </c>
      <c r="G24" s="49">
        <f t="shared" si="3"/>
        <v>45901</v>
      </c>
      <c r="H24" s="49">
        <f t="shared" si="3"/>
        <v>45931</v>
      </c>
      <c r="I24" s="49">
        <f t="shared" si="3"/>
        <v>45962</v>
      </c>
      <c r="J24" s="49">
        <f t="shared" si="3"/>
        <v>45992</v>
      </c>
      <c r="K24" s="49">
        <f t="shared" si="3"/>
        <v>46023</v>
      </c>
      <c r="L24" s="49">
        <f t="shared" si="3"/>
        <v>46054</v>
      </c>
      <c r="M24" s="49">
        <f t="shared" si="3"/>
        <v>46082</v>
      </c>
      <c r="N24" s="49">
        <f t="shared" si="3"/>
        <v>46113</v>
      </c>
      <c r="O24" s="49">
        <f t="shared" si="3"/>
        <v>46143</v>
      </c>
      <c r="P24" s="49">
        <f t="shared" si="3"/>
        <v>46174</v>
      </c>
    </row>
    <row r="25" spans="3:17" x14ac:dyDescent="0.35">
      <c r="C25" s="7" t="s">
        <v>4</v>
      </c>
      <c r="D25" s="3">
        <f>'KPI 1'!D25</f>
        <v>0</v>
      </c>
      <c r="E25" s="5"/>
      <c r="F25" s="5"/>
      <c r="G25" s="5"/>
      <c r="H25" s="5"/>
      <c r="I25" s="5"/>
      <c r="J25" s="5"/>
      <c r="K25" s="11"/>
      <c r="L25" s="11"/>
      <c r="M25" s="11"/>
      <c r="N25" s="11"/>
      <c r="O25" s="11"/>
      <c r="P25" s="11"/>
    </row>
    <row r="26" spans="3:17" x14ac:dyDescent="0.35">
      <c r="D26" s="3" t="str">
        <f>'KPI 1'!D26</f>
        <v>budget2025/26</v>
      </c>
      <c r="E26" s="5" t="e">
        <f>AVERAGE(E19:E19)</f>
        <v>#REF!</v>
      </c>
      <c r="F26" s="5" t="e">
        <f t="shared" ref="F26:P27" si="4">AVERAGE(F19:F19)</f>
        <v>#REF!</v>
      </c>
      <c r="G26" s="5" t="e">
        <f t="shared" si="4"/>
        <v>#REF!</v>
      </c>
      <c r="H26" s="5" t="e">
        <f t="shared" si="4"/>
        <v>#REF!</v>
      </c>
      <c r="I26" s="5" t="e">
        <f t="shared" si="4"/>
        <v>#REF!</v>
      </c>
      <c r="J26" s="5" t="e">
        <f t="shared" si="4"/>
        <v>#REF!</v>
      </c>
      <c r="K26" s="5" t="e">
        <f t="shared" si="4"/>
        <v>#REF!</v>
      </c>
      <c r="L26" s="5" t="e">
        <f t="shared" si="4"/>
        <v>#REF!</v>
      </c>
      <c r="M26" s="5" t="e">
        <f t="shared" si="4"/>
        <v>#REF!</v>
      </c>
      <c r="N26" s="5" t="e">
        <f t="shared" si="4"/>
        <v>#REF!</v>
      </c>
      <c r="O26" s="5" t="e">
        <f t="shared" si="4"/>
        <v>#REF!</v>
      </c>
      <c r="P26" s="5" t="e">
        <f t="shared" si="4"/>
        <v>#REF!</v>
      </c>
    </row>
    <row r="27" spans="3:17" x14ac:dyDescent="0.35">
      <c r="D27" s="3" t="str">
        <f>'KPI 1'!D27</f>
        <v>ACTUAL2025/26</v>
      </c>
      <c r="E27" s="5" t="e">
        <f>AVERAGE(E20:E20)</f>
        <v>#REF!</v>
      </c>
      <c r="F27" s="5" t="e">
        <f>E20+F20</f>
        <v>#REF!</v>
      </c>
      <c r="G27" s="5" t="e">
        <f t="shared" si="4"/>
        <v>#REF!</v>
      </c>
      <c r="H27" s="5" t="e">
        <f t="shared" si="4"/>
        <v>#REF!</v>
      </c>
      <c r="I27" s="5" t="e">
        <f t="shared" si="4"/>
        <v>#REF!</v>
      </c>
      <c r="J27" s="5" t="e">
        <f t="shared" si="4"/>
        <v>#REF!</v>
      </c>
      <c r="K27" s="5" t="e">
        <f t="shared" si="4"/>
        <v>#REF!</v>
      </c>
      <c r="L27" s="5" t="e">
        <f t="shared" si="4"/>
        <v>#REF!</v>
      </c>
      <c r="M27" s="5" t="e">
        <f t="shared" si="4"/>
        <v>#REF!</v>
      </c>
      <c r="N27" s="5" t="e">
        <f t="shared" si="4"/>
        <v>#REF!</v>
      </c>
      <c r="O27" s="5" t="e">
        <f t="shared" si="4"/>
        <v>#REF!</v>
      </c>
      <c r="P27" s="5" t="e">
        <f t="shared" si="4"/>
        <v>#REF!</v>
      </c>
    </row>
    <row r="28" spans="3:17" x14ac:dyDescent="0.35">
      <c r="D28" s="3" t="str">
        <f>'KPI 1'!D28</f>
        <v>ACTUAL2024/25</v>
      </c>
      <c r="E28" s="5">
        <f>ACTUAL2021!D112</f>
        <v>0</v>
      </c>
      <c r="F28" s="5">
        <f>ACTUAL2021!E112</f>
        <v>0</v>
      </c>
      <c r="G28" s="5">
        <f>ACTUAL2021!F112</f>
        <v>0</v>
      </c>
      <c r="H28" s="5">
        <f>ACTUAL2021!G112</f>
        <v>0</v>
      </c>
      <c r="I28" s="5">
        <f>ACTUAL2021!H112</f>
        <v>0</v>
      </c>
      <c r="J28" s="5">
        <f>ACTUAL2021!I112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>'KPI 1'!D29</f>
        <v>DIFFERENCE</v>
      </c>
      <c r="E29" s="5">
        <f>ACTUAL2021!D113</f>
        <v>0</v>
      </c>
      <c r="F29" s="5">
        <f>ACTUAL2021!E113</f>
        <v>0</v>
      </c>
      <c r="G29" s="5">
        <f>ACTUAL2021!F113</f>
        <v>0</v>
      </c>
      <c r="H29" s="5">
        <f>ACTUAL2021!G113</f>
        <v>0</v>
      </c>
      <c r="I29" s="5">
        <f>ACTUAL2021!H113</f>
        <v>0</v>
      </c>
      <c r="J29" s="5">
        <f>ACTUAL2021!I113</f>
        <v>0</v>
      </c>
      <c r="K29" s="5" t="e">
        <f>SUM($E22:K22)</f>
        <v>#REF!</v>
      </c>
      <c r="L29" s="5" t="e">
        <f>SUM($E22:L22)</f>
        <v>#REF!</v>
      </c>
      <c r="M29" s="5" t="e">
        <f>SUM($E22:M22)</f>
        <v>#REF!</v>
      </c>
      <c r="N29" s="5" t="e">
        <f>SUM($E22:N22)</f>
        <v>#REF!</v>
      </c>
      <c r="O29" s="5" t="e">
        <f>SUM($E22:O22)</f>
        <v>#REF!</v>
      </c>
      <c r="P29" s="5" t="e">
        <f>SUM($E22:P22)</f>
        <v>#REF!</v>
      </c>
    </row>
    <row r="30" spans="3:17" x14ac:dyDescent="0.35">
      <c r="D30" s="3" t="str">
        <f>'KPI 1'!D30</f>
        <v>%REALISATION</v>
      </c>
      <c r="E30" s="5">
        <f>ACTUAL2021!D114</f>
        <v>0</v>
      </c>
      <c r="F30" s="5">
        <f>ACTUAL2021!E114</f>
        <v>0</v>
      </c>
      <c r="G30" s="5">
        <f>ACTUAL2021!F114</f>
        <v>0</v>
      </c>
      <c r="H30" s="5">
        <f>ACTUAL2021!G114</f>
        <v>0</v>
      </c>
      <c r="I30" s="5">
        <f>ACTUAL2021!H114</f>
        <v>0</v>
      </c>
      <c r="J30" s="5">
        <f>ACTUAL2021!I114</f>
        <v>0</v>
      </c>
      <c r="K30" s="9" t="e">
        <f t="shared" ref="K30:P30" si="5">K27/K26</f>
        <v>#REF!</v>
      </c>
      <c r="L30" s="9" t="e">
        <f t="shared" si="5"/>
        <v>#REF!</v>
      </c>
      <c r="M30" s="9" t="e">
        <f t="shared" si="5"/>
        <v>#REF!</v>
      </c>
      <c r="N30" s="9" t="e">
        <f t="shared" si="5"/>
        <v>#REF!</v>
      </c>
      <c r="O30" s="9" t="e">
        <f t="shared" si="5"/>
        <v>#REF!</v>
      </c>
      <c r="P30" s="9" t="e">
        <f t="shared" si="5"/>
        <v>#REF!</v>
      </c>
    </row>
  </sheetData>
  <mergeCells count="2">
    <mergeCell ref="J4:Q8"/>
    <mergeCell ref="J10:Q15"/>
  </mergeCells>
  <conditionalFormatting sqref="C3">
    <cfRule type="expression" dxfId="2" priority="2">
      <formula>S4&lt;S6</formula>
    </cfRule>
  </conditionalFormatting>
  <conditionalFormatting sqref="C4">
    <cfRule type="expression" dxfId="1" priority="1">
      <formula>AND(S4&gt;=S6,S4&lt;S5)</formula>
    </cfRule>
  </conditionalFormatting>
  <conditionalFormatting sqref="C5">
    <cfRule type="expression" dxfId="0" priority="3">
      <formula>S4&gt;=S5</formula>
    </cfRule>
  </conditionalFormatting>
  <hyperlinks>
    <hyperlink ref="L1" location="Dashboard!A1" display="Dashboard" xr:uid="{00000000-0004-0000-3E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6705" r:id="rId4" name="Spinner 1">
              <controlPr defaultSize="0" autoPict="0">
                <anchor moveWithCells="1" sizeWithCells="1">
                  <from>
                    <xdr:col>9</xdr:col>
                    <xdr:colOff>31750</xdr:colOff>
                    <xdr:row>0</xdr:row>
                    <xdr:rowOff>38100</xdr:rowOff>
                  </from>
                  <to>
                    <xdr:col>9</xdr:col>
                    <xdr:colOff>412750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8"/>
  <dimension ref="A1:B4"/>
  <sheetViews>
    <sheetView workbookViewId="0"/>
  </sheetViews>
  <sheetFormatPr defaultRowHeight="14.5" x14ac:dyDescent="0.35"/>
  <cols>
    <col min="1" max="1" width="35.81640625" bestFit="1" customWidth="1"/>
  </cols>
  <sheetData>
    <row r="1" spans="1:2" x14ac:dyDescent="0.35">
      <c r="A1" t="s">
        <v>10</v>
      </c>
    </row>
    <row r="3" spans="1:2" x14ac:dyDescent="0.35">
      <c r="A3" t="s">
        <v>11</v>
      </c>
      <c r="B3">
        <v>9</v>
      </c>
    </row>
    <row r="4" spans="1:2" x14ac:dyDescent="0.35">
      <c r="A4" t="s">
        <v>14</v>
      </c>
      <c r="B4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3</vt:i4>
      </vt:variant>
    </vt:vector>
  </HeadingPairs>
  <TitlesOfParts>
    <vt:vector size="67" baseType="lpstr">
      <vt:lpstr>Dashboard</vt:lpstr>
      <vt:lpstr>BUDGET2526</vt:lpstr>
      <vt:lpstr>ACTUAL 2526</vt:lpstr>
      <vt:lpstr>Actual 202425</vt:lpstr>
      <vt:lpstr>Actual2223</vt:lpstr>
      <vt:lpstr>ACTUAL2122</vt:lpstr>
      <vt:lpstr>ACTUAL2021</vt:lpstr>
      <vt:lpstr>KPI 1</vt:lpstr>
      <vt:lpstr>KPI 3 (2)</vt:lpstr>
      <vt:lpstr>KPI 2</vt:lpstr>
      <vt:lpstr>KPI a</vt:lpstr>
      <vt:lpstr>KPI b1</vt:lpstr>
      <vt:lpstr>KPI b</vt:lpstr>
      <vt:lpstr>KPI c</vt:lpstr>
      <vt:lpstr>KPI e</vt:lpstr>
      <vt:lpstr>KPI 3</vt:lpstr>
      <vt:lpstr>KPI 3a</vt:lpstr>
      <vt:lpstr>KPI 3b</vt:lpstr>
      <vt:lpstr>KPI 3c</vt:lpstr>
      <vt:lpstr>KPI 3d</vt:lpstr>
      <vt:lpstr>KPI k</vt:lpstr>
      <vt:lpstr>KPI 4a</vt:lpstr>
      <vt:lpstr>KPI 4b</vt:lpstr>
      <vt:lpstr>KPI 4c</vt:lpstr>
      <vt:lpstr>KPI 4d</vt:lpstr>
      <vt:lpstr>KPI y</vt:lpstr>
      <vt:lpstr>KPI w</vt:lpstr>
      <vt:lpstr>KPI z</vt:lpstr>
      <vt:lpstr>KPI j</vt:lpstr>
      <vt:lpstr>KPI 4(i)</vt:lpstr>
      <vt:lpstr>KPI 4 (ii)</vt:lpstr>
      <vt:lpstr>KPI 5</vt:lpstr>
      <vt:lpstr>KPI g</vt:lpstr>
      <vt:lpstr>KPI x</vt:lpstr>
      <vt:lpstr>KPI x (2)</vt:lpstr>
      <vt:lpstr>KPI qi</vt:lpstr>
      <vt:lpstr>KPI h</vt:lpstr>
      <vt:lpstr>KPI 6</vt:lpstr>
      <vt:lpstr>KPI 9</vt:lpstr>
      <vt:lpstr>KPI 10</vt:lpstr>
      <vt:lpstr>KPI 11</vt:lpstr>
      <vt:lpstr>KPI 11a</vt:lpstr>
      <vt:lpstr>KPI 12</vt:lpstr>
      <vt:lpstr>KPI 13</vt:lpstr>
      <vt:lpstr>KPI 14 (3)</vt:lpstr>
      <vt:lpstr>KPI 14 (2)</vt:lpstr>
      <vt:lpstr>KPI 14</vt:lpstr>
      <vt:lpstr>KPI 15</vt:lpstr>
      <vt:lpstr>KPI 16</vt:lpstr>
      <vt:lpstr>KPI 16A</vt:lpstr>
      <vt:lpstr>KPI 17</vt:lpstr>
      <vt:lpstr>KPI 10 (2)</vt:lpstr>
      <vt:lpstr>KPI 11 (2)</vt:lpstr>
      <vt:lpstr>KPI 11a (2)</vt:lpstr>
      <vt:lpstr>KPI 12 (2)</vt:lpstr>
      <vt:lpstr>KPI 13 (2)</vt:lpstr>
      <vt:lpstr>KPI 18</vt:lpstr>
      <vt:lpstr>KPI 19</vt:lpstr>
      <vt:lpstr>KPI q</vt:lpstr>
      <vt:lpstr>KPI 20</vt:lpstr>
      <vt:lpstr>KPI v</vt:lpstr>
      <vt:lpstr>KPI 25</vt:lpstr>
      <vt:lpstr>KPI s</vt:lpstr>
      <vt:lpstr>General</vt:lpstr>
      <vt:lpstr>Actual_month</vt:lpstr>
      <vt:lpstr>Dashboard!Print_Area</vt:lpstr>
      <vt:lpstr>Dashboard!Print_Titles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ICT Officer</cp:lastModifiedBy>
  <cp:lastPrinted>2025-11-11T12:45:05Z</cp:lastPrinted>
  <dcterms:created xsi:type="dcterms:W3CDTF">2014-08-18T15:14:05Z</dcterms:created>
  <dcterms:modified xsi:type="dcterms:W3CDTF">2026-04-09T08:52:21Z</dcterms:modified>
</cp:coreProperties>
</file>